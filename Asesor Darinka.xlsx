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Asesor" sheetId="1" r:id="rId5"/>
    <sheet state="visible" name="Asegurados" sheetId="2" r:id="rId6"/>
    <sheet state="visible" name="Prospectos" sheetId="3" r:id="rId7"/>
    <sheet state="visible" name="Análisis de Info Histórico" sheetId="4" r:id="rId8"/>
    <sheet state="visible" name="Análisis de Info Anual" sheetId="5" r:id="rId9"/>
    <sheet state="hidden" name="Listas" sheetId="6" r:id="rId10"/>
    <sheet state="visible" name="Mina de Oro" sheetId="7" r:id="rId11"/>
    <sheet state="visible" name="Cobranza" sheetId="8" r:id="rId12"/>
    <sheet state="visible" name="Cumpleañeros del mes" sheetId="9" r:id="rId13"/>
  </sheets>
  <definedNames>
    <definedName hidden="1" localSheetId="1" name="_xlnm._FilterDatabase">Asegurados!$A$5:$E$1000</definedName>
    <definedName hidden="1" localSheetId="2" name="_xlnm._FilterDatabase">Prospectos!$A$7:$G$1019</definedName>
    <definedName hidden="1" localSheetId="0" name="Z_641EEE01_6565_4715_A15B_3BAE8BC67C08_.wvu.FilterData">'BD Asesor'!$A$5:$P$134</definedName>
    <definedName hidden="1" localSheetId="0" name="Z_7E46A594_AA5C_4E5C_8DF4_6E7636E5EBD9_.wvu.FilterData">'BD Asesor'!$A$8:$A$119</definedName>
  </definedNames>
  <calcPr/>
  <customWorkbookViews>
    <customWorkbookView activeSheetId="0" maximized="1" windowHeight="0" windowWidth="0" guid="{7E46A594-AA5C-4E5C-8DF4-6E7636E5EBD9}" name="Filtro 1"/>
    <customWorkbookView activeSheetId="0" maximized="1" windowHeight="0" windowWidth="0" guid="{641EEE01-6565-4715-A15B-3BAE8BC67C08}" name="Filtro 2"/>
  </customWorkbookViews>
  <pivotCaches>
    <pivotCache cacheId="0" r:id="rId14"/>
    <pivotCache cacheId="1" r:id="rId15"/>
    <pivotCache cacheId="2" r:id="rId16"/>
    <pivotCache cacheId="3" r:id="rId17"/>
  </pivotCaches>
</workbook>
</file>

<file path=xl/sharedStrings.xml><?xml version="1.0" encoding="utf-8"?>
<sst xmlns="http://schemas.openxmlformats.org/spreadsheetml/2006/main" count="5621" uniqueCount="1418">
  <si>
    <t>Base de Datos asesor</t>
  </si>
  <si>
    <t>2 meses antes</t>
  </si>
  <si>
    <t>Día de su cumpleaños</t>
  </si>
  <si>
    <t>10 dias antes</t>
  </si>
  <si>
    <t>5 dias antes</t>
  </si>
  <si>
    <t>Cliente</t>
  </si>
  <si>
    <t>Sexo</t>
  </si>
  <si>
    <t>Estado</t>
  </si>
  <si>
    <t>Emisión</t>
  </si>
  <si>
    <t>Número de póliza</t>
  </si>
  <si>
    <t>Prima anual</t>
  </si>
  <si>
    <t>Tipo de Moneda</t>
  </si>
  <si>
    <t xml:space="preserve">Forma de pago </t>
  </si>
  <si>
    <t>Cumpleaños</t>
  </si>
  <si>
    <t>Buen referenciador</t>
  </si>
  <si>
    <t>Modo de cobro</t>
  </si>
  <si>
    <t>Tipo de plan</t>
  </si>
  <si>
    <t xml:space="preserve">Nombre del plan </t>
  </si>
  <si>
    <t>Correo electrónico</t>
  </si>
  <si>
    <t>Teléfono</t>
  </si>
  <si>
    <t xml:space="preserve">Asesor </t>
  </si>
  <si>
    <t>Mes</t>
  </si>
  <si>
    <t>Año</t>
  </si>
  <si>
    <t>DiaEm</t>
  </si>
  <si>
    <t>Diferencia de dia</t>
  </si>
  <si>
    <t>MesEm</t>
  </si>
  <si>
    <t>DiaCu</t>
  </si>
  <si>
    <t>Diferencia Cu</t>
  </si>
  <si>
    <t>MesCu</t>
  </si>
  <si>
    <t>MesNum</t>
  </si>
  <si>
    <t xml:space="preserve">Años </t>
  </si>
  <si>
    <t>Bloques edad</t>
  </si>
  <si>
    <t>ABRAHAM GALICIA MANCERA</t>
  </si>
  <si>
    <t>H</t>
  </si>
  <si>
    <t>Activo</t>
  </si>
  <si>
    <t>GM0000512930</t>
  </si>
  <si>
    <t>MXN</t>
  </si>
  <si>
    <t>Mensual</t>
  </si>
  <si>
    <t>15-sep</t>
  </si>
  <si>
    <t>Sí</t>
  </si>
  <si>
    <t>TD</t>
  </si>
  <si>
    <t xml:space="preserve">Gastos Médicos </t>
  </si>
  <si>
    <t>Integro</t>
  </si>
  <si>
    <t>abraham.mancera92@hotmail.com</t>
  </si>
  <si>
    <t>VI0002585905</t>
  </si>
  <si>
    <t>UDIS</t>
  </si>
  <si>
    <t>Vida</t>
  </si>
  <si>
    <t>Orvi</t>
  </si>
  <si>
    <t>ADRIAN ALEJANDRO RAMIREZ MORALES</t>
  </si>
  <si>
    <t>GM0000551209</t>
  </si>
  <si>
    <t>Semestral</t>
  </si>
  <si>
    <t>Practico</t>
  </si>
  <si>
    <t>adriangtsramirez261144@gmail.com</t>
  </si>
  <si>
    <t>VI0002645864</t>
  </si>
  <si>
    <t>TC</t>
  </si>
  <si>
    <t>AIDA GRACIELA FLORES BARBA</t>
  </si>
  <si>
    <t>M</t>
  </si>
  <si>
    <t>VI0002570983</t>
  </si>
  <si>
    <t>Anual</t>
  </si>
  <si>
    <t>ajj_07@hotmail.com</t>
  </si>
  <si>
    <t>ALEJANDRA DEL CARMEN UREÑA CASILLAS</t>
  </si>
  <si>
    <t>GM0000478411</t>
  </si>
  <si>
    <t>ale_u_casillas@hotmail.com</t>
  </si>
  <si>
    <t>GM0000579437</t>
  </si>
  <si>
    <t>VI0002521501</t>
  </si>
  <si>
    <t>ALEJANDRO ARTURO LOMELI OROZCO</t>
  </si>
  <si>
    <t>VI0002678022</t>
  </si>
  <si>
    <t>aa.lomeli8@gmail.com</t>
  </si>
  <si>
    <t>ALEJANDRO MORENO TRUJILLO</t>
  </si>
  <si>
    <t>GM0000551319</t>
  </si>
  <si>
    <t>alejandromorenotrujillo1@gmail.com</t>
  </si>
  <si>
    <t>VI0002650072</t>
  </si>
  <si>
    <t>ALEJANDRO SOTO ELIZALDE</t>
  </si>
  <si>
    <t>GM0000540142</t>
  </si>
  <si>
    <t>soto.564@hotmail.com</t>
  </si>
  <si>
    <t>ALEJANDRO VAZQUEZ RODRIGUEZ</t>
  </si>
  <si>
    <t>VI0002546462</t>
  </si>
  <si>
    <t>a.vazquez.rodriguez@outlook.com</t>
  </si>
  <si>
    <t>ALEXA GISELLE INFANTE JAIME</t>
  </si>
  <si>
    <t>GM0000496075</t>
  </si>
  <si>
    <t>giselleinfante92@gmail.com</t>
  </si>
  <si>
    <t>ANA KAREN MUÑIZ CHAVEZ</t>
  </si>
  <si>
    <t>GM0000513096</t>
  </si>
  <si>
    <t>lupithamuniz0015@gmail.com</t>
  </si>
  <si>
    <t>ANA PAULA GONZALEZ LUNA NIÑO</t>
  </si>
  <si>
    <t>VI0002566080</t>
  </si>
  <si>
    <t>apgln@hotmail.com</t>
  </si>
  <si>
    <t>ANDREA HERNANDEZ MERCADO</t>
  </si>
  <si>
    <t>VI0002591407</t>
  </si>
  <si>
    <t>ANUAL</t>
  </si>
  <si>
    <t>06-sep</t>
  </si>
  <si>
    <t>andreahdz_09@hotmail.com</t>
  </si>
  <si>
    <t>ANGELICA ALEJANDRA SANCHEZ DURAN</t>
  </si>
  <si>
    <t>VI0002573965</t>
  </si>
  <si>
    <t>Trimestral</t>
  </si>
  <si>
    <t>angelicaduran.4@hotmail.com</t>
  </si>
  <si>
    <t>ARNOLD SANCHEZ SANCHEZ</t>
  </si>
  <si>
    <t>VI0002517934</t>
  </si>
  <si>
    <t>sanchez.201024835@outlook.com</t>
  </si>
  <si>
    <t>BERNARDO GARCIA GOMEZ</t>
  </si>
  <si>
    <t>VI0002697696</t>
  </si>
  <si>
    <t>Imagina ser</t>
  </si>
  <si>
    <t>bernigarcia365@icloud.com</t>
  </si>
  <si>
    <t>VI0002698084</t>
  </si>
  <si>
    <t>BETH SUA MONTEJANO CARMONA</t>
  </si>
  <si>
    <t>VI0002558023</t>
  </si>
  <si>
    <t>17-sep</t>
  </si>
  <si>
    <t>moncar1709@gmail.com</t>
  </si>
  <si>
    <t>BLANCA CAROLINA MAGAÑA CASTELLON</t>
  </si>
  <si>
    <t>GM0000588897</t>
  </si>
  <si>
    <t>AGENTE</t>
  </si>
  <si>
    <t>aideflores.arellano@gmail.com</t>
  </si>
  <si>
    <t>CARLA ANDREA MARTINEZ LAGOS</t>
  </si>
  <si>
    <t>VI0002654798</t>
  </si>
  <si>
    <t>carla.martineez@hotmail.com</t>
  </si>
  <si>
    <t>CARLOS ALBERTO MORALES NOGUEDA</t>
  </si>
  <si>
    <t>VI0002682439</t>
  </si>
  <si>
    <t>Segubeca</t>
  </si>
  <si>
    <t>walazamn@hotmail.com</t>
  </si>
  <si>
    <t>CARLOS CASTRO PALAZUELOS</t>
  </si>
  <si>
    <t>VI0002662475</t>
  </si>
  <si>
    <t>tekilopalazuelos@gmail.com</t>
  </si>
  <si>
    <t>CARLOS DAVID AVILA URRUCHUA</t>
  </si>
  <si>
    <t>VI0002613039</t>
  </si>
  <si>
    <t>12-sep</t>
  </si>
  <si>
    <t>carlos_a_u@hotmail.com</t>
  </si>
  <si>
    <t>CARLOS HUMBERTO VILLANUEVA CARMONA</t>
  </si>
  <si>
    <t>VI0002657416</t>
  </si>
  <si>
    <t>carloshum3888@gmail.com</t>
  </si>
  <si>
    <t>CARLOS VERDUZO FAVELA</t>
  </si>
  <si>
    <t>VI0002692302</t>
  </si>
  <si>
    <t>carlos.verduzcof@gmail.com</t>
  </si>
  <si>
    <t>CARLOS XAVIER BARBA LOPEZ</t>
  </si>
  <si>
    <t>GM0000549543</t>
  </si>
  <si>
    <t>eagletijuana@gmail.com</t>
  </si>
  <si>
    <t>CECILIA ARCEO CERVANTES</t>
  </si>
  <si>
    <t>VI0002601742</t>
  </si>
  <si>
    <t>cecyarceo@hotmail.com</t>
  </si>
  <si>
    <t>CESAR ISRRAEL HERNANDEZ SANCHEZ</t>
  </si>
  <si>
    <t>VI0002672529</t>
  </si>
  <si>
    <t>cesar25941@outlook.com</t>
  </si>
  <si>
    <t>VI0002678390</t>
  </si>
  <si>
    <t>CINTHIA NOEMI JASSO TORRES</t>
  </si>
  <si>
    <t>VI0002690934</t>
  </si>
  <si>
    <t>noemijass1982@gmail.com</t>
  </si>
  <si>
    <t>CLAUDIO ALBERTO MARTIN LOPEZ</t>
  </si>
  <si>
    <t>VI0002652270</t>
  </si>
  <si>
    <t>innsmouth26@gmail.com</t>
  </si>
  <si>
    <t>CRISTINA GUADALUPE ALVAREZ HERNANDEZ</t>
  </si>
  <si>
    <t>GM0000537417</t>
  </si>
  <si>
    <t>16-sep</t>
  </si>
  <si>
    <t>crig91@hotmail.com</t>
  </si>
  <si>
    <t>CRISTINA LETICIA RODRIGUEZ DE LA TORRE</t>
  </si>
  <si>
    <t>VI0002709431</t>
  </si>
  <si>
    <t>Nuevo Plenitud</t>
  </si>
  <si>
    <t>cristinarodriguezdelatorre@gmail.com</t>
  </si>
  <si>
    <t>CYNTHIA ELIZABETH MORALES ORTEGA</t>
  </si>
  <si>
    <t>GM0000510955</t>
  </si>
  <si>
    <t>cynthi_lizi@hotmail.com</t>
  </si>
  <si>
    <t>VI0002582479</t>
  </si>
  <si>
    <t>Agente</t>
  </si>
  <si>
    <t>GM0000546753</t>
  </si>
  <si>
    <t>DANIELA CABRAL ROMO</t>
  </si>
  <si>
    <t>VI0002617376</t>
  </si>
  <si>
    <t>dacaro_22@hotmail.com</t>
  </si>
  <si>
    <t>DANIELA GUADALUPE PEREGRINA GONZALEZ</t>
  </si>
  <si>
    <t>VI0002531698</t>
  </si>
  <si>
    <t>03-sep</t>
  </si>
  <si>
    <t>peregrinadaniela0@gmail.com</t>
  </si>
  <si>
    <t>GM0000573459</t>
  </si>
  <si>
    <t>DANIELA NIETO MORAN</t>
  </si>
  <si>
    <t>VI0002583535</t>
  </si>
  <si>
    <t>daniela.nietom@outlook.com</t>
  </si>
  <si>
    <t>DARINKA UREÑA CASILLAS</t>
  </si>
  <si>
    <t>VI0002563282</t>
  </si>
  <si>
    <t>darinkasm7@gmail.com</t>
  </si>
  <si>
    <t>GM0000526123</t>
  </si>
  <si>
    <t>DAVID MORENO NERI</t>
  </si>
  <si>
    <t>GM0000351999</t>
  </si>
  <si>
    <t>davidmneri1490@gmail.com</t>
  </si>
  <si>
    <t>VI0002550138</t>
  </si>
  <si>
    <t>DENISSE CARDENAS GONZALEZ</t>
  </si>
  <si>
    <t>VI0002571494</t>
  </si>
  <si>
    <t>denisse.cgonzalez@hotmail.com</t>
  </si>
  <si>
    <t>DIEGO IVAN AGUAYO RAMIREZ</t>
  </si>
  <si>
    <t>GM0000585100</t>
  </si>
  <si>
    <t>diegoivanaguayorodriguez@gmail.com</t>
  </si>
  <si>
    <t>DIEGO LEONARDO UREÑA GUARNEROS</t>
  </si>
  <si>
    <t>GM0000482513</t>
  </si>
  <si>
    <t>guarnerosleo4e@gmail.com</t>
  </si>
  <si>
    <t>DIGNA MARIA BAÑUELOS ZAMORA</t>
  </si>
  <si>
    <t>VI0002585935</t>
  </si>
  <si>
    <t>digna.baza@gmail.com</t>
  </si>
  <si>
    <t>EDER EMMANUEL ALCALA GUTIERREZ</t>
  </si>
  <si>
    <t>VI0002613934</t>
  </si>
  <si>
    <t>ederemmanuel.alcala19@jaliscoedu.mx</t>
  </si>
  <si>
    <t>EDGAR SANCHEZ GONZALEZ</t>
  </si>
  <si>
    <t>VI0002711484</t>
  </si>
  <si>
    <t>esanchez_glez@outlook.com</t>
  </si>
  <si>
    <t>EDUARDO ERNESTO VALLES JARILLO</t>
  </si>
  <si>
    <t>GM0000556025</t>
  </si>
  <si>
    <t>evalles.0311@gmail.com</t>
  </si>
  <si>
    <t>EDUARDO RAMIRO TORRES ALVAREZ</t>
  </si>
  <si>
    <t>VI0002548210</t>
  </si>
  <si>
    <t>e_torres_alvarez@outlook.com</t>
  </si>
  <si>
    <t>EMMANUEL CONTRERAS RIOS</t>
  </si>
  <si>
    <t>VI00025924219</t>
  </si>
  <si>
    <t>05-sep</t>
  </si>
  <si>
    <t>emmanuel.palmasal@gmail.com</t>
  </si>
  <si>
    <t>EMMANUEL ORTEGA GUTIERREZ</t>
  </si>
  <si>
    <t>GM0000492375</t>
  </si>
  <si>
    <t>minerliz109@hotmail.com</t>
  </si>
  <si>
    <t>ESTEFANI ALEYOIS CONTRERAS RIOS</t>
  </si>
  <si>
    <t>GM0000586871</t>
  </si>
  <si>
    <t>aleyois.cr@gmail.com</t>
  </si>
  <si>
    <t>VI0002591210</t>
  </si>
  <si>
    <t>FELICITAS CASILLAS GALINDO</t>
  </si>
  <si>
    <t>VI0002555595</t>
  </si>
  <si>
    <t>felicitascasillas@hotmail.com</t>
  </si>
  <si>
    <t>FLORENCIA LILIANA CORONA GARNICA</t>
  </si>
  <si>
    <t>VI0002542137</t>
  </si>
  <si>
    <t>florcorona8@gmail.com</t>
  </si>
  <si>
    <t>FRANCISCO JAVIER VALENCIA PRADO</t>
  </si>
  <si>
    <t>GM0000479419</t>
  </si>
  <si>
    <t>javiz-94@hotmail.com</t>
  </si>
  <si>
    <t>VI0002541931</t>
  </si>
  <si>
    <t>GM0000540124</t>
  </si>
  <si>
    <t>FRANCISCO JOSE MARTIN LOPEZ</t>
  </si>
  <si>
    <t>VI0002656531</t>
  </si>
  <si>
    <t>fcomartin@gmail.com</t>
  </si>
  <si>
    <t>GLENDA GISELA CASIANO VEGA</t>
  </si>
  <si>
    <t>GM0000452776</t>
  </si>
  <si>
    <t>glencacasiano@hotmail.com</t>
  </si>
  <si>
    <t>GUSTAVO GUTIERREZ PLASCENCIA</t>
  </si>
  <si>
    <t>VI0002607534</t>
  </si>
  <si>
    <t>gpgustavo@yahoo.com</t>
  </si>
  <si>
    <t>HEBER RAMIREZ LUNA</t>
  </si>
  <si>
    <t>VI0002530480</t>
  </si>
  <si>
    <t>heber.ramirez.luna@gmail.com</t>
  </si>
  <si>
    <t>IZCHEL IRAIS GONZALEZ DIAZ</t>
  </si>
  <si>
    <t>VI0002608269</t>
  </si>
  <si>
    <t>expayupi.13@gmail.com</t>
  </si>
  <si>
    <t>JAVIER ALEJANDRO OCHOA FLORES</t>
  </si>
  <si>
    <t>VI0002634302</t>
  </si>
  <si>
    <t>alexocho88@gmail.com</t>
  </si>
  <si>
    <t>JAVIER RAMOS BARAJAS</t>
  </si>
  <si>
    <t>VI0002549354</t>
  </si>
  <si>
    <t>jaramos89@yahoo.com</t>
  </si>
  <si>
    <t>JAZMIN ALICIA ROMERO JOHNSON</t>
  </si>
  <si>
    <t>VI0002572565</t>
  </si>
  <si>
    <t>jazmin_ro_jo@hotmail.com</t>
  </si>
  <si>
    <t>VI0002379720</t>
  </si>
  <si>
    <t>JAZMIN JUDITH HERNANDEZ AGUIRRE</t>
  </si>
  <si>
    <t>VI0002675317</t>
  </si>
  <si>
    <t>jhernan8212@gmail.com</t>
  </si>
  <si>
    <t>JENIFER RIVERA LIRA</t>
  </si>
  <si>
    <t>VI0002695547</t>
  </si>
  <si>
    <t>Vida Mujer</t>
  </si>
  <si>
    <t>jenilira@gmail.com</t>
  </si>
  <si>
    <t>JENNIFER GODINEZ CASILLAS</t>
  </si>
  <si>
    <t>VI0002475012</t>
  </si>
  <si>
    <t>jennifer.godinez.c@hotmail.com</t>
  </si>
  <si>
    <t>JESUS ADRIAN AVILA CABRAL</t>
  </si>
  <si>
    <t>VI0002554845</t>
  </si>
  <si>
    <t>jeadila@gmail.com</t>
  </si>
  <si>
    <t>JORGE FRANCISCO AREVALO CONTRERAS</t>
  </si>
  <si>
    <t>GM0000537792</t>
  </si>
  <si>
    <t>jorge.fcoarevalo@gmail.com</t>
  </si>
  <si>
    <t>VI0002639310</t>
  </si>
  <si>
    <t>JOSE DANIEL FLORES ARELLANO</t>
  </si>
  <si>
    <t>VI0002517688</t>
  </si>
  <si>
    <t>j.daniel.f.arellano@gmail.com</t>
  </si>
  <si>
    <t>JOSE FRANCISCO SEDA CEJA</t>
  </si>
  <si>
    <t>VI0002689899</t>
  </si>
  <si>
    <t>tc</t>
  </si>
  <si>
    <t>fsedaceja@gmail.com</t>
  </si>
  <si>
    <t>JOSEFINA GALVEZ</t>
  </si>
  <si>
    <t>GM0000544016</t>
  </si>
  <si>
    <t>josie_gg@hotmail.com</t>
  </si>
  <si>
    <t>JUAN ANTONIO VELAZQUEZ ALVAREZ</t>
  </si>
  <si>
    <t>VI0002666463</t>
  </si>
  <si>
    <t>antonio.velazquez.alvarez@hotmail.com</t>
  </si>
  <si>
    <t>JUAN CARLOS CONTRERAS VAZQUEZ</t>
  </si>
  <si>
    <t>VI0002571751</t>
  </si>
  <si>
    <t>juanleon1439@gmail.com</t>
  </si>
  <si>
    <t>KAREN DENISSE SEDA MUÑOZ</t>
  </si>
  <si>
    <t>VI0002645729</t>
  </si>
  <si>
    <t>kdenisseseda@gmail.com</t>
  </si>
  <si>
    <t>KAREN ENRIQUEZ LEDEZMA</t>
  </si>
  <si>
    <t>VI0002662801</t>
  </si>
  <si>
    <t>enriquezledezmakaren2@gmail.com</t>
  </si>
  <si>
    <t>KEVIN IVAN MARCHENA DUEÑAS</t>
  </si>
  <si>
    <t>VI0002597383</t>
  </si>
  <si>
    <t>markador_23@hotmail.com</t>
  </si>
  <si>
    <t>KIMBERLY MONTSERRAT SEDA MUÑOZ</t>
  </si>
  <si>
    <t>VI0002683192</t>
  </si>
  <si>
    <t>kimberlysm00@gmail.com</t>
  </si>
  <si>
    <t>LUCIA ORTEGA RAMIREZ</t>
  </si>
  <si>
    <t>VI0002591305</t>
  </si>
  <si>
    <t>luciaortega2707@gmail.com</t>
  </si>
  <si>
    <t>LUZ JIMENA APARICIO GARCIA</t>
  </si>
  <si>
    <t>GM0000586501</t>
  </si>
  <si>
    <t>jimeapariciogarcia@gmail.com</t>
  </si>
  <si>
    <t>MARA GABRIELA DUEÑAS SALGADO</t>
  </si>
  <si>
    <t>VI0002667040</t>
  </si>
  <si>
    <t>MARCO ANTONIO RAMOS REYNOSO</t>
  </si>
  <si>
    <t>VI0002588611</t>
  </si>
  <si>
    <t>01.ramosreynoso@gmail.com</t>
  </si>
  <si>
    <t>MARIA AURORA RIOS GALVAN</t>
  </si>
  <si>
    <t>VI0002592088</t>
  </si>
  <si>
    <t>MARIA FLORENTINA CONTRERAS SANTILLAN</t>
  </si>
  <si>
    <t>VI0002620401</t>
  </si>
  <si>
    <t>florentina219011@gmail.com</t>
  </si>
  <si>
    <t>MARIA GUADALUPE CRISTINA CASTELLON DUEÑAS</t>
  </si>
  <si>
    <t>GM0000559843</t>
  </si>
  <si>
    <t>valeryacortez@hotmail.com</t>
  </si>
  <si>
    <t>MARIO ALEJANDRO VALDIVIESO BERNAL</t>
  </si>
  <si>
    <t>VI0002626529</t>
  </si>
  <si>
    <t>avaldivieso16@gmail.com</t>
  </si>
  <si>
    <t>MAYRA ALEJANDRA BALDERAS FONSECA</t>
  </si>
  <si>
    <t>VI0002546647</t>
  </si>
  <si>
    <t>balderasfonseca@gmail.com</t>
  </si>
  <si>
    <t>MELISSA GUADALUPE ROMERO GARCIA</t>
  </si>
  <si>
    <t>VI0002552195</t>
  </si>
  <si>
    <t>melissa_grg@hotmail.com</t>
  </si>
  <si>
    <t>MERCEDES DE LA TORRE FUENTES</t>
  </si>
  <si>
    <t>GM0000543671</t>
  </si>
  <si>
    <t>mrcdsdelatorre@gmail.com</t>
  </si>
  <si>
    <t>VI0002632359</t>
  </si>
  <si>
    <t>OCTAVIO MOISES SALDAÑA LOPEZ</t>
  </si>
  <si>
    <t>GM000543045</t>
  </si>
  <si>
    <t>practico</t>
  </si>
  <si>
    <t>octavio_moises.s@hotmail.com</t>
  </si>
  <si>
    <t>OMAR RAUL UREÑA CASILLAS</t>
  </si>
  <si>
    <t>VI0002682147</t>
  </si>
  <si>
    <t>romar_uc@hotmail.com</t>
  </si>
  <si>
    <t>GM0000580168</t>
  </si>
  <si>
    <t>ORLANDA JIMENA CERVANTES NUÑEZ</t>
  </si>
  <si>
    <t>GM0000538831</t>
  </si>
  <si>
    <t>PLENO</t>
  </si>
  <si>
    <t>orlanda.cervantes89@hotmail.com</t>
  </si>
  <si>
    <t>OSCAR ARTURO CORREA SOTO</t>
  </si>
  <si>
    <t>VI0002610198</t>
  </si>
  <si>
    <t>oscar.correa.soto@gmail.com</t>
  </si>
  <si>
    <t>OSWALDO NATAEL BAÑUELOS MONTERO</t>
  </si>
  <si>
    <t>GM0000501198</t>
  </si>
  <si>
    <t>natael28@icloud.com</t>
  </si>
  <si>
    <t>PAOLA MONTSERRAT DE LA TORRE IRIGOYEN</t>
  </si>
  <si>
    <t>VI0002669529</t>
  </si>
  <si>
    <t>pao.dlt.irigoyen@gmail.com</t>
  </si>
  <si>
    <t>PAOLA RAMOS REYNOSO</t>
  </si>
  <si>
    <t>VI0002606703</t>
  </si>
  <si>
    <t>ramosreynosopaola@gmail.com</t>
  </si>
  <si>
    <t>RAFAEL CONTRERAS ALVAREZ</t>
  </si>
  <si>
    <t>VI0002603817</t>
  </si>
  <si>
    <t>USD</t>
  </si>
  <si>
    <t>RAFAEL DE JESUS CONTRERAS RIOS</t>
  </si>
  <si>
    <t>VI0002598609</t>
  </si>
  <si>
    <t>cr.rafael.rcr@gmail.com</t>
  </si>
  <si>
    <t>RAFAEL GUADALUPE AREVALO CONTRERAS</t>
  </si>
  <si>
    <t>GM000537085</t>
  </si>
  <si>
    <t>rafaael_arevalo@hotmail.com</t>
  </si>
  <si>
    <t>RAUL ARIAS GARCIA</t>
  </si>
  <si>
    <t>VI0002660408</t>
  </si>
  <si>
    <t>raularias186@gmail.com</t>
  </si>
  <si>
    <t>RAUL UREÑA GUZMAN</t>
  </si>
  <si>
    <t>GM0000482649</t>
  </si>
  <si>
    <t>raulurenaguzman@gmail.com</t>
  </si>
  <si>
    <t>RICARDO GONZALEZ ARECHIGA</t>
  </si>
  <si>
    <t>VI0002566243</t>
  </si>
  <si>
    <t>ricardo.a@ryrposters.com</t>
  </si>
  <si>
    <t>SALOME GAMEZ FRIAS</t>
  </si>
  <si>
    <t>VI0002529863</t>
  </si>
  <si>
    <t>salome@mauisa.com</t>
  </si>
  <si>
    <t>SANDRA LISSET TORRES HERNANDEZ</t>
  </si>
  <si>
    <t>VI0002560246</t>
  </si>
  <si>
    <t>sandrausagitomisaki@gmail.com</t>
  </si>
  <si>
    <t>SARAHI PAULINA OROZCO MARTINEZ</t>
  </si>
  <si>
    <t>VI0002569421</t>
  </si>
  <si>
    <t>spaulinaorozco_25@hotmail.com</t>
  </si>
  <si>
    <t>SEBASTIANA GUADALUPE GONZALEZ LIZARRAGA</t>
  </si>
  <si>
    <t>VI0002686391</t>
  </si>
  <si>
    <t>genaro.sanchezg91@icloud.com</t>
  </si>
  <si>
    <t>SUSANA RODRIGUEZ REYES</t>
  </si>
  <si>
    <t>VI0002644574</t>
  </si>
  <si>
    <t>rodriguez.susanar@gmail.com</t>
  </si>
  <si>
    <t>VI0002675267</t>
  </si>
  <si>
    <t>TZEITEL PAMELA GUARDIAN AVELAR</t>
  </si>
  <si>
    <t>VI0002606377</t>
  </si>
  <si>
    <t>01-sep</t>
  </si>
  <si>
    <t>pamela.guavelar@gmail.com</t>
  </si>
  <si>
    <t>VALERIA JANETH SANCHEZ MUÑOZ</t>
  </si>
  <si>
    <t>GM0000547172</t>
  </si>
  <si>
    <t>valeria123_7@hotmail.com</t>
  </si>
  <si>
    <t>VICTOR GALLEGOS MARTINEZ</t>
  </si>
  <si>
    <t>GM0000581018</t>
  </si>
  <si>
    <t>alambradosgallegosjal@hotmail.com</t>
  </si>
  <si>
    <t>VI0002698126</t>
  </si>
  <si>
    <t>VICTORIA MAGDALENA LEON BERTINE</t>
  </si>
  <si>
    <t>GM0000570410</t>
  </si>
  <si>
    <t>vicky.male.ber20@gmail.com</t>
  </si>
  <si>
    <t>VIVIANA CONTRERAS RIOS</t>
  </si>
  <si>
    <t>VI0002597603</t>
  </si>
  <si>
    <t>viviana08cr@live.com</t>
  </si>
  <si>
    <t>RODRIGO GONZALEZ GONZALEZ</t>
  </si>
  <si>
    <t>VI0002717134</t>
  </si>
  <si>
    <t>liga117.rg@gmail.com</t>
  </si>
  <si>
    <t>GIBRAN ARELLANO CORNEJO</t>
  </si>
  <si>
    <t>VI0002719472</t>
  </si>
  <si>
    <t>gibacor@hotmail.com</t>
  </si>
  <si>
    <t>GM0000593612</t>
  </si>
  <si>
    <t>JUAN JOSE GUZMAN MACIAS</t>
  </si>
  <si>
    <t>GM00000594397</t>
  </si>
  <si>
    <t>guzmanmaciasjuanjose@gmail.com</t>
  </si>
  <si>
    <t>VALERIA SANTACRUZ TABARES</t>
  </si>
  <si>
    <t>VI0002722090</t>
  </si>
  <si>
    <t>valeria.santacruz.tabares@gmail.com</t>
  </si>
  <si>
    <t>CARLOS AURELIO NAVA NERI</t>
  </si>
  <si>
    <t>VI0002722445</t>
  </si>
  <si>
    <t>carlos_nava74@hotmail.com</t>
  </si>
  <si>
    <t>JENNIFER DAYANA CHAVEZ GUTIERREZ</t>
  </si>
  <si>
    <t>VI0002726188</t>
  </si>
  <si>
    <t>j_dayanna@hotmail.com</t>
  </si>
  <si>
    <t>MICHELLE BOY ESPINOSA</t>
  </si>
  <si>
    <t>GM0000597472</t>
  </si>
  <si>
    <t>Pleno</t>
  </si>
  <si>
    <t>michelle.boy1216@gmail.com</t>
  </si>
  <si>
    <t>NORA MARIEL SOLANO GUTIERREZ</t>
  </si>
  <si>
    <t>GM0000599355</t>
  </si>
  <si>
    <t>nora.msg@hotmail.com</t>
  </si>
  <si>
    <t>EDGAR EDUARDO MAGAÑA MAGAÑA</t>
  </si>
  <si>
    <t>GM0000599595</t>
  </si>
  <si>
    <t>prix_jvm@hotmail.com</t>
  </si>
  <si>
    <t>MONSERRAT ROMO ESQUEDA</t>
  </si>
  <si>
    <t>GM0000599611</t>
  </si>
  <si>
    <t>monse.romo.01@hotmail.com</t>
  </si>
  <si>
    <t>GM0000600689</t>
  </si>
  <si>
    <t>finanzaslamesa@gmail.com</t>
  </si>
  <si>
    <t>CLAUDIA FELIPA MACIEL NAVA</t>
  </si>
  <si>
    <t>VI0002736210</t>
  </si>
  <si>
    <t>claudiamaciel@live.com.mx</t>
  </si>
  <si>
    <t>LIBRA CASTALIA RAMIREZ MUÑOZ</t>
  </si>
  <si>
    <t>VI0002737615</t>
  </si>
  <si>
    <t>kas_elka_02@hotmail.com</t>
  </si>
  <si>
    <t>DIANA MONTSERRAT FLORES VERA</t>
  </si>
  <si>
    <t>VI0002740454</t>
  </si>
  <si>
    <t>dmflor.ver@gmail.com</t>
  </si>
  <si>
    <t>VI0002742125</t>
  </si>
  <si>
    <t>KARLA GABRIELA GARIBAY MORAN</t>
  </si>
  <si>
    <t>VI0002747846</t>
  </si>
  <si>
    <t>garibaymoran@outlook.com</t>
  </si>
  <si>
    <t>JOSE ANTONIO LINAGE GARZA</t>
  </si>
  <si>
    <t>VI0002748901</t>
  </si>
  <si>
    <t>josealinage@gmail.com</t>
  </si>
  <si>
    <t>DANIELA LIZETTE LOPEZ LLAMAS</t>
  </si>
  <si>
    <t>GM0000612213</t>
  </si>
  <si>
    <t>dan210397@gmail.com</t>
  </si>
  <si>
    <t>ALEJANDRO ACOSTA OLIVAREZ</t>
  </si>
  <si>
    <t>GM0000612841</t>
  </si>
  <si>
    <t>alejandro.olivarez19@hotmail.com</t>
  </si>
  <si>
    <t>JOSE GUADALUPE MARIN LOPEZ</t>
  </si>
  <si>
    <t>GM0000613371</t>
  </si>
  <si>
    <t>j.gpe.marin.lopez@gmail.com</t>
  </si>
  <si>
    <t>GABRIEL ARMANDO VALLE VIVAR</t>
  </si>
  <si>
    <t>VI0002754599</t>
  </si>
  <si>
    <t>gabitovivar@gmail.com</t>
  </si>
  <si>
    <t>JESUS ARNOLDO BERRELLEZA PLASCENCIA</t>
  </si>
  <si>
    <t>GM0000614530</t>
  </si>
  <si>
    <t>berrellezaplascencia@gmail.com</t>
  </si>
  <si>
    <t>FRIDA ZULEIKA RUIZ HERNANDEZ</t>
  </si>
  <si>
    <t>GM0000614783</t>
  </si>
  <si>
    <t>ANA KAREN GARCIA URIBE</t>
  </si>
  <si>
    <t>GM0000615542</t>
  </si>
  <si>
    <t>garciauribekaren@gmail.com</t>
  </si>
  <si>
    <t>SOPHIA PIERRE MONROY</t>
  </si>
  <si>
    <t>GM0000615625</t>
  </si>
  <si>
    <t>sophiapm_04@hotmail.com</t>
  </si>
  <si>
    <t>GUSTAVO CORDERO HERNANDEZ</t>
  </si>
  <si>
    <t>GM0000616881</t>
  </si>
  <si>
    <t>cordero.gustavo@outlook.com</t>
  </si>
  <si>
    <t xml:space="preserve">MARIA FERNANDA SOLANO JIMENEZ
</t>
  </si>
  <si>
    <t>VI0002762846</t>
  </si>
  <si>
    <t>fernandasolano59@gmail.com</t>
  </si>
  <si>
    <t>CARLOS ADRIAN CASTRO SEVILLA</t>
  </si>
  <si>
    <t>VI0002764000</t>
  </si>
  <si>
    <t>carlos_pigui@hotmail.com</t>
  </si>
  <si>
    <t>ARMANDO JONATHAN DE LA CRUZ DIAZ</t>
  </si>
  <si>
    <t>VI0002765196</t>
  </si>
  <si>
    <t>armando_diazr@hotmail.com</t>
  </si>
  <si>
    <t>GM0000619189</t>
  </si>
  <si>
    <t>Gastos medicos</t>
  </si>
  <si>
    <t>JACQUELINE MERAZ RUIZ</t>
  </si>
  <si>
    <t>GM0000623434</t>
  </si>
  <si>
    <t>jacquelinemerazruiz@gmail.com</t>
  </si>
  <si>
    <t>CYNTHIA JANNET PARRA FLORES (JORDAN)</t>
  </si>
  <si>
    <t>GM0000624742</t>
  </si>
  <si>
    <t>jannet1745@gmail.com</t>
  </si>
  <si>
    <t>SAUL RIOS GALVAN</t>
  </si>
  <si>
    <t>GM0000626399</t>
  </si>
  <si>
    <t>riosgs2169@gmail.com</t>
  </si>
  <si>
    <t>OSCAR LARA SILVA</t>
  </si>
  <si>
    <t>VI0002779689</t>
  </si>
  <si>
    <t>rata4593@gmail.com</t>
  </si>
  <si>
    <t>RODOLFO IVAN MEJIA TRUJILLO</t>
  </si>
  <si>
    <t>GM0000626694</t>
  </si>
  <si>
    <t>rodolfo.rogume@gmail.com</t>
  </si>
  <si>
    <t>VI0002779648</t>
  </si>
  <si>
    <t>SILVIA ANALI PEREZ ALDRETE</t>
  </si>
  <si>
    <t>VI0002781309</t>
  </si>
  <si>
    <t>perezaldretesilviaanali@gmail.com</t>
  </si>
  <si>
    <t>GM0000627132</t>
  </si>
  <si>
    <t>DANIELA ALEJANDRA CALVA GARCIA</t>
  </si>
  <si>
    <t>GM0000628200</t>
  </si>
  <si>
    <t>daniela.a.calva@gmail.com</t>
  </si>
  <si>
    <t>JOB GUERRERO GONZALEZ</t>
  </si>
  <si>
    <t>GM0000631291</t>
  </si>
  <si>
    <t xml:space="preserve">MARIO ALBERTO GONZALEZ ARIAS </t>
  </si>
  <si>
    <t>VI0002790754</t>
  </si>
  <si>
    <t>m.gonzalez010895@gmail.com</t>
  </si>
  <si>
    <t>KEVIN ONEAL SALCEDO GARCES</t>
  </si>
  <si>
    <t>VI0002791784</t>
  </si>
  <si>
    <t>kevin.oneal.salcedo@gmail.com</t>
  </si>
  <si>
    <t>ABIZABETH GARCIA CEJA</t>
  </si>
  <si>
    <t>VI0002796083</t>
  </si>
  <si>
    <t>abbiegarciaa@gmail.com</t>
  </si>
  <si>
    <t>LILIANA VERONICA RAMIREZ ROSALES</t>
  </si>
  <si>
    <t>VI0002789159</t>
  </si>
  <si>
    <t>ramirez99lili@gmail.com</t>
  </si>
  <si>
    <t>GM0000635721</t>
  </si>
  <si>
    <t>MARTHA ILIANA POLANCO GUZMAN</t>
  </si>
  <si>
    <t>VI0002801119</t>
  </si>
  <si>
    <t>marthi_li@hotmail.com</t>
  </si>
  <si>
    <t>SANDRA ISABEL MACIAS AYON</t>
  </si>
  <si>
    <t>GM0000637539</t>
  </si>
  <si>
    <t xml:space="preserve">sandra.maciasayon@hotmail.com
</t>
  </si>
  <si>
    <t>ODALIS ANAHI MACIAS AYON</t>
  </si>
  <si>
    <t>GM0000637690</t>
  </si>
  <si>
    <t>odalis_ayon@hotmail.com</t>
  </si>
  <si>
    <t>PRISCILA ZUSETH RODRIGUEZ MARQUEZ</t>
  </si>
  <si>
    <t xml:space="preserve">GM0000637709
</t>
  </si>
  <si>
    <t xml:space="preserve">prismargon@hotmail.com
</t>
  </si>
  <si>
    <t>JULIETA BEATRIZMONTAÑO MARTINEZ</t>
  </si>
  <si>
    <t>VI0002803707</t>
  </si>
  <si>
    <t>juliieta89@gmail.com</t>
  </si>
  <si>
    <t>ESMERALDA GARCIA BETANCOURT</t>
  </si>
  <si>
    <t>VI0002806324</t>
  </si>
  <si>
    <t>dra.esmegb@gmail.com</t>
  </si>
  <si>
    <t>VI0002806319</t>
  </si>
  <si>
    <t>Imagina Ser</t>
  </si>
  <si>
    <t xml:space="preserve">ERIKA VALENTINA DIAZ MENDEZ
</t>
  </si>
  <si>
    <t>VI0002811699</t>
  </si>
  <si>
    <t>erika.diazmendez@hotmail.com</t>
  </si>
  <si>
    <t>MICHELLE GARCIA CHAVEZ</t>
  </si>
  <si>
    <t>VI0002815231</t>
  </si>
  <si>
    <t>michellenumber4@hotmail.com</t>
  </si>
  <si>
    <t xml:space="preserve">LEONARDO CARDENAS ROMO (MONSERRAT ROMO)
</t>
  </si>
  <si>
    <t xml:space="preserve">GM0000646763
</t>
  </si>
  <si>
    <t>VENUS ELIZABETH SILVA SANTANA</t>
  </si>
  <si>
    <t>VI0002818961</t>
  </si>
  <si>
    <t xml:space="preserve">venus.silvas@gmail.com
</t>
  </si>
  <si>
    <t>GABRIELA ALEJANDRA GUZMAN NAVARRO</t>
  </si>
  <si>
    <t>VI0002821361</t>
  </si>
  <si>
    <t>gabrielanava0605@gmail.com</t>
  </si>
  <si>
    <t>MARIANA GONZALEZ ARIAS</t>
  </si>
  <si>
    <t>VI0002821938</t>
  </si>
  <si>
    <t xml:space="preserve">mayi_3333@hotmail.com
</t>
  </si>
  <si>
    <t>ANTONIO CORDERO ROMERO</t>
  </si>
  <si>
    <t>VI0002822471</t>
  </si>
  <si>
    <t>acorki@yahoo.com</t>
  </si>
  <si>
    <t>JESSICA ANDREA ORDOÑEZ DUARTE</t>
  </si>
  <si>
    <t>VI0002824693</t>
  </si>
  <si>
    <t xml:space="preserve">jessiduarte95@gmail.com
</t>
  </si>
  <si>
    <t>CLAUDIA ALEJANDRA NAVARRO AGRAZ</t>
  </si>
  <si>
    <t>VI0002825632</t>
  </si>
  <si>
    <t>orvi</t>
  </si>
  <si>
    <t>kualis@hotmail.com</t>
  </si>
  <si>
    <t>MARIANA SOFIA TORRES MENDOZA</t>
  </si>
  <si>
    <t>VI0002827377</t>
  </si>
  <si>
    <t xml:space="preserve">mstm1984@outlook.com
</t>
  </si>
  <si>
    <t>PAOLA JUDITH RAMIREZ ROSALES</t>
  </si>
  <si>
    <t>GM0000653524</t>
  </si>
  <si>
    <t xml:space="preserve">paolaramirezrsl@gmail.com
</t>
  </si>
  <si>
    <t>VERONICA FLORES VILLAVICENCIO- FRANCESCA DAIANA</t>
  </si>
  <si>
    <t>GM0000657031</t>
  </si>
  <si>
    <t>chesca_mia@hotmail.com</t>
  </si>
  <si>
    <t>MARIO HUMBERTO VILLANUEVA IBARRA</t>
  </si>
  <si>
    <t>VI0002832905</t>
  </si>
  <si>
    <t xml:space="preserve">ing.mariovillanueva@gmail.com
</t>
  </si>
  <si>
    <t>VI0002835245</t>
  </si>
  <si>
    <t>je_dayanna@hotmail.com</t>
  </si>
  <si>
    <t xml:space="preserve">LIZETTE GONZALEZ ARIAS
</t>
  </si>
  <si>
    <t xml:space="preserve">VI0002839392
</t>
  </si>
  <si>
    <t>Temporal</t>
  </si>
  <si>
    <t xml:space="preserve">lizettega1985@gmail.com
</t>
  </si>
  <si>
    <t>JESUS EMILIANO CONTRERAS RIOS</t>
  </si>
  <si>
    <t>GM0000664424</t>
  </si>
  <si>
    <t xml:space="preserve">ganaderiasandimas@gmail.com
</t>
  </si>
  <si>
    <t>RICARDO SOTELO CASILLS</t>
  </si>
  <si>
    <t>VI0002849484</t>
  </si>
  <si>
    <t>maquinariarsc@gmail.com</t>
  </si>
  <si>
    <t>JORGE DE THOMAS MURILLO</t>
  </si>
  <si>
    <t>VI0002849827</t>
  </si>
  <si>
    <t xml:space="preserve">jorge_jdm@hotmail.com
</t>
  </si>
  <si>
    <t>VICTOR MANUEL ARANDA ROMO</t>
  </si>
  <si>
    <t>GM0000668487</t>
  </si>
  <si>
    <t xml:space="preserve">victor.11.96@hotmail.com
</t>
  </si>
  <si>
    <t>JUDITH PAOLA DIAZ LIZARRAGA</t>
  </si>
  <si>
    <t>F</t>
  </si>
  <si>
    <t>VI0002854840</t>
  </si>
  <si>
    <t xml:space="preserve">keely_leonel@hotmail.com
</t>
  </si>
  <si>
    <t>GM0000672845</t>
  </si>
  <si>
    <t>AUREA MARISOL MARTINEZ OSORNIO</t>
  </si>
  <si>
    <t>11//10/2024</t>
  </si>
  <si>
    <t>VI0002860799</t>
  </si>
  <si>
    <t xml:space="preserve">aureamarisol@hotmail.com
</t>
  </si>
  <si>
    <t xml:space="preserve">VI0002860951  </t>
  </si>
  <si>
    <t>MARDICHA GUADALUPE ARAMBULA RODRIGUEZ</t>
  </si>
  <si>
    <t>VI0002864556</t>
  </si>
  <si>
    <t xml:space="preserve">mardicharodriguez@gmail.com
</t>
  </si>
  <si>
    <t>MIGUEL ANGEL AGUILAR CHAVEZ</t>
  </si>
  <si>
    <t>VI0002865953</t>
  </si>
  <si>
    <t>mig.ag.ch@gmail.com</t>
  </si>
  <si>
    <t>CESAR ALFREDO CERVANTES DEL VALLE</t>
  </si>
  <si>
    <t>GM000677220</t>
  </si>
  <si>
    <t xml:space="preserve">cesar.cervantesdelvalle@gmail.com
</t>
  </si>
  <si>
    <t>ANYELA SANCHEZ GOMEZ</t>
  </si>
  <si>
    <t>VI0002867999</t>
  </si>
  <si>
    <t xml:space="preserve">angy_tobebts@outlook.es
</t>
  </si>
  <si>
    <t>VI0002382839</t>
  </si>
  <si>
    <t>CHRISTIAN JAIR QUEZADA IBARRA</t>
  </si>
  <si>
    <t>VI0002868817</t>
  </si>
  <si>
    <t xml:space="preserve">jairquezada@hotmail.com
</t>
  </si>
  <si>
    <t>DEBANHI ESTEFANIA QUEZADA IBARRA</t>
  </si>
  <si>
    <t>VI0002868903</t>
  </si>
  <si>
    <t xml:space="preserve">debanhiquezadaa@gmail.com
</t>
  </si>
  <si>
    <t xml:space="preserve">MARTHA ESTELA IBARRA BORRAYO
</t>
  </si>
  <si>
    <t>VI0002868991</t>
  </si>
  <si>
    <t xml:space="preserve">mibarraborrayo@gmail.com
</t>
  </si>
  <si>
    <t xml:space="preserve">GERARDO ALBERTO QUEZADA GARCIA
</t>
  </si>
  <si>
    <t>VI0002869958</t>
  </si>
  <si>
    <t xml:space="preserve">fiscontadores@gmail.com
</t>
  </si>
  <si>
    <t>VI0002871387</t>
  </si>
  <si>
    <t>MARIA RAQUEL CONTRERAS ALVAREZ</t>
  </si>
  <si>
    <t>VI0002875542</t>
  </si>
  <si>
    <t>TDD</t>
  </si>
  <si>
    <t xml:space="preserve">alvarezrake@gmail.com
</t>
  </si>
  <si>
    <t>DELIA CONTRERAS ALVAREZ</t>
  </si>
  <si>
    <t>VI0002879209</t>
  </si>
  <si>
    <t xml:space="preserve">deliacontrerasalvarez@gmail.com
</t>
  </si>
  <si>
    <t xml:space="preserve">JULIO CESAR LOPEZ GOMEZ
</t>
  </si>
  <si>
    <t>VI0002883180</t>
  </si>
  <si>
    <t>EDGAR ADAN FRANQUEZ FLORES</t>
  </si>
  <si>
    <t>VI0002883288</t>
  </si>
  <si>
    <t xml:space="preserve">efranquezflores@gmail.com
</t>
  </si>
  <si>
    <t>INDRA YATZIRI FRANQUEZ FLORES</t>
  </si>
  <si>
    <t>VI0002883856</t>
  </si>
  <si>
    <t xml:space="preserve">yatziri.franquez.flores@gmail.com
</t>
  </si>
  <si>
    <t>FRANCISCO JAVIER MENDOZA FARIAS</t>
  </si>
  <si>
    <t>VI0002885836</t>
  </si>
  <si>
    <t xml:space="preserve">frankmendoza90@outlook.com
</t>
  </si>
  <si>
    <t>ANGEL GONZALEZ MARTIN</t>
  </si>
  <si>
    <t xml:space="preserve">VI0002835520 </t>
  </si>
  <si>
    <t xml:space="preserve">gonzalezdosveces.salome@gmail.com
</t>
  </si>
  <si>
    <t>ROBERTO LEONEL BARAJAS BANDA</t>
  </si>
  <si>
    <t>VI0002888021</t>
  </si>
  <si>
    <t xml:space="preserve">betoleo99@gmail.com
</t>
  </si>
  <si>
    <t xml:space="preserve">LUIS HECTOR RIOS GARCIA </t>
  </si>
  <si>
    <t>VI0002889651</t>
  </si>
  <si>
    <t>luishriosgarcia@gmail.com</t>
  </si>
  <si>
    <t>MIGUEL ANGEL JAUREGUI VILLASEÑOR</t>
  </si>
  <si>
    <t>GM0000690516</t>
  </si>
  <si>
    <t>migueljauregui@outlook.es</t>
  </si>
  <si>
    <t>PEDRO IVAN NAVARRO GONZALEZ</t>
  </si>
  <si>
    <t>GM0000690659</t>
  </si>
  <si>
    <t>MX</t>
  </si>
  <si>
    <t>TDC</t>
  </si>
  <si>
    <t xml:space="preserve">dr.navarroalergo@gmail.com
</t>
  </si>
  <si>
    <t>GEMA ITZEL LANDEROS CARRILLO</t>
  </si>
  <si>
    <t>GM0000691919</t>
  </si>
  <si>
    <t xml:space="preserve">landeros.gc@gmail.com
</t>
  </si>
  <si>
    <t>VI0002893868</t>
  </si>
  <si>
    <t>GM0000693679</t>
  </si>
  <si>
    <t>GM0000694259</t>
  </si>
  <si>
    <t>ABRAHAM YAEL ALVAREZ OBRIEN</t>
  </si>
  <si>
    <t>VI0002892849</t>
  </si>
  <si>
    <t xml:space="preserve">abrahamob7@gmail.com
</t>
  </si>
  <si>
    <t>ANDREA ABIGAIL ALVAREZ OBRIEN</t>
  </si>
  <si>
    <t>VI0002894340</t>
  </si>
  <si>
    <t>Vida mujer</t>
  </si>
  <si>
    <t xml:space="preserve">aalvarezobrien@gmail.com
</t>
  </si>
  <si>
    <t>STEPHANIE MICHELLE GUERRA RODRIGUEZ</t>
  </si>
  <si>
    <t>GM0000697387</t>
  </si>
  <si>
    <t xml:space="preserve">stephanie_2651@hotmail.com
</t>
  </si>
  <si>
    <t>VI0002908138</t>
  </si>
  <si>
    <t xml:space="preserve">darinkasm7@gmail.com
</t>
  </si>
  <si>
    <t>MARCO CESAR PRECIADO ALVAREZ</t>
  </si>
  <si>
    <t>VI0002907604</t>
  </si>
  <si>
    <t xml:space="preserve">soymarcopreciado@gmail.com
</t>
  </si>
  <si>
    <t>MARIA SOLEDAD CONTRERAS ALVAREZ</t>
  </si>
  <si>
    <t>VI0002377266</t>
  </si>
  <si>
    <t xml:space="preserve">contreras.mary@gmail.com
</t>
  </si>
  <si>
    <t>VI0002912807</t>
  </si>
  <si>
    <t xml:space="preserve">pao.dlt.irigoyen@gmail.com
</t>
  </si>
  <si>
    <t>GM0000109592</t>
  </si>
  <si>
    <t>ADRIAN ALONSO CASTILLO GARCIA</t>
  </si>
  <si>
    <t>VI0002918199</t>
  </si>
  <si>
    <t xml:space="preserve">adrianacastiyo@hotmail.com
</t>
  </si>
  <si>
    <t xml:space="preserve">DIANA MONTSERRAT FLORES VERA
</t>
  </si>
  <si>
    <t>VI0002920158</t>
  </si>
  <si>
    <t>ALEJANDRO LOPEZ FLORES</t>
  </si>
  <si>
    <t>VI0002926711</t>
  </si>
  <si>
    <t>Nuevo planitud</t>
  </si>
  <si>
    <t xml:space="preserve">flores.lopez2099@gmail.com
</t>
  </si>
  <si>
    <t xml:space="preserve">LUIS ALBERTO LOZANO GONZALEZ
</t>
  </si>
  <si>
    <t xml:space="preserve">VI0002927385        </t>
  </si>
  <si>
    <t xml:space="preserve">BARBARAZOE07@GMAIL.COM
</t>
  </si>
  <si>
    <t xml:space="preserve">OMAR ALEJANDRO PALOMINO RUIZ
</t>
  </si>
  <si>
    <t xml:space="preserve">GM0000717235        </t>
  </si>
  <si>
    <t>omar.palomino1103@gmail.com</t>
  </si>
  <si>
    <t xml:space="preserve">DANIELA ALEJANDRA CALVA GARCIA
</t>
  </si>
  <si>
    <t xml:space="preserve">VI0002934393        </t>
  </si>
  <si>
    <t xml:space="preserve">FRANCISCO ISRAEL RAMOS RENTERIA </t>
  </si>
  <si>
    <t>GM0000717723</t>
  </si>
  <si>
    <t xml:space="preserve">BUFFALO.GDL.OFICIAL@GMAIL.COM
</t>
  </si>
  <si>
    <t>GUILLERMINA RENTERIA BRAMBILA</t>
  </si>
  <si>
    <t>GM0000718818</t>
  </si>
  <si>
    <t xml:space="preserve">buffalo.gdl.oficial@gmail.com
</t>
  </si>
  <si>
    <t>MARIA PAULINA MELGAREJO GUILLEN</t>
  </si>
  <si>
    <t xml:space="preserve">VI0002939754        </t>
  </si>
  <si>
    <t xml:space="preserve">melgarejopaulinaguillen96@gmail.com
</t>
  </si>
  <si>
    <t>NAYELI DEL CARMEN GONZALEZ GARCIA</t>
  </si>
  <si>
    <t>VI0002942898</t>
  </si>
  <si>
    <t xml:space="preserve">nayeliwis378116@gmail.com
</t>
  </si>
  <si>
    <t>GM00007222222</t>
  </si>
  <si>
    <t xml:space="preserve">fernandasolano59@gmail.com
</t>
  </si>
  <si>
    <t>PASCUAL JAUREGUI MATA</t>
  </si>
  <si>
    <t>GM0000725885</t>
  </si>
  <si>
    <t>pascual@grupomajavi.com</t>
  </si>
  <si>
    <t xml:space="preserve">ALEJANDRA UREÑA CASILLAS (JESSICA) </t>
  </si>
  <si>
    <t>GM0000726756</t>
  </si>
  <si>
    <t xml:space="preserve">ALEJANDRAURCA@HOTMAIL.COM
</t>
  </si>
  <si>
    <t>VI0002955982</t>
  </si>
  <si>
    <t>JULIO SANTIAGO AGUILERA ROMO</t>
  </si>
  <si>
    <t>VI0002871821</t>
  </si>
  <si>
    <t>santiagoagro@hotmail.com</t>
  </si>
  <si>
    <t>VI0002972477</t>
  </si>
  <si>
    <t>JUAN CARLOS CASILLAS GALINDO</t>
  </si>
  <si>
    <t>VI0002973654</t>
  </si>
  <si>
    <t>Objetivo Vida</t>
  </si>
  <si>
    <t>snow1char405@gmail.com</t>
  </si>
  <si>
    <t>FRANCISCO JAVIER PEREZ ANGUIANO</t>
  </si>
  <si>
    <t>VI0002983482</t>
  </si>
  <si>
    <t>PIMINMOBILIARIA5@GMAIL.COM</t>
  </si>
  <si>
    <t>ALEJANDRA NAYELI GUZMAN SORIA</t>
  </si>
  <si>
    <t>VI0002983787</t>
  </si>
  <si>
    <t>ale.guzmansoria@gmail.com</t>
  </si>
  <si>
    <t>GM0000748044</t>
  </si>
  <si>
    <t>VI00002985331</t>
  </si>
  <si>
    <t>VI0002985884</t>
  </si>
  <si>
    <t>ric.arechiga26@gmail.com</t>
  </si>
  <si>
    <t>VI0002987105</t>
  </si>
  <si>
    <t xml:space="preserve">JORGE FRANCISCO AREVALO CONTRERAS
</t>
  </si>
  <si>
    <t>VI0002988441</t>
  </si>
  <si>
    <t>VI0002988641</t>
  </si>
  <si>
    <t>LAURA GUADALUPE BECERRA GOMEZ</t>
  </si>
  <si>
    <t>VI0002989327</t>
  </si>
  <si>
    <t>theyogastudiobego@gmail.com</t>
  </si>
  <si>
    <t>Nombre Asegurado</t>
  </si>
  <si>
    <t>Parentesco</t>
  </si>
  <si>
    <t>Mes Cumpleaños</t>
  </si>
  <si>
    <t>15 dias antes</t>
  </si>
  <si>
    <t>Hoy</t>
  </si>
  <si>
    <t>Tabla de Status</t>
  </si>
  <si>
    <t>Tabla de Fuente</t>
  </si>
  <si>
    <t>Tabla de Referenciados</t>
  </si>
  <si>
    <t>Tabla de Grupo de Referidos</t>
  </si>
  <si>
    <t>Vencido</t>
  </si>
  <si>
    <t>Prospecto</t>
  </si>
  <si>
    <t>Fuente</t>
  </si>
  <si>
    <t>Siguiente Contacto</t>
  </si>
  <si>
    <t>Referenciado por</t>
  </si>
  <si>
    <t>TELEFONO</t>
  </si>
  <si>
    <t>STATUS</t>
  </si>
  <si>
    <t>Status</t>
  </si>
  <si>
    <t>Porcentaje</t>
  </si>
  <si>
    <t>Prospectos</t>
  </si>
  <si>
    <t>Columnas</t>
  </si>
  <si>
    <t>AMAURI</t>
  </si>
  <si>
    <t>Referido</t>
  </si>
  <si>
    <t>DR. BARRAGAN</t>
  </si>
  <si>
    <t xml:space="preserve">Cita cierre </t>
  </si>
  <si>
    <t>Cerrado</t>
  </si>
  <si>
    <t>Mercado cálido</t>
  </si>
  <si>
    <t>ANDREA DE LA TORRE</t>
  </si>
  <si>
    <t>Filas</t>
  </si>
  <si>
    <t>Valores</t>
  </si>
  <si>
    <t>DR. JIMENEZ</t>
  </si>
  <si>
    <t>Cita de cierre</t>
  </si>
  <si>
    <t>Redes sociales</t>
  </si>
  <si>
    <t>CARLA MARTINEZ</t>
  </si>
  <si>
    <t>DR.CARDE</t>
  </si>
  <si>
    <t>CITA INICIAL</t>
  </si>
  <si>
    <t>Cita inicial</t>
  </si>
  <si>
    <t>CLAUDIO MARTIN</t>
  </si>
  <si>
    <t>DR. ISLAS</t>
  </si>
  <si>
    <t>X</t>
  </si>
  <si>
    <t>LLAMAR</t>
  </si>
  <si>
    <t>Contactado</t>
  </si>
  <si>
    <t>Otro</t>
  </si>
  <si>
    <t>DIGNA</t>
  </si>
  <si>
    <t>DR. NAVA</t>
  </si>
  <si>
    <t>Total</t>
  </si>
  <si>
    <t>LUIS FERNANDO</t>
  </si>
  <si>
    <t>19 DE MAYO</t>
  </si>
  <si>
    <t>GERMAN URIBE</t>
  </si>
  <si>
    <t>FRANCISCO</t>
  </si>
  <si>
    <t>PLAN ORVI</t>
  </si>
  <si>
    <t>CERRADO</t>
  </si>
  <si>
    <t>JOYCE URIBE</t>
  </si>
  <si>
    <t>JOSE ANTONIO</t>
  </si>
  <si>
    <t>YA TIENE PLANES</t>
  </si>
  <si>
    <t>PRIMO</t>
  </si>
  <si>
    <t>MAELY SASSO</t>
  </si>
  <si>
    <t>25 DE ABRIL</t>
  </si>
  <si>
    <t>TANIA URIBE</t>
  </si>
  <si>
    <t>JUAN PABLO</t>
  </si>
  <si>
    <t>Suma total</t>
  </si>
  <si>
    <t>MIGUEL TABLON</t>
  </si>
  <si>
    <t>ADAN</t>
  </si>
  <si>
    <t>01 DE ABRIL 2025</t>
  </si>
  <si>
    <t>ALANIS</t>
  </si>
  <si>
    <t>2 DE ENERO 2025</t>
  </si>
  <si>
    <t>ALE MEZA</t>
  </si>
  <si>
    <t>12 DE FEBRERO 2025</t>
  </si>
  <si>
    <t>ALEX</t>
  </si>
  <si>
    <t>5 DE FEBRERO 2025</t>
  </si>
  <si>
    <t>ALEX GMM</t>
  </si>
  <si>
    <t>ALICIA</t>
  </si>
  <si>
    <t>ALINA</t>
  </si>
  <si>
    <t>14 DE ENERO 2025</t>
  </si>
  <si>
    <t>ANA</t>
  </si>
  <si>
    <t>ANGIE</t>
  </si>
  <si>
    <t>NO CONTESTA</t>
  </si>
  <si>
    <t>PREGUNTAR NOMBRE</t>
  </si>
  <si>
    <t>BETO ROMO</t>
  </si>
  <si>
    <t>33 1822 9636</t>
  </si>
  <si>
    <t>CESAR</t>
  </si>
  <si>
    <t>NO LE INTERESA</t>
  </si>
  <si>
    <t>33 1286 5078</t>
  </si>
  <si>
    <t>CHARLIE</t>
  </si>
  <si>
    <t>664 335 4558</t>
  </si>
  <si>
    <t>5 DE FEBERO 2025</t>
  </si>
  <si>
    <t xml:space="preserve">JOSE </t>
  </si>
  <si>
    <t>33 1431 7950</t>
  </si>
  <si>
    <t>CHAVA CHIVAS</t>
  </si>
  <si>
    <t>33 3839 8680</t>
  </si>
  <si>
    <t xml:space="preserve">01 DE ABRIL 2025 </t>
  </si>
  <si>
    <t>CRIS BRAMBILA</t>
  </si>
  <si>
    <t xml:space="preserve">YA TIENE PPR Y VARIOS PLANES </t>
  </si>
  <si>
    <t>33 3167 5044</t>
  </si>
  <si>
    <t>DAVID ALEX</t>
  </si>
  <si>
    <t>33 1573 9184</t>
  </si>
  <si>
    <t>DENTISTA VERO</t>
  </si>
  <si>
    <t>x</t>
  </si>
  <si>
    <t>33 3508 6396</t>
  </si>
  <si>
    <t>DIANA</t>
  </si>
  <si>
    <t>33 1822 5060</t>
  </si>
  <si>
    <t>DIANA OCAMPO</t>
  </si>
  <si>
    <t xml:space="preserve">JUSTO CONTRATO GMM </t>
  </si>
  <si>
    <t>33 1255 7032</t>
  </si>
  <si>
    <t>DIEGO CIRQUE</t>
  </si>
  <si>
    <t>33 1976 5481</t>
  </si>
  <si>
    <t>02 DE ABRIL 2025</t>
  </si>
  <si>
    <t>EDGAR ALTEA</t>
  </si>
  <si>
    <t>33 1893 0520</t>
  </si>
  <si>
    <t>ERIKA RAMIREZ</t>
  </si>
  <si>
    <t>SU HERMANA ES ASESORA</t>
  </si>
  <si>
    <t>33 1584 4629</t>
  </si>
  <si>
    <t>FABI ALE</t>
  </si>
  <si>
    <t>33 1246 6051</t>
  </si>
  <si>
    <t>10 DE ABRIL 2025</t>
  </si>
  <si>
    <t>FABIAN SERRANO</t>
  </si>
  <si>
    <t xml:space="preserve">BUZON DIRECTO </t>
  </si>
  <si>
    <t>33 3808 7996</t>
  </si>
  <si>
    <t>FREDDY</t>
  </si>
  <si>
    <t>55 6319 8804</t>
  </si>
  <si>
    <t>GABY TAQUILLAS</t>
  </si>
  <si>
    <t>ORVI 99 10 PAGOS</t>
  </si>
  <si>
    <t>33 2241 2519</t>
  </si>
  <si>
    <t xml:space="preserve">PLAN </t>
  </si>
  <si>
    <t>GIOVANNA</t>
  </si>
  <si>
    <t>33 1299 3400</t>
  </si>
  <si>
    <t>GUS</t>
  </si>
  <si>
    <t>33 1832 0558</t>
  </si>
  <si>
    <t>HAYDEE</t>
  </si>
  <si>
    <t xml:space="preserve">PENDIENTE </t>
  </si>
  <si>
    <t>33 1303 4729</t>
  </si>
  <si>
    <t>14 DE ABRIL 2025</t>
  </si>
  <si>
    <t>HILDA REDUERZO</t>
  </si>
  <si>
    <t>YA TIENE PLANES EN MONTERREY</t>
  </si>
  <si>
    <t>33 1614 5992</t>
  </si>
  <si>
    <t xml:space="preserve">JESSY </t>
  </si>
  <si>
    <t>33 1331 8055</t>
  </si>
  <si>
    <t>JOAB LIGHTSHOW</t>
  </si>
  <si>
    <t>VOLVER A LLAMAR</t>
  </si>
  <si>
    <t>662 104 4575</t>
  </si>
  <si>
    <t>JOE</t>
  </si>
  <si>
    <t>NO INTERESADO</t>
  </si>
  <si>
    <t>33 2215 2348</t>
  </si>
  <si>
    <t>JULIO CASTILLO</t>
  </si>
  <si>
    <t>33 1062 1614</t>
  </si>
  <si>
    <t>KAROL PEREZ</t>
  </si>
  <si>
    <t>33 1445 5799</t>
  </si>
  <si>
    <t>KAROL VARGAS</t>
  </si>
  <si>
    <t>KEISSY RUIZ</t>
  </si>
  <si>
    <t>33 3749 2139</t>
  </si>
  <si>
    <t>16 DE ABRIL 2025</t>
  </si>
  <si>
    <t>KEVIN CONEJO</t>
  </si>
  <si>
    <t>BUSCAR EN AGOSTO 2025</t>
  </si>
  <si>
    <t>33 1449 7109</t>
  </si>
  <si>
    <t>02 DE MAYO 2025</t>
  </si>
  <si>
    <t>KRIS</t>
  </si>
  <si>
    <t>YA TIENE ASESOR</t>
  </si>
  <si>
    <t>33 3390 0438</t>
  </si>
  <si>
    <t>LAU LOZANO</t>
  </si>
  <si>
    <t>REFERIDOS NADA MAS</t>
  </si>
  <si>
    <t>33 1219 6168</t>
  </si>
  <si>
    <t>LUISA RAMOS</t>
  </si>
  <si>
    <t>33 1534 3108</t>
  </si>
  <si>
    <t>06 DE MAYO 2025</t>
  </si>
  <si>
    <t>LUISA ROMO</t>
  </si>
  <si>
    <t>33 1670 5429</t>
  </si>
  <si>
    <t>LUPITA GOMEZ</t>
  </si>
  <si>
    <t>YA TIENE METFLIFE</t>
  </si>
  <si>
    <t>33 1356 3320</t>
  </si>
  <si>
    <t>MAFER DE LA TORRE</t>
  </si>
  <si>
    <t>33 1804 3849</t>
  </si>
  <si>
    <t>12 DE MAYO 2025</t>
  </si>
  <si>
    <t>MAFER MORA</t>
  </si>
  <si>
    <t>MAMA ASESORA X</t>
  </si>
  <si>
    <t>33 1488 3859</t>
  </si>
  <si>
    <t>MAFER VEGA</t>
  </si>
  <si>
    <t xml:space="preserve">YA TIENE ASESOR </t>
  </si>
  <si>
    <t>33 1691 5204</t>
  </si>
  <si>
    <t>13 DE NOVIEMBRE  24</t>
  </si>
  <si>
    <t>MARIANA</t>
  </si>
  <si>
    <t>33 1518 9312</t>
  </si>
  <si>
    <t>MARIANA CUEME</t>
  </si>
  <si>
    <t>33 3661 2991</t>
  </si>
  <si>
    <t>MARLEN</t>
  </si>
  <si>
    <t xml:space="preserve">NUMERO MAL </t>
  </si>
  <si>
    <t>33 1603 3610</t>
  </si>
  <si>
    <t>MARU GLOBAL</t>
  </si>
  <si>
    <t>33 1147 4866</t>
  </si>
  <si>
    <t>01 DE JULIO 2025</t>
  </si>
  <si>
    <t>MIGUEL CHIVAS</t>
  </si>
  <si>
    <t>33 3183 8279</t>
  </si>
  <si>
    <t>NANCY</t>
  </si>
  <si>
    <t>WHAT O ELIMINAR NUM</t>
  </si>
  <si>
    <t>33 1322 5207</t>
  </si>
  <si>
    <t>NORMA GPE</t>
  </si>
  <si>
    <t>33 1699 4491</t>
  </si>
  <si>
    <t>ORLANDO CAMARA</t>
  </si>
  <si>
    <t>33 1173 8295</t>
  </si>
  <si>
    <t>OSCAR</t>
  </si>
  <si>
    <t>33 1266 9906</t>
  </si>
  <si>
    <t>PAMM PIROTECNIA</t>
  </si>
  <si>
    <t>33 1395 7112</t>
  </si>
  <si>
    <t>PAU GALLARDO</t>
  </si>
  <si>
    <t>33 1342 8928</t>
  </si>
  <si>
    <t>PELAYO</t>
  </si>
  <si>
    <t>YA TIENE PLANES Y PPR X</t>
  </si>
  <si>
    <t>33 1529 2173</t>
  </si>
  <si>
    <t>PSICOLOGA IRMA</t>
  </si>
  <si>
    <t>YA TIENE PLANES X</t>
  </si>
  <si>
    <t>33 3270 0366</t>
  </si>
  <si>
    <t>ROGELIO PULIDO</t>
  </si>
  <si>
    <t>33 2796 9380</t>
  </si>
  <si>
    <t>SUSANA LIGHTSHOW</t>
  </si>
  <si>
    <t>33 1537 2565</t>
  </si>
  <si>
    <t>WALLY PASSIO</t>
  </si>
  <si>
    <t>33 3661 2202</t>
  </si>
  <si>
    <t>28 DE MAYO 2025</t>
  </si>
  <si>
    <t>YAMI</t>
  </si>
  <si>
    <t>PRIMA ASESORA</t>
  </si>
  <si>
    <t>33 1333 4142</t>
  </si>
  <si>
    <t>YANELI</t>
  </si>
  <si>
    <t>341 419 3251</t>
  </si>
  <si>
    <t>ZUPY ZUCAMP</t>
  </si>
  <si>
    <t>33 3569 3413</t>
  </si>
  <si>
    <t>EVER</t>
  </si>
  <si>
    <t>13 DE MAYO 2025</t>
  </si>
  <si>
    <t>ALEJANDRA ESQUIVEL</t>
  </si>
  <si>
    <t>ES ASESORA DE SEGUROS</t>
  </si>
  <si>
    <t>02 DE JUNIO 2025</t>
  </si>
  <si>
    <t>ALEJANDRA GIL</t>
  </si>
  <si>
    <t>SEBASTIAN ALEGRIA</t>
  </si>
  <si>
    <t>03 DE JUNIO 2025</t>
  </si>
  <si>
    <t>HOLBEING ALFARO GALINDEZ</t>
  </si>
  <si>
    <t>ALMA</t>
  </si>
  <si>
    <t>04 DE JUNIO 2025</t>
  </si>
  <si>
    <t>CRISTIAN ALVAREZ</t>
  </si>
  <si>
    <t>AMPARO</t>
  </si>
  <si>
    <t>MONICA ANDRES</t>
  </si>
  <si>
    <t>CESAR VILLEGAS</t>
  </si>
  <si>
    <t>JAIME</t>
  </si>
  <si>
    <t xml:space="preserve">YA TIENE PLANES </t>
  </si>
  <si>
    <t>ADRIANA</t>
  </si>
  <si>
    <t>ALFARO</t>
  </si>
  <si>
    <t>BUZON  Y NO ENTRA WHATS</t>
  </si>
  <si>
    <t>10 DE JUNIO 2025</t>
  </si>
  <si>
    <t>JULIO CAMPOS</t>
  </si>
  <si>
    <t>CARLOS MOLINA</t>
  </si>
  <si>
    <t>SERGIO CARRIEDO</t>
  </si>
  <si>
    <t>NUMERO DIRECTO BUZON</t>
  </si>
  <si>
    <t>CHECO CANALES</t>
  </si>
  <si>
    <t>YA TIENE UN PLAN CON JOS</t>
  </si>
  <si>
    <t>CHRISTIAN GUZMAN</t>
  </si>
  <si>
    <t>CHRISTIAN RODRIGUEZ</t>
  </si>
  <si>
    <t>CITLALI CAMACHO</t>
  </si>
  <si>
    <t>NO ES EL NUMERO YA</t>
  </si>
  <si>
    <t>SAMARA CRUZ</t>
  </si>
  <si>
    <t>DAVID</t>
  </si>
  <si>
    <t>DAVINIA CERVANTES</t>
  </si>
  <si>
    <t>LUIS DE LA PUENTE</t>
  </si>
  <si>
    <t>28 DE JULIO 2025</t>
  </si>
  <si>
    <t>EDGAR TARABAY</t>
  </si>
  <si>
    <t>ELEAZAR GUZMAN</t>
  </si>
  <si>
    <t>NO ESTA DISPONIBLE</t>
  </si>
  <si>
    <t>MIGUEL ANGEL FABELA</t>
  </si>
  <si>
    <t>EDUARDO GONZALEZ</t>
  </si>
  <si>
    <t>9999055449 / 4431091895</t>
  </si>
  <si>
    <t>HUMBERTO GORDILLO</t>
  </si>
  <si>
    <t>ULTIMO MSJ</t>
  </si>
  <si>
    <t>ALEJANDRO CORTES</t>
  </si>
  <si>
    <t>ARTURO CHAVEZ ZAMORA</t>
  </si>
  <si>
    <t>CARLA PALOU</t>
  </si>
  <si>
    <t>YA TIENE PLANES PERO GUARDAR</t>
  </si>
  <si>
    <t>CARLOS JUAREZ</t>
  </si>
  <si>
    <t>DAVID LEON</t>
  </si>
  <si>
    <t>YA TIENE TODO</t>
  </si>
  <si>
    <t>EDGAR TARSICIO</t>
  </si>
  <si>
    <t>EDITH GONZALEZ</t>
  </si>
  <si>
    <t>YA TIENE TODO EN GNP</t>
  </si>
  <si>
    <t>FERNANDO PONCE DE LEON</t>
  </si>
  <si>
    <t>GEORGINA VALDEZ</t>
  </si>
  <si>
    <t>GUILLERMO BARBA</t>
  </si>
  <si>
    <t>GUILLERMO ZAVALA</t>
  </si>
  <si>
    <t>IVAN CASTRO</t>
  </si>
  <si>
    <t>IVAN VERDIN</t>
  </si>
  <si>
    <t>JAIME CALDERON</t>
  </si>
  <si>
    <t>JORGE VAZQUEZ</t>
  </si>
  <si>
    <t>JOSE QUINTERO</t>
  </si>
  <si>
    <t>JOSE PADILLA</t>
  </si>
  <si>
    <t>JOSUE ESCUTIA</t>
  </si>
  <si>
    <t>JUAN PABLO TOLEDO</t>
  </si>
  <si>
    <t>JUAN TINAJERO</t>
  </si>
  <si>
    <t>LENIN</t>
  </si>
  <si>
    <t>LEONARDO GARCIA</t>
  </si>
  <si>
    <t>LUIS CERVANTES</t>
  </si>
  <si>
    <t>MARTHA GUERRERO</t>
  </si>
  <si>
    <t>MAURICIO LARA</t>
  </si>
  <si>
    <t>ROMAN ACOSTA</t>
  </si>
  <si>
    <t>SILVIA HERRERA</t>
  </si>
  <si>
    <t>TAMARA MUÑOZ</t>
  </si>
  <si>
    <t>TITO BERNE</t>
  </si>
  <si>
    <t>ULISES CERVERA</t>
  </si>
  <si>
    <t>VICENTE ROJAS</t>
  </si>
  <si>
    <t>VICTOR MANUEL GLEZ</t>
  </si>
  <si>
    <t>JOSE MOLINA</t>
  </si>
  <si>
    <t>JOSE RAMON VALENCIA</t>
  </si>
  <si>
    <t>RODOLFO MEDINA</t>
  </si>
  <si>
    <t>PATTY LLADO</t>
  </si>
  <si>
    <t>EDUARDO QUINTANA</t>
  </si>
  <si>
    <t>OSCAR HUGO GONZALEZ</t>
  </si>
  <si>
    <t>04 DE AGOSTO 2025</t>
  </si>
  <si>
    <t>RAUL ANGELES</t>
  </si>
  <si>
    <t>SAUL QUEVEDO</t>
  </si>
  <si>
    <t>YA TIENE PLAN EN SEGUROS</t>
  </si>
  <si>
    <t>16 DE JULIO 24</t>
  </si>
  <si>
    <t>ALEJANDRO GASPAR</t>
  </si>
  <si>
    <t>GABRIELA FRIAS</t>
  </si>
  <si>
    <t>JOSE RAMON BECERA ZENDEJAS</t>
  </si>
  <si>
    <t>ADRIANA ZERMEÑO ZAMORA</t>
  </si>
  <si>
    <t>17 DE JULIO 24</t>
  </si>
  <si>
    <t>ALEJANDRA CHAVEZ</t>
  </si>
  <si>
    <t>ALEJANDRO ALFARO</t>
  </si>
  <si>
    <t>BUZON DIRECTO</t>
  </si>
  <si>
    <t>ALMA DELIA VELAZQUEZ ALVAREZ</t>
  </si>
  <si>
    <t>ANA CRISTINA MERCADO FERNANDEZ</t>
  </si>
  <si>
    <t>BETATRIZ CAMSCHO CUELLAR</t>
  </si>
  <si>
    <t>BRUNA LUCIANO</t>
  </si>
  <si>
    <t>NUMERO CAMBIADO X</t>
  </si>
  <si>
    <t>CAROLINA JARAMILLO</t>
  </si>
  <si>
    <t xml:space="preserve">28 DE JULIO 2025 </t>
  </si>
  <si>
    <t>CECILIA TRUJILLO</t>
  </si>
  <si>
    <t>CESAR BECERRA ZENDEJAS</t>
  </si>
  <si>
    <t>DAVID ZAMORA BAÑUELOS</t>
  </si>
  <si>
    <t>DIANA MONCAYO</t>
  </si>
  <si>
    <t>YA TIENE EN MONTERREY</t>
  </si>
  <si>
    <t>ELISA RUVALCABA</t>
  </si>
  <si>
    <t xml:space="preserve">NO INTERESADA </t>
  </si>
  <si>
    <t>05 DE AGOSTO 205</t>
  </si>
  <si>
    <t>EVA REBECA ALVAREZ BARAJAS</t>
  </si>
  <si>
    <t>MARIA FERNANDA ALCARAZ MARTIN DEL CAMPO</t>
  </si>
  <si>
    <t>29 DE SEPTIEMBRE 25</t>
  </si>
  <si>
    <t>GERARDO ZAMORA SANTOS</t>
  </si>
  <si>
    <t xml:space="preserve">MSJ NUEVO </t>
  </si>
  <si>
    <t>ENRIQUE ALEJANDRO ZAMORA SANTOS</t>
  </si>
  <si>
    <t>FERANDO ZAMORA SANTOS</t>
  </si>
  <si>
    <t xml:space="preserve">VOLVER A LLAMAR </t>
  </si>
  <si>
    <t>GEORGINA BÑUELOS SALAZAR</t>
  </si>
  <si>
    <t>GLORIA GARCIA</t>
  </si>
  <si>
    <t>YA TIENE TODO EN MONTERREY</t>
  </si>
  <si>
    <t>JULIO CESAR ARIAS</t>
  </si>
  <si>
    <t>TODO EN GNP NO INTERESADO</t>
  </si>
  <si>
    <t>05 DE AGOSTO 2025</t>
  </si>
  <si>
    <t>KATYA SARDO LAUREAN</t>
  </si>
  <si>
    <t>LUIS MAYORGA</t>
  </si>
  <si>
    <t>GUADALUPE FORONDA</t>
  </si>
  <si>
    <t>MARIA JOSE SANDER</t>
  </si>
  <si>
    <t>NO DISPONIBLE</t>
  </si>
  <si>
    <t>MARIANA ALCAZAR</t>
  </si>
  <si>
    <t>MARIA ORNELAS OROZCO</t>
  </si>
  <si>
    <t>02 DE OCTUBRE 25</t>
  </si>
  <si>
    <t>MARIO DANIEL VELAZQUEZ</t>
  </si>
  <si>
    <t>MAYELA GAMIÑO TOVAR</t>
  </si>
  <si>
    <t>OSCAR ALEJANDRO ZERMENO ZAMORA</t>
  </si>
  <si>
    <t>02 DE OCTUBRE 2025</t>
  </si>
  <si>
    <t>CLUADIA LORENA ZERMEÑO ZAMORA</t>
  </si>
  <si>
    <t>OSWALDO MUNGUIA</t>
  </si>
  <si>
    <t>PAULINA AGUIRRE</t>
  </si>
  <si>
    <t>ROBERTO MEDIANA POLANCO</t>
  </si>
  <si>
    <t>YA ES NO ES ESE NUM</t>
  </si>
  <si>
    <t>RODOLFO MARIN MASITERRA</t>
  </si>
  <si>
    <t>SU FAMILIA SE DEDICA SEGUROS</t>
  </si>
  <si>
    <t>14. DE OCTUBRE 2025</t>
  </si>
  <si>
    <t>ROMINA VAZQUEZ SU</t>
  </si>
  <si>
    <t>14 DE OCTUBRE 2025</t>
  </si>
  <si>
    <t>RODRIGO ULLOA</t>
  </si>
  <si>
    <t>ANA SOFIA FLORES MACIAS</t>
  </si>
  <si>
    <t>02 DE DICIEMBRE 25</t>
  </si>
  <si>
    <t>SOFIA LEÑERO</t>
  </si>
  <si>
    <t>12 DE NOVIEMBRE 25</t>
  </si>
  <si>
    <t>URIEL NUÑO</t>
  </si>
  <si>
    <t>WAZTTY RODRIGUEZ</t>
  </si>
  <si>
    <t>NUMERO NO EXISTE</t>
  </si>
  <si>
    <t>MICHEL UNICORNIO</t>
  </si>
  <si>
    <t>LLAMAR A LAS 6PM</t>
  </si>
  <si>
    <t>11 DE NOVIEMBRE 24</t>
  </si>
  <si>
    <t>PAOLA DE LA TORE</t>
  </si>
  <si>
    <t>PLAN ORVI 10</t>
  </si>
  <si>
    <t>PLAN</t>
  </si>
  <si>
    <t xml:space="preserve">HILDA </t>
  </si>
  <si>
    <t>PAWIS</t>
  </si>
  <si>
    <t>DALIA</t>
  </si>
  <si>
    <t>RAMON CUQUE</t>
  </si>
  <si>
    <t>DANIEL ARELLANO</t>
  </si>
  <si>
    <t>14 DE OCTUBRE 24</t>
  </si>
  <si>
    <t>ALDO DE LA TORRE</t>
  </si>
  <si>
    <t>ALFONSO VERDIN</t>
  </si>
  <si>
    <t>ELI PADILLA</t>
  </si>
  <si>
    <t>JOSE LUIS</t>
  </si>
  <si>
    <t>LUIS COVARRUBIAS</t>
  </si>
  <si>
    <t>NERY</t>
  </si>
  <si>
    <t>GENARO</t>
  </si>
  <si>
    <t>EDGAR SANCHEZ</t>
  </si>
  <si>
    <t>CLIENTE</t>
  </si>
  <si>
    <t>ALEJANDRA</t>
  </si>
  <si>
    <t>28 DE OCTUBRE 2025</t>
  </si>
  <si>
    <t>IMELDA</t>
  </si>
  <si>
    <t>MARY TIA EDGAR</t>
  </si>
  <si>
    <t>ALDO GONZALEZ</t>
  </si>
  <si>
    <t>ROMINA</t>
  </si>
  <si>
    <t>TONY OROZCO</t>
  </si>
  <si>
    <t>TERE OROZCO</t>
  </si>
  <si>
    <t>21 DE OCTUBRE 24</t>
  </si>
  <si>
    <t>FERNI OROZCO</t>
  </si>
  <si>
    <t>GABY HERMANA</t>
  </si>
  <si>
    <t>MONSE SERNA</t>
  </si>
  <si>
    <t>CARLOS SEDA</t>
  </si>
  <si>
    <t>JOSUA</t>
  </si>
  <si>
    <t>MAL EL NUMERO</t>
  </si>
  <si>
    <t>EDUARDO ESQUERRO</t>
  </si>
  <si>
    <t>11 DE NOVIEMBRE</t>
  </si>
  <si>
    <t xml:space="preserve">SELENE </t>
  </si>
  <si>
    <t>LUPITA GONZALEZ</t>
  </si>
  <si>
    <t>NESTOR</t>
  </si>
  <si>
    <t>TANIA</t>
  </si>
  <si>
    <t>KARLA</t>
  </si>
  <si>
    <t>ANDREA SALDAÑA</t>
  </si>
  <si>
    <t>CLIENTA ORVI 20</t>
  </si>
  <si>
    <t>NO LLAMAR</t>
  </si>
  <si>
    <t>EVELIA</t>
  </si>
  <si>
    <t>ESTEFI</t>
  </si>
  <si>
    <t>CRISTINA RODRIGUEZ</t>
  </si>
  <si>
    <t xml:space="preserve">GRECIA </t>
  </si>
  <si>
    <t xml:space="preserve">NO ESTA INTERESADA </t>
  </si>
  <si>
    <t>CAROLINA</t>
  </si>
  <si>
    <t>ADRIAN</t>
  </si>
  <si>
    <t>BRENDA TORRES</t>
  </si>
  <si>
    <t>GABY MAGAÑA</t>
  </si>
  <si>
    <t>EDGAR MAGAÑA</t>
  </si>
  <si>
    <t>DANIELA HERMANA</t>
  </si>
  <si>
    <t>PRIS ESPOSA EDGAR</t>
  </si>
  <si>
    <t>YARELI CUÑADA</t>
  </si>
  <si>
    <t>JESY AMIGA</t>
  </si>
  <si>
    <t>ACABA DE CONTRATAR SGUROS</t>
  </si>
  <si>
    <t>MID ARMANDO</t>
  </si>
  <si>
    <t>FER VALVERDE</t>
  </si>
  <si>
    <t>MID CRIS</t>
  </si>
  <si>
    <t>MID FER SOLANO</t>
  </si>
  <si>
    <t>CLIENTA IMAGINA SER 65</t>
  </si>
  <si>
    <t>MID JACKY</t>
  </si>
  <si>
    <t xml:space="preserve">NO LE INTERESA </t>
  </si>
  <si>
    <t>MID CAMI</t>
  </si>
  <si>
    <t>MID SONIA</t>
  </si>
  <si>
    <t>MID VALE</t>
  </si>
  <si>
    <t>ALE AGUILAR</t>
  </si>
  <si>
    <t xml:space="preserve">NO LE INTERES X EL MOMENTO </t>
  </si>
  <si>
    <t>SALMA</t>
  </si>
  <si>
    <t>AARON</t>
  </si>
  <si>
    <t xml:space="preserve">22 DE OCTUBRE 24 </t>
  </si>
  <si>
    <t>BERE</t>
  </si>
  <si>
    <t>29 DE OCTUBRE 2025</t>
  </si>
  <si>
    <t>ALBERTO ESPARZA</t>
  </si>
  <si>
    <t>NUMERO CAMBIADO</t>
  </si>
  <si>
    <t>YA TIENE PLANES CON MAPFRE</t>
  </si>
  <si>
    <t>VICTOR OCHOA</t>
  </si>
  <si>
    <t>26 DE ENERO 2026</t>
  </si>
  <si>
    <t>CONSUELO</t>
  </si>
  <si>
    <t>15 DE DICIEMBRE 25</t>
  </si>
  <si>
    <t>EZLY</t>
  </si>
  <si>
    <t>06 DE ENERO 2026</t>
  </si>
  <si>
    <t>TANIA COLLADO</t>
  </si>
  <si>
    <t>ARTURO DIAZ</t>
  </si>
  <si>
    <t>ERIKA TIZNADO</t>
  </si>
  <si>
    <t>KAREN</t>
  </si>
  <si>
    <t xml:space="preserve">YA TIENE PLANES PRIMA DANI </t>
  </si>
  <si>
    <t>NALLE</t>
  </si>
  <si>
    <t>VANESSA</t>
  </si>
  <si>
    <t xml:space="preserve">EN ESPERA DE RESPUESTA </t>
  </si>
  <si>
    <t>10 DE MARZO 2026</t>
  </si>
  <si>
    <t>MARLENE</t>
  </si>
  <si>
    <t xml:space="preserve">SOFIA </t>
  </si>
  <si>
    <t>06 DE ENERO DEL 2026</t>
  </si>
  <si>
    <t>RAQUEL</t>
  </si>
  <si>
    <t>MARLENNE</t>
  </si>
  <si>
    <t>11 DE MARZO 2026</t>
  </si>
  <si>
    <t>MARY GALLO</t>
  </si>
  <si>
    <t xml:space="preserve">YESSI </t>
  </si>
  <si>
    <t>MARA</t>
  </si>
  <si>
    <t>CHIQUIS</t>
  </si>
  <si>
    <t>ALEJANDRA UREÑA</t>
  </si>
  <si>
    <t>03 DE ABRIL</t>
  </si>
  <si>
    <t>CRIS CUEVAS LAMINADO</t>
  </si>
  <si>
    <t xml:space="preserve">03 DE ABRIL </t>
  </si>
  <si>
    <t>DANIELA ESPOSA</t>
  </si>
  <si>
    <t>MARIO</t>
  </si>
  <si>
    <t>JAVIER CASTAÑEDA</t>
  </si>
  <si>
    <t>BRANDON DIAZ</t>
  </si>
  <si>
    <t>MARIANA HERMANA</t>
  </si>
  <si>
    <t>JOSE LUIS NUÑEZ</t>
  </si>
  <si>
    <t>04 DE ABRIL</t>
  </si>
  <si>
    <t>ADRIAN ANGULO</t>
  </si>
  <si>
    <t>KEVIN SALCEDO</t>
  </si>
  <si>
    <t xml:space="preserve">MAURICIO </t>
  </si>
  <si>
    <t xml:space="preserve">GERARDO </t>
  </si>
  <si>
    <t>ABRAM</t>
  </si>
  <si>
    <t>ALONSO C</t>
  </si>
  <si>
    <t>GEOVANNY MADA</t>
  </si>
  <si>
    <t>15 DE ENERO 24</t>
  </si>
  <si>
    <t>ELIZABETH</t>
  </si>
  <si>
    <t>MARIO VECINO</t>
  </si>
  <si>
    <t>PAOLA OXIGENO</t>
  </si>
  <si>
    <t>EMANUEL</t>
  </si>
  <si>
    <t>IRVING</t>
  </si>
  <si>
    <t>YAHIR AVILA</t>
  </si>
  <si>
    <t>ROBERTO</t>
  </si>
  <si>
    <t>ALAIN</t>
  </si>
  <si>
    <t>ANTONIO</t>
  </si>
  <si>
    <t>REFERIDO</t>
  </si>
  <si>
    <t>FABY DELGADO</t>
  </si>
  <si>
    <t>18 DE DICIMEBRE 24</t>
  </si>
  <si>
    <t>ALE CHUCKY</t>
  </si>
  <si>
    <t xml:space="preserve">PLAN VIDA MUJER </t>
  </si>
  <si>
    <t>GABRIELA GARIBAY</t>
  </si>
  <si>
    <t>ALEX RDG</t>
  </si>
  <si>
    <t>GABRIELA</t>
  </si>
  <si>
    <t>BERE OROZCO</t>
  </si>
  <si>
    <t>31 DE MARZO</t>
  </si>
  <si>
    <t>CARLOS VFG</t>
  </si>
  <si>
    <t>15 DE ABRIL 2026</t>
  </si>
  <si>
    <t>CARLOS FITNESS</t>
  </si>
  <si>
    <t>30 DE MARZO 2026</t>
  </si>
  <si>
    <t>DANI SISTEMAS</t>
  </si>
  <si>
    <t>YA TIENE PLANES CUEK</t>
  </si>
  <si>
    <t>06 DE ABRIL 2026</t>
  </si>
  <si>
    <t>DANIEL MORGA</t>
  </si>
  <si>
    <t>12 DE MAYO 2026</t>
  </si>
  <si>
    <t>DANY LULU</t>
  </si>
  <si>
    <t>DENISSE DF</t>
  </si>
  <si>
    <t>18 DE MAYO 2026</t>
  </si>
  <si>
    <t>DULCE CUCEA</t>
  </si>
  <si>
    <t>EDGAR MERCH</t>
  </si>
  <si>
    <t>EDSON BAHENA</t>
  </si>
  <si>
    <t>ELY MTZ</t>
  </si>
  <si>
    <t>ERIKA SEÑALIZACIÓN</t>
  </si>
  <si>
    <t>ERNESTO LOPEZ</t>
  </si>
  <si>
    <t>NEW</t>
  </si>
  <si>
    <t xml:space="preserve">FABY ALE </t>
  </si>
  <si>
    <t>FER AKRON</t>
  </si>
  <si>
    <t>FER DF</t>
  </si>
  <si>
    <t>FROZEN ELSA</t>
  </si>
  <si>
    <t>GABY LIMPIEZA</t>
  </si>
  <si>
    <t xml:space="preserve">GABY NEGRA </t>
  </si>
  <si>
    <t>GALN</t>
  </si>
  <si>
    <t>GIANCARLOSSANTOS PARAMEDICO</t>
  </si>
  <si>
    <t>GONZALO</t>
  </si>
  <si>
    <t>GUADALUPE BIMBO RUBIO</t>
  </si>
  <si>
    <t>GUMMMY</t>
  </si>
  <si>
    <t>GUTENTAG</t>
  </si>
  <si>
    <t>VIOLE</t>
  </si>
  <si>
    <t>ARIADNA</t>
  </si>
  <si>
    <t>ADAN GARIBAY</t>
  </si>
  <si>
    <t>ALE JOSHUA</t>
  </si>
  <si>
    <t>ALE VFG</t>
  </si>
  <si>
    <t>ALELI</t>
  </si>
  <si>
    <t>AMARANTA</t>
  </si>
  <si>
    <t>ANGELA OSCAR</t>
  </si>
  <si>
    <t xml:space="preserve">BRENDIUX CEL </t>
  </si>
  <si>
    <t>CARMEN ROGELIO</t>
  </si>
  <si>
    <t>CYNTHIA ESGAR</t>
  </si>
  <si>
    <t>DOLORES</t>
  </si>
  <si>
    <t>OMAR BARAJAS</t>
  </si>
  <si>
    <t>YA TIENE EN ALLIANZ</t>
  </si>
  <si>
    <t>JUAN PABLO RIVERA</t>
  </si>
  <si>
    <t>15 DE ENERO 2026</t>
  </si>
  <si>
    <t xml:space="preserve">CARLOS </t>
  </si>
  <si>
    <t>YA TIENE EN SEGUROS  DE MAS</t>
  </si>
  <si>
    <t>EDUARDO RIVERA</t>
  </si>
  <si>
    <t>ANGELICA SUEGRA</t>
  </si>
  <si>
    <t xml:space="preserve">RAG MARIS </t>
  </si>
  <si>
    <t>Análisis de Información Histórico</t>
  </si>
  <si>
    <t>Tabla de Número de pólizas por Año</t>
  </si>
  <si>
    <t>Promedio de Prima anual</t>
  </si>
  <si>
    <t>Tabla de Número de pólizas por año</t>
  </si>
  <si>
    <t>Hombre vs Mujer</t>
  </si>
  <si>
    <t>Promedio de Prima anual Hombre vs Mujer</t>
  </si>
  <si>
    <t>Tabla de Número de pólizas por año Hombre vs Mujer</t>
  </si>
  <si>
    <t>Bloque de edades</t>
  </si>
  <si>
    <t>Promedio de Prima anual por edades</t>
  </si>
  <si>
    <t>Tabla de Número de pólizas por año por edades</t>
  </si>
  <si>
    <t>Promedio de Prima anual Vida</t>
  </si>
  <si>
    <t>Tabla de Número de pólizas de Vida por año</t>
  </si>
  <si>
    <t>Promedio de Prima anual Gastos Médicos</t>
  </si>
  <si>
    <t>Tabla de Número de pólizas de Gastos Médicos por año</t>
  </si>
  <si>
    <t>Tabla de Modo de cobro</t>
  </si>
  <si>
    <t>Tabla de Tipo de moneda</t>
  </si>
  <si>
    <t xml:space="preserve">Tabla de Forma de pago </t>
  </si>
  <si>
    <t xml:space="preserve"> Prima anual</t>
  </si>
  <si>
    <t># de pólizas</t>
  </si>
  <si>
    <t>Edad</t>
  </si>
  <si>
    <t>Cantidad</t>
  </si>
  <si>
    <t>-20 años</t>
  </si>
  <si>
    <t>20-39 años</t>
  </si>
  <si>
    <t>40-50 años</t>
  </si>
  <si>
    <t>51-60 años</t>
  </si>
  <si>
    <t>61+ años</t>
  </si>
  <si>
    <t>Número de polizas</t>
  </si>
  <si>
    <t>Modo de Cobro</t>
  </si>
  <si>
    <t>Cantidad de pagos</t>
  </si>
  <si>
    <t>Tipo de moneda</t>
  </si>
  <si>
    <t>Octubre</t>
  </si>
  <si>
    <t>Total 24.00</t>
  </si>
  <si>
    <t>Total 2009</t>
  </si>
  <si>
    <t>Mayo</t>
  </si>
  <si>
    <t>Septiembre</t>
  </si>
  <si>
    <t>Junio</t>
  </si>
  <si>
    <t>Total 2017</t>
  </si>
  <si>
    <t xml:space="preserve">Total </t>
  </si>
  <si>
    <t>Total 2018</t>
  </si>
  <si>
    <t>Febrero</t>
  </si>
  <si>
    <t>Agosto</t>
  </si>
  <si>
    <t>Total 2019</t>
  </si>
  <si>
    <t>Julio</t>
  </si>
  <si>
    <t xml:space="preserve">Tabla de Tipo de plan </t>
  </si>
  <si>
    <t>Tabla de Estado de Pólizas</t>
  </si>
  <si>
    <t>Tipo de Plan</t>
  </si>
  <si>
    <t xml:space="preserve">Cantidad de Tipo de plan </t>
  </si>
  <si>
    <t>Marzo</t>
  </si>
  <si>
    <t>Abril</t>
  </si>
  <si>
    <t>Noviembre</t>
  </si>
  <si>
    <t>Inactivo</t>
  </si>
  <si>
    <t>Total 2020</t>
  </si>
  <si>
    <t>Diciembre</t>
  </si>
  <si>
    <t>Enero</t>
  </si>
  <si>
    <t>Total 2021</t>
  </si>
  <si>
    <t>Total 2022</t>
  </si>
  <si>
    <t>Total 2023</t>
  </si>
  <si>
    <t>Total 2024</t>
  </si>
  <si>
    <t>Total 2025</t>
  </si>
  <si>
    <t>Total 2026</t>
  </si>
  <si>
    <t>Tabla de Número de pólizas por mes</t>
  </si>
  <si>
    <t>Promedio de Prima</t>
  </si>
  <si>
    <t>Tabla de Número de pólizas</t>
  </si>
  <si>
    <t>Dotal</t>
  </si>
  <si>
    <t>Flex A</t>
  </si>
  <si>
    <t>Flex B</t>
  </si>
  <si>
    <t>Mio</t>
  </si>
  <si>
    <t>Mes:</t>
  </si>
  <si>
    <t>Nombre del plan</t>
  </si>
  <si>
    <t>Forma de pago</t>
  </si>
  <si>
    <t># Mes:</t>
  </si>
  <si>
    <t>Cumpleaños Cliente</t>
  </si>
  <si>
    <t>Cumpleaños Asegurados</t>
  </si>
  <si>
    <t>Dia</t>
  </si>
  <si>
    <t>Asegurado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</si>
</sst>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&quot;$&quot;* #,##0.00_-;\-&quot;$&quot;* #,##0.00_-;_-&quot;$&quot;* &quot;-&quot;??_-;_-@"/>
    <numFmt numFmtId="165" formatCode="dd&quot;/&quot;mm&quot;/&quot;yyyy"/>
    <numFmt numFmtId="166" formatCode="d&quot;-&quot;mmm"/>
    <numFmt numFmtId="167" formatCode="dd/mm"/>
    <numFmt numFmtId="168" formatCode="dd-mm"/>
    <numFmt numFmtId="169" formatCode="d-mmm"/>
    <numFmt numFmtId="170" formatCode="d/m/yyyy"/>
    <numFmt numFmtId="171" formatCode="d-MMM"/>
    <numFmt numFmtId="172" formatCode="dd/mm/yyyy"/>
    <numFmt numFmtId="173" formatCode="&quot;$&quot;#,##0.00"/>
    <numFmt numFmtId="174" formatCode="D/M/YYYY"/>
    <numFmt numFmtId="175" formatCode="_-* #,##0.00\ [$€-1]_-;\-* #,##0.00\ [$€-1]_-;_-* &quot;-&quot;??\ [$€-1]_-;_-@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sz val="10.0"/>
      <color theme="1"/>
      <name val="Arial"/>
    </font>
    <font>
      <color rgb="FFFFFFFF"/>
      <name val="Arial"/>
      <scheme val="minor"/>
    </font>
    <font>
      <sz val="18.0"/>
      <color rgb="FF000000"/>
      <name val="Calibri"/>
    </font>
    <font>
      <sz val="18.0"/>
      <color rgb="FFFFFFFF"/>
      <name val="Calibri"/>
    </font>
    <font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theme="1"/>
      <name val="Arial"/>
    </font>
    <font>
      <b/>
      <color rgb="FFFF0000"/>
      <name val="Arial"/>
    </font>
    <font>
      <b/>
      <color rgb="FFFF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</font>
    <font>
      <color rgb="FF080707"/>
      <name val="-apple-system"/>
    </font>
    <font>
      <u/>
      <color theme="1"/>
      <name val="Arial"/>
    </font>
    <font>
      <sz val="11.0"/>
      <color theme="1"/>
      <name val="Calibri"/>
    </font>
    <font>
      <u/>
      <sz val="11.0"/>
      <color theme="1"/>
      <name val="Calibri"/>
    </font>
    <font>
      <color rgb="FF000000"/>
      <name val="Arial"/>
    </font>
    <font>
      <b/>
      <sz val="12.0"/>
      <color rgb="FFFFFFFF"/>
      <name val="Arial"/>
    </font>
    <font>
      <sz val="14.0"/>
      <color theme="0"/>
      <name val="Arial"/>
    </font>
    <font>
      <sz val="14.0"/>
      <color rgb="FFFFFFFF"/>
      <name val="Arial"/>
    </font>
    <font>
      <sz val="14.0"/>
      <color theme="1"/>
      <name val="Arial"/>
      <scheme val="minor"/>
    </font>
    <font>
      <b/>
      <sz val="14.0"/>
      <color theme="1"/>
      <name val="Arial"/>
    </font>
    <font>
      <b/>
      <sz val="14.0"/>
      <color rgb="FFFFFFFF"/>
      <name val="Arial"/>
    </font>
    <font>
      <b/>
      <sz val="10.0"/>
      <color theme="1"/>
      <name val="Arial"/>
    </font>
    <font>
      <sz val="10.0"/>
      <color theme="0"/>
      <name val="Arial"/>
    </font>
    <font>
      <color rgb="FF000000"/>
      <name val="Arial"/>
      <scheme val="minor"/>
    </font>
    <font>
      <b/>
      <sz val="12.0"/>
      <color theme="1"/>
      <name val="Arial"/>
    </font>
    <font>
      <u/>
      <sz val="9.0"/>
      <color rgb="FF000000"/>
      <name val="&quot;Google Sans Mono&quot;"/>
    </font>
    <font>
      <u/>
      <sz val="9.0"/>
      <color rgb="FF000000"/>
      <name val="&quot;Google Sans Mono&quot;"/>
    </font>
    <font>
      <u/>
      <sz val="9.0"/>
      <color rgb="FF000000"/>
      <name val="&quot;Google Sans Mono&quot;"/>
    </font>
    <font/>
    <font>
      <sz val="12.0"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28">
    <border/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2" fontId="3" numFmtId="2" xfId="0" applyFill="1" applyFont="1" applyNumberFormat="1"/>
    <xf borderId="0" fillId="0" fontId="4" numFmtId="0" xfId="0" applyFont="1"/>
    <xf borderId="0" fillId="0" fontId="4" numFmtId="0" xfId="0" applyAlignment="1" applyFont="1">
      <alignment horizontal="center"/>
    </xf>
    <xf borderId="0" fillId="2" fontId="5" numFmtId="0" xfId="0" applyFont="1"/>
    <xf borderId="0" fillId="0" fontId="6" numFmtId="0" xfId="0" applyAlignment="1" applyFon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0" fillId="0" fontId="4" numFmtId="16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readingOrder="0"/>
    </xf>
    <xf borderId="0" fillId="8" fontId="9" numFmtId="0" xfId="0" applyFill="1" applyFont="1"/>
    <xf borderId="0" fillId="8" fontId="9" numFmtId="0" xfId="0" applyAlignment="1" applyFont="1">
      <alignment horizontal="center"/>
    </xf>
    <xf borderId="0" fillId="8" fontId="9" numFmtId="0" xfId="0" applyAlignment="1" applyFont="1">
      <alignment horizontal="center" readingOrder="0"/>
    </xf>
    <xf borderId="0" fillId="8" fontId="9" numFmtId="164" xfId="0" applyFont="1" applyNumberFormat="1"/>
    <xf borderId="1" fillId="8" fontId="9" numFmtId="0" xfId="0" applyBorder="1" applyFont="1"/>
    <xf borderId="1" fillId="8" fontId="9" numFmtId="0" xfId="0" applyAlignment="1" applyBorder="1" applyFont="1">
      <alignment horizontal="center"/>
    </xf>
    <xf borderId="0" fillId="8" fontId="9" numFmtId="0" xfId="0" applyAlignment="1" applyFont="1">
      <alignment readingOrder="0"/>
    </xf>
    <xf borderId="0" fillId="4" fontId="10" numFmtId="2" xfId="0" applyAlignment="1" applyFont="1" applyNumberForma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horizontal="right" readingOrder="0" vertical="bottom"/>
    </xf>
    <xf borderId="0" fillId="0" fontId="11" numFmtId="165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/>
    </xf>
    <xf borderId="0" fillId="0" fontId="11" numFmtId="166" xfId="0" applyAlignment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4" fontId="8" numFmtId="2" xfId="0" applyAlignment="1" applyFont="1" applyNumberFormat="1">
      <alignment vertical="bottom"/>
    </xf>
    <xf borderId="0" fillId="4" fontId="8" numFmtId="1" xfId="0" applyAlignment="1" applyFont="1" applyNumberFormat="1">
      <alignment horizontal="right" vertical="bottom"/>
    </xf>
    <xf borderId="0" fillId="4" fontId="8" numFmtId="2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4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 shrinkToFit="0" vertical="bottom" wrapText="0"/>
    </xf>
    <xf borderId="0" fillId="0" fontId="11" numFmtId="167" xfId="0" applyAlignment="1" applyFont="1" applyNumberFormat="1">
      <alignment horizontal="center" readingOrder="0" shrinkToFit="0" vertical="bottom" wrapText="0"/>
    </xf>
    <xf borderId="0" fillId="0" fontId="11" numFmtId="168" xfId="0" applyAlignment="1" applyFont="1" applyNumberFormat="1">
      <alignment horizontal="center" readingOrder="0" shrinkToFit="0" vertical="bottom" wrapText="0"/>
    </xf>
    <xf borderId="0" fillId="0" fontId="17" numFmtId="9" xfId="0" applyFont="1" applyNumberFormat="1"/>
    <xf borderId="0" fillId="0" fontId="11" numFmtId="169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1" numFmtId="170" xfId="0" applyAlignment="1" applyFont="1" applyNumberFormat="1">
      <alignment horizontal="center" readingOrder="0" shrinkToFit="0" vertical="bottom" wrapText="0"/>
    </xf>
    <xf borderId="0" fillId="2" fontId="3" numFmtId="1" xfId="0" applyFont="1" applyNumberFormat="1"/>
    <xf borderId="0" fillId="4" fontId="11" numFmtId="165" xfId="0" applyAlignment="1" applyFont="1" applyNumberFormat="1">
      <alignment horizontal="center" readingOrder="0" shrinkToFit="0" vertical="bottom" wrapText="0"/>
    </xf>
    <xf borderId="0" fillId="4" fontId="4" numFmtId="164" xfId="0" applyAlignment="1" applyFont="1" applyNumberFormat="1">
      <alignment horizontal="center"/>
    </xf>
    <xf borderId="0" fillId="4" fontId="11" numFmtId="166" xfId="0" applyAlignment="1" applyFont="1" applyNumberFormat="1">
      <alignment horizontal="center" readingOrder="0" shrinkToFit="0" vertical="bottom" wrapText="0"/>
    </xf>
    <xf borderId="0" fillId="4" fontId="4" numFmtId="0" xfId="0" applyAlignment="1" applyFont="1">
      <alignment horizontal="center"/>
    </xf>
    <xf borderId="0" fillId="4" fontId="11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8" numFmtId="165" xfId="0" applyAlignment="1" applyFont="1" applyNumberFormat="1">
      <alignment horizontal="center" readingOrder="0" vertical="bottom"/>
    </xf>
    <xf borderId="0" fillId="4" fontId="18" numFmtId="164" xfId="0" applyAlignment="1" applyFont="1" applyNumberFormat="1">
      <alignment horizontal="left" readingOrder="0" shrinkToFit="0" wrapText="0"/>
    </xf>
    <xf borderId="0" fillId="0" fontId="19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0" numFmtId="166" xfId="0" applyAlignment="1" applyFont="1" applyNumberForma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20" numFmtId="166" xfId="0" applyAlignment="1" applyFont="1" applyNumberFormat="1">
      <alignment horizontal="center" readingOrder="0" vertical="bottom"/>
    </xf>
    <xf borderId="0" fillId="0" fontId="22" numFmtId="0" xfId="0" applyAlignment="1" applyFont="1">
      <alignment readingOrder="0"/>
    </xf>
    <xf borderId="0" fillId="0" fontId="4" numFmtId="171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8" numFmtId="172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2" fillId="0" fontId="22" numFmtId="0" xfId="0" applyAlignment="1" applyBorder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9" fontId="23" numFmtId="0" xfId="0" applyAlignment="1" applyFill="1" applyFont="1">
      <alignment horizontal="center" shrinkToFit="0" vertical="center" wrapText="1"/>
    </xf>
    <xf borderId="0" fillId="10" fontId="23" numFmtId="0" xfId="0" applyAlignment="1" applyFill="1" applyFont="1">
      <alignment horizontal="center" shrinkToFit="0" vertical="center" wrapText="1"/>
    </xf>
    <xf borderId="0" fillId="0" fontId="1" numFmtId="0" xfId="0" applyFont="1"/>
    <xf borderId="0" fillId="0" fontId="1" numFmtId="172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24" numFmtId="2" xfId="0" applyFont="1" applyNumberFormat="1"/>
    <xf borderId="0" fillId="3" fontId="4" numFmtId="0" xfId="0" applyAlignment="1" applyFont="1">
      <alignment readingOrder="0"/>
    </xf>
    <xf borderId="0" fillId="2" fontId="4" numFmtId="0" xfId="0" applyFont="1"/>
    <xf borderId="0" fillId="6" fontId="4" numFmtId="0" xfId="0" applyAlignment="1" applyFont="1">
      <alignment readingOrder="0"/>
    </xf>
    <xf borderId="0" fillId="0" fontId="25" numFmtId="2" xfId="0" applyFont="1" applyNumberFormat="1"/>
    <xf borderId="0" fillId="0" fontId="26" numFmtId="0" xfId="0" applyAlignment="1" applyFont="1">
      <alignment horizontal="center" readingOrder="0"/>
    </xf>
    <xf borderId="0" fillId="11" fontId="4" numFmtId="0" xfId="0" applyAlignment="1" applyFill="1" applyFont="1">
      <alignment readingOrder="0"/>
    </xf>
    <xf borderId="0" fillId="8" fontId="27" numFmtId="0" xfId="0" applyAlignment="1" applyFont="1">
      <alignment shrinkToFit="0" wrapText="1"/>
    </xf>
    <xf borderId="0" fillId="8" fontId="28" numFmtId="2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12" fontId="1" numFmtId="0" xfId="0" applyAlignment="1" applyFill="1" applyFont="1">
      <alignment readingOrder="0" shrinkToFit="0" wrapText="1"/>
    </xf>
    <xf borderId="3" fillId="12" fontId="8" numFmtId="0" xfId="0" applyAlignment="1" applyBorder="1" applyFont="1">
      <alignment shrinkToFit="0" vertical="bottom" wrapText="1"/>
    </xf>
    <xf borderId="4" fillId="13" fontId="1" numFmtId="0" xfId="0" applyAlignment="1" applyBorder="1" applyFill="1" applyFont="1">
      <alignment readingOrder="0" shrinkToFit="0" wrapText="1"/>
    </xf>
    <xf borderId="5" fillId="13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3" fillId="12" fontId="1" numFmtId="0" xfId="0" applyAlignment="1" applyBorder="1" applyFont="1">
      <alignment readingOrder="0" shrinkToFit="0" wrapText="1"/>
    </xf>
    <xf borderId="0" fillId="0" fontId="29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0" fontId="3" numFmtId="2" xfId="0" applyFont="1" applyNumberFormat="1"/>
    <xf borderId="6" fillId="0" fontId="8" numFmtId="0" xfId="0" applyAlignment="1" applyBorder="1" applyFont="1">
      <alignment vertical="bottom"/>
    </xf>
    <xf borderId="0" fillId="14" fontId="1" numFmtId="0" xfId="0" applyFill="1" applyFont="1"/>
    <xf borderId="7" fillId="14" fontId="1" numFmtId="10" xfId="0" applyBorder="1" applyFont="1" applyNumberFormat="1"/>
    <xf borderId="6" fillId="0" fontId="1" numFmtId="0" xfId="0" applyBorder="1" applyFont="1"/>
    <xf borderId="0" fillId="2" fontId="1" numFmtId="10" xfId="0" applyFont="1" applyNumberFormat="1"/>
    <xf borderId="0" fillId="0" fontId="17" numFmtId="0" xfId="0" applyAlignment="1" applyFont="1">
      <alignment horizontal="center"/>
    </xf>
    <xf borderId="0" fillId="15" fontId="1" numFmtId="0" xfId="0" applyAlignment="1" applyFill="1" applyFont="1">
      <alignment readingOrder="0"/>
    </xf>
    <xf borderId="8" fillId="0" fontId="8" numFmtId="0" xfId="0" applyAlignment="1" applyBorder="1" applyFont="1">
      <alignment vertical="bottom"/>
    </xf>
    <xf borderId="9" fillId="14" fontId="1" numFmtId="0" xfId="0" applyBorder="1" applyFont="1"/>
    <xf borderId="10" fillId="14" fontId="1" numFmtId="10" xfId="0" applyBorder="1" applyFont="1" applyNumberFormat="1"/>
    <xf borderId="8" fillId="0" fontId="1" numFmtId="0" xfId="0" applyAlignment="1" applyBorder="1" applyFont="1">
      <alignment readingOrder="0"/>
    </xf>
    <xf borderId="0" fillId="0" fontId="30" numFmtId="2" xfId="0" applyFont="1" applyNumberFormat="1"/>
    <xf borderId="8" fillId="0" fontId="13" numFmtId="0" xfId="0" applyAlignment="1" applyBorder="1" applyFont="1">
      <alignment vertical="bottom"/>
    </xf>
    <xf borderId="9" fillId="0" fontId="1" numFmtId="0" xfId="0" applyBorder="1" applyFont="1"/>
    <xf borderId="10" fillId="0" fontId="1" numFmtId="0" xfId="0" applyBorder="1" applyFont="1"/>
    <xf borderId="0" fillId="2" fontId="1" numFmtId="0" xfId="0" applyFont="1"/>
    <xf borderId="0" fillId="2" fontId="13" numFmtId="0" xfId="0" applyFont="1"/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14" fontId="1" numFmtId="0" xfId="0" applyAlignment="1" applyFont="1">
      <alignment readingOrder="0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20" fontId="1" numFmtId="0" xfId="0" applyAlignment="1" applyFill="1" applyFont="1">
      <alignment readingOrder="0"/>
    </xf>
    <xf borderId="0" fillId="0" fontId="1" numFmtId="173" xfId="0" applyFont="1" applyNumberFormat="1"/>
    <xf borderId="0" fillId="0" fontId="26" numFmtId="0" xfId="0" applyAlignment="1" applyFont="1">
      <alignment horizontal="center" readingOrder="0" shrinkToFit="0" wrapText="1"/>
    </xf>
    <xf borderId="0" fillId="14" fontId="26" numFmtId="0" xfId="0" applyAlignment="1" applyFont="1">
      <alignment horizontal="center" readingOrder="0"/>
    </xf>
    <xf borderId="0" fillId="14" fontId="26" numFmtId="0" xfId="0" applyAlignment="1" applyFont="1">
      <alignment horizontal="center" readingOrder="0" shrinkToFit="0" wrapText="1"/>
    </xf>
    <xf borderId="0" fillId="19" fontId="26" numFmtId="0" xfId="0" applyAlignment="1" applyFont="1">
      <alignment horizontal="center" readingOrder="0" shrinkToFit="0" wrapText="1"/>
    </xf>
    <xf borderId="0" fillId="7" fontId="26" numFmtId="0" xfId="0" applyAlignment="1" applyFont="1">
      <alignment horizontal="center" readingOrder="0" shrinkToFit="0" wrapText="1"/>
    </xf>
    <xf borderId="0" fillId="21" fontId="26" numFmtId="0" xfId="0" applyAlignment="1" applyFill="1" applyFont="1">
      <alignment horizontal="center" readingOrder="0"/>
    </xf>
    <xf borderId="0" fillId="21" fontId="26" numFmtId="0" xfId="0" applyAlignment="1" applyFont="1">
      <alignment horizontal="center" readingOrder="0" shrinkToFit="0" wrapText="1"/>
    </xf>
    <xf borderId="0" fillId="22" fontId="26" numFmtId="0" xfId="0" applyAlignment="1" applyFill="1" applyFont="1">
      <alignment horizontal="center" readingOrder="0" shrinkToFit="0" wrapText="1"/>
    </xf>
    <xf borderId="0" fillId="13" fontId="31" numFmtId="0" xfId="0" applyFont="1"/>
    <xf borderId="0" fillId="13" fontId="31" numFmtId="173" xfId="0" applyFont="1" applyNumberFormat="1"/>
    <xf borderId="0" fillId="23" fontId="31" numFmtId="0" xfId="0" applyFill="1" applyFont="1"/>
    <xf borderId="0" fillId="23" fontId="31" numFmtId="173" xfId="0" applyFont="1" applyNumberFormat="1"/>
    <xf borderId="0" fillId="23" fontId="1" numFmtId="0" xfId="0" applyFont="1"/>
    <xf borderId="0" fillId="0" fontId="31" numFmtId="0" xfId="0" applyFont="1"/>
    <xf borderId="0" fillId="0" fontId="31" numFmtId="173" xfId="0" applyFont="1" applyNumberFormat="1"/>
    <xf borderId="0" fillId="3" fontId="31" numFmtId="0" xfId="0" applyFont="1"/>
    <xf borderId="0" fillId="3" fontId="31" numFmtId="173" xfId="0" applyFont="1" applyNumberFormat="1"/>
    <xf borderId="0" fillId="24" fontId="31" numFmtId="0" xfId="0" applyFill="1" applyFont="1"/>
    <xf borderId="0" fillId="24" fontId="31" numFmtId="173" xfId="0" applyFont="1" applyNumberFormat="1"/>
    <xf borderId="0" fillId="24" fontId="31" numFmtId="2" xfId="0" applyFont="1" applyNumberFormat="1"/>
    <xf borderId="0" fillId="25" fontId="31" numFmtId="0" xfId="0" applyFill="1" applyFont="1"/>
    <xf borderId="0" fillId="25" fontId="31" numFmtId="173" xfId="0" applyFont="1" applyNumberFormat="1"/>
    <xf borderId="0" fillId="25" fontId="31" numFmtId="2" xfId="0" applyFont="1" applyNumberFormat="1"/>
    <xf borderId="0" fillId="12" fontId="1" numFmtId="0" xfId="0" applyAlignment="1" applyFont="1">
      <alignment horizontal="center" readingOrder="0"/>
    </xf>
    <xf borderId="0" fillId="13" fontId="1" numFmtId="0" xfId="0" applyAlignment="1" applyFont="1">
      <alignment readingOrder="0"/>
    </xf>
    <xf borderId="0" fillId="12" fontId="1" numFmtId="0" xfId="0" applyAlignment="1" applyFont="1">
      <alignment readingOrder="0"/>
    </xf>
    <xf borderId="0" fillId="13" fontId="31" numFmtId="2" xfId="0" applyFont="1" applyNumberFormat="1"/>
    <xf borderId="0" fillId="23" fontId="31" numFmtId="0" xfId="0" applyAlignment="1" applyFont="1">
      <alignment horizontal="center"/>
    </xf>
    <xf borderId="0" fillId="23" fontId="31" numFmtId="173" xfId="0" applyAlignment="1" applyFont="1" applyNumberFormat="1">
      <alignment horizontal="center"/>
    </xf>
    <xf borderId="0" fillId="23" fontId="31" numFmtId="2" xfId="0" applyFont="1" applyNumberFormat="1"/>
    <xf borderId="0" fillId="0" fontId="31" numFmtId="173" xfId="0" applyAlignment="1" applyFont="1" applyNumberFormat="1">
      <alignment horizontal="center"/>
    </xf>
    <xf borderId="0" fillId="0" fontId="31" numFmtId="0" xfId="0" applyAlignment="1" applyFont="1">
      <alignment horizontal="center"/>
    </xf>
    <xf borderId="0" fillId="3" fontId="31" numFmtId="2" xfId="0" applyAlignment="1" applyFont="1" applyNumberFormat="1">
      <alignment horizontal="center"/>
    </xf>
    <xf borderId="0" fillId="3" fontId="31" numFmtId="173" xfId="0" applyAlignment="1" applyFont="1" applyNumberFormat="1">
      <alignment horizontal="center"/>
    </xf>
    <xf borderId="0" fillId="3" fontId="31" numFmtId="0" xfId="0" applyAlignment="1" applyFont="1">
      <alignment horizontal="center"/>
    </xf>
    <xf borderId="0" fillId="3" fontId="31" numFmtId="2" xfId="0" applyFont="1" applyNumberFormat="1"/>
    <xf borderId="3" fillId="12" fontId="1" numFmtId="0" xfId="0" applyAlignment="1" applyBorder="1" applyFont="1">
      <alignment readingOrder="0"/>
    </xf>
    <xf borderId="4" fillId="13" fontId="1" numFmtId="0" xfId="0" applyAlignment="1" applyBorder="1" applyFont="1">
      <alignment readingOrder="0"/>
    </xf>
    <xf borderId="5" fillId="13" fontId="1" numFmtId="0" xfId="0" applyAlignment="1" applyBorder="1" applyFont="1">
      <alignment readingOrder="0"/>
    </xf>
    <xf borderId="0" fillId="0" fontId="1" numFmtId="2" xfId="0" applyFont="1" applyNumberFormat="1"/>
    <xf borderId="0" fillId="0" fontId="1" numFmtId="1" xfId="0" applyFont="1" applyNumberFormat="1"/>
    <xf borderId="11" fillId="0" fontId="1" numFmtId="0" xfId="0" applyBorder="1" applyFont="1"/>
    <xf borderId="12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6" fillId="12" fontId="1" numFmtId="0" xfId="0" applyAlignment="1" applyBorder="1" applyFont="1">
      <alignment readingOrder="0"/>
    </xf>
    <xf borderId="0" fillId="0" fontId="1" numFmtId="1" xfId="0" applyAlignment="1" applyFont="1" applyNumberFormat="1">
      <alignment horizontal="center"/>
    </xf>
    <xf borderId="6" fillId="12" fontId="8" numFmtId="0" xfId="0" applyAlignment="1" applyBorder="1" applyFont="1">
      <alignment readingOrder="0"/>
    </xf>
    <xf borderId="14" fillId="26" fontId="1" numFmtId="173" xfId="0" applyAlignment="1" applyBorder="1" applyFill="1" applyFont="1" applyNumberFormat="1">
      <alignment horizontal="center" readingOrder="0"/>
    </xf>
    <xf borderId="15" fillId="0" fontId="1" numFmtId="0" xfId="0" applyAlignment="1" applyBorder="1" applyFont="1">
      <alignment horizontal="center" readingOrder="0"/>
    </xf>
    <xf borderId="7" fillId="14" fontId="1" numFmtId="10" xfId="0" applyAlignment="1" applyBorder="1" applyFont="1" applyNumberFormat="1">
      <alignment horizontal="center"/>
    </xf>
    <xf borderId="0" fillId="0" fontId="2" numFmtId="174" xfId="0" applyFont="1" applyNumberFormat="1"/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16" fillId="23" fontId="16" numFmtId="0" xfId="0" applyAlignment="1" applyBorder="1" applyFont="1">
      <alignment readingOrder="0"/>
    </xf>
    <xf borderId="17" fillId="0" fontId="1" numFmtId="0" xfId="0" applyAlignment="1" applyBorder="1" applyFont="1">
      <alignment horizontal="center" readingOrder="0"/>
    </xf>
    <xf borderId="18" fillId="23" fontId="32" numFmtId="0" xfId="0" applyAlignment="1" applyBorder="1" applyFont="1">
      <alignment shrinkToFit="0" wrapText="1"/>
    </xf>
    <xf borderId="19" fillId="23" fontId="32" numFmtId="0" xfId="0" applyAlignment="1" applyBorder="1" applyFont="1">
      <alignment shrinkToFit="0" wrapText="1"/>
    </xf>
    <xf borderId="19" fillId="23" fontId="32" numFmtId="0" xfId="0" applyAlignment="1" applyBorder="1" applyFont="1">
      <alignment readingOrder="0" shrinkToFit="0" wrapText="1"/>
    </xf>
    <xf borderId="20" fillId="23" fontId="32" numFmtId="0" xfId="0" applyAlignment="1" applyBorder="1" applyFont="1">
      <alignment shrinkToFit="0" wrapText="1"/>
    </xf>
    <xf borderId="0" fillId="0" fontId="1" numFmtId="165" xfId="0" applyFont="1" applyNumberFormat="1"/>
    <xf borderId="0" fillId="0" fontId="1" numFmtId="172" xfId="0" applyFont="1" applyNumberFormat="1"/>
    <xf borderId="16" fillId="25" fontId="16" numFmtId="0" xfId="0" applyAlignment="1" applyBorder="1" applyFont="1">
      <alignment readingOrder="0"/>
    </xf>
    <xf borderId="0" fillId="8" fontId="10" numFmtId="0" xfId="0" applyAlignment="1" applyFont="1">
      <alignment shrinkToFit="0" wrapText="1"/>
    </xf>
    <xf borderId="0" fillId="8" fontId="10" numFmtId="0" xfId="0" applyAlignment="1" applyFont="1">
      <alignment readingOrder="0" shrinkToFit="0" wrapText="1"/>
    </xf>
    <xf borderId="0" fillId="8" fontId="10" numFmtId="173" xfId="0" applyAlignment="1" applyFont="1" applyNumberFormat="1">
      <alignment shrinkToFit="0" wrapText="1"/>
    </xf>
    <xf borderId="0" fillId="8" fontId="10" numFmtId="164" xfId="0" applyAlignment="1" applyFont="1" applyNumberFormat="1">
      <alignment readingOrder="0" shrinkToFit="0" wrapText="1"/>
    </xf>
    <xf borderId="18" fillId="25" fontId="32" numFmtId="0" xfId="0" applyAlignment="1" applyBorder="1" applyFont="1">
      <alignment shrinkToFit="0" wrapText="1"/>
    </xf>
    <xf borderId="19" fillId="25" fontId="32" numFmtId="0" xfId="0" applyAlignment="1" applyBorder="1" applyFont="1">
      <alignment shrinkToFit="0" wrapText="1"/>
    </xf>
    <xf borderId="19" fillId="25" fontId="32" numFmtId="0" xfId="0" applyAlignment="1" applyBorder="1" applyFont="1">
      <alignment readingOrder="0" shrinkToFit="0" wrapText="1"/>
    </xf>
    <xf borderId="19" fillId="25" fontId="32" numFmtId="173" xfId="0" applyAlignment="1" applyBorder="1" applyFont="1" applyNumberFormat="1">
      <alignment shrinkToFit="0" wrapText="1"/>
    </xf>
    <xf borderId="19" fillId="25" fontId="32" numFmtId="164" xfId="0" applyAlignment="1" applyBorder="1" applyFont="1" applyNumberFormat="1">
      <alignment readingOrder="0" shrinkToFit="0" wrapText="1"/>
    </xf>
    <xf borderId="20" fillId="25" fontId="32" numFmtId="164" xfId="0" applyAlignment="1" applyBorder="1" applyFont="1" applyNumberFormat="1">
      <alignment readingOrder="0" shrinkToFit="0" wrapText="1"/>
    </xf>
    <xf borderId="0" fillId="4" fontId="33" numFmtId="0" xfId="0" applyAlignment="1" applyFont="1">
      <alignment horizontal="left"/>
    </xf>
    <xf borderId="0" fillId="4" fontId="34" numFmtId="165" xfId="0" applyAlignment="1" applyFont="1" applyNumberFormat="1">
      <alignment horizontal="left"/>
    </xf>
    <xf borderId="0" fillId="0" fontId="1" numFmtId="170" xfId="0" applyFont="1" applyNumberFormat="1"/>
    <xf borderId="0" fillId="4" fontId="35" numFmtId="170" xfId="0" applyAlignment="1" applyFont="1" applyNumberFormat="1">
      <alignment horizontal="left"/>
    </xf>
    <xf borderId="21" fillId="27" fontId="16" numFmtId="0" xfId="0" applyAlignment="1" applyBorder="1" applyFill="1" applyFont="1">
      <alignment readingOrder="0"/>
    </xf>
    <xf borderId="22" fillId="0" fontId="1" numFmtId="165" xfId="0" applyAlignment="1" applyBorder="1" applyFont="1" applyNumberFormat="1">
      <alignment horizontal="center"/>
    </xf>
    <xf borderId="23" fillId="27" fontId="16" numFmtId="0" xfId="0" applyAlignment="1" applyBorder="1" applyFont="1">
      <alignment readingOrder="0"/>
    </xf>
    <xf borderId="24" fillId="0" fontId="1" numFmtId="0" xfId="0" applyAlignment="1" applyBorder="1" applyFont="1">
      <alignment horizontal="center"/>
    </xf>
    <xf borderId="25" fillId="27" fontId="16" numFmtId="0" xfId="0" applyAlignment="1" applyBorder="1" applyFont="1">
      <alignment readingOrder="0"/>
    </xf>
    <xf borderId="26" fillId="0" fontId="1" numFmtId="0" xfId="0" applyAlignment="1" applyBorder="1" applyFont="1">
      <alignment horizontal="center"/>
    </xf>
    <xf borderId="21" fillId="27" fontId="10" numFmtId="0" xfId="0" applyAlignment="1" applyBorder="1" applyFont="1">
      <alignment horizontal="center" shrinkToFit="0" wrapText="1"/>
    </xf>
    <xf borderId="27" fillId="0" fontId="36" numFmtId="0" xfId="0" applyBorder="1" applyFont="1"/>
    <xf borderId="22" fillId="0" fontId="36" numFmtId="0" xfId="0" applyBorder="1" applyFont="1"/>
    <xf borderId="18" fillId="9" fontId="37" numFmtId="0" xfId="0" applyAlignment="1" applyBorder="1" applyFont="1">
      <alignment horizontal="center" readingOrder="0" shrinkToFit="0" wrapText="1"/>
    </xf>
    <xf borderId="19" fillId="0" fontId="36" numFmtId="0" xfId="0" applyBorder="1" applyFont="1"/>
    <xf borderId="20" fillId="0" fontId="36" numFmtId="0" xfId="0" applyBorder="1" applyFont="1"/>
    <xf borderId="0" fillId="9" fontId="23" numFmtId="0" xfId="0" applyAlignment="1" applyFont="1">
      <alignment shrinkToFit="0" wrapText="1"/>
    </xf>
    <xf borderId="18" fillId="27" fontId="10" numFmtId="0" xfId="0" applyAlignment="1" applyBorder="1" applyFont="1">
      <alignment horizontal="center" shrinkToFit="0" vertical="center" wrapText="1"/>
    </xf>
    <xf borderId="19" fillId="27" fontId="10" numFmtId="0" xfId="0" applyAlignment="1" applyBorder="1" applyFont="1">
      <alignment horizontal="center" shrinkToFit="0" vertical="center" wrapText="1"/>
    </xf>
    <xf borderId="19" fillId="27" fontId="10" numFmtId="0" xfId="0" applyAlignment="1" applyBorder="1" applyFont="1">
      <alignment horizontal="center" readingOrder="0" shrinkToFit="0" vertical="center" wrapText="1"/>
    </xf>
    <xf borderId="19" fillId="27" fontId="10" numFmtId="175" xfId="0" applyAlignment="1" applyBorder="1" applyFont="1" applyNumberFormat="1">
      <alignment horizontal="center" shrinkToFit="0" vertical="center" wrapText="1"/>
    </xf>
    <xf borderId="19" fillId="27" fontId="10" numFmtId="164" xfId="0" applyAlignment="1" applyBorder="1" applyFont="1" applyNumberFormat="1">
      <alignment horizontal="center" readingOrder="0" shrinkToFit="0" vertical="center" wrapText="1"/>
    </xf>
    <xf borderId="20" fillId="27" fontId="10" numFmtId="0" xfId="0" applyAlignment="1" applyBorder="1" applyFont="1">
      <alignment horizontal="center" shrinkToFit="0" vertical="center" wrapText="1"/>
    </xf>
    <xf borderId="17" fillId="27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8" fillId="9" fontId="37" numFmtId="0" xfId="0" applyAlignment="1" applyBorder="1" applyFont="1">
      <alignment horizontal="center" shrinkToFit="0" vertical="center" wrapText="1"/>
    </xf>
    <xf borderId="19" fillId="9" fontId="37" numFmtId="0" xfId="0" applyAlignment="1" applyBorder="1" applyFont="1">
      <alignment horizontal="center" shrinkToFit="0" vertical="center" wrapText="1"/>
    </xf>
    <xf borderId="20" fillId="9" fontId="37" numFmtId="0" xfId="0" applyAlignment="1" applyBorder="1" applyFont="1">
      <alignment horizontal="center" shrinkToFit="0" vertical="center" wrapText="1"/>
    </xf>
    <xf borderId="0" fillId="0" fontId="1" numFmtId="166" xfId="0" applyFont="1" applyNumberFormat="1"/>
    <xf borderId="0" fillId="0" fontId="1" numFmtId="171" xfId="0" applyFont="1" applyNumberFormat="1"/>
  </cellXfs>
  <cellStyles count="1">
    <cellStyle xfId="0" name="Normal" builtinId="0"/>
  </cellStyles>
  <dxfs count="11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12" table="0" name="Google Sheets Pivot Table Style">
      <tableStyleElement dxfId="5" type="wholeTable"/>
      <tableStyleElement dxfId="6" type="firstRowSubheading"/>
      <tableStyleElement dxfId="6" type="secondRowSubheading"/>
      <tableStyleElement dxfId="6" type="thirdRowSubheading"/>
      <tableStyleElement dxfId="7" type="firstColumnSubheading"/>
      <tableStyleElement dxfId="7" type="secondColumnSubheading"/>
      <tableStyleElement dxfId="7" type="thirdColumnSubheading"/>
      <tableStyleElement dxfId="7" type="headerRow"/>
      <tableStyleElement dxfId="8" type="firstSubtotalRow"/>
      <tableStyleElement dxfId="8" type="secondSubtotalRow"/>
      <tableStyleElement dxfId="8" type="thirdSubtotalRow"/>
      <tableStyleElement dxfId="9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Crecimiento de número de pólizas Anual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'Análisis de Info Histórico'!$CI$11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'Análisis de Info Histórico'!$CH$12:$CH$23</c:f>
            </c:strRef>
          </c:cat>
          <c:val>
            <c:numRef>
              <c:f>'Análisis de Info Histórico'!$CI$12:$CI$23</c:f>
              <c:numCache/>
            </c:numRef>
          </c:val>
          <c:smooth val="0"/>
        </c:ser>
        <c:axId val="202563556"/>
        <c:axId val="1917564527"/>
      </c:lineChart>
      <c:catAx>
        <c:axId val="202563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564527"/>
      </c:catAx>
      <c:valAx>
        <c:axId val="1917564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pagos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63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 de Info Histórico'!$P$12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 de Info Histórico'!$Q$11:$R$11</c:f>
            </c:strRef>
          </c:cat>
          <c:val>
            <c:numRef>
              <c:f>'Análisis de Info Histórico'!$Q$12:$R$12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 de Info Histórico'!$AL$11:$AL$12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 de Info Histórico'!$AK$13:$AK$17</c:f>
            </c:strRef>
          </c:cat>
          <c:val>
            <c:numRef>
              <c:f>'Análisis de Info Histórico'!$AL$13:$AL$17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de pólizas contra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'Análisis de Info Anual'!$I$12:$I$19</c:f>
            </c:strRef>
          </c:cat>
          <c:val>
            <c:numRef>
              <c:f>'Análisis de Info Anual'!$J$12:$J$19</c:f>
              <c:numCache/>
            </c:numRef>
          </c:val>
          <c:smooth val="0"/>
        </c:ser>
        <c:axId val="1012760617"/>
        <c:axId val="1562659184"/>
      </c:lineChart>
      <c:catAx>
        <c:axId val="1012760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659184"/>
      </c:catAx>
      <c:valAx>
        <c:axId val="1562659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de pólizas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760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Crecimiento de número de pólizas mensual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'Análisis de Info Anual'!$CG$11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'Análisis de Info Anual'!$CF$12:$CF$23</c:f>
            </c:strRef>
          </c:cat>
          <c:val>
            <c:numRef>
              <c:f>'Análisis de Info Anual'!$CG$12:$CG$23</c:f>
              <c:numCache/>
            </c:numRef>
          </c:val>
          <c:smooth val="0"/>
        </c:ser>
        <c:axId val="616731892"/>
        <c:axId val="1299338601"/>
      </c:lineChart>
      <c:catAx>
        <c:axId val="616731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338601"/>
      </c:catAx>
      <c:valAx>
        <c:axId val="1299338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pagos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731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 de Info Anual'!$P$12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 de Info Anual'!$Q$11:$R$11</c:f>
            </c:strRef>
          </c:cat>
          <c:val>
            <c:numRef>
              <c:f>'Análisis de Info Anual'!$Q$12:$R$12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 de Info Anual'!$AL$11:$AL$12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 de Info Anual'!$AK$13:$AK$17</c:f>
            </c:strRef>
          </c:cat>
          <c:val>
            <c:numRef>
              <c:f>'Análisis de Info Anual'!$AL$13:$AL$17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19050</xdr:rowOff>
    </xdr:from>
    <xdr:ext cx="1047750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19050</xdr:rowOff>
    </xdr:from>
    <xdr:ext cx="1047750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133350</xdr:colOff>
      <xdr:row>10</xdr:row>
      <xdr:rowOff>0</xdr:rowOff>
    </xdr:from>
    <xdr:ext cx="3886200" cy="2409825"/>
    <xdr:pic>
      <xdr:nvPicPr>
        <xdr:cNvPr id="71902020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295275</xdr:colOff>
      <xdr:row>10</xdr:row>
      <xdr:rowOff>47625</xdr:rowOff>
    </xdr:from>
    <xdr:ext cx="4162425" cy="2562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28575</xdr:colOff>
      <xdr:row>13</xdr:row>
      <xdr:rowOff>47625</xdr:rowOff>
    </xdr:from>
    <xdr:ext cx="3619500" cy="22574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35</xdr:col>
      <xdr:colOff>133350</xdr:colOff>
      <xdr:row>18</xdr:row>
      <xdr:rowOff>104775</xdr:rowOff>
    </xdr:from>
    <xdr:ext cx="3810000" cy="2352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342900</xdr:colOff>
      <xdr:row>0</xdr:row>
      <xdr:rowOff>95250</xdr:rowOff>
    </xdr:from>
    <xdr:ext cx="857250" cy="8572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10</xdr:row>
      <xdr:rowOff>190500</xdr:rowOff>
    </xdr:from>
    <xdr:ext cx="4276725" cy="26479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86</xdr:col>
      <xdr:colOff>295275</xdr:colOff>
      <xdr:row>10</xdr:row>
      <xdr:rowOff>47625</xdr:rowOff>
    </xdr:from>
    <xdr:ext cx="4162425" cy="25622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619125</xdr:colOff>
      <xdr:row>13</xdr:row>
      <xdr:rowOff>28575</xdr:rowOff>
    </xdr:from>
    <xdr:ext cx="3295650" cy="20478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34</xdr:col>
      <xdr:colOff>333375</xdr:colOff>
      <xdr:row>19</xdr:row>
      <xdr:rowOff>190500</xdr:rowOff>
    </xdr:from>
    <xdr:ext cx="3810000" cy="23526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342900</xdr:colOff>
      <xdr:row>0</xdr:row>
      <xdr:rowOff>95250</xdr:rowOff>
    </xdr:from>
    <xdr:ext cx="857250" cy="8572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:D200" sheet="Prospectos"/>
  </cacheSource>
  <cacheFields>
    <cacheField name="Prospecto" numFmtId="0">
      <sharedItems>
        <s v="AMAURI"/>
        <s v="DR. JIMENEZ"/>
        <s v="DR.CARDE"/>
        <s v="DR. ISLAS"/>
        <s v="DR. NAVA"/>
        <s v="LUIS FERNANDO"/>
        <s v="FRANCISCO"/>
        <s v="JOSE ANTONIO"/>
        <s v="MAELY SASSO"/>
        <s v="JUAN PABLO"/>
        <s v="MIGUEL TABLON"/>
        <s v="ADAN"/>
        <s v="ALANIS"/>
        <s v="ALE MEZA"/>
        <s v="ALEX"/>
        <s v="ALEX GMM"/>
        <s v="ALICIA"/>
        <s v="ALINA"/>
        <s v="ANA"/>
        <s v="ANGIE"/>
        <s v="X"/>
        <s v="BETO ROMO"/>
        <s v="CESAR"/>
        <s v="CHARLIE"/>
        <s v="JOSE "/>
        <s v="CHAVA CHIVAS"/>
        <s v="CRIS BRAMBILA"/>
        <s v="DAVID ALEX"/>
        <s v="DENTISTA VERO"/>
        <s v="DIANA"/>
        <s v="DIANA OCAMPO"/>
        <s v="DIEGO CIRQUE"/>
        <s v="EDGAR ALTEA"/>
        <s v="ERIKA RAMIREZ"/>
        <s v="FABI ALE"/>
        <s v="FABIAN SERRANO"/>
        <s v="FREDDY"/>
        <s v="GABY TAQUILLAS"/>
        <s v="GIOVANNA"/>
        <s v="GUS"/>
        <s v="HAYDEE"/>
        <s v="HILDA REDUERZO"/>
        <s v="JESSY "/>
        <s v="JOAB LIGHTSHOW"/>
        <s v="JOE"/>
        <s v="JULIO CASTILLO"/>
        <s v="KAROL PEREZ"/>
        <s v="KAROL VARGAS"/>
        <s v="KEISSY RUIZ"/>
        <s v="KEVIN CONEJO"/>
        <s v="KRIS"/>
        <s v="LAU LOZANO"/>
        <s v="LUISA RAMOS"/>
        <s v="LUISA ROMO"/>
        <s v="LUPITA GOMEZ"/>
        <s v="MAFER DE LA TORRE"/>
        <s v="MAFER MORA"/>
        <s v="MAFER VEGA"/>
        <s v="MARIANA"/>
        <s v="MARIANA CUEME"/>
        <s v="MARLEN"/>
        <s v="MARU GLOBAL"/>
        <s v="MIGUEL CHIVAS"/>
        <s v="NANCY"/>
        <s v="NORMA GPE"/>
        <s v="ORLANDO CAMARA"/>
        <s v="OSCAR"/>
        <s v="PAMM PIROTECNIA"/>
        <s v="PAU GALLARDO"/>
        <s v="PELAYO"/>
        <s v="PSICOLOGA IRMA"/>
        <s v="ROGELIO PULIDO"/>
        <s v="SUSANA LIGHTSHOW"/>
        <s v="WALLY PASSIO"/>
        <s v="YAMI"/>
        <s v="YANELI"/>
        <s v="ZUPY ZUCAMP"/>
        <s v="EVER"/>
        <s v="ALEJANDRA ESQUIVEL"/>
        <s v="ALEJANDRA GIL"/>
        <s v="SEBASTIAN ALEGRIA"/>
        <s v="HOLBEING ALFARO GALINDEZ"/>
        <s v="ALMA"/>
        <s v="CRISTIAN ALVAREZ"/>
        <s v="AMPARO"/>
        <s v="MONICA ANDRES"/>
        <s v="CESAR VILLEGAS"/>
        <s v="JAIME"/>
        <s v="ADRIANA"/>
        <s v="ALFARO"/>
        <s v="JULIO CAMPOS"/>
        <s v="CARLOS MOLINA"/>
        <s v="SERGIO CARRIEDO"/>
        <s v="CHECO CANALES"/>
        <s v="CHRISTIAN GUZMAN"/>
        <s v="CHRISTIAN RODRIGUEZ"/>
        <s v="CITLALI CAMACHO"/>
        <s v="SAMARA CRUZ"/>
        <s v="DAVID"/>
        <s v="DAVINIA CERVANTES"/>
        <s v="LUIS DE LA PUENTE"/>
        <s v="EDGAR TARABAY"/>
        <s v="ELEAZAR GUZMAN"/>
        <s v="MIGUEL ANGEL FABELA"/>
        <s v="EDUARDO GONZALEZ"/>
        <s v="HUMBERTO GORDILLO"/>
        <s v="ALEJANDRO CORTES"/>
        <s v="ARTURO CHAVEZ ZAMORA"/>
        <s v="CARLA PALOU"/>
        <s v="CARLOS JUAREZ"/>
        <s v="DAVID LEON"/>
        <s v="EDGAR TARSICIO"/>
        <s v="EDITH GONZALEZ"/>
        <s v="FERNANDO PONCE DE LEON"/>
        <s v="GEORGINA VALDEZ"/>
        <s v="GUILLERMO BARBA"/>
        <s v="GUILLERMO ZAVALA"/>
        <s v="IVAN CASTRO"/>
        <s v="IVAN VERDIN"/>
        <s v="JAIME CALDERON"/>
        <s v="JORGE VAZQUEZ"/>
        <s v="JOSE QUINTERO"/>
        <s v="JOSE PADILLA"/>
        <s v="JOSUE ESCUTIA"/>
        <s v="JUAN PABLO TOLEDO"/>
        <s v="JUAN TINAJERO"/>
        <s v="LENIN"/>
        <s v="LEONARDO GARCIA"/>
        <s v="LUIS CERVANTES"/>
        <s v="MARTHA GUERRERO"/>
        <s v="MAURICIO LARA"/>
        <s v="ROMAN ACOSTA"/>
        <s v="SILVIA HERRERA"/>
        <s v="TAMARA MUÑOZ"/>
        <s v="TITO BERNE"/>
        <s v="ULISES CERVERA"/>
        <s v="VICENTE ROJAS"/>
        <s v="VICTOR MANUEL GLEZ"/>
        <s v="JOSE MOLINA"/>
        <s v="JOSE RAMON VALENCIA"/>
        <s v="RODOLFO MEDINA"/>
        <s v="PATTY LLADO"/>
        <s v="EDUARDO QUINTANA"/>
        <s v="OSCAR HUGO GONZALEZ"/>
        <s v="RAUL ANGELES"/>
        <s v="SAUL QUEVEDO"/>
        <s v="ALEJANDRO GASPAR"/>
        <s v="GABRIELA FRIAS"/>
        <s v="JOSE RAMON BECERA ZENDEJAS"/>
        <s v="ADRIANA ZERMEÑO ZAMORA"/>
        <s v="ALEJANDRA CHAVEZ"/>
        <s v="ALEJANDRO ALFARO"/>
        <s v="ALMA DELIA VELAZQUEZ ALVAREZ"/>
        <s v="ANA CRISTINA MERCADO FERNANDEZ"/>
        <s v="BETATRIZ CAMSCHO CUELLAR"/>
        <s v="BRUNA LUCIANO"/>
        <s v="CAROLINA JARAMILLO"/>
        <s v="CECILIA TRUJILLO"/>
        <s v="CESAR BECERRA ZENDEJAS"/>
        <s v="DAVID ZAMORA BAÑUELOS"/>
        <s v="DIANA MONCAYO"/>
        <s v="ELISA RUVALCABA"/>
        <s v="EVA REBECA ALVAREZ BARAJAS"/>
        <s v="MARIA FERNANDA ALCARAZ MARTIN DEL CAMPO"/>
        <s v="GERARDO ZAMORA SANTOS"/>
        <s v="ENRIQUE ALEJANDRO ZAMORA SANTOS"/>
        <s v="FERANDO ZAMORA SANTOS"/>
        <s v="GEORGINA BÑUELOS SALAZAR"/>
        <s v="GLORIA GARCIA"/>
        <s v="JULIO CESAR ARIAS"/>
        <s v="KATYA SARDO LAUREAN"/>
        <s v="LUIS MAYORGA"/>
        <s v="GUADALUPE FORONDA"/>
        <s v="MARIA JOSE SANDER"/>
        <s v="MARIANA ALCAZAR"/>
        <s v="MARIA ORNELAS OROZCO"/>
        <s v="MARIO DANIEL VELAZQUEZ"/>
        <s v="MAYELA GAMIÑO TOVAR"/>
        <s v="OSCAR ALEJANDRO ZERMENO ZAMORA"/>
        <s v="CLUADIA LORENA ZERMEÑO ZAMORA"/>
        <s v="OSWALDO MUNGUIA"/>
        <s v="PAULINA AGUIRRE"/>
        <s v="ROBERTO MEDIANA POLANCO"/>
        <s v="RODOLFO MARIN MASITERRA"/>
        <s v="ROMINA VAZQUEZ SU"/>
        <s v="RODRIGO ULLOA"/>
        <s v="ANA SOFIA FLORES MACIAS"/>
        <s v="SOFIA LEÑERO"/>
        <s v="URIEL NUÑO"/>
        <s v="WAZTTY RODRIGUEZ"/>
        <s v="MICHEL UNICORNIO"/>
        <s v="PAOLA DE LA TORE"/>
      </sharedItems>
    </cacheField>
    <cacheField name="Fuente" numFmtId="0">
      <sharedItems>
        <s v="Referido"/>
      </sharedItems>
    </cacheField>
    <cacheField name="Siguiente Contacto">
      <sharedItems containsDate="1" containsBlank="1" containsMixedTypes="1">
        <d v="2022-02-03T00:00:00Z"/>
        <d v="2022-02-09T00:00:00Z"/>
        <d v="2022-02-08T00:00:00Z"/>
        <s v="X"/>
        <s v="PLAN ORVI"/>
        <s v="YA TIENE PLANES"/>
        <s v="NO CONTESTA"/>
        <s v="PREGUNTAR NOMBRE"/>
        <s v="NO LE INTERESA"/>
        <s v="YA TIENE PPR Y VARIOS PLANES "/>
        <s v="JUSTO CONTRATO GMM "/>
        <s v="SU HERMANA ES ASESORA"/>
        <s v="BUZON DIRECTO "/>
        <s v="ORVI 99 10 PAGOS"/>
        <s v="PENDIENTE "/>
        <s v="YA TIENE PLANES EN MONTERREY"/>
        <s v="VOLVER A LLAMAR"/>
        <s v="NO INTERESADO"/>
        <s v="BUSCAR EN AGOSTO 2025"/>
        <s v="YA TIENE ASESOR"/>
        <s v="REFERIDOS NADA MAS"/>
        <s v="YA TIENE METFLIFE"/>
        <s v="MAMA ASESORA X"/>
        <s v="YA TIENE ASESOR "/>
        <s v="NUMERO MAL "/>
        <s v="WHAT O ELIMINAR NUM"/>
        <s v="YA TIENE PLANES Y PPR X"/>
        <s v="YA TIENE PLANES X"/>
        <s v="PRIMA ASESORA"/>
        <s v="ES ASESORA DE SEGUROS"/>
        <s v="YA TIENE PLANES "/>
        <s v="BUZON  Y NO ENTRA WHATS"/>
        <s v="NUMERO DIRECTO BUZON"/>
        <s v="YA TIENE UN PLAN CON JOS"/>
        <s v="NO ES EL NUMERO YA"/>
        <s v="NO ESTA DISPONIBLE"/>
        <s v="ULTIMO MSJ"/>
        <s v="YA TIENE PLANES PERO GUARDAR"/>
        <s v="YA TIENE TODO"/>
        <s v="YA TIENE TODO EN GNP"/>
        <m/>
        <s v="YA TIENE PLAN EN SEGUROS"/>
        <s v="BUZON DIRECTO"/>
        <s v="NUMERO CAMBIADO X"/>
        <s v="YA TIENE EN MONTERREY"/>
        <s v="NO INTERESADA "/>
        <s v="MSJ NUEVO "/>
        <s v="VOLVER A LLAMAR "/>
        <s v="YA TIENE TODO EN MONTERREY"/>
        <s v="TODO EN GNP NO INTERESADO"/>
        <s v="NO DISPONIBLE"/>
        <s v="YA ES NO ES ESE NUM"/>
        <s v="SU FAMILIA SE DEDICA SEGUROS"/>
        <s v="NUMERO NO EXISTE"/>
        <s v="LLAMAR A LAS 6PM"/>
        <s v="PLAN ORVI 10"/>
      </sharedItems>
    </cacheField>
    <cacheField name="Referenciado por" numFmtId="0">
      <sharedItems>
        <s v="DR. BARRAGAN"/>
        <s v="CLAUDIO MARTIN"/>
        <s v="CARLA MARTINEZ"/>
        <s v="GERMAN URIBE"/>
        <s v="JOYCE URIBE"/>
        <s v="PRIMO"/>
        <s v="TANIA URIBE"/>
        <s v="DIGNA"/>
        <s v="ANDREA DE LA TORR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:E200" sheet="Prospectos"/>
  </cacheSource>
  <cacheFields>
    <cacheField name="Prospecto" numFmtId="0">
      <sharedItems>
        <s v="AMAURI"/>
        <s v="DR. JIMENEZ"/>
        <s v="DR.CARDE"/>
        <s v="DR. ISLAS"/>
        <s v="DR. NAVA"/>
        <s v="LUIS FERNANDO"/>
        <s v="FRANCISCO"/>
        <s v="JOSE ANTONIO"/>
        <s v="MAELY SASSO"/>
        <s v="JUAN PABLO"/>
        <s v="MIGUEL TABLON"/>
        <s v="ADAN"/>
        <s v="ALANIS"/>
        <s v="ALE MEZA"/>
        <s v="ALEX"/>
        <s v="ALEX GMM"/>
        <s v="ALICIA"/>
        <s v="ALINA"/>
        <s v="ANA"/>
        <s v="ANGIE"/>
        <s v="X"/>
        <s v="BETO ROMO"/>
        <s v="CESAR"/>
        <s v="CHARLIE"/>
        <s v="JOSE "/>
        <s v="CHAVA CHIVAS"/>
        <s v="CRIS BRAMBILA"/>
        <s v="DAVID ALEX"/>
        <s v="DENTISTA VERO"/>
        <s v="DIANA"/>
        <s v="DIANA OCAMPO"/>
        <s v="DIEGO CIRQUE"/>
        <s v="EDGAR ALTEA"/>
        <s v="ERIKA RAMIREZ"/>
        <s v="FABI ALE"/>
        <s v="FABIAN SERRANO"/>
        <s v="FREDDY"/>
        <s v="GABY TAQUILLAS"/>
        <s v="GIOVANNA"/>
        <s v="GUS"/>
        <s v="HAYDEE"/>
        <s v="HILDA REDUERZO"/>
        <s v="JESSY "/>
        <s v="JOAB LIGHTSHOW"/>
        <s v="JOE"/>
        <s v="JULIO CASTILLO"/>
        <s v="KAROL PEREZ"/>
        <s v="KAROL VARGAS"/>
        <s v="KEISSY RUIZ"/>
        <s v="KEVIN CONEJO"/>
        <s v="KRIS"/>
        <s v="LAU LOZANO"/>
        <s v="LUISA RAMOS"/>
        <s v="LUISA ROMO"/>
        <s v="LUPITA GOMEZ"/>
        <s v="MAFER DE LA TORRE"/>
        <s v="MAFER MORA"/>
        <s v="MAFER VEGA"/>
        <s v="MARIANA"/>
        <s v="MARIANA CUEME"/>
        <s v="MARLEN"/>
        <s v="MARU GLOBAL"/>
        <s v="MIGUEL CHIVAS"/>
        <s v="NANCY"/>
        <s v="NORMA GPE"/>
        <s v="ORLANDO CAMARA"/>
        <s v="OSCAR"/>
        <s v="PAMM PIROTECNIA"/>
        <s v="PAU GALLARDO"/>
        <s v="PELAYO"/>
        <s v="PSICOLOGA IRMA"/>
        <s v="ROGELIO PULIDO"/>
        <s v="SUSANA LIGHTSHOW"/>
        <s v="WALLY PASSIO"/>
        <s v="YAMI"/>
        <s v="YANELI"/>
        <s v="ZUPY ZUCAMP"/>
        <s v="EVER"/>
        <s v="ALEJANDRA ESQUIVEL"/>
        <s v="ALEJANDRA GIL"/>
        <s v="SEBASTIAN ALEGRIA"/>
        <s v="HOLBEING ALFARO GALINDEZ"/>
        <s v="ALMA"/>
        <s v="CRISTIAN ALVAREZ"/>
        <s v="AMPARO"/>
        <s v="MONICA ANDRES"/>
        <s v="CESAR VILLEGAS"/>
        <s v="JAIME"/>
        <s v="ADRIANA"/>
        <s v="ALFARO"/>
        <s v="JULIO CAMPOS"/>
        <s v="CARLOS MOLINA"/>
        <s v="SERGIO CARRIEDO"/>
        <s v="CHECO CANALES"/>
        <s v="CHRISTIAN GUZMAN"/>
        <s v="CHRISTIAN RODRIGUEZ"/>
        <s v="CITLALI CAMACHO"/>
        <s v="SAMARA CRUZ"/>
        <s v="DAVID"/>
        <s v="DAVINIA CERVANTES"/>
        <s v="LUIS DE LA PUENTE"/>
        <s v="EDGAR TARABAY"/>
        <s v="ELEAZAR GUZMAN"/>
        <s v="MIGUEL ANGEL FABELA"/>
        <s v="EDUARDO GONZALEZ"/>
        <s v="HUMBERTO GORDILLO"/>
        <s v="ALEJANDRO CORTES"/>
        <s v="ARTURO CHAVEZ ZAMORA"/>
        <s v="CARLA PALOU"/>
        <s v="CARLOS JUAREZ"/>
        <s v="DAVID LEON"/>
        <s v="EDGAR TARSICIO"/>
        <s v="EDITH GONZALEZ"/>
        <s v="FERNANDO PONCE DE LEON"/>
        <s v="GEORGINA VALDEZ"/>
        <s v="GUILLERMO BARBA"/>
        <s v="GUILLERMO ZAVALA"/>
        <s v="IVAN CASTRO"/>
        <s v="IVAN VERDIN"/>
        <s v="JAIME CALDERON"/>
        <s v="JORGE VAZQUEZ"/>
        <s v="JOSE QUINTERO"/>
        <s v="JOSE PADILLA"/>
        <s v="JOSUE ESCUTIA"/>
        <s v="JUAN PABLO TOLEDO"/>
        <s v="JUAN TINAJERO"/>
        <s v="LENIN"/>
        <s v="LEONARDO GARCIA"/>
        <s v="LUIS CERVANTES"/>
        <s v="MARTHA GUERRERO"/>
        <s v="MAURICIO LARA"/>
        <s v="ROMAN ACOSTA"/>
        <s v="SILVIA HERRERA"/>
        <s v="TAMARA MUÑOZ"/>
        <s v="TITO BERNE"/>
        <s v="ULISES CERVERA"/>
        <s v="VICENTE ROJAS"/>
        <s v="VICTOR MANUEL GLEZ"/>
        <s v="JOSE MOLINA"/>
        <s v="JOSE RAMON VALENCIA"/>
        <s v="RODOLFO MEDINA"/>
        <s v="PATTY LLADO"/>
        <s v="EDUARDO QUINTANA"/>
        <s v="OSCAR HUGO GONZALEZ"/>
        <s v="RAUL ANGELES"/>
        <s v="SAUL QUEVEDO"/>
        <s v="ALEJANDRO GASPAR"/>
        <s v="GABRIELA FRIAS"/>
        <s v="JOSE RAMON BECERA ZENDEJAS"/>
        <s v="ADRIANA ZERMEÑO ZAMORA"/>
        <s v="ALEJANDRA CHAVEZ"/>
        <s v="ALEJANDRO ALFARO"/>
        <s v="ALMA DELIA VELAZQUEZ ALVAREZ"/>
        <s v="ANA CRISTINA MERCADO FERNANDEZ"/>
        <s v="BETATRIZ CAMSCHO CUELLAR"/>
        <s v="BRUNA LUCIANO"/>
        <s v="CAROLINA JARAMILLO"/>
        <s v="CECILIA TRUJILLO"/>
        <s v="CESAR BECERRA ZENDEJAS"/>
        <s v="DAVID ZAMORA BAÑUELOS"/>
        <s v="DIANA MONCAYO"/>
        <s v="ELISA RUVALCABA"/>
        <s v="EVA REBECA ALVAREZ BARAJAS"/>
        <s v="MARIA FERNANDA ALCARAZ MARTIN DEL CAMPO"/>
        <s v="GERARDO ZAMORA SANTOS"/>
        <s v="ENRIQUE ALEJANDRO ZAMORA SANTOS"/>
        <s v="FERANDO ZAMORA SANTOS"/>
        <s v="GEORGINA BÑUELOS SALAZAR"/>
        <s v="GLORIA GARCIA"/>
        <s v="JULIO CESAR ARIAS"/>
        <s v="KATYA SARDO LAUREAN"/>
        <s v="LUIS MAYORGA"/>
        <s v="GUADALUPE FORONDA"/>
        <s v="MARIA JOSE SANDER"/>
        <s v="MARIANA ALCAZAR"/>
        <s v="MARIA ORNELAS OROZCO"/>
        <s v="MARIO DANIEL VELAZQUEZ"/>
        <s v="MAYELA GAMIÑO TOVAR"/>
        <s v="OSCAR ALEJANDRO ZERMENO ZAMORA"/>
        <s v="CLUADIA LORENA ZERMEÑO ZAMORA"/>
        <s v="OSWALDO MUNGUIA"/>
        <s v="PAULINA AGUIRRE"/>
        <s v="ROBERTO MEDIANA POLANCO"/>
        <s v="RODOLFO MARIN MASITERRA"/>
        <s v="ROMINA VAZQUEZ SU"/>
        <s v="RODRIGO ULLOA"/>
        <s v="ANA SOFIA FLORES MACIAS"/>
        <s v="SOFIA LEÑERO"/>
        <s v="URIEL NUÑO"/>
        <s v="WAZTTY RODRIGUEZ"/>
        <s v="MICHEL UNICORNIO"/>
        <s v="PAOLA DE LA TORE"/>
      </sharedItems>
    </cacheField>
    <cacheField name="Fuente" numFmtId="0">
      <sharedItems>
        <s v="Referido"/>
      </sharedItems>
    </cacheField>
    <cacheField name="Siguiente Contacto">
      <sharedItems containsDate="1" containsBlank="1" containsMixedTypes="1">
        <d v="2022-02-03T00:00:00Z"/>
        <d v="2022-02-09T00:00:00Z"/>
        <d v="2022-02-08T00:00:00Z"/>
        <s v="X"/>
        <s v="PLAN ORVI"/>
        <s v="YA TIENE PLANES"/>
        <s v="NO CONTESTA"/>
        <s v="PREGUNTAR NOMBRE"/>
        <s v="NO LE INTERESA"/>
        <s v="YA TIENE PPR Y VARIOS PLANES "/>
        <s v="JUSTO CONTRATO GMM "/>
        <s v="SU HERMANA ES ASESORA"/>
        <s v="BUZON DIRECTO "/>
        <s v="ORVI 99 10 PAGOS"/>
        <s v="PENDIENTE "/>
        <s v="YA TIENE PLANES EN MONTERREY"/>
        <s v="VOLVER A LLAMAR"/>
        <s v="NO INTERESADO"/>
        <s v="BUSCAR EN AGOSTO 2025"/>
        <s v="YA TIENE ASESOR"/>
        <s v="REFERIDOS NADA MAS"/>
        <s v="YA TIENE METFLIFE"/>
        <s v="MAMA ASESORA X"/>
        <s v="YA TIENE ASESOR "/>
        <s v="NUMERO MAL "/>
        <s v="WHAT O ELIMINAR NUM"/>
        <s v="YA TIENE PLANES Y PPR X"/>
        <s v="YA TIENE PLANES X"/>
        <s v="PRIMA ASESORA"/>
        <s v="ES ASESORA DE SEGUROS"/>
        <s v="YA TIENE PLANES "/>
        <s v="BUZON  Y NO ENTRA WHATS"/>
        <s v="NUMERO DIRECTO BUZON"/>
        <s v="YA TIENE UN PLAN CON JOS"/>
        <s v="NO ES EL NUMERO YA"/>
        <s v="NO ESTA DISPONIBLE"/>
        <s v="ULTIMO MSJ"/>
        <s v="YA TIENE PLANES PERO GUARDAR"/>
        <s v="YA TIENE TODO"/>
        <s v="YA TIENE TODO EN GNP"/>
        <m/>
        <s v="YA TIENE PLAN EN SEGUROS"/>
        <s v="BUZON DIRECTO"/>
        <s v="NUMERO CAMBIADO X"/>
        <s v="YA TIENE EN MONTERREY"/>
        <s v="NO INTERESADA "/>
        <s v="MSJ NUEVO "/>
        <s v="VOLVER A LLAMAR "/>
        <s v="YA TIENE TODO EN MONTERREY"/>
        <s v="TODO EN GNP NO INTERESADO"/>
        <s v="NO DISPONIBLE"/>
        <s v="YA ES NO ES ESE NUM"/>
        <s v="SU FAMILIA SE DEDICA SEGUROS"/>
        <s v="NUMERO NO EXISTE"/>
        <s v="LLAMAR A LAS 6PM"/>
        <s v="PLAN ORVI 10"/>
      </sharedItems>
    </cacheField>
    <cacheField name="Referenciado por" numFmtId="0">
      <sharedItems>
        <s v="DR. BARRAGAN"/>
        <s v="CLAUDIO MARTIN"/>
        <s v="CARLA MARTINEZ"/>
        <s v="GERMAN URIBE"/>
        <s v="JOYCE URIBE"/>
        <s v="PRIMO"/>
        <s v="TANIA URIBE"/>
        <s v="DIGNA"/>
        <s v="ANDREA DE LA TORRE"/>
      </sharedItems>
    </cacheField>
    <cacheField name="Diferencia de dia">
      <sharedItems containsBlank="1" containsMixedTypes="1" containsNumber="1" containsInteger="1">
        <n v="-1566.0"/>
        <n v="-1560.0"/>
        <n v="-1561.0"/>
        <e v="#VALUE!"/>
        <s v="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:Y1008" sheet="BD Asesor"/>
  </cacheSource>
  <cacheFields>
    <cacheField name="Cliente" numFmtId="0">
      <sharedItems containsBlank="1">
        <s v="ABRAHAM GALICIA MANCERA"/>
        <s v="ADRIAN ALEJANDRO RAMIREZ MORALES"/>
        <s v="AIDA GRACIELA FLORES BARBA"/>
        <s v="ALEJANDRA DEL CARMEN UREÑA CASILLAS"/>
        <s v="ALEJANDRO ARTURO LOMELI OROZCO"/>
        <s v="ALEJANDRO MORENO TRUJILLO"/>
        <s v="ALEJANDRO SOTO ELIZALDE"/>
        <s v="ALEJANDRO VAZQUEZ RODRIGUEZ"/>
        <s v="ALEXA GISELLE INFANTE JAIME"/>
        <s v="ANA KAREN MUÑIZ CHAVEZ"/>
        <s v="ANA PAULA GONZALEZ LUNA NIÑO"/>
        <s v="ANDREA HERNANDEZ MERCADO"/>
        <s v="ANGELICA ALEJANDRA SANCHEZ DURAN"/>
        <s v="ARNOLD SANCHEZ SANCHEZ"/>
        <s v="BERNARDO GARCIA GOMEZ"/>
        <s v="BETH SUA MONTEJANO CARMONA"/>
        <s v="BLANCA CAROLINA MAGAÑA CASTELLON"/>
        <s v="CARLA ANDREA MARTINEZ LAGOS"/>
        <s v="CARLOS ALBERTO MORALES NOGUEDA"/>
        <s v="CARLOS CASTRO PALAZUELOS"/>
        <s v="CARLOS DAVID AVILA URRUCHUA"/>
        <s v="CARLOS HUMBERTO VILLANUEVA CARMONA"/>
        <s v="CARLOS VERDUZO FAVELA"/>
        <s v="CARLOS XAVIER BARBA LOPEZ"/>
        <s v="CECILIA ARCEO CERVANTES"/>
        <s v="CESAR ISRRAEL HERNANDEZ SANCHEZ"/>
        <s v="CINTHIA NOEMI JASSO TORRES"/>
        <s v="CLAUDIO ALBERTO MARTIN LOPEZ"/>
        <s v="CRISTINA GUADALUPE ALVAREZ HERNANDEZ"/>
        <s v="CRISTINA LETICIA RODRIGUEZ DE LA TORRE"/>
        <s v="CYNTHIA ELIZABETH MORALES ORTEGA"/>
        <s v="DANIELA CABRAL ROMO"/>
        <s v="DANIELA GUADALUPE PEREGRINA GONZALEZ"/>
        <s v="DANIELA NIETO MORAN"/>
        <s v="DARINKA UREÑA CASILLAS"/>
        <s v="DAVID MORENO NERI"/>
        <s v="DENISSE CARDENAS GONZALEZ"/>
        <s v="DIEGO IVAN AGUAYO RAMIREZ"/>
        <s v="DIEGO LEONARDO UREÑA GUARNEROS"/>
        <s v="DIGNA MARIA BAÑUELOS ZAMORA"/>
        <s v="EDER EMMANUEL ALCALA GUTIERREZ"/>
        <s v="EDGAR SANCHEZ GONZALEZ"/>
        <s v="EDUARDO ERNESTO VALLES JARILLO"/>
        <s v="EDUARDO RAMIRO TORRES ALVAREZ"/>
        <s v="EMMANUEL CONTRERAS RIOS"/>
        <s v="EMMANUEL ORTEGA GUTIERREZ"/>
        <s v="ESTEFANI ALEYOIS CONTRERAS RIOS"/>
        <s v="FELICITAS CASILLAS GALINDO"/>
        <s v="FLORENCIA LILIANA CORONA GARNICA"/>
        <s v="FRANCISCO JAVIER VALENCIA PRADO"/>
        <s v="FRANCISCO JOSE MARTIN LOPEZ"/>
        <s v="GLENDA GISELA CASIANO VEGA"/>
        <s v="GUSTAVO GUTIERREZ PLASCENCIA"/>
        <s v="HEBER RAMIREZ LUNA"/>
        <s v="IZCHEL IRAIS GONZALEZ DIAZ"/>
        <s v="JAVIER ALEJANDRO OCHOA FLORES"/>
        <s v="JAVIER RAMOS BARAJAS"/>
        <s v="JAZMIN ALICIA ROMERO JOHNSON"/>
        <s v="JAZMIN JUDITH HERNANDEZ AGUIRRE"/>
        <s v="JENIFER RIVERA LIRA"/>
        <s v="JENNIFER GODINEZ CASILLAS"/>
        <s v="JESUS ADRIAN AVILA CABRAL"/>
        <s v="JORGE FRANCISCO AREVALO CONTRERAS"/>
        <s v="JOSE DANIEL FLORES ARELLANO"/>
        <s v="JOSE FRANCISCO SEDA CEJA"/>
        <s v="JOSEFINA GALVEZ"/>
        <s v="JUAN ANTONIO VELAZQUEZ ALVAREZ"/>
        <s v="JUAN CARLOS CONTRERAS VAZQUEZ"/>
        <s v="KAREN DENISSE SEDA MUÑOZ"/>
        <s v="KAREN ENRIQUEZ LEDEZMA"/>
        <s v="KEVIN IVAN MARCHENA DUEÑAS"/>
        <s v="KIMBERLY MONTSERRAT SEDA MUÑOZ"/>
        <s v="LUCIA ORTEGA RAMIREZ"/>
        <s v="LUZ JIMENA APARICIO GARCIA"/>
        <s v="MARA GABRIELA DUEÑAS SALGADO"/>
        <s v="MARCO ANTONIO RAMOS REYNOSO"/>
        <s v="MARIA AURORA RIOS GALVAN"/>
        <s v="MARIA FLORENTINA CONTRERAS SANTILLAN"/>
        <s v="MARIA GUADALUPE CRISTINA CASTELLON DUEÑAS"/>
        <s v="MARIO ALEJANDRO VALDIVIESO BERNAL"/>
        <s v="MAYRA ALEJANDRA BALDERAS FONSECA"/>
        <s v="MELISSA GUADALUPE ROMERO GARCIA"/>
        <s v="MERCEDES DE LA TORRE FUENTES"/>
        <s v="OCTAVIO MOISES SALDAÑA LOPEZ"/>
        <s v="OMAR RAUL UREÑA CASILLAS"/>
        <s v="ORLANDA JIMENA CERVANTES NUÑEZ"/>
        <s v="OSCAR ARTURO CORREA SOTO"/>
        <s v="OSWALDO NATAEL BAÑUELOS MONTERO"/>
        <s v="PAOLA MONTSERRAT DE LA TORRE IRIGOYEN"/>
        <s v="PAOLA RAMOS REYNOSO"/>
        <s v="RAFAEL CONTRERAS ALVAREZ"/>
        <s v="RAFAEL DE JESUS CONTRERAS RIOS"/>
        <s v="RAFAEL GUADALUPE AREVALO CONTRERAS"/>
        <s v="RAUL ARIAS GARCIA"/>
        <s v="RAUL UREÑA GUZMAN"/>
        <s v="RICARDO GONZALEZ ARECHIGA"/>
        <s v="SALOME GAMEZ FRIAS"/>
        <s v="SANDRA LISSET TORRES HERNANDEZ"/>
        <s v="SARAHI PAULINA OROZCO MARTINEZ"/>
        <s v="SEBASTIANA GUADALUPE GONZALEZ LIZARRAGA"/>
        <s v="SUSANA RODRIGUEZ REYES"/>
        <s v="TZEITEL PAMELA GUARDIAN AVELAR"/>
        <s v="VALERIA JANETH SANCHEZ MUÑOZ"/>
        <s v="VICTOR GALLEGOS MARTINEZ"/>
        <s v="VICTORIA MAGDALENA LEON BERTINE"/>
        <s v="VIVIANA CONTRERAS RIOS"/>
        <s v="RODRIGO GONZALEZ GONZALEZ"/>
        <s v="GIBRAN ARELLANO CORNEJO"/>
        <s v="JUAN JOSE GUZMAN MACIAS"/>
        <s v="VALERIA SANTACRUZ TABARES"/>
        <s v="CARLOS AURELIO NAVA NERI"/>
        <s v="JENNIFER DAYANA CHAVEZ GUTIERREZ"/>
        <s v="MICHELLE BOY ESPINOSA"/>
        <s v="NORA MARIEL SOLANO GUTIERREZ"/>
        <s v="EDGAR EDUARDO MAGAÑA MAGAÑA"/>
        <s v="MONSERRAT ROMO ESQUEDA"/>
        <s v="CLAUDIA FELIPA MACIEL NAVA"/>
        <s v="LIBRA CASTALIA RAMIREZ MUÑOZ"/>
        <s v="DIANA MONTSERRAT FLORES VERA"/>
        <s v="KARLA GABRIELA GARIBAY MORAN"/>
        <s v="JOSE ANTONIO LINAGE GARZA"/>
        <s v="DANIELA LIZETTE LOPEZ LLAMAS"/>
        <s v="ALEJANDRO ACOSTA OLIVAREZ"/>
        <s v="JOSE GUADALUPE MARIN LOPEZ"/>
        <s v="GABRIEL ARMANDO VALLE VIVAR"/>
        <s v="JESUS ARNOLDO BERRELLEZA PLASCENCIA"/>
        <s v="FRIDA ZULEIKA RUIZ HERNANDEZ"/>
        <s v="ANA KAREN GARCIA URIBE"/>
        <s v="SOPHIA PIERRE MONROY"/>
        <s v="GUSTAVO CORDERO HERNANDEZ"/>
        <s v="MARIA FERNANDA SOLANO JIMENEZ&#10;"/>
        <s v="CARLOS ADRIAN CASTRO SEVILLA"/>
        <s v="ARMANDO JONATHAN DE LA CRUZ DIAZ"/>
        <s v="JACQUELINE MERAZ RUIZ"/>
        <s v="CYNTHIA JANNET PARRA FLORES (JORDAN)"/>
        <s v="SAUL RIOS GALVAN"/>
        <s v="OSCAR LARA SILVA"/>
        <s v="RODOLFO IVAN MEJIA TRUJILLO"/>
        <s v="SILVIA ANALI PEREZ ALDRETE"/>
        <s v="DANIELA ALEJANDRA CALVA GARCIA"/>
        <s v="JOB GUERRERO GONZALEZ"/>
        <s v="MARIO ALBERTO GONZALEZ ARIAS "/>
        <s v="KEVIN ONEAL SALCEDO GARCES"/>
        <s v="ABIZABETH GARCIA CEJA"/>
        <s v="LILIANA VERONICA RAMIREZ ROSALES"/>
        <s v="MARTHA ILIANA POLANCO GUZMAN"/>
        <s v="SANDRA ISABEL MACIAS AYON"/>
        <s v="ODALIS ANAHI MACIAS AYON"/>
        <s v="PRISCILA ZUSETH RODRIGUEZ MARQUEZ"/>
        <s v="JULIETA BEATRIZMONTAÑO MARTINEZ"/>
        <s v="ESMERALDA GARCIA BETANCOURT"/>
        <s v="ERIKA VALENTINA DIAZ MENDEZ&#10;"/>
        <s v="MICHELLE GARCIA CHAVEZ"/>
        <s v="LEONARDO CARDENAS ROMO (MONSERRAT ROMO)&#10;"/>
        <s v="VENUS ELIZABETH SILVA SANTANA"/>
        <s v="GABRIELA ALEJANDRA GUZMAN NAVARRO"/>
        <s v="MARIANA GONZALEZ ARIAS"/>
        <s v="ANTONIO CORDERO ROMERO"/>
        <s v="JESSICA ANDREA ORDOÑEZ DUARTE"/>
        <s v="CLAUDIA ALEJANDRA NAVARRO AGRAZ"/>
        <s v="MARIANA SOFIA TORRES MENDOZA"/>
        <s v="PAOLA JUDITH RAMIREZ ROSALES"/>
        <s v="VERONICA FLORES VILLAVICENCIO- FRANCESCA DAIANA"/>
        <s v="MARIO HUMBERTO VILLANUEVA IBARRA"/>
        <s v="LIZETTE GONZALEZ ARIAS&#10;"/>
        <s v="JESUS EMILIANO CONTRERAS RIOS"/>
        <s v="RICARDO SOTELO CASILLS"/>
        <s v="JORGE DE THOMAS MURILLO"/>
        <s v="VICTOR MANUEL ARANDA ROMO"/>
        <s v="JUDITH PAOLA DIAZ LIZARRAGA"/>
        <s v="AUREA MARISOL MARTINEZ OSORNIO"/>
        <s v="MARDICHA GUADALUPE ARAMBULA RODRIGUEZ"/>
        <s v="MIGUEL ANGEL AGUILAR CHAVEZ"/>
        <s v="CESAR ALFREDO CERVANTES DEL VALLE"/>
        <s v="ANYELA SANCHEZ GOMEZ"/>
        <s v="CHRISTIAN JAIR QUEZADA IBARRA"/>
        <s v="DEBANHI ESTEFANIA QUEZADA IBARRA"/>
        <s v="MARTHA ESTELA IBARRA BORRAYO&#10;"/>
        <s v="GERARDO ALBERTO QUEZADA GARCIA&#10;"/>
        <s v="MARIA RAQUEL CONTRERAS ALVAREZ"/>
        <s v="DELIA CONTRERAS ALVAREZ"/>
        <s v="JULIO CESAR LOPEZ GOMEZ&#10;"/>
        <s v="EDGAR ADAN FRANQUEZ FLORES"/>
        <s v="INDRA YATZIRI FRANQUEZ FLORES"/>
        <s v="FRANCISCO JAVIER MENDOZA FARIAS"/>
        <s v="ANGEL GONZALEZ MARTIN"/>
        <s v="ROBERTO LEONEL BARAJAS BANDA"/>
        <s v="LUIS HECTOR RIOS GARCIA "/>
        <s v="MIGUEL ANGEL JAUREGUI VILLASEÑOR"/>
        <s v="PEDRO IVAN NAVARRO GONZALEZ"/>
        <s v="GEMA ITZEL LANDEROS CARRILLO"/>
        <s v="ABRAHAM YAEL ALVAREZ OBRIEN"/>
        <s v="ANDREA ABIGAIL ALVAREZ OBRIEN"/>
        <s v="STEPHANIE MICHELLE GUERRA RODRIGUEZ"/>
        <s v="MARCO CESAR PRECIADO ALVAREZ"/>
        <s v="MARIA SOLEDAD CONTRERAS ALVAREZ"/>
        <s v="ADRIAN ALONSO CASTILLO GARCIA"/>
        <s v="DIANA MONTSERRAT FLORES VERA&#10;"/>
        <s v="ALEJANDRO LOPEZ FLORES"/>
        <s v="LUIS ALBERTO LOZANO GONZALEZ&#10;"/>
        <s v="OMAR ALEJANDRO PALOMINO RUIZ&#10;"/>
        <s v="DANIELA ALEJANDRA CALVA GARCIA&#10;"/>
        <s v="FRANCISCO ISRAEL RAMOS RENTERIA "/>
        <s v="GUILLERMINA RENTERIA BRAMBILA"/>
        <s v="MARIA PAULINA MELGAREJO GUILLEN"/>
        <s v="NAYELI DEL CARMEN GONZALEZ GARCIA"/>
        <s v="PASCUAL JAUREGUI MATA"/>
        <s v="ALEJANDRA UREÑA CASILLAS (JESSICA) "/>
        <s v="JULIO SANTIAGO AGUILERA ROMO"/>
        <s v="JUAN CARLOS CASILLAS GALINDO"/>
        <s v="FRANCISCO JAVIER PEREZ ANGUIANO"/>
        <s v="ALEJANDRA NAYELI GUZMAN SORIA"/>
        <s v="JORGE FRANCISCO AREVALO CONTRERAS&#10;"/>
        <s v="LAURA GUADALUPE BECERRA GOMEZ"/>
        <m/>
      </sharedItems>
    </cacheField>
    <cacheField name="Sexo" numFmtId="0">
      <sharedItems containsBlank="1">
        <s v="H"/>
        <s v="M"/>
        <s v="F"/>
        <m/>
      </sharedItems>
    </cacheField>
    <cacheField name="Estado" numFmtId="0">
      <sharedItems containsBlank="1">
        <s v="Activo"/>
        <m/>
      </sharedItems>
    </cacheField>
    <cacheField name="Emisión">
      <sharedItems containsDate="1" containsBlank="1" containsMixedTypes="1">
        <d v="2021-02-11T00:00:00Z"/>
        <d v="2021-02-20T00:00:00Z"/>
        <d v="2022-01-20T00:00:00Z"/>
        <d v="2022-01-15T00:00:00Z"/>
        <d v="2020-12-03T00:00:00Z"/>
        <d v="2020-06-26T00:00:00Z"/>
        <d v="2022-10-10T00:00:00Z"/>
        <d v="2020-03-03T00:00:00Z"/>
        <d v="2022-07-11T00:00:00Z"/>
        <d v="2022-02-11T00:00:00Z"/>
        <d v="2021-09-28T00:00:00Z"/>
        <d v="2020-07-30T00:00:00Z"/>
        <d v="2020-10-21T00:00:00Z"/>
        <d v="2021-02-14T00:00:00Z"/>
        <d v="2020-11-11T00:00:00Z"/>
        <d v="2021-03-23T00:00:00Z"/>
        <d v="2020-12-20T00:00:00Z"/>
        <d v="2020-02-17T00:00:00Z"/>
        <d v="2022-10-25T00:00:00Z"/>
        <d v="2020-09-30T00:00:00Z"/>
        <d v="2023-01-04T00:00:00Z"/>
        <d v="2022-03-12T00:00:00Z"/>
        <d v="2022-07-31T00:00:00Z"/>
        <d v="2022-04-26T00:00:00Z"/>
        <d v="2021-07-12T00:00:00Z"/>
        <d v="2022-03-26T00:00:00Z"/>
        <d v="2022-09-27T00:00:00Z"/>
        <d v="2021-12-30T00:00:00Z"/>
        <d v="2021-05-17T00:00:00Z"/>
        <d v="2022-06-16T00:00:00Z"/>
        <d v="2022-07-13T00:00:00Z"/>
        <d v="2022-09-22T00:00:00Z"/>
        <d v="2022-02-24T00:00:00Z"/>
        <d v="2021-08-31T00:00:00Z"/>
        <d v="2022-12-21T00:00:00Z"/>
        <d v="2021-01-28T00:00:00Z"/>
        <d v="2021-01-29T00:00:00Z"/>
        <d v="2021-12-06T00:00:00Z"/>
        <d v="2021-08-05T00:00:00Z"/>
        <d v="2020-05-14T00:00:00Z"/>
        <d v="2022-08-06T00:00:00Z"/>
        <d v="2021-02-08T00:00:00Z"/>
        <d v="2020-10-27T00:00:00Z"/>
        <d v="2021-05-27T00:00:00Z"/>
        <d v="2017-09-04T00:00:00Z"/>
        <d v="2020-08-21T00:00:00Z"/>
        <d v="2020-12-08T00:00:00Z"/>
        <d v="2022-11-30T00:00:00Z"/>
        <d v="2020-07-22T00:00:00Z"/>
        <d v="2021-02-22T00:00:00Z"/>
        <d v="2021-07-18T00:00:00Z"/>
        <d v="2022-12-28T00:00:00Z"/>
        <d v="2022-03-02T00:00:00Z"/>
        <d v="2020-08-10T00:00:00Z"/>
        <d v="2021-03-25T00:00:00Z"/>
        <d v="2020-09-22T00:00:00Z"/>
        <d v="2021-03-21T00:00:00Z"/>
        <d v="2020-09-18T00:00:00Z"/>
        <d v="2020-07-08T00:00:00Z"/>
        <d v="2020-06-30T00:00:00Z"/>
        <d v="2020-07-07T00:00:00Z"/>
        <d v="2022-03-21T00:00:00Z"/>
        <d v="2020-02-06T00:00:00Z"/>
        <d v="2021-06-15T00:00:00Z"/>
        <d v="2020-05-04T00:00:00Z"/>
        <d v="2021-06-19T00:00:00Z"/>
        <d v="2021-11-16T00:00:00Z"/>
        <d v="2020-08-16T00:00:00Z"/>
        <d v="2020-12-12T00:00:00Z"/>
        <d v="2018-05-29T00:00:00Z"/>
        <d v="2022-06-28T00:00:00Z"/>
        <d v="2022-10-14T00:00:00Z"/>
        <d v="2019-08-06T00:00:00Z"/>
        <d v="2020-09-17T00:00:00Z"/>
        <d v="2021-09-02T00:00:00Z"/>
        <d v="2021-12-14T00:00:00Z"/>
        <d v="2022-09-14T00:00:00Z"/>
        <d v="2021-11-07T00:00:00Z"/>
        <d v="2022-05-12T00:00:00Z"/>
        <d v="2020-12-09T00:00:00Z"/>
        <d v="2022-04-27T00:00:00Z"/>
        <d v="2021-04-23T00:00:00Z"/>
        <d v="2022-08-09T00:00:00Z"/>
        <d v="2022-12-18T00:00:00Z"/>
        <d v="2022-05-17T00:00:00Z"/>
        <d v="2021-03-04T00:00:00Z"/>
        <d v="2021-08-25T00:00:00Z"/>
        <d v="2022-04-08T00:00:00Z"/>
        <d v="2021-09-30T00:00:00Z"/>
        <d v="2020-08-28T00:00:00Z"/>
        <d v="2021-11-03T00:00:00Z"/>
        <d v="2021-10-27T00:00:00Z"/>
        <d v="2022-07-29T00:00:00Z"/>
        <d v="2022-10-17T00:00:00Z"/>
        <d v="2021-09-17T00:00:00Z"/>
        <d v="2021-06-25T00:00:00Z"/>
        <d v="2020-11-22T00:00:00Z"/>
        <d v="2022-05-30T00:00:00Z"/>
        <d v="2021-06-10T00:00:00Z"/>
        <d v="2021-05-26T00:00:00Z"/>
        <d v="2021-04-28T00:00:00Z"/>
        <d v="2021-08-27T00:00:00Z"/>
        <d v="2022-04-07T00:00:00Z"/>
        <d v="2021-07-23T00:00:00Z"/>
        <d v="2020-11-12T00:00:00Z"/>
        <d v="2020-04-29T00:00:00Z"/>
        <d v="2020-10-13T00:00:00Z"/>
        <d v="2020-11-26T00:00:00Z"/>
        <d v="2022-08-28T00:00:00Z"/>
        <d v="2022-01-04T00:00:00Z"/>
        <d v="2021-06-08T00:00:00Z"/>
        <d v="2021-12-10T00:00:00Z"/>
        <d v="2022-10-28T00:00:00Z"/>
        <d v="2022-07-12T00:00:00Z"/>
        <d v="2021-04-26T00:00:00Z"/>
        <d v="2023-01-29T00:00:00Z"/>
        <d v="2023-02-09T00:00:00Z"/>
        <d v="2023-02-16T00:00:00Z"/>
        <d v="2023-02-23T00:00:00Z"/>
        <d v="2023-03-15T00:00:00Z"/>
        <d v="2023-03-23T00:00:00Z"/>
        <d v="2023-04-10T00:00:00Z"/>
        <d v="2023-04-12T00:00:00Z"/>
        <d v="2023-04-20T00:00:00Z"/>
        <d v="2023-04-28T00:00:00Z"/>
        <d v="2023-05-10T00:00:00Z"/>
        <d v="2023-05-25T00:00:00Z"/>
        <d v="2023-05-30T00:00:00Z"/>
        <d v="2023-06-26T00:00:00Z"/>
        <d v="2023-06-28T00:00:00Z"/>
        <d v="2023-07-12T00:00:00Z"/>
        <d v="2023-07-18T00:00:00Z"/>
        <d v="2023-07-25T00:00:00Z"/>
        <d v="2023-08-01T00:00:00Z"/>
        <d v="2023-08-03T00:00:00Z"/>
        <d v="2023-08-11T00:00:00Z"/>
        <d v="2023-08-14T00:00:00Z"/>
        <d v="2023-08-23T00:00:00Z"/>
        <d v="2023-08-30T00:00:00Z"/>
        <d v="2023-09-01T00:00:00Z"/>
        <d v="2023-09-12T00:00:00Z"/>
        <d v="2023-09-11T00:00:00Z"/>
        <d v="2023-10-17T00:00:00Z"/>
        <d v="2023-10-27T00:00:00Z"/>
        <d v="2023-11-10T00:00:00Z"/>
        <d v="2023-11-13T00:00:00Z"/>
        <d v="2023-11-14T00:00:00Z"/>
        <d v="2023-11-16T00:00:00Z"/>
        <d v="2023-11-26T00:00:00Z"/>
        <d v="2023-12-15T00:00:00Z"/>
        <d v="2023-12-21T00:00:00Z"/>
        <d v="2023-12-26T00:00:00Z"/>
        <d v="2024-01-15T00:00:00Z"/>
        <d v="2024-01-24T00:00:00Z"/>
        <d v="2024-01-25T00:00:00Z"/>
        <d v="2024-02-02T00:00:00Z"/>
        <d v="2024-02-07T00:00:00Z"/>
        <d v="2024-02-17T00:00:00Z"/>
        <d v="2024-02-27T00:00:00Z"/>
        <d v="2024-03-20T00:00:00Z"/>
        <d v="2024-04-01T00:00:00Z"/>
        <d v="2024-04-08T00:00:00Z"/>
        <d v="2024-04-18T00:00:00Z"/>
        <d v="2024-04-26T00:00:00Z"/>
        <d v="2024-04-29T00:00:00Z"/>
        <d v="2024-04-30T00:00:00Z"/>
        <d v="2024-05-13T00:00:00Z"/>
        <d v="2024-05-16T00:00:00Z"/>
        <d v="2024-05-23T00:00:00Z"/>
        <d v="2024-05-24T00:00:00Z"/>
        <d v="2024-05-31T00:00:00Z"/>
        <d v="2024-06-14T00:00:00Z"/>
        <d v="2024-06-24T00:00:00Z"/>
        <d v="2024-07-08T00:00:00Z"/>
        <d v="2024-08-02T00:00:00Z"/>
        <d v="2024-08-24T00:00:00Z"/>
        <d v="2024-08-26T00:00:00Z"/>
        <d v="2024-09-03T00:00:00Z"/>
        <d v="2024-09-18T00:00:00Z"/>
        <d v="2024-10-08T00:00:00Z"/>
        <s v="11//10/2024"/>
        <d v="2024-10-28T00:00:00Z"/>
        <d v="2024-10-30T00:00:00Z"/>
        <d v="2024-11-09T00:00:00Z"/>
        <d v="2024-11-11T00:00:00Z"/>
        <d v="2018-06-11T00:00:00Z"/>
        <d v="2024-11-14T00:00:00Z"/>
        <d v="2024-11-19T00:00:00Z"/>
        <d v="2024-11-26T00:00:00Z"/>
        <d v="2024-12-11T00:00:00Z"/>
        <d v="2024-12-24T00:00:00Z"/>
        <d v="2025-01-09T00:00:00Z"/>
        <d v="2025-01-10T00:00:00Z"/>
        <d v="2025-01-15T00:00:00Z"/>
        <d v="2025-01-26T00:00:00Z"/>
        <d v="2024-06-25T00:00:00Z"/>
        <d v="2025-01-30T00:00:00Z"/>
        <d v="2025-02-10T00:00:00Z"/>
        <d v="2025-02-12T00:00:00Z"/>
        <d v="2025-02-13T00:00:00Z"/>
        <d v="2025-02-20T00:00:00Z"/>
        <d v="2025-02-26T00:00:00Z"/>
        <d v="2025-02-27T00:00:00Z"/>
        <d v="2025-02-24T00:00:00Z"/>
        <d v="2025-03-15T00:00:00Z"/>
        <d v="2025-04-28T00:00:00Z"/>
        <d v="2018-05-18T00:00:00Z"/>
        <d v="2025-05-21T00:00:00Z"/>
        <d v="2009-10-23T00:00:00Z"/>
        <d v="2025-06-11T00:00:00Z"/>
        <d v="2025-06-18T00:00:00Z"/>
        <d v="2025-07-20T00:00:00Z"/>
        <d v="2025-07-23T00:00:00Z"/>
        <d v="2025-08-25T00:00:00Z"/>
        <d v="2025-08-28T00:00:00Z"/>
        <d v="2025-09-04T00:00:00Z"/>
        <d v="2025-09-19T00:00:00Z"/>
        <d v="2025-09-30T00:00:00Z"/>
        <d v="2025-10-30T00:00:00Z"/>
        <d v="2025-11-07T00:00:00Z"/>
        <d v="2025-11-28T00:00:00Z"/>
        <d v="2026-02-12T00:00:00Z"/>
        <d v="2026-02-20T00:00:00Z"/>
        <d v="2026-02-23T00:00:00Z"/>
        <d v="2026-04-13T00:00:00Z"/>
        <d v="2026-04-15T00:00:00Z"/>
        <d v="2026-04-16T00:00:00Z"/>
        <d v="2026-04-22T00:00:00Z"/>
        <d v="2026-04-24T00:00:00Z"/>
        <d v="2026-04-29T00:00:00Z"/>
        <d v="2026-05-07T00:00:00Z"/>
        <d v="2026-05-08T00:00:00Z"/>
        <d v="2026-05-13T00:00:00Z"/>
        <m/>
      </sharedItems>
    </cacheField>
    <cacheField name="Número de póliza" numFmtId="0">
      <sharedItems containsBlank="1">
        <s v="GM0000512930"/>
        <s v="VI0002585905"/>
        <s v="GM0000551209"/>
        <s v="VI0002645864"/>
        <s v="VI0002570983"/>
        <s v="GM0000478411"/>
        <s v="GM0000579437"/>
        <s v="VI0002521501"/>
        <s v="VI0002678022"/>
        <s v="GM0000551319"/>
        <s v="VI0002650072"/>
        <s v="GM0000540142"/>
        <s v="VI0002546462"/>
        <s v="GM0000496075"/>
        <s v="GM0000513096"/>
        <s v="VI0002566080"/>
        <s v="VI0002591407"/>
        <s v="VI0002573965"/>
        <s v="VI0002517934"/>
        <s v="VI0002697696"/>
        <s v="VI0002698084"/>
        <s v="VI0002558023"/>
        <s v="GM0000588897"/>
        <s v="VI0002654798"/>
        <s v="VI0002682439"/>
        <s v="VI0002662475"/>
        <s v="VI0002613039"/>
        <s v="VI0002657416"/>
        <s v="VI0002692302"/>
        <s v="GM0000549543"/>
        <s v="VI0002601742"/>
        <s v="VI0002672529"/>
        <s v="VI0002678390"/>
        <s v="VI0002690934"/>
        <s v="VI0002652270"/>
        <s v="GM0000537417"/>
        <s v="VI0002709431"/>
        <s v="GM0000510955"/>
        <s v="VI0002582479"/>
        <s v="GM0000546753"/>
        <s v="VI0002617376"/>
        <s v="VI0002531698"/>
        <s v="GM0000573459"/>
        <s v="VI0002583535"/>
        <s v="VI0002563282"/>
        <s v="GM0000526123"/>
        <s v="GM0000351999"/>
        <s v="VI0002550138"/>
        <s v="VI0002571494"/>
        <s v="GM0000585100"/>
        <s v="GM0000482513"/>
        <s v="VI0002585935"/>
        <s v="VI0002613934"/>
        <s v="VI0002711484"/>
        <s v="GM0000556025"/>
        <s v="VI0002548210"/>
        <s v="VI00025924219"/>
        <s v="GM0000492375"/>
        <s v="GM0000586871"/>
        <s v="VI0002591210"/>
        <s v="VI0002555595"/>
        <s v="VI0002542137"/>
        <s v="GM0000479419"/>
        <s v="VI0002541931"/>
        <s v="GM0000540124"/>
        <s v="VI0002656531"/>
        <s v="GM0000452776"/>
        <s v="VI0002607534"/>
        <s v="VI0002530480"/>
        <s v="VI0002608269"/>
        <s v="VI0002634302"/>
        <s v="VI0002549354"/>
        <s v="VI0002572565"/>
        <s v="VI0002379720"/>
        <s v="VI0002675317"/>
        <s v="VI0002695547"/>
        <s v="VI0002475012"/>
        <s v="VI0002554845"/>
        <s v="GM0000537792"/>
        <s v="VI0002639310"/>
        <s v="VI0002517688"/>
        <s v="VI0002689899"/>
        <s v="GM0000544016"/>
        <s v="VI0002666463"/>
        <s v="VI0002571751"/>
        <s v="VI0002645729"/>
        <s v="VI0002662801"/>
        <s v="VI0002597383"/>
        <s v="VI0002683192"/>
        <s v="VI0002591305"/>
        <s v="GM0000586501"/>
        <s v="VI0002667040"/>
        <s v="VI0002588611"/>
        <s v="VI0002592088"/>
        <s v="VI0002620401"/>
        <s v="GM0000559843"/>
        <s v="VI0002626529"/>
        <s v="VI0002546647"/>
        <s v="VI0002552195"/>
        <s v="GM0000543671"/>
        <s v="VI0002632359"/>
        <s v="GM000543045"/>
        <s v="VI0002682147"/>
        <s v="GM0000580168"/>
        <s v="GM0000538831"/>
        <s v="VI0002610198"/>
        <s v="GM0000501198"/>
        <s v="VI0002669529"/>
        <s v="VI0002606703"/>
        <s v="VI0002603817"/>
        <s v="VI0002598609"/>
        <s v="GM000537085"/>
        <s v="VI0002660408"/>
        <s v="GM0000482649"/>
        <s v="VI0002566243"/>
        <s v="VI0002529863"/>
        <s v="VI0002560246"/>
        <s v="VI0002569421"/>
        <s v="VI0002686391"/>
        <s v="VI0002644574"/>
        <s v="VI0002675267"/>
        <s v="VI0002606377"/>
        <s v="GM0000547172"/>
        <s v="GM0000581018"/>
        <s v="VI0002698126"/>
        <s v="GM0000570410"/>
        <s v="VI0002597603"/>
        <s v="VI0002717134"/>
        <s v="VI0002719472"/>
        <s v="GM0000593612"/>
        <s v="GM00000594397"/>
        <s v="VI0002722090"/>
        <s v="VI0002722445"/>
        <s v="VI0002726188"/>
        <s v="GM0000597472"/>
        <s v="GM0000599355"/>
        <s v="GM0000599595"/>
        <s v="GM0000599611"/>
        <s v="GM0000600689"/>
        <s v="VI0002736210"/>
        <s v="VI0002737615"/>
        <s v="VI0002740454"/>
        <s v="VI0002742125"/>
        <s v="VI0002747846"/>
        <s v="VI0002748901"/>
        <s v="GM0000612213"/>
        <s v="GM0000612841"/>
        <s v="GM0000613371"/>
        <s v="VI0002754599"/>
        <s v="GM0000614530"/>
        <s v="GM0000614783"/>
        <s v="GM0000615542"/>
        <s v="GM0000615625"/>
        <s v="GM0000616881"/>
        <s v="VI0002762846"/>
        <s v="VI0002764000"/>
        <s v="VI0002765196"/>
        <s v="GM0000619189"/>
        <s v="GM0000623434"/>
        <s v="GM0000624742"/>
        <s v="GM0000626399"/>
        <s v="VI0002779689"/>
        <s v="GM0000626694"/>
        <s v="VI0002779648"/>
        <s v="VI0002781309"/>
        <s v="GM0000627132"/>
        <s v="GM0000628200"/>
        <s v="GM0000631291"/>
        <s v="VI0002790754"/>
        <s v="VI0002791784"/>
        <s v="VI0002796083"/>
        <s v="VI0002789159"/>
        <s v="GM0000635721"/>
        <s v="VI0002801119"/>
        <s v="GM0000637539"/>
        <s v="GM0000637690"/>
        <s v="GM0000637709&#10;"/>
        <s v="VI0002803707"/>
        <s v="VI0002806324"/>
        <s v="VI0002806319"/>
        <s v="VI0002811699"/>
        <s v="VI0002815231"/>
        <s v="GM0000646763&#10;"/>
        <s v="VI0002818961"/>
        <s v="VI0002821361"/>
        <s v="VI0002821938"/>
        <s v="VI0002822471"/>
        <s v="VI0002824693"/>
        <s v="VI0002825632"/>
        <s v="VI0002827377"/>
        <s v="GM0000653524"/>
        <s v="GM0000657031"/>
        <s v="VI0002832905"/>
        <s v="VI0002835245"/>
        <s v="VI0002839392&#10;"/>
        <s v="GM0000664424"/>
        <s v="VI0002849484"/>
        <s v="VI0002849827"/>
        <s v="GM0000668487"/>
        <s v="VI0002854840"/>
        <s v="GM0000672845"/>
        <s v="VI0002860799"/>
        <s v="VI0002860951  "/>
        <s v="VI0002864556"/>
        <s v="VI0002865953"/>
        <s v="GM000677220"/>
        <s v="VI0002867999"/>
        <s v="VI0002382839"/>
        <s v="VI0002868817"/>
        <s v="VI0002868903"/>
        <s v="VI0002868991"/>
        <s v="VI0002869958"/>
        <s v="VI0002871387"/>
        <s v="VI0002875542"/>
        <s v="VI0002879209"/>
        <s v="VI0002883180"/>
        <s v="VI0002883288"/>
        <s v="VI0002883856"/>
        <s v="VI0002885836"/>
        <s v="VI0002835520 "/>
        <s v="VI0002888021"/>
        <s v="VI0002889651"/>
        <s v="GM0000690516"/>
        <s v="GM0000690659"/>
        <s v="GM0000691919"/>
        <s v="VI0002893868"/>
        <s v="GM0000693679"/>
        <s v="GM0000694259"/>
        <s v="VI0002892849"/>
        <s v="VI0002894340"/>
        <s v="GM0000697387"/>
        <s v="VI0002908138"/>
        <s v="VI0002907604"/>
        <s v="VI0002377266"/>
        <s v="VI0002912807"/>
        <s v="GM0000109592"/>
        <s v="VI0002918199"/>
        <s v="VI0002920158"/>
        <s v="VI0002926711"/>
        <s v="VI0002927385        "/>
        <s v="GM0000717235        "/>
        <s v="VI0002934393        "/>
        <s v="GM0000717723"/>
        <s v="GM0000718818"/>
        <s v="VI0002939754        "/>
        <s v="VI0002942898"/>
        <s v="GM00007222222"/>
        <s v="GM0000725885"/>
        <s v="GM0000726756"/>
        <s v="VI0002955982"/>
        <s v="VI0002871821"/>
        <s v="VI0002972477"/>
        <s v="VI0002973654"/>
        <s v="VI0002983482"/>
        <s v="VI0002983787"/>
        <s v="GM0000748044"/>
        <s v="VI00002985331"/>
        <s v="VI0002985884"/>
        <s v="VI0002987105"/>
        <s v="VI0002988441"/>
        <s v="VI0002988641"/>
        <s v="VI0002989327"/>
        <m/>
      </sharedItems>
    </cacheField>
    <cacheField name=" Prima anual" numFmtId="164">
      <sharedItems containsString="0" containsBlank="1" containsNumber="1">
        <n v="16966.920000000002"/>
        <n v="66766.13999999998"/>
        <n v="22071.02"/>
        <n v="52580.286"/>
        <n v="27828.022500000003"/>
        <n v="10660.33"/>
        <n v="13490.0"/>
        <n v="40562.97750000001"/>
        <n v="25621.227"/>
        <n v="25192.01"/>
        <n v="84638.52900000001"/>
        <n v="15641.78"/>
        <n v="29765.232000000004"/>
        <n v="18513.96"/>
        <n v="27410.848560000002"/>
        <n v="15254.72816"/>
        <n v="20190.06464"/>
        <n v="13927.078800000001"/>
        <n v="61122.888000000006"/>
        <n v="24384.451500000003"/>
        <n v="26092.16788"/>
        <n v="34465.52"/>
        <n v="36597.6746"/>
        <n v="24786.0"/>
        <n v="38745.0468"/>
        <n v="67785.28344"/>
        <n v="19822.540800000002"/>
        <n v="38869.956"/>
        <n v="18327.44"/>
        <n v="32272.01548"/>
        <n v="94684.68359999999"/>
        <n v="16172.7696"/>
        <n v="39051.72"/>
        <n v="60000.0"/>
        <n v="18615.96"/>
        <n v="84758.5575"/>
        <n v="10726.88"/>
        <n v="55154.67716"/>
        <n v="17852.66"/>
        <n v="23177.631600000004"/>
        <n v="16656.333540000003"/>
        <n v="16569.27"/>
        <n v="31768.77288"/>
        <n v="38049.69608"/>
        <n v="17055.12"/>
        <n v="17836.199999999997"/>
        <n v="34835.20728"/>
        <n v="25934.860080000002"/>
        <n v="53812.08"/>
        <n v="13642.72"/>
        <n v="19209.916040000004"/>
        <n v="25139.067680000004"/>
        <n v="18979.65"/>
        <n v="38717.24"/>
        <n v="27696.138000000003"/>
        <n v="26030.95308"/>
        <n v="59203.92"/>
        <n v="30717.59"/>
        <n v="65160.59212"/>
        <n v="21761.1496"/>
        <n v="39766.91358000001"/>
        <n v="16188.72"/>
        <n v="27904.55304"/>
        <n v="18729.56"/>
        <n v="50638.2642"/>
        <n v="17176.32"/>
        <n v="23822.451220000003"/>
        <n v="26561.030540000003"/>
        <n v="17576.90448"/>
        <n v="19488.51456"/>
        <n v="59105.95014"/>
        <n v="38849.90164"/>
        <n v="34107.489"/>
        <n v="16748.0079"/>
        <n v="22141.242"/>
        <n v="27822.744000000002"/>
        <n v="17406.641920000002"/>
        <n v="50624.26"/>
        <n v="55173.61104"/>
        <n v="19102.71896"/>
        <n v="15536.767500000002"/>
        <n v="28128.24"/>
        <n v="30500.4965"/>
        <n v="26628.438000000002"/>
        <n v="18095.16606"/>
        <n v="19222.083599999998"/>
        <n v="26260.864480000004"/>
        <n v="15773.688000000002"/>
        <n v="35897.78232"/>
        <n v="16892.77"/>
        <n v="18693.9189"/>
        <n v="13525.76596"/>
        <n v="65127.42224000001"/>
        <n v="32089.509960000003"/>
        <n v="52820.9"/>
        <n v="25767.16"/>
        <n v="27049.96596"/>
        <n v="39263.528620000005"/>
        <n v="17438.77"/>
        <n v="51246.25454"/>
        <n v="10470.68"/>
        <n v="51727.311"/>
        <n v="10727.04"/>
        <n v="31556.64"/>
        <n v="38433.71218"/>
        <n v="13611.33"/>
        <n v="46310.426900000006"/>
        <n v="31557.93772"/>
        <n v="200978.4504"/>
        <n v="64606.527"/>
        <n v="10709.18"/>
        <n v="62550.12"/>
        <n v="15927.34"/>
        <n v="57496.072080000005"/>
        <n v="26465.506980000002"/>
        <n v="17804.9652"/>
        <n v="26536.75816"/>
        <n v="63507.087"/>
        <n v="17599.11264"/>
        <n v="20042.694"/>
        <n v="35707.30464"/>
        <n v="29109.96"/>
        <n v="72171.84"/>
        <n v="30582.252"/>
        <n v="17861.38"/>
        <n v="38765.055080000006"/>
        <n v="61523.0642"/>
        <n v="36665.09"/>
        <n v="15849.76"/>
        <n v="17776.7"/>
        <n v="18688.7304"/>
        <n v="50837.7364"/>
        <n v="24311.847199999997"/>
        <n v="20990.62"/>
        <n v="15326.6"/>
        <n v="39395.31"/>
        <n v="24922.4"/>
        <n v="67837.94"/>
        <n v="30407.52"/>
        <n v="24646.908"/>
        <n v="16824.5304"/>
        <n v="51787.788"/>
        <n v="20343.96"/>
        <n v="123987.396"/>
        <n v="18253.64"/>
        <n v="15482.64"/>
        <n v="60397.95"/>
        <n v="61108.31999999999"/>
        <n v="20624.94"/>
        <n v="17090.42"/>
        <n v="41364.64"/>
        <n v="17394.01"/>
        <n v="38718.03"/>
        <n v="20185.541999999998"/>
        <n v="26203.632"/>
        <n v="35546.1345"/>
        <n v="17807.18"/>
        <n v="10389.52"/>
        <n v="42609.0"/>
        <n v="16472.4168"/>
        <n v="22205.1"/>
        <n v="120522.6925"/>
        <n v="15635.143300000002"/>
        <n v="18354.91"/>
        <n v="18970.47"/>
        <n v="13940.68"/>
        <n v="18117.073800000002"/>
        <n v="18867.1938"/>
        <n v="24734.807999999997"/>
        <n v="19100.771999999997"/>
        <n v="17081.04"/>
        <n v="120791.65499999998"/>
        <n v="19833.81"/>
        <n v="15476.98"/>
        <n v="26730.72"/>
        <n v="19073.67"/>
        <n v="60097.869"/>
        <n v="59942.592"/>
        <n v="26535.762"/>
        <n v="39203.271"/>
        <n v="20137.02"/>
        <n v="25546.492500000004"/>
        <n v="25180.3986"/>
        <n v="56583.499200000006"/>
        <n v="50167.5471"/>
        <n v="18672.171000000002"/>
        <n v="35057.2104"/>
        <n v="24091.466400000005"/>
        <n v="22499.7"/>
        <n v="24624.14"/>
        <n v="67082.9112"/>
        <n v="20683.1515"/>
        <n v="18682.571000000004"/>
        <n v="18671.92"/>
        <n v="80230.0125"/>
        <n v="20239.9725"/>
        <n v="19334.56"/>
        <n v="25364.0384"/>
        <n v="20384.47"/>
        <n v="62007.495"/>
        <n v="36613.83"/>
        <n v="18033.84"/>
        <n v="18606.9675"/>
        <n v="23031.73"/>
        <n v="24123.7342"/>
        <n v="73182.46199999998"/>
        <n v="24005.789999999997"/>
        <n v="24255.845999999998"/>
        <n v="50479.1028"/>
        <n v="120493.87199999999"/>
        <n v="18346.403000000002"/>
        <n v="121882.1443"/>
        <n v="53020.1168"/>
        <n v="51089.809"/>
        <n v="72634.7394"/>
        <n v="31423.574699999997"/>
        <n v="46939.26"/>
        <m/>
        <n v="30108.229199999994"/>
        <n v="20534.184400000002"/>
        <n v="19060.26"/>
        <n v="40462.83"/>
        <n v="23133.96"/>
        <n v="36159.9"/>
        <n v="22216.27"/>
        <n v="19492.49"/>
        <n v="19020.96"/>
        <n v="19875.744000000002"/>
        <n v="25983.41"/>
        <n v="50213.70249999999"/>
        <n v="50630.625499999995"/>
        <n v="134684.89200000002"/>
        <n v="35620.83"/>
        <n v="133859.24"/>
        <n v="156513.4944"/>
        <n v="28898.9072"/>
        <n v="51679.2727"/>
        <n v="70800.00720000001"/>
        <n v="22780.38"/>
        <n v="24285.197999999997"/>
        <n v="24977.82"/>
        <n v="60574.18"/>
        <n v="18202.95"/>
        <n v="38312.892"/>
        <n v="5037.71"/>
        <n v="40113.1"/>
        <n v="23136.47"/>
        <n v="25476.6456"/>
        <n v="36511.116"/>
        <n v="24616.214999999997"/>
        <n v="66006.2375"/>
        <n v="81409.482"/>
        <n v="25213.734"/>
        <n v="28077.48"/>
        <n v="48543.6314"/>
        <n v="80587.7384"/>
        <n v="45528.293999999994"/>
        <n v="67372.749"/>
        <n v="31415.995499999997"/>
        <n v="71058.1545"/>
      </sharedItems>
    </cacheField>
    <cacheField name="Tipo de Moneda" numFmtId="0">
      <sharedItems containsBlank="1">
        <s v="MXN"/>
        <s v="UDIS"/>
        <s v="USD"/>
        <s v=" MXN"/>
        <s v="MX"/>
        <m/>
      </sharedItems>
    </cacheField>
    <cacheField name="Forma de pago " numFmtId="0">
      <sharedItems containsBlank="1">
        <s v="Mensual"/>
        <s v="Semestral"/>
        <s v="Anual"/>
        <s v="Trimestral"/>
        <m/>
      </sharedItems>
    </cacheField>
    <cacheField name="Cumpleaños">
      <sharedItems containsDate="1" containsBlank="1" containsMixedTypes="1">
        <s v="15-sep"/>
        <d v="2022-05-26T00:00:00Z"/>
        <d v="2022-05-23T00:00:00Z"/>
        <d v="2023-10-07T00:00:00Z"/>
        <d v="2023-09-01T00:00:00Z"/>
        <d v="2022-09-01T00:00:00Z"/>
        <d v="2023-04-08T00:00:00Z"/>
        <d v="2022-04-05T00:00:00Z"/>
        <d v="2022-01-29T00:00:00Z"/>
        <d v="2022-07-27T00:00:00Z"/>
        <d v="2022-03-14T00:00:00Z"/>
        <d v="2022-08-28T00:00:00Z"/>
        <d v="2022-08-31T00:00:00Z"/>
        <s v="06-sep"/>
        <d v="2022-02-04T00:00:00Z"/>
        <d v="2022-02-13T00:00:00Z"/>
        <d v="2023-10-26T00:00:00Z"/>
        <s v="17-sep"/>
        <d v="2023-07-24T00:00:00Z"/>
        <d v="2023-01-12T00:00:00Z"/>
        <d v="2023-03-04T00:00:00Z"/>
        <d v="2023-06-24T00:00:00Z"/>
        <s v="12-sep"/>
        <d v="2022-09-06T00:00:00Z"/>
        <d v="2023-07-30T00:00:00Z"/>
        <d v="2022-06-01T00:00:00Z"/>
        <d v="2022-11-12T00:00:00Z"/>
        <d v="2023-08-25T00:00:00Z"/>
        <d v="2023-07-20T00:00:00Z"/>
        <d v="2023-12-16T00:00:00Z"/>
        <d v="2023-01-26T00:00:00Z"/>
        <s v="16-sep"/>
        <d v="2023-03-21T00:00:00Z"/>
        <d v="2022-08-23T00:00:00Z"/>
        <d v="2022-06-12T00:00:00Z"/>
        <s v="03-sep"/>
        <d v="2022-11-07T00:00:00Z"/>
        <d v="2022-03-25T00:00:00Z"/>
        <d v="2022-10-14T00:00:00Z"/>
        <d v="2022-03-06T00:00:00Z"/>
        <d v="2023-10-08T00:00:00Z"/>
        <d v="2022-01-01T00:00:00Z"/>
        <d v="2022-12-22T00:00:00Z"/>
        <d v="2022-11-09T00:00:00Z"/>
        <d v="2023-10-14T00:00:00Z"/>
        <d v="2022-01-26T00:00:00Z"/>
        <d v="2022-12-20T00:00:00Z"/>
        <s v="05-sep"/>
        <d v="2023-02-07T00:00:00Z"/>
        <d v="2022-08-30T00:00:00Z"/>
        <d v="2022-12-21T00:00:00Z"/>
        <d v="2022-04-23T00:00:00Z"/>
        <d v="2022-10-31T00:00:00Z"/>
        <d v="2022-10-24T00:00:00Z"/>
        <d v="2022-01-28T00:00:00Z"/>
        <d v="2022-06-14T00:00:00Z"/>
        <d v="2022-03-28T00:00:00Z"/>
        <d v="2022-06-18T00:00:00Z"/>
        <d v="2022-01-07T00:00:00Z"/>
        <d v="2022-02-25T00:00:00Z"/>
        <d v="2022-12-27T00:00:00Z"/>
        <d v="2023-03-30T00:00:00Z"/>
        <d v="2023-11-30T00:00:00Z"/>
        <d v="2023-08-19T00:00:00Z"/>
        <d v="2022-12-24T00:00:00Z"/>
        <d v="2022-12-13T00:00:00Z"/>
        <d v="2023-11-18T00:00:00Z"/>
        <d v="2022-08-07T00:00:00Z"/>
        <d v="2023-03-08T00:00:00Z"/>
        <d v="2022-10-23T00:00:00Z"/>
        <d v="2022-02-03T00:00:00Z"/>
        <d v="2023-08-16T00:00:00Z"/>
        <d v="2023-04-11T00:00:00Z"/>
        <d v="2023-04-23T00:00:00Z"/>
        <d v="2023-06-17T00:00:00Z"/>
        <d v="2022-04-09T00:00:00Z"/>
        <d v="2022-05-27T00:00:00Z"/>
        <d v="2022-11-21T00:00:00Z"/>
        <d v="2022-01-27T00:00:00Z"/>
        <d v="2022-05-11T00:00:00Z"/>
        <d v="2022-03-24T00:00:00Z"/>
        <d v="2022-02-28T00:00:00Z"/>
        <d v="2022-05-10T00:00:00Z"/>
        <d v="2022-02-09T00:00:00Z"/>
        <d v="2023-11-24T00:00:00Z"/>
        <d v="2023-02-24T00:00:00Z"/>
        <d v="2022-08-06T00:00:00Z"/>
        <d v="2022-12-28T00:00:00Z"/>
        <d v="2023-07-09T00:00:00Z"/>
        <d v="2022-04-20T00:00:00Z"/>
        <d v="2022-08-21T00:00:00Z"/>
        <d v="2022-06-29T00:00:00Z"/>
        <d v="2022-04-22T00:00:00Z"/>
        <d v="2022-04-21T00:00:00Z"/>
        <d v="2022-10-26T00:00:00Z"/>
        <d v="2022-11-11T00:00:00Z"/>
        <d v="2022-04-26T00:00:00Z"/>
        <d v="2022-02-05T00:00:00Z"/>
        <d v="2023-01-20T00:00:00Z"/>
        <s v="01-sep"/>
        <d v="2022-08-27T00:00:00Z"/>
        <d v="2023-10-16T00:00:00Z"/>
        <d v="2023-12-21T00:00:00Z"/>
        <d v="2022-07-04T00:00:00Z"/>
        <d v="2023-07-15T00:00:00Z"/>
        <d v="2023-09-11T00:00:00Z"/>
        <d v="2022-06-26T00:00:00Z"/>
        <d v="2022-09-08T00:00:00Z"/>
        <d v="2022-07-16T00:00:00Z"/>
        <d v="2022-02-26T00:00:00Z"/>
        <d v="2022-04-19T00:00:00Z"/>
        <d v="2022-07-05T00:00:00Z"/>
        <d v="2022-07-18T00:00:00Z"/>
        <d v="2022-11-08T00:00:00Z"/>
        <d v="2022-05-02T00:00:00Z"/>
        <d v="2022-02-11T00:00:00Z"/>
        <d v="2023-06-27T00:00:00Z"/>
        <d v="2023-05-23T00:00:00Z"/>
        <d v="2023-08-17T00:00:00Z"/>
        <d v="2023-07-26T00:00:00Z"/>
        <d v="2023-07-21T00:00:00Z"/>
        <d v="2023-12-09T00:00:00Z"/>
        <d v="2023-07-11T00:00:00Z"/>
        <d v="2023-09-04T00:00:00Z"/>
        <d v="2023-06-06T00:00:00Z"/>
        <d v="2023-08-11T00:00:00Z"/>
        <d v="2023-03-15T00:00:00Z"/>
        <d v="2023-11-12T00:00:00Z"/>
        <d v="2023-05-21T00:00:00Z"/>
        <d v="2023-09-06T00:00:00Z"/>
        <d v="2023-02-12T00:00:00Z"/>
        <d v="2023-02-11T00:00:00Z"/>
        <d v="2023-12-02T00:00:00Z"/>
        <d v="2023-01-08T00:00:00Z"/>
        <d v="2023-11-21T00:00:00Z"/>
        <d v="2023-06-13T00:00:00Z"/>
        <d v="2023-07-23T00:00:00Z"/>
        <d v="2023-07-02T00:00:00Z"/>
        <d v="2023-01-05T00:00:00Z"/>
        <d v="2023-12-17T00:00:00Z"/>
        <d v="2023-11-28T00:00:00Z"/>
        <d v="2023-09-27T00:00:00Z"/>
        <d v="2023-04-03T00:00:00Z"/>
        <d v="2024-07-29T00:00:00Z"/>
        <d v="2024-07-23T00:00:00Z"/>
        <d v="2024-11-11T00:00:00Z"/>
        <d v="2024-05-06T00:00:00Z"/>
        <d v="2024-09-03T00:00:00Z"/>
        <d v="2024-06-13T00:00:00Z"/>
        <d v="2024-09-07T00:00:00Z"/>
        <d v="2024-01-28T00:00:00Z"/>
        <d v="1984-10-17T00:00:00Z"/>
        <d v="1998-02-27T00:00:00Z"/>
        <d v="1973-01-19T00:00:00Z"/>
        <d v="1987-03-25T00:00:00Z"/>
        <d v="1994-07-16T00:00:00Z"/>
        <d v="1985-01-13T00:00:00Z"/>
        <d v="2004-12-24T00:00:00Z"/>
        <d v="1962-07-21T00:00:00Z"/>
        <d v="2024-04-16T00:00:00Z"/>
        <d v="1999-06-21T00:00:00Z"/>
        <d v="1999-02-03T00:00:00Z"/>
        <d v="1984-02-06T00:00:00Z"/>
        <d v="1996-07-25T00:00:00Z"/>
        <d v="1994-08-23T00:00:00Z"/>
        <d v="1989-06-01T00:00:00Z"/>
        <d v="1999-08-21T00:00:00Z"/>
        <d v="1994-07-24T00:00:00Z"/>
        <d v="2001-08-04T00:00:00Z"/>
        <d v="2002-11-10T00:00:00Z"/>
        <d v="1979-06-20T00:00:00Z"/>
        <d v="1975-05-18T00:00:00Z"/>
        <d v="1969-05-11T00:00:00Z"/>
        <d v="2024-08-03T00:00:00Z"/>
        <d v="2025-02-11T00:00:00Z"/>
        <d v="2025-10-12T00:00:00Z"/>
        <d v="2025-12-07T00:00:00Z"/>
        <d v="2025-11-20T00:00:00Z"/>
        <d v="2025-06-10T00:00:00Z"/>
        <d v="2025-11-29T00:00:00Z"/>
        <d v="2025-12-30T00:00:00Z"/>
        <d v="2025-11-05T00:00:00Z"/>
        <d v="2025-04-26T00:00:00Z"/>
        <d v="2025-06-26T00:00:00Z"/>
        <d v="2025-05-24T00:00:00Z"/>
        <d v="2025-08-15T00:00:00Z"/>
        <d v="2025-10-18T00:00:00Z"/>
        <d v="1990-03-25T00:00:00Z"/>
        <d v="1998-10-07T00:00:00Z"/>
        <d v="2025-06-21T00:00:00Z"/>
        <d v="2025-07-09T00:00:00Z"/>
        <d v="2025-07-29T00:00:00Z"/>
        <d v="2025-09-20T00:00:00Z"/>
        <d v="2025-09-26T00:00:00Z"/>
        <d v="1992-03-11T00:00:00Z"/>
        <d v="2025-06-03T00:00:00Z"/>
        <d v="2025-11-27T00:00:00Z"/>
        <d v="2004-10-10T00:00:00Z"/>
        <d v="2025-01-07T00:00:00Z"/>
        <d v="2025-03-04T00:00:00Z"/>
        <d v="2025-10-22T00:00:00Z"/>
        <d v="2025-09-07T00:00:00Z"/>
        <d v="2025-02-27T00:00:00Z"/>
        <d v="2026-08-05T00:00:00Z"/>
        <d v="2026-11-21T00:00:00Z"/>
        <d v="2026-04-02T00:00:00Z"/>
        <d v="2026-07-02T00:00:00Z"/>
        <d v="2026-08-21T00:00:00Z"/>
        <d v="2026-08-17T00:00:00Z"/>
        <d v="2026-09-15T00:00:00Z"/>
        <d v="2026-09-03T00:00:00Z"/>
        <d v="2026-06-13T00:00:00Z"/>
        <m/>
      </sharedItems>
    </cacheField>
    <cacheField name="Buen referenciador" numFmtId="0">
      <sharedItems containsBlank="1">
        <s v="Sí"/>
        <m/>
      </sharedItems>
    </cacheField>
    <cacheField name="Modo de cobro" numFmtId="0">
      <sharedItems containsBlank="1">
        <s v="TD"/>
        <s v="TC"/>
        <s v="AGENTE"/>
        <s v="TDD"/>
        <s v="TDC"/>
        <m/>
      </sharedItems>
    </cacheField>
    <cacheField name="Tipo de plan" numFmtId="0">
      <sharedItems containsBlank="1">
        <s v="Gastos Médicos "/>
        <s v="Vida"/>
        <s v="Gastos medicos"/>
        <m/>
      </sharedItems>
    </cacheField>
    <cacheField name="Nombre del plan " numFmtId="0">
      <sharedItems containsBlank="1">
        <s v="Integro"/>
        <s v="Orvi"/>
        <s v="Practico"/>
        <s v="Imagina ser"/>
        <s v="Segubeca"/>
        <s v="Nuevo Plenitud"/>
        <s v="Vida Mujer"/>
        <s v="PLENO"/>
        <s v="Temporal"/>
        <s v="Nuevo planitud"/>
        <s v="Objetivo Vida"/>
        <m/>
      </sharedItems>
    </cacheField>
    <cacheField name="Correo electrónico" numFmtId="0">
      <sharedItems containsBlank="1">
        <s v="abraham.mancera92@hotmail.com"/>
        <s v="adriangtsramirez261144@gmail.com"/>
        <s v="ajj_07@hotmail.com"/>
        <s v="ale_u_casillas@hotmail.com"/>
        <s v="aa.lomeli8@gmail.com"/>
        <s v="alejandromorenotrujillo1@gmail.com"/>
        <s v="soto.564@hotmail.com"/>
        <s v="a.vazquez.rodriguez@outlook.com"/>
        <s v="giselleinfante92@gmail.com"/>
        <s v="lupithamuniz0015@gmail.com"/>
        <s v="apgln@hotmail.com"/>
        <s v="andreahdz_09@hotmail.com"/>
        <s v="angelicaduran.4@hotmail.com"/>
        <s v="sanchez.201024835@outlook.com"/>
        <s v="bernigarcia365@icloud.com"/>
        <s v="moncar1709@gmail.com"/>
        <s v="aideflores.arellano@gmail.com"/>
        <s v="carla.martineez@hotmail.com"/>
        <s v="walazamn@hotmail.com"/>
        <s v="tekilopalazuelos@gmail.com"/>
        <s v="carlos_a_u@hotmail.com"/>
        <s v="carloshum3888@gmail.com"/>
        <s v="carlos.verduzcof@gmail.com"/>
        <s v="eagletijuana@gmail.com"/>
        <s v="cecyarceo@hotmail.com"/>
        <s v="cesar25941@outlook.com"/>
        <s v="noemijass1982@gmail.com"/>
        <s v="innsmouth26@gmail.com"/>
        <s v="crig91@hotmail.com"/>
        <s v="cristinarodriguezdelatorre@gmail.com"/>
        <s v="cynthi_lizi@hotmail.com"/>
        <s v="dacaro_22@hotmail.com"/>
        <s v="peregrinadaniela0@gmail.com"/>
        <s v="daniela.nietom@outlook.com"/>
        <s v="darinkasm7@gmail.com"/>
        <s v="davidmneri1490@gmail.com"/>
        <s v="denisse.cgonzalez@hotmail.com"/>
        <s v="diegoivanaguayorodriguez@gmail.com"/>
        <s v="guarnerosleo4e@gmail.com"/>
        <s v="digna.baza@gmail.com"/>
        <s v="ederemmanuel.alcala19@jaliscoedu.mx"/>
        <s v="esanchez_glez@outlook.com"/>
        <s v="evalles.0311@gmail.com"/>
        <s v="e_torres_alvarez@outlook.com"/>
        <s v="emmanuel.palmasal@gmail.com"/>
        <s v="minerliz109@hotmail.com"/>
        <s v="aleyois.cr@gmail.com"/>
        <s v="felicitascasillas@hotmail.com"/>
        <s v="florcorona8@gmail.com"/>
        <s v="javiz-94@hotmail.com"/>
        <s v="fcomartin@gmail.com"/>
        <s v="glencacasiano@hotmail.com"/>
        <s v="gpgustavo@yahoo.com"/>
        <s v="heber.ramirez.luna@gmail.com"/>
        <s v="expayupi.13@gmail.com"/>
        <s v="alexocho88@gmail.com"/>
        <s v="jaramos89@yahoo.com"/>
        <s v="jazmin_ro_jo@hotmail.com"/>
        <s v="jhernan8212@gmail.com"/>
        <s v="jenilira@gmail.com"/>
        <s v="jennifer.godinez.c@hotmail.com"/>
        <s v="jeadila@gmail.com"/>
        <s v="jorge.fcoarevalo@gmail.com"/>
        <s v="j.daniel.f.arellano@gmail.com"/>
        <s v="fsedaceja@gmail.com"/>
        <s v="josie_gg@hotmail.com"/>
        <s v="antonio.velazquez.alvarez@hotmail.com"/>
        <s v="juanleon1439@gmail.com"/>
        <s v="kdenisseseda@gmail.com"/>
        <s v="enriquezledezmakaren2@gmail.com"/>
        <s v="markador_23@hotmail.com"/>
        <s v="kimberlysm00@gmail.com"/>
        <s v="luciaortega2707@gmail.com"/>
        <s v="jimeapariciogarcia@gmail.com"/>
        <s v="01.ramosreynoso@gmail.com"/>
        <s v="florentina219011@gmail.com"/>
        <s v="valeryacortez@hotmail.com"/>
        <s v="avaldivieso16@gmail.com"/>
        <s v="balderasfonseca@gmail.com"/>
        <s v="melissa_grg@hotmail.com"/>
        <s v="mrcdsdelatorre@gmail.com"/>
        <s v="octavio_moises.s@hotmail.com"/>
        <s v="romar_uc@hotmail.com"/>
        <s v="orlanda.cervantes89@hotmail.com"/>
        <s v="oscar.correa.soto@gmail.com"/>
        <s v="natael28@icloud.com"/>
        <s v="pao.dlt.irigoyen@gmail.com"/>
        <s v="ramosreynosopaola@gmail.com"/>
        <s v="cr.rafael.rcr@gmail.com"/>
        <s v="rafaael_arevalo@hotmail.com"/>
        <s v="raularias186@gmail.com"/>
        <s v="raulurenaguzman@gmail.com"/>
        <s v="ricardo.a@ryrposters.com"/>
        <s v="salome@mauisa.com"/>
        <s v="sandrausagitomisaki@gmail.com"/>
        <s v="spaulinaorozco_25@hotmail.com"/>
        <s v="genaro.sanchezg91@icloud.com"/>
        <s v="rodriguez.susanar@gmail.com"/>
        <s v="pamela.guavelar@gmail.com"/>
        <s v="valeria123_7@hotmail.com"/>
        <s v="alambradosgallegosjal@hotmail.com"/>
        <s v="vicky.male.ber20@gmail.com"/>
        <s v="viviana08cr@live.com"/>
        <s v="liga117.rg@gmail.com"/>
        <s v="gibacor@hotmail.com"/>
        <s v="guzmanmaciasjuanjose@gmail.com"/>
        <s v="valeria.santacruz.tabares@gmail.com"/>
        <s v="carlos_nava74@hotmail.com"/>
        <s v="j_dayanna@hotmail.com"/>
        <s v="michelle.boy1216@gmail.com"/>
        <s v="nora.msg@hotmail.com"/>
        <s v="prix_jvm@hotmail.com"/>
        <s v="monse.romo.01@hotmail.com"/>
        <s v="finanzaslamesa@gmail.com"/>
        <s v="claudiamaciel@live.com.mx"/>
        <s v="kas_elka_02@hotmail.com"/>
        <s v="dmflor.ver@gmail.com"/>
        <s v="garibaymoran@outlook.com"/>
        <s v="josealinage@gmail.com"/>
        <s v="dan210397@gmail.com"/>
        <s v="alejandro.olivarez19@hotmail.com"/>
        <s v="j.gpe.marin.lopez@gmail.com"/>
        <s v="gabitovivar@gmail.com"/>
        <s v="berrellezaplascencia@gmail.com"/>
        <s v="garciauribekaren@gmail.com"/>
        <s v="sophiapm_04@hotmail.com"/>
        <s v="cordero.gustavo@outlook.com"/>
        <s v="fernandasolano59@gmail.com"/>
        <s v="carlos_pigui@hotmail.com"/>
        <s v="armando_diazr@hotmail.com"/>
        <s v="jacquelinemerazruiz@gmail.com"/>
        <s v="jannet1745@gmail.com"/>
        <s v="riosgs2169@gmail.com"/>
        <s v="rata4593@gmail.com"/>
        <s v="rodolfo.rogume@gmail.com"/>
        <s v="perezaldretesilviaanali@gmail.com"/>
        <s v="daniela.a.calva@gmail.com"/>
        <s v="m.gonzalez010895@gmail.com"/>
        <s v="kevin.oneal.salcedo@gmail.com"/>
        <s v="abbiegarciaa@gmail.com"/>
        <s v="ramirez99lili@gmail.com"/>
        <s v="marthi_li@hotmail.com"/>
        <s v="sandra.maciasayon@hotmail.com&#10;"/>
        <s v="odalis_ayon@hotmail.com"/>
        <s v="prismargon@hotmail.com&#10;"/>
        <s v="juliieta89@gmail.com"/>
        <s v="dra.esmegb@gmail.com"/>
        <s v="erika.diazmendez@hotmail.com"/>
        <s v="michellenumber4@hotmail.com"/>
        <s v="venus.silvas@gmail.com&#10;"/>
        <s v="gabrielanava0605@gmail.com"/>
        <s v="mayi_3333@hotmail.com&#10;"/>
        <s v="acorki@yahoo.com"/>
        <s v="jessiduarte95@gmail.com&#10;"/>
        <s v="kualis@hotmail.com"/>
        <s v="mstm1984@outlook.com&#10;"/>
        <s v="paolaramirezrsl@gmail.com&#10;"/>
        <s v="chesca_mia@hotmail.com"/>
        <s v="ing.mariovillanueva@gmail.com&#10;"/>
        <s v="je_dayanna@hotmail.com"/>
        <s v="lizettega1985@gmail.com&#10;"/>
        <s v="ganaderiasandimas@gmail.com&#10;"/>
        <s v="maquinariarsc@gmail.com"/>
        <s v="jorge_jdm@hotmail.com&#10;"/>
        <s v="victor.11.96@hotmail.com&#10;"/>
        <s v="keely_leonel@hotmail.com&#10;"/>
        <s v="aureamarisol@hotmail.com&#10;"/>
        <s v="mardicharodriguez@gmail.com&#10;"/>
        <s v="mig.ag.ch@gmail.com"/>
        <s v="cesar.cervantesdelvalle@gmail.com&#10;"/>
        <s v="angy_tobebts@outlook.es&#10;"/>
        <s v="jairquezada@hotmail.com&#10;"/>
        <s v="debanhiquezadaa@gmail.com&#10;"/>
        <s v="mibarraborrayo@gmail.com&#10;"/>
        <s v="fiscontadores@gmail.com&#10;"/>
        <s v="alvarezrake@gmail.com&#10;"/>
        <s v="deliacontrerasalvarez@gmail.com&#10;"/>
        <s v="efranquezflores@gmail.com&#10;"/>
        <s v="yatziri.franquez.flores@gmail.com&#10;"/>
        <s v="frankmendoza90@outlook.com&#10;"/>
        <s v="gonzalezdosveces.salome@gmail.com&#10;"/>
        <s v="betoleo99@gmail.com&#10;"/>
        <s v="luishriosgarcia@gmail.com"/>
        <s v="migueljauregui@outlook.es"/>
        <s v="dr.navarroalergo@gmail.com&#10;"/>
        <s v="landeros.gc@gmail.com&#10;"/>
        <s v="abrahamob7@gmail.com&#10;"/>
        <s v="aalvarezobrien@gmail.com&#10;"/>
        <s v="stephanie_2651@hotmail.com&#10;"/>
        <s v="darinkasm7@gmail.com&#10;"/>
        <s v="soymarcopreciado@gmail.com&#10;"/>
        <s v="contreras.mary@gmail.com&#10;"/>
        <s v="pao.dlt.irigoyen@gmail.com&#10;"/>
        <s v="adrianacastiyo@hotmail.com&#10;"/>
        <s v="flores.lopez2099@gmail.com&#10;"/>
        <s v="BARBARAZOE07@GMAIL.COM&#10;"/>
        <s v="omar.palomino1103@gmail.com"/>
        <s v="BUFFALO.GDL.OFICIAL@GMAIL.COM&#10;"/>
        <s v="melgarejopaulinaguillen96@gmail.com&#10;"/>
        <s v="nayeliwis378116@gmail.com&#10;"/>
        <s v="fernandasolano59@gmail.com&#10;"/>
        <s v="pascual@grupomajavi.com"/>
        <s v="ALEJANDRAURCA@HOTMAIL.COM&#10;"/>
        <s v="santiagoagro@hotmail.com"/>
        <s v="snow1char405@gmail.com"/>
        <s v="PIMINMOBILIARIA5@GMAIL.COM"/>
        <s v="ale.guzmansoria@gmail.com"/>
        <s v="ric.arechiga26@gmail.com"/>
        <s v="theyogastudiobego@gmail.com"/>
        <m/>
      </sharedItems>
    </cacheField>
    <cacheField name="Teléfono" numFmtId="0">
      <sharedItems containsString="0" containsBlank="1" containsNumber="1" containsInteger="1">
        <n v="3.322725657E9"/>
        <n v="3.335785031E9"/>
        <n v="3.314550115E9"/>
        <n v="3.322590323E9"/>
        <n v="3.322278793E9"/>
        <n v="3.324945143E9"/>
        <n v="3.339561889E9"/>
        <n v="3.318332966E9"/>
        <n v="3.312415016E9"/>
        <n v="3.314946421E9"/>
        <n v="3.312799019E9"/>
        <n v="3.353312319E9"/>
        <n v="3.314077658E9"/>
        <n v="2.223716744E9"/>
        <n v="3.317070106E9"/>
        <n v="3.313875424E9"/>
        <n v="3.314239602E9"/>
        <n v="3.33445368E9"/>
        <n v="3.314537802E9"/>
        <n v="9.985779227E9"/>
        <n v="9.84130928E9"/>
        <n v="3.313033649E9"/>
        <n v="3.316696345E9"/>
        <n v="3.324962545E9"/>
        <n v="3.311741926E9"/>
        <n v="3.311249925E9"/>
        <n v="3.321643018E9"/>
        <n v="3.311582572E9"/>
        <n v="3.315709079E9"/>
        <n v="6.142212111E9"/>
        <n v="3.329196044E9"/>
        <n v="3.314439698E9"/>
        <n v="3.314669252E9"/>
        <n v="3.312198584E9"/>
        <n v="3.323714729E9"/>
        <n v="3.314551462E9"/>
        <n v="3.315994003E9"/>
        <n v="3.319866597E9"/>
        <n v="3.324010177E9"/>
        <n v="3.316366711E9"/>
        <n v="3.334414617E9"/>
        <n v="6.692407705E9"/>
        <n v="5.535683014E9"/>
        <n v="3.33970575E9"/>
        <n v="3.316119244E9"/>
        <n v="3.325701779E9"/>
        <n v="3.331919169E9"/>
        <n v="3.331838401E9"/>
        <n v="3.310448631E9"/>
        <n v="3.331675304E9"/>
        <n v="3.323382232E9"/>
        <n v="3.339540399E9"/>
        <n v="3.338162151E9"/>
        <n v="3.314851938E9"/>
        <n v="3.339445412E9"/>
        <n v="3.336264624E9"/>
        <n v="3.314251081E9"/>
        <n v="3.310813799E9"/>
        <n v="3.32832694E9"/>
        <n v="3.324972428E9"/>
        <n v="3.314493281E9"/>
        <n v="3.316996266E9"/>
        <n v="3.32536443E9"/>
        <n v="3.338715628E9"/>
        <n v="3.318007866E9"/>
        <n v="8.16655191E9"/>
        <n v="3.331009288E9"/>
        <n v="3.312952384E9"/>
        <n v="9.87564619E9"/>
        <n v="3.339527328E9"/>
        <n v="3.315544084E9"/>
        <n v="3.316693326E9"/>
        <n v="9.8423306E9"/>
        <n v="3.331060698E9"/>
        <n v="3.310244685E9"/>
        <n v="3.313983302E9"/>
        <n v="3.328011841E9"/>
        <n v="3.311105873E9"/>
        <n v="3.310432712E9"/>
        <n v="3.314669672E9"/>
        <n v="3.312871031E9"/>
        <n v="3.322570451E9"/>
        <n v="3.313568539E9"/>
        <n v="3.321832449E9"/>
        <n v="3.310654457E9"/>
        <n v="3.314651944E9"/>
        <n v="3.318264373E9"/>
        <n v="3.314124438E9"/>
        <n v="3.311788769E9"/>
        <n v="3.331483605E9"/>
        <n v="3.323106934E9"/>
        <n v="6.371150054E9"/>
        <n v="6.69102773E9"/>
        <n v="3.316031092E9"/>
        <n v="3.321553026E9"/>
        <m/>
        <n v="3.335770232E9"/>
        <n v="3.310245076E9"/>
        <n v="3.311184857E9"/>
        <n v="3.315409829E9"/>
        <n v="3.316014747E9"/>
        <n v="3.32201571E9"/>
        <n v="3.315127357E9"/>
        <n v="3.314652257E9"/>
        <n v="9.841689199E9"/>
        <n v="3.311100069E9"/>
        <n v="3.325135897E9"/>
        <n v="3.313877809E9"/>
        <n v="3.316149646E9"/>
        <n v="3.318608259E9"/>
        <n v="3.313139505E9"/>
        <n v="3.412052997E9"/>
        <n v="3.322412519E9"/>
        <n v="9.981062449E9"/>
        <n v="3.331960365E9"/>
        <n v="3.312221777E9"/>
        <n v="3.33598829E9"/>
        <n v="3.312689115E9"/>
        <n v="3.313337798E9"/>
        <n v="3.319183306E9"/>
        <n v="9.982423189E9"/>
        <n v="3.312306159E9"/>
        <n v="3.311862243E9"/>
        <n v="3.312707907E9"/>
        <n v="3.315497145E9"/>
        <n v="5.55101737E9"/>
        <n v="3.323856131E9"/>
        <n v="3.338152956E9"/>
        <n v="3.328395992E9"/>
        <n v="3.339526404E9"/>
        <n v="3.335774167E9"/>
        <n v="3.339560027E9"/>
        <n v="3.310715478E9"/>
        <n v="3.3110948E9"/>
        <n v="3.314186581E9"/>
        <n v="3.333520616E9"/>
        <n v="6.959512989E9"/>
        <n v="3.313195934E9"/>
        <n v="3.317986895E9"/>
        <n v="3.314458615E9"/>
        <n v="3.312256678E9"/>
        <n v="6.641571064E9"/>
        <n v="3.312948594E9"/>
        <n v="3.313015603E9"/>
        <n v="3.313359709E9"/>
        <n v="3.314578905E9"/>
        <n v="3.314456062E9"/>
        <n v="3.333629109E9"/>
        <n v="3.37215962E8"/>
        <n v="3.319713487E9"/>
        <n v="3.334068796E9"/>
        <n v="3.333524742E9"/>
        <n v="3.321320967E9"/>
        <n v="3.311939793E9"/>
        <n v="3.323847939E9"/>
        <n v="3.32918321E9"/>
        <n v="3.313583637E9"/>
        <n v="2.292468186E9"/>
        <n v="3.481056576E9"/>
        <n v="3.329670346E9"/>
        <n v="3.315344817E9"/>
        <n v="3.317712571E9"/>
        <n v="3.313202593E9"/>
        <n v="9.983925177E9"/>
        <n v="3.781030438E9"/>
        <n v="3.331305033E9"/>
        <n v="3.312981328E9"/>
        <n v="3.314310877E9"/>
        <n v="3.312809227E9"/>
        <n v="3.322447207E9"/>
        <n v="3.312309278E9"/>
        <n v="3.322022696E10"/>
        <n v="3.312547502E9"/>
        <n v="3.332709475E9"/>
        <n v="3.312183225E9"/>
        <n v="3.317393218E9"/>
        <n v="3.315196442E9"/>
        <n v="3.331902987E9"/>
        <n v="3.326692247E9"/>
        <n v="5.549075655E9"/>
        <n v="3.336051229E9"/>
        <n v="2.225223793E9"/>
        <n v="3.319407208E9"/>
        <n v="3.311559775E9"/>
        <n v="3.317438642E9"/>
        <n v="3.338447023E9"/>
        <n v="3.314184353E9"/>
      </sharedItems>
    </cacheField>
    <cacheField name="Asesor " numFmtId="0">
      <sharedItems containsBlank="1">
        <s v="DARINKA UREÑA CASILLAS"/>
        <m/>
      </sharedItems>
    </cacheField>
    <cacheField name="Mes">
      <sharedItems containsMixedTypes="1" containsNumber="1" containsInteger="1">
        <s v="Febrero"/>
        <s v="Enero"/>
        <s v="Diciembre"/>
        <s v="Junio"/>
        <s v="Octubre"/>
        <s v="Marzo"/>
        <s v="Julio"/>
        <s v="Septiembre"/>
        <s v="Noviembre"/>
        <s v="Abril"/>
        <s v="Mayo"/>
        <s v="Agosto"/>
        <e v="#VALUE!"/>
        <n v="2026.0"/>
        <s v=""/>
      </sharedItems>
    </cacheField>
    <cacheField name="Año">
      <sharedItems containsMixedTypes="1" containsNumber="1" containsInteger="1">
        <n v="2021.0"/>
        <n v="2022.0"/>
        <n v="2020.0"/>
        <n v="2023.0"/>
        <n v="2017.0"/>
        <n v="2018.0"/>
        <n v="2019.0"/>
        <n v="2024.0"/>
        <e v="#VALUE!"/>
        <n v="2025.0"/>
        <n v="2009.0"/>
        <n v="2026.0"/>
        <n v="24.0"/>
        <s v=""/>
      </sharedItems>
    </cacheField>
    <cacheField name="DiaEm">
      <sharedItems containsMixedTypes="1" containsNumber="1" containsInteger="1">
        <n v="11.0"/>
        <n v="20.0"/>
        <n v="15.0"/>
        <n v="3.0"/>
        <n v="26.0"/>
        <n v="10.0"/>
        <n v="28.0"/>
        <n v="30.0"/>
        <n v="21.0"/>
        <n v="14.0"/>
        <n v="23.0"/>
        <n v="17.0"/>
        <n v="25.0"/>
        <n v="4.0"/>
        <n v="12.0"/>
        <n v="31.0"/>
        <n v="27.0"/>
        <n v="16.0"/>
        <n v="13.0"/>
        <n v="22.0"/>
        <n v="24.0"/>
        <n v="29.0"/>
        <n v="6.0"/>
        <n v="5.0"/>
        <n v="8.0"/>
        <n v="18.0"/>
        <n v="2.0"/>
        <n v="7.0"/>
        <n v="19.0"/>
        <n v="9.0"/>
        <n v="1.0"/>
        <e v="#VALUE!"/>
        <s v=""/>
      </sharedItems>
    </cacheField>
    <cacheField name="Diferencia de dia">
      <sharedItems containsMixedTypes="1" containsNumber="1" containsInteger="1">
        <n v="11.0"/>
        <n v="20.0"/>
        <n v="15.0"/>
        <n v="3.0"/>
        <n v="26.0"/>
        <n v="10.0"/>
        <n v="28.0"/>
        <n v="30.0"/>
        <n v="21.0"/>
        <n v="14.0"/>
        <n v="23.0"/>
        <n v="17.0"/>
        <n v="25.0"/>
        <n v="4.0"/>
        <n v="12.0"/>
        <n v="31.0"/>
        <n v="27.0"/>
        <n v="16.0"/>
        <n v="13.0"/>
        <n v="22.0"/>
        <n v="24.0"/>
        <n v="29.0"/>
        <n v="6.0"/>
        <n v="5.0"/>
        <n v="8.0"/>
        <n v="18.0"/>
        <n v="2.0"/>
        <n v="7.0"/>
        <n v="19.0"/>
        <n v="9.0"/>
        <n v="-9.0"/>
        <n v="1.0"/>
        <e v="#VALUE!"/>
        <s v=""/>
      </sharedItems>
    </cacheField>
    <cacheField name="MesEm">
      <sharedItems containsMixedTypes="1" containsNumber="1" containsInteger="1">
        <n v="2.0"/>
        <n v="1.0"/>
        <n v="12.0"/>
        <n v="6.0"/>
        <n v="10.0"/>
        <n v="3.0"/>
        <n v="7.0"/>
        <n v="9.0"/>
        <n v="11.0"/>
        <n v="4.0"/>
        <n v="5.0"/>
        <n v="8.0"/>
        <e v="#VALUE!"/>
        <n v="26.0"/>
        <s v=""/>
      </sharedItems>
    </cacheField>
    <cacheField name="DiaCu">
      <sharedItems containsMixedTypes="1" containsNumber="1" containsInteger="1">
        <n v="15.0"/>
        <n v="26.0"/>
        <n v="23.0"/>
        <n v="7.0"/>
        <n v="1.0"/>
        <n v="8.0"/>
        <n v="5.0"/>
        <n v="29.0"/>
        <n v="27.0"/>
        <n v="14.0"/>
        <n v="28.0"/>
        <n v="31.0"/>
        <n v="6.0"/>
        <n v="4.0"/>
        <n v="13.0"/>
        <n v="17.0"/>
        <n v="24.0"/>
        <n v="12.0"/>
        <n v="30.0"/>
        <n v="25.0"/>
        <n v="20.0"/>
        <n v="16.0"/>
        <n v="21.0"/>
        <n v="3.0"/>
        <n v="22.0"/>
        <n v="9.0"/>
        <n v="18.0"/>
        <n v="19.0"/>
        <n v="11.0"/>
        <n v="10.0"/>
        <n v="2.0"/>
        <s v=""/>
      </sharedItems>
    </cacheField>
    <cacheField name="Diferencia Cu">
      <sharedItems containsMixedTypes="1" containsNumber="1" containsInteger="1">
        <n v="15.0"/>
        <n v="26.0"/>
        <n v="23.0"/>
        <n v="7.0"/>
        <n v="1.0"/>
        <n v="8.0"/>
        <n v="5.0"/>
        <n v="29.0"/>
        <n v="27.0"/>
        <n v="14.0"/>
        <n v="28.0"/>
        <n v="31.0"/>
        <n v="6.0"/>
        <n v="4.0"/>
        <n v="13.0"/>
        <n v="17.0"/>
        <n v="24.0"/>
        <n v="12.0"/>
        <n v="30.0"/>
        <n v="25.0"/>
        <n v="20.0"/>
        <n v="16.0"/>
        <n v="21.0"/>
        <n v="3.0"/>
        <n v="22.0"/>
        <n v="9.0"/>
        <n v="18.0"/>
        <n v="19.0"/>
        <n v="11.0"/>
        <n v="10.0"/>
        <n v="-15.0"/>
        <n v="2.0"/>
        <s v=""/>
      </sharedItems>
    </cacheField>
    <cacheField name="MesCu">
      <sharedItems containsMixedTypes="1" containsNumber="1" containsInteger="1">
        <n v="9.0"/>
        <n v="5.0"/>
        <n v="10.0"/>
        <n v="4.0"/>
        <n v="1.0"/>
        <n v="7.0"/>
        <n v="3.0"/>
        <n v="8.0"/>
        <n v="2.0"/>
        <n v="6.0"/>
        <n v="11.0"/>
        <n v="12.0"/>
        <s v=""/>
      </sharedItems>
    </cacheField>
    <cacheField name="MesNum">
      <sharedItems containsBlank="1" containsMixedTypes="1" containsNumber="1" containsInteger="1">
        <n v="2.0"/>
        <n v="1.0"/>
        <n v="12.0"/>
        <n v="6.0"/>
        <n v="10.0"/>
        <n v="3.0"/>
        <n v="7.0"/>
        <n v="9.0"/>
        <n v="11.0"/>
        <n v="4.0"/>
        <n v="5.0"/>
        <n v="8.0"/>
        <m/>
        <e v="#VALUE!"/>
        <s v="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:AA1008" sheet="BD Asesor"/>
  </cacheSource>
  <cacheFields>
    <cacheField name="Cliente" numFmtId="0">
      <sharedItems containsBlank="1">
        <s v="ABRAHAM GALICIA MANCERA"/>
        <s v="ADRIAN ALEJANDRO RAMIREZ MORALES"/>
        <s v="AIDA GRACIELA FLORES BARBA"/>
        <s v="ALEJANDRA DEL CARMEN UREÑA CASILLAS"/>
        <s v="ALEJANDRO ARTURO LOMELI OROZCO"/>
        <s v="ALEJANDRO MORENO TRUJILLO"/>
        <s v="ALEJANDRO SOTO ELIZALDE"/>
        <s v="ALEJANDRO VAZQUEZ RODRIGUEZ"/>
        <s v="ALEXA GISELLE INFANTE JAIME"/>
        <s v="ANA KAREN MUÑIZ CHAVEZ"/>
        <s v="ANA PAULA GONZALEZ LUNA NIÑO"/>
        <s v="ANDREA HERNANDEZ MERCADO"/>
        <s v="ANGELICA ALEJANDRA SANCHEZ DURAN"/>
        <s v="ARNOLD SANCHEZ SANCHEZ"/>
        <s v="BERNARDO GARCIA GOMEZ"/>
        <s v="BETH SUA MONTEJANO CARMONA"/>
        <s v="BLANCA CAROLINA MAGAÑA CASTELLON"/>
        <s v="CARLA ANDREA MARTINEZ LAGOS"/>
        <s v="CARLOS ALBERTO MORALES NOGUEDA"/>
        <s v="CARLOS CASTRO PALAZUELOS"/>
        <s v="CARLOS DAVID AVILA URRUCHUA"/>
        <s v="CARLOS HUMBERTO VILLANUEVA CARMONA"/>
        <s v="CARLOS VERDUZO FAVELA"/>
        <s v="CARLOS XAVIER BARBA LOPEZ"/>
        <s v="CECILIA ARCEO CERVANTES"/>
        <s v="CESAR ISRRAEL HERNANDEZ SANCHEZ"/>
        <s v="CINTHIA NOEMI JASSO TORRES"/>
        <s v="CLAUDIO ALBERTO MARTIN LOPEZ"/>
        <s v="CRISTINA GUADALUPE ALVAREZ HERNANDEZ"/>
        <s v="CRISTINA LETICIA RODRIGUEZ DE LA TORRE"/>
        <s v="CYNTHIA ELIZABETH MORALES ORTEGA"/>
        <s v="DANIELA CABRAL ROMO"/>
        <s v="DANIELA GUADALUPE PEREGRINA GONZALEZ"/>
        <s v="DANIELA NIETO MORAN"/>
        <s v="DARINKA UREÑA CASILLAS"/>
        <s v="DAVID MORENO NERI"/>
        <s v="DENISSE CARDENAS GONZALEZ"/>
        <s v="DIEGO IVAN AGUAYO RAMIREZ"/>
        <s v="DIEGO LEONARDO UREÑA GUARNEROS"/>
        <s v="DIGNA MARIA BAÑUELOS ZAMORA"/>
        <s v="EDER EMMANUEL ALCALA GUTIERREZ"/>
        <s v="EDGAR SANCHEZ GONZALEZ"/>
        <s v="EDUARDO ERNESTO VALLES JARILLO"/>
        <s v="EDUARDO RAMIRO TORRES ALVAREZ"/>
        <s v="EMMANUEL CONTRERAS RIOS"/>
        <s v="EMMANUEL ORTEGA GUTIERREZ"/>
        <s v="ESTEFANI ALEYOIS CONTRERAS RIOS"/>
        <s v="FELICITAS CASILLAS GALINDO"/>
        <s v="FLORENCIA LILIANA CORONA GARNICA"/>
        <s v="FRANCISCO JAVIER VALENCIA PRADO"/>
        <s v="FRANCISCO JOSE MARTIN LOPEZ"/>
        <s v="GLENDA GISELA CASIANO VEGA"/>
        <s v="GUSTAVO GUTIERREZ PLASCENCIA"/>
        <s v="HEBER RAMIREZ LUNA"/>
        <s v="IZCHEL IRAIS GONZALEZ DIAZ"/>
        <s v="JAVIER ALEJANDRO OCHOA FLORES"/>
        <s v="JAVIER RAMOS BARAJAS"/>
        <s v="JAZMIN ALICIA ROMERO JOHNSON"/>
        <s v="JAZMIN JUDITH HERNANDEZ AGUIRRE"/>
        <s v="JENIFER RIVERA LIRA"/>
        <s v="JENNIFER GODINEZ CASILLAS"/>
        <s v="JESUS ADRIAN AVILA CABRAL"/>
        <s v="JORGE FRANCISCO AREVALO CONTRERAS"/>
        <s v="JOSE DANIEL FLORES ARELLANO"/>
        <s v="JOSE FRANCISCO SEDA CEJA"/>
        <s v="JOSEFINA GALVEZ"/>
        <s v="JUAN ANTONIO VELAZQUEZ ALVAREZ"/>
        <s v="JUAN CARLOS CONTRERAS VAZQUEZ"/>
        <s v="KAREN DENISSE SEDA MUÑOZ"/>
        <s v="KAREN ENRIQUEZ LEDEZMA"/>
        <s v="KEVIN IVAN MARCHENA DUEÑAS"/>
        <s v="KIMBERLY MONTSERRAT SEDA MUÑOZ"/>
        <s v="LUCIA ORTEGA RAMIREZ"/>
        <s v="LUZ JIMENA APARICIO GARCIA"/>
        <s v="MARA GABRIELA DUEÑAS SALGADO"/>
        <s v="MARCO ANTONIO RAMOS REYNOSO"/>
        <s v="MARIA AURORA RIOS GALVAN"/>
        <s v="MARIA FLORENTINA CONTRERAS SANTILLAN"/>
        <s v="MARIA GUADALUPE CRISTINA CASTELLON DUEÑAS"/>
        <s v="MARIO ALEJANDRO VALDIVIESO BERNAL"/>
        <s v="MAYRA ALEJANDRA BALDERAS FONSECA"/>
        <s v="MELISSA GUADALUPE ROMERO GARCIA"/>
        <s v="MERCEDES DE LA TORRE FUENTES"/>
        <s v="OCTAVIO MOISES SALDAÑA LOPEZ"/>
        <s v="OMAR RAUL UREÑA CASILLAS"/>
        <s v="ORLANDA JIMENA CERVANTES NUÑEZ"/>
        <s v="OSCAR ARTURO CORREA SOTO"/>
        <s v="OSWALDO NATAEL BAÑUELOS MONTERO"/>
        <s v="PAOLA MONTSERRAT DE LA TORRE IRIGOYEN"/>
        <s v="PAOLA RAMOS REYNOSO"/>
        <s v="RAFAEL CONTRERAS ALVAREZ"/>
        <s v="RAFAEL DE JESUS CONTRERAS RIOS"/>
        <s v="RAFAEL GUADALUPE AREVALO CONTRERAS"/>
        <s v="RAUL ARIAS GARCIA"/>
        <s v="RAUL UREÑA GUZMAN"/>
        <s v="RICARDO GONZALEZ ARECHIGA"/>
        <s v="SALOME GAMEZ FRIAS"/>
        <s v="SANDRA LISSET TORRES HERNANDEZ"/>
        <s v="SARAHI PAULINA OROZCO MARTINEZ"/>
        <s v="SEBASTIANA GUADALUPE GONZALEZ LIZARRAGA"/>
        <s v="SUSANA RODRIGUEZ REYES"/>
        <s v="TZEITEL PAMELA GUARDIAN AVELAR"/>
        <s v="VALERIA JANETH SANCHEZ MUÑOZ"/>
        <s v="VICTOR GALLEGOS MARTINEZ"/>
        <s v="VICTORIA MAGDALENA LEON BERTINE"/>
        <s v="VIVIANA CONTRERAS RIOS"/>
        <s v="RODRIGO GONZALEZ GONZALEZ"/>
        <s v="GIBRAN ARELLANO CORNEJO"/>
        <s v="JUAN JOSE GUZMAN MACIAS"/>
        <s v="VALERIA SANTACRUZ TABARES"/>
        <s v="CARLOS AURELIO NAVA NERI"/>
        <s v="JENNIFER DAYANA CHAVEZ GUTIERREZ"/>
        <s v="MICHELLE BOY ESPINOSA"/>
        <s v="NORA MARIEL SOLANO GUTIERREZ"/>
        <s v="EDGAR EDUARDO MAGAÑA MAGAÑA"/>
        <s v="MONSERRAT ROMO ESQUEDA"/>
        <s v="CLAUDIA FELIPA MACIEL NAVA"/>
        <s v="LIBRA CASTALIA RAMIREZ MUÑOZ"/>
        <s v="DIANA MONTSERRAT FLORES VERA"/>
        <s v="KARLA GABRIELA GARIBAY MORAN"/>
        <s v="JOSE ANTONIO LINAGE GARZA"/>
        <s v="DANIELA LIZETTE LOPEZ LLAMAS"/>
        <s v="ALEJANDRO ACOSTA OLIVAREZ"/>
        <s v="JOSE GUADALUPE MARIN LOPEZ"/>
        <s v="GABRIEL ARMANDO VALLE VIVAR"/>
        <s v="JESUS ARNOLDO BERRELLEZA PLASCENCIA"/>
        <s v="FRIDA ZULEIKA RUIZ HERNANDEZ"/>
        <s v="ANA KAREN GARCIA URIBE"/>
        <s v="SOPHIA PIERRE MONROY"/>
        <s v="GUSTAVO CORDERO HERNANDEZ"/>
        <s v="MARIA FERNANDA SOLANO JIMENEZ&#10;"/>
        <s v="CARLOS ADRIAN CASTRO SEVILLA"/>
        <s v="ARMANDO JONATHAN DE LA CRUZ DIAZ"/>
        <s v="JACQUELINE MERAZ RUIZ"/>
        <s v="CYNTHIA JANNET PARRA FLORES (JORDAN)"/>
        <s v="SAUL RIOS GALVAN"/>
        <s v="OSCAR LARA SILVA"/>
        <s v="RODOLFO IVAN MEJIA TRUJILLO"/>
        <s v="SILVIA ANALI PEREZ ALDRETE"/>
        <s v="DANIELA ALEJANDRA CALVA GARCIA"/>
        <s v="JOB GUERRERO GONZALEZ"/>
        <s v="MARIO ALBERTO GONZALEZ ARIAS "/>
        <s v="KEVIN ONEAL SALCEDO GARCES"/>
        <s v="ABIZABETH GARCIA CEJA"/>
        <s v="LILIANA VERONICA RAMIREZ ROSALES"/>
        <s v="MARTHA ILIANA POLANCO GUZMAN"/>
        <s v="SANDRA ISABEL MACIAS AYON"/>
        <s v="ODALIS ANAHI MACIAS AYON"/>
        <s v="PRISCILA ZUSETH RODRIGUEZ MARQUEZ"/>
        <s v="JULIETA BEATRIZMONTAÑO MARTINEZ"/>
        <s v="ESMERALDA GARCIA BETANCOURT"/>
        <s v="ERIKA VALENTINA DIAZ MENDEZ&#10;"/>
        <s v="MICHELLE GARCIA CHAVEZ"/>
        <s v="LEONARDO CARDENAS ROMO (MONSERRAT ROMO)&#10;"/>
        <s v="VENUS ELIZABETH SILVA SANTANA"/>
        <s v="GABRIELA ALEJANDRA GUZMAN NAVARRO"/>
        <s v="MARIANA GONZALEZ ARIAS"/>
        <s v="ANTONIO CORDERO ROMERO"/>
        <s v="JESSICA ANDREA ORDOÑEZ DUARTE"/>
        <s v="CLAUDIA ALEJANDRA NAVARRO AGRAZ"/>
        <s v="MARIANA SOFIA TORRES MENDOZA"/>
        <s v="PAOLA JUDITH RAMIREZ ROSALES"/>
        <s v="VERONICA FLORES VILLAVICENCIO- FRANCESCA DAIANA"/>
        <s v="MARIO HUMBERTO VILLANUEVA IBARRA"/>
        <s v="LIZETTE GONZALEZ ARIAS&#10;"/>
        <s v="JESUS EMILIANO CONTRERAS RIOS"/>
        <s v="RICARDO SOTELO CASILLS"/>
        <s v="JORGE DE THOMAS MURILLO"/>
        <s v="VICTOR MANUEL ARANDA ROMO"/>
        <s v="JUDITH PAOLA DIAZ LIZARRAGA"/>
        <s v="AUREA MARISOL MARTINEZ OSORNIO"/>
        <s v="MARDICHA GUADALUPE ARAMBULA RODRIGUEZ"/>
        <s v="MIGUEL ANGEL AGUILAR CHAVEZ"/>
        <s v="CESAR ALFREDO CERVANTES DEL VALLE"/>
        <s v="ANYELA SANCHEZ GOMEZ"/>
        <s v="CHRISTIAN JAIR QUEZADA IBARRA"/>
        <s v="DEBANHI ESTEFANIA QUEZADA IBARRA"/>
        <s v="MARTHA ESTELA IBARRA BORRAYO&#10;"/>
        <s v="GERARDO ALBERTO QUEZADA GARCIA&#10;"/>
        <s v="MARIA RAQUEL CONTRERAS ALVAREZ"/>
        <s v="DELIA CONTRERAS ALVAREZ"/>
        <s v="JULIO CESAR LOPEZ GOMEZ&#10;"/>
        <s v="EDGAR ADAN FRANQUEZ FLORES"/>
        <s v="INDRA YATZIRI FRANQUEZ FLORES"/>
        <s v="FRANCISCO JAVIER MENDOZA FARIAS"/>
        <s v="ANGEL GONZALEZ MARTIN"/>
        <s v="ROBERTO LEONEL BARAJAS BANDA"/>
        <s v="LUIS HECTOR RIOS GARCIA "/>
        <s v="MIGUEL ANGEL JAUREGUI VILLASEÑOR"/>
        <s v="PEDRO IVAN NAVARRO GONZALEZ"/>
        <s v="GEMA ITZEL LANDEROS CARRILLO"/>
        <s v="ABRAHAM YAEL ALVAREZ OBRIEN"/>
        <s v="ANDREA ABIGAIL ALVAREZ OBRIEN"/>
        <s v="STEPHANIE MICHELLE GUERRA RODRIGUEZ"/>
        <s v="MARCO CESAR PRECIADO ALVAREZ"/>
        <s v="MARIA SOLEDAD CONTRERAS ALVAREZ"/>
        <s v="ADRIAN ALONSO CASTILLO GARCIA"/>
        <s v="DIANA MONTSERRAT FLORES VERA&#10;"/>
        <s v="ALEJANDRO LOPEZ FLORES"/>
        <s v="LUIS ALBERTO LOZANO GONZALEZ&#10;"/>
        <s v="OMAR ALEJANDRO PALOMINO RUIZ&#10;"/>
        <s v="DANIELA ALEJANDRA CALVA GARCIA&#10;"/>
        <s v="FRANCISCO ISRAEL RAMOS RENTERIA "/>
        <s v="GUILLERMINA RENTERIA BRAMBILA"/>
        <s v="MARIA PAULINA MELGAREJO GUILLEN"/>
        <s v="NAYELI DEL CARMEN GONZALEZ GARCIA"/>
        <s v="PASCUAL JAUREGUI MATA"/>
        <s v="ALEJANDRA UREÑA CASILLAS (JESSICA) "/>
        <s v="JULIO SANTIAGO AGUILERA ROMO"/>
        <s v="JUAN CARLOS CASILLAS GALINDO"/>
        <s v="FRANCISCO JAVIER PEREZ ANGUIANO"/>
        <s v="ALEJANDRA NAYELI GUZMAN SORIA"/>
        <s v="JORGE FRANCISCO AREVALO CONTRERAS&#10;"/>
        <s v="LAURA GUADALUPE BECERRA GOMEZ"/>
        <m/>
      </sharedItems>
    </cacheField>
    <cacheField name="Sexo" numFmtId="0">
      <sharedItems containsBlank="1">
        <s v="H"/>
        <s v="M"/>
        <s v="F"/>
        <m/>
      </sharedItems>
    </cacheField>
    <cacheField name="Estado" numFmtId="0">
      <sharedItems containsBlank="1">
        <s v="Activo"/>
        <m/>
      </sharedItems>
    </cacheField>
    <cacheField name="Emisión">
      <sharedItems containsDate="1" containsBlank="1" containsMixedTypes="1">
        <d v="2021-02-11T00:00:00Z"/>
        <d v="2021-02-20T00:00:00Z"/>
        <d v="2022-01-20T00:00:00Z"/>
        <d v="2022-01-15T00:00:00Z"/>
        <d v="2020-12-03T00:00:00Z"/>
        <d v="2020-06-26T00:00:00Z"/>
        <d v="2022-10-10T00:00:00Z"/>
        <d v="2020-03-03T00:00:00Z"/>
        <d v="2022-07-11T00:00:00Z"/>
        <d v="2022-02-11T00:00:00Z"/>
        <d v="2021-09-28T00:00:00Z"/>
        <d v="2020-07-30T00:00:00Z"/>
        <d v="2020-10-21T00:00:00Z"/>
        <d v="2021-02-14T00:00:00Z"/>
        <d v="2020-11-11T00:00:00Z"/>
        <d v="2021-03-23T00:00:00Z"/>
        <d v="2020-12-20T00:00:00Z"/>
        <d v="2020-02-17T00:00:00Z"/>
        <d v="2022-10-25T00:00:00Z"/>
        <d v="2020-09-30T00:00:00Z"/>
        <d v="2023-01-04T00:00:00Z"/>
        <d v="2022-03-12T00:00:00Z"/>
        <d v="2022-07-31T00:00:00Z"/>
        <d v="2022-04-26T00:00:00Z"/>
        <d v="2021-07-12T00:00:00Z"/>
        <d v="2022-03-26T00:00:00Z"/>
        <d v="2022-09-27T00:00:00Z"/>
        <d v="2021-12-30T00:00:00Z"/>
        <d v="2021-05-17T00:00:00Z"/>
        <d v="2022-06-16T00:00:00Z"/>
        <d v="2022-07-13T00:00:00Z"/>
        <d v="2022-09-22T00:00:00Z"/>
        <d v="2022-02-24T00:00:00Z"/>
        <d v="2021-08-31T00:00:00Z"/>
        <d v="2022-12-21T00:00:00Z"/>
        <d v="2021-01-28T00:00:00Z"/>
        <d v="2021-01-29T00:00:00Z"/>
        <d v="2021-12-06T00:00:00Z"/>
        <d v="2021-08-05T00:00:00Z"/>
        <d v="2020-05-14T00:00:00Z"/>
        <d v="2022-08-06T00:00:00Z"/>
        <d v="2021-02-08T00:00:00Z"/>
        <d v="2020-10-27T00:00:00Z"/>
        <d v="2021-05-27T00:00:00Z"/>
        <d v="2017-09-04T00:00:00Z"/>
        <d v="2020-08-21T00:00:00Z"/>
        <d v="2020-12-08T00:00:00Z"/>
        <d v="2022-11-30T00:00:00Z"/>
        <d v="2020-07-22T00:00:00Z"/>
        <d v="2021-02-22T00:00:00Z"/>
        <d v="2021-07-18T00:00:00Z"/>
        <d v="2022-12-28T00:00:00Z"/>
        <d v="2022-03-02T00:00:00Z"/>
        <d v="2020-08-10T00:00:00Z"/>
        <d v="2021-03-25T00:00:00Z"/>
        <d v="2020-09-22T00:00:00Z"/>
        <d v="2021-03-21T00:00:00Z"/>
        <d v="2020-09-18T00:00:00Z"/>
        <d v="2020-07-08T00:00:00Z"/>
        <d v="2020-06-30T00:00:00Z"/>
        <d v="2020-07-07T00:00:00Z"/>
        <d v="2022-03-21T00:00:00Z"/>
        <d v="2020-02-06T00:00:00Z"/>
        <d v="2021-06-15T00:00:00Z"/>
        <d v="2020-05-04T00:00:00Z"/>
        <d v="2021-06-19T00:00:00Z"/>
        <d v="2021-11-16T00:00:00Z"/>
        <d v="2020-08-16T00:00:00Z"/>
        <d v="2020-12-12T00:00:00Z"/>
        <d v="2018-05-29T00:00:00Z"/>
        <d v="2022-06-28T00:00:00Z"/>
        <d v="2022-10-14T00:00:00Z"/>
        <d v="2019-08-06T00:00:00Z"/>
        <d v="2020-09-17T00:00:00Z"/>
        <d v="2021-09-02T00:00:00Z"/>
        <d v="2021-12-14T00:00:00Z"/>
        <d v="2022-09-14T00:00:00Z"/>
        <d v="2021-11-07T00:00:00Z"/>
        <d v="2022-05-12T00:00:00Z"/>
        <d v="2020-12-09T00:00:00Z"/>
        <d v="2022-04-27T00:00:00Z"/>
        <d v="2021-04-23T00:00:00Z"/>
        <d v="2022-08-09T00:00:00Z"/>
        <d v="2022-12-18T00:00:00Z"/>
        <d v="2022-05-17T00:00:00Z"/>
        <d v="2021-03-04T00:00:00Z"/>
        <d v="2021-08-25T00:00:00Z"/>
        <d v="2022-04-08T00:00:00Z"/>
        <d v="2021-09-30T00:00:00Z"/>
        <d v="2020-08-28T00:00:00Z"/>
        <d v="2021-11-03T00:00:00Z"/>
        <d v="2021-10-27T00:00:00Z"/>
        <d v="2022-07-29T00:00:00Z"/>
        <d v="2022-10-17T00:00:00Z"/>
        <d v="2021-09-17T00:00:00Z"/>
        <d v="2021-06-25T00:00:00Z"/>
        <d v="2020-11-22T00:00:00Z"/>
        <d v="2022-05-30T00:00:00Z"/>
        <d v="2021-06-10T00:00:00Z"/>
        <d v="2021-05-26T00:00:00Z"/>
        <d v="2021-04-28T00:00:00Z"/>
        <d v="2021-08-27T00:00:00Z"/>
        <d v="2022-04-07T00:00:00Z"/>
        <d v="2021-07-23T00:00:00Z"/>
        <d v="2020-11-12T00:00:00Z"/>
        <d v="2020-04-29T00:00:00Z"/>
        <d v="2020-10-13T00:00:00Z"/>
        <d v="2020-11-26T00:00:00Z"/>
        <d v="2022-08-28T00:00:00Z"/>
        <d v="2022-01-04T00:00:00Z"/>
        <d v="2021-06-08T00:00:00Z"/>
        <d v="2021-12-10T00:00:00Z"/>
        <d v="2022-10-28T00:00:00Z"/>
        <d v="2022-07-12T00:00:00Z"/>
        <d v="2021-04-26T00:00:00Z"/>
        <d v="2023-01-29T00:00:00Z"/>
        <d v="2023-02-09T00:00:00Z"/>
        <d v="2023-02-16T00:00:00Z"/>
        <d v="2023-02-23T00:00:00Z"/>
        <d v="2023-03-15T00:00:00Z"/>
        <d v="2023-03-23T00:00:00Z"/>
        <d v="2023-04-10T00:00:00Z"/>
        <d v="2023-04-12T00:00:00Z"/>
        <d v="2023-04-20T00:00:00Z"/>
        <d v="2023-04-28T00:00:00Z"/>
        <d v="2023-05-10T00:00:00Z"/>
        <d v="2023-05-25T00:00:00Z"/>
        <d v="2023-05-30T00:00:00Z"/>
        <d v="2023-06-26T00:00:00Z"/>
        <d v="2023-06-28T00:00:00Z"/>
        <d v="2023-07-12T00:00:00Z"/>
        <d v="2023-07-18T00:00:00Z"/>
        <d v="2023-07-25T00:00:00Z"/>
        <d v="2023-08-01T00:00:00Z"/>
        <d v="2023-08-03T00:00:00Z"/>
        <d v="2023-08-11T00:00:00Z"/>
        <d v="2023-08-14T00:00:00Z"/>
        <d v="2023-08-23T00:00:00Z"/>
        <d v="2023-08-30T00:00:00Z"/>
        <d v="2023-09-01T00:00:00Z"/>
        <d v="2023-09-12T00:00:00Z"/>
        <d v="2023-09-11T00:00:00Z"/>
        <d v="2023-10-17T00:00:00Z"/>
        <d v="2023-10-27T00:00:00Z"/>
        <d v="2023-11-10T00:00:00Z"/>
        <d v="2023-11-13T00:00:00Z"/>
        <d v="2023-11-14T00:00:00Z"/>
        <d v="2023-11-16T00:00:00Z"/>
        <d v="2023-11-26T00:00:00Z"/>
        <d v="2023-12-15T00:00:00Z"/>
        <d v="2023-12-21T00:00:00Z"/>
        <d v="2023-12-26T00:00:00Z"/>
        <d v="2024-01-15T00:00:00Z"/>
        <d v="2024-01-24T00:00:00Z"/>
        <d v="2024-01-25T00:00:00Z"/>
        <d v="2024-02-02T00:00:00Z"/>
        <d v="2024-02-07T00:00:00Z"/>
        <d v="2024-02-17T00:00:00Z"/>
        <d v="2024-02-27T00:00:00Z"/>
        <d v="2024-03-20T00:00:00Z"/>
        <d v="2024-04-01T00:00:00Z"/>
        <d v="2024-04-08T00:00:00Z"/>
        <d v="2024-04-18T00:00:00Z"/>
        <d v="2024-04-26T00:00:00Z"/>
        <d v="2024-04-29T00:00:00Z"/>
        <d v="2024-04-30T00:00:00Z"/>
        <d v="2024-05-13T00:00:00Z"/>
        <d v="2024-05-16T00:00:00Z"/>
        <d v="2024-05-23T00:00:00Z"/>
        <d v="2024-05-24T00:00:00Z"/>
        <d v="2024-05-31T00:00:00Z"/>
        <d v="2024-06-14T00:00:00Z"/>
        <d v="2024-06-24T00:00:00Z"/>
        <d v="2024-07-08T00:00:00Z"/>
        <d v="2024-08-02T00:00:00Z"/>
        <d v="2024-08-24T00:00:00Z"/>
        <d v="2024-08-26T00:00:00Z"/>
        <d v="2024-09-03T00:00:00Z"/>
        <d v="2024-09-18T00:00:00Z"/>
        <d v="2024-10-08T00:00:00Z"/>
        <s v="11//10/2024"/>
        <d v="2024-10-28T00:00:00Z"/>
        <d v="2024-10-30T00:00:00Z"/>
        <d v="2024-11-09T00:00:00Z"/>
        <d v="2024-11-11T00:00:00Z"/>
        <d v="2018-06-11T00:00:00Z"/>
        <d v="2024-11-14T00:00:00Z"/>
        <d v="2024-11-19T00:00:00Z"/>
        <d v="2024-11-26T00:00:00Z"/>
        <d v="2024-12-11T00:00:00Z"/>
        <d v="2024-12-24T00:00:00Z"/>
        <d v="2025-01-09T00:00:00Z"/>
        <d v="2025-01-10T00:00:00Z"/>
        <d v="2025-01-15T00:00:00Z"/>
        <d v="2025-01-26T00:00:00Z"/>
        <d v="2024-06-25T00:00:00Z"/>
        <d v="2025-01-30T00:00:00Z"/>
        <d v="2025-02-10T00:00:00Z"/>
        <d v="2025-02-12T00:00:00Z"/>
        <d v="2025-02-13T00:00:00Z"/>
        <d v="2025-02-20T00:00:00Z"/>
        <d v="2025-02-26T00:00:00Z"/>
        <d v="2025-02-27T00:00:00Z"/>
        <d v="2025-02-24T00:00:00Z"/>
        <d v="2025-03-15T00:00:00Z"/>
        <d v="2025-04-28T00:00:00Z"/>
        <d v="2018-05-18T00:00:00Z"/>
        <d v="2025-05-21T00:00:00Z"/>
        <d v="2009-10-23T00:00:00Z"/>
        <d v="2025-06-11T00:00:00Z"/>
        <d v="2025-06-18T00:00:00Z"/>
        <d v="2025-07-20T00:00:00Z"/>
        <d v="2025-07-23T00:00:00Z"/>
        <d v="2025-08-25T00:00:00Z"/>
        <d v="2025-08-28T00:00:00Z"/>
        <d v="2025-09-04T00:00:00Z"/>
        <d v="2025-09-19T00:00:00Z"/>
        <d v="2025-09-30T00:00:00Z"/>
        <d v="2025-10-30T00:00:00Z"/>
        <d v="2025-11-07T00:00:00Z"/>
        <d v="2025-11-28T00:00:00Z"/>
        <d v="2026-02-12T00:00:00Z"/>
        <d v="2026-02-20T00:00:00Z"/>
        <d v="2026-02-23T00:00:00Z"/>
        <d v="2026-04-13T00:00:00Z"/>
        <d v="2026-04-15T00:00:00Z"/>
        <d v="2026-04-16T00:00:00Z"/>
        <d v="2026-04-22T00:00:00Z"/>
        <d v="2026-04-24T00:00:00Z"/>
        <d v="2026-04-29T00:00:00Z"/>
        <d v="2026-05-07T00:00:00Z"/>
        <d v="2026-05-08T00:00:00Z"/>
        <d v="2026-05-13T00:00:00Z"/>
        <m/>
      </sharedItems>
    </cacheField>
    <cacheField name="Número de póliza" numFmtId="0">
      <sharedItems containsBlank="1">
        <s v="GM0000512930"/>
        <s v="VI0002585905"/>
        <s v="GM0000551209"/>
        <s v="VI0002645864"/>
        <s v="VI0002570983"/>
        <s v="GM0000478411"/>
        <s v="GM0000579437"/>
        <s v="VI0002521501"/>
        <s v="VI0002678022"/>
        <s v="GM0000551319"/>
        <s v="VI0002650072"/>
        <s v="GM0000540142"/>
        <s v="VI0002546462"/>
        <s v="GM0000496075"/>
        <s v="GM0000513096"/>
        <s v="VI0002566080"/>
        <s v="VI0002591407"/>
        <s v="VI0002573965"/>
        <s v="VI0002517934"/>
        <s v="VI0002697696"/>
        <s v="VI0002698084"/>
        <s v="VI0002558023"/>
        <s v="GM0000588897"/>
        <s v="VI0002654798"/>
        <s v="VI0002682439"/>
        <s v="VI0002662475"/>
        <s v="VI0002613039"/>
        <s v="VI0002657416"/>
        <s v="VI0002692302"/>
        <s v="GM0000549543"/>
        <s v="VI0002601742"/>
        <s v="VI0002672529"/>
        <s v="VI0002678390"/>
        <s v="VI0002690934"/>
        <s v="VI0002652270"/>
        <s v="GM0000537417"/>
        <s v="VI0002709431"/>
        <s v="GM0000510955"/>
        <s v="VI0002582479"/>
        <s v="GM0000546753"/>
        <s v="VI0002617376"/>
        <s v="VI0002531698"/>
        <s v="GM0000573459"/>
        <s v="VI0002583535"/>
        <s v="VI0002563282"/>
        <s v="GM0000526123"/>
        <s v="GM0000351999"/>
        <s v="VI0002550138"/>
        <s v="VI0002571494"/>
        <s v="GM0000585100"/>
        <s v="GM0000482513"/>
        <s v="VI0002585935"/>
        <s v="VI0002613934"/>
        <s v="VI0002711484"/>
        <s v="GM0000556025"/>
        <s v="VI0002548210"/>
        <s v="VI00025924219"/>
        <s v="GM0000492375"/>
        <s v="GM0000586871"/>
        <s v="VI0002591210"/>
        <s v="VI0002555595"/>
        <s v="VI0002542137"/>
        <s v="GM0000479419"/>
        <s v="VI0002541931"/>
        <s v="GM0000540124"/>
        <s v="VI0002656531"/>
        <s v="GM0000452776"/>
        <s v="VI0002607534"/>
        <s v="VI0002530480"/>
        <s v="VI0002608269"/>
        <s v="VI0002634302"/>
        <s v="VI0002549354"/>
        <s v="VI0002572565"/>
        <s v="VI0002379720"/>
        <s v="VI0002675317"/>
        <s v="VI0002695547"/>
        <s v="VI0002475012"/>
        <s v="VI0002554845"/>
        <s v="GM0000537792"/>
        <s v="VI0002639310"/>
        <s v="VI0002517688"/>
        <s v="VI0002689899"/>
        <s v="GM0000544016"/>
        <s v="VI0002666463"/>
        <s v="VI0002571751"/>
        <s v="VI0002645729"/>
        <s v="VI0002662801"/>
        <s v="VI0002597383"/>
        <s v="VI0002683192"/>
        <s v="VI0002591305"/>
        <s v="GM0000586501"/>
        <s v="VI0002667040"/>
        <s v="VI0002588611"/>
        <s v="VI0002592088"/>
        <s v="VI0002620401"/>
        <s v="GM0000559843"/>
        <s v="VI0002626529"/>
        <s v="VI0002546647"/>
        <s v="VI0002552195"/>
        <s v="GM0000543671"/>
        <s v="VI0002632359"/>
        <s v="GM000543045"/>
        <s v="VI0002682147"/>
        <s v="GM0000580168"/>
        <s v="GM0000538831"/>
        <s v="VI0002610198"/>
        <s v="GM0000501198"/>
        <s v="VI0002669529"/>
        <s v="VI0002606703"/>
        <s v="VI0002603817"/>
        <s v="VI0002598609"/>
        <s v="GM000537085"/>
        <s v="VI0002660408"/>
        <s v="GM0000482649"/>
        <s v="VI0002566243"/>
        <s v="VI0002529863"/>
        <s v="VI0002560246"/>
        <s v="VI0002569421"/>
        <s v="VI0002686391"/>
        <s v="VI0002644574"/>
        <s v="VI0002675267"/>
        <s v="VI0002606377"/>
        <s v="GM0000547172"/>
        <s v="GM0000581018"/>
        <s v="VI0002698126"/>
        <s v="GM0000570410"/>
        <s v="VI0002597603"/>
        <s v="VI0002717134"/>
        <s v="VI0002719472"/>
        <s v="GM0000593612"/>
        <s v="GM00000594397"/>
        <s v="VI0002722090"/>
        <s v="VI0002722445"/>
        <s v="VI0002726188"/>
        <s v="GM0000597472"/>
        <s v="GM0000599355"/>
        <s v="GM0000599595"/>
        <s v="GM0000599611"/>
        <s v="GM0000600689"/>
        <s v="VI0002736210"/>
        <s v="VI0002737615"/>
        <s v="VI0002740454"/>
        <s v="VI0002742125"/>
        <s v="VI0002747846"/>
        <s v="VI0002748901"/>
        <s v="GM0000612213"/>
        <s v="GM0000612841"/>
        <s v="GM0000613371"/>
        <s v="VI0002754599"/>
        <s v="GM0000614530"/>
        <s v="GM0000614783"/>
        <s v="GM0000615542"/>
        <s v="GM0000615625"/>
        <s v="GM0000616881"/>
        <s v="VI0002762846"/>
        <s v="VI0002764000"/>
        <s v="VI0002765196"/>
        <s v="GM0000619189"/>
        <s v="GM0000623434"/>
        <s v="GM0000624742"/>
        <s v="GM0000626399"/>
        <s v="VI0002779689"/>
        <s v="GM0000626694"/>
        <s v="VI0002779648"/>
        <s v="VI0002781309"/>
        <s v="GM0000627132"/>
        <s v="GM0000628200"/>
        <s v="GM0000631291"/>
        <s v="VI0002790754"/>
        <s v="VI0002791784"/>
        <s v="VI0002796083"/>
        <s v="VI0002789159"/>
        <s v="GM0000635721"/>
        <s v="VI0002801119"/>
        <s v="GM0000637539"/>
        <s v="GM0000637690"/>
        <s v="GM0000637709&#10;"/>
        <s v="VI0002803707"/>
        <s v="VI0002806324"/>
        <s v="VI0002806319"/>
        <s v="VI0002811699"/>
        <s v="VI0002815231"/>
        <s v="GM0000646763&#10;"/>
        <s v="VI0002818961"/>
        <s v="VI0002821361"/>
        <s v="VI0002821938"/>
        <s v="VI0002822471"/>
        <s v="VI0002824693"/>
        <s v="VI0002825632"/>
        <s v="VI0002827377"/>
        <s v="GM0000653524"/>
        <s v="GM0000657031"/>
        <s v="VI0002832905"/>
        <s v="VI0002835245"/>
        <s v="VI0002839392&#10;"/>
        <s v="GM0000664424"/>
        <s v="VI0002849484"/>
        <s v="VI0002849827"/>
        <s v="GM0000668487"/>
        <s v="VI0002854840"/>
        <s v="GM0000672845"/>
        <s v="VI0002860799"/>
        <s v="VI0002860951  "/>
        <s v="VI0002864556"/>
        <s v="VI0002865953"/>
        <s v="GM000677220"/>
        <s v="VI0002867999"/>
        <s v="VI0002382839"/>
        <s v="VI0002868817"/>
        <s v="VI0002868903"/>
        <s v="VI0002868991"/>
        <s v="VI0002869958"/>
        <s v="VI0002871387"/>
        <s v="VI0002875542"/>
        <s v="VI0002879209"/>
        <s v="VI0002883180"/>
        <s v="VI0002883288"/>
        <s v="VI0002883856"/>
        <s v="VI0002885836"/>
        <s v="VI0002835520 "/>
        <s v="VI0002888021"/>
        <s v="VI0002889651"/>
        <s v="GM0000690516"/>
        <s v="GM0000690659"/>
        <s v="GM0000691919"/>
        <s v="VI0002893868"/>
        <s v="GM0000693679"/>
        <s v="GM0000694259"/>
        <s v="VI0002892849"/>
        <s v="VI0002894340"/>
        <s v="GM0000697387"/>
        <s v="VI0002908138"/>
        <s v="VI0002907604"/>
        <s v="VI0002377266"/>
        <s v="VI0002912807"/>
        <s v="GM0000109592"/>
        <s v="VI0002918199"/>
        <s v="VI0002920158"/>
        <s v="VI0002926711"/>
        <s v="VI0002927385        "/>
        <s v="GM0000717235        "/>
        <s v="VI0002934393        "/>
        <s v="GM0000717723"/>
        <s v="GM0000718818"/>
        <s v="VI0002939754        "/>
        <s v="VI0002942898"/>
        <s v="GM00007222222"/>
        <s v="GM0000725885"/>
        <s v="GM0000726756"/>
        <s v="VI0002955982"/>
        <s v="VI0002871821"/>
        <s v="VI0002972477"/>
        <s v="VI0002973654"/>
        <s v="VI0002983482"/>
        <s v="VI0002983787"/>
        <s v="GM0000748044"/>
        <s v="VI00002985331"/>
        <s v="VI0002985884"/>
        <s v="VI0002987105"/>
        <s v="VI0002988441"/>
        <s v="VI0002988641"/>
        <s v="VI0002989327"/>
        <m/>
      </sharedItems>
    </cacheField>
    <cacheField name=" Prima anual" numFmtId="164">
      <sharedItems containsString="0" containsBlank="1" containsNumber="1">
        <n v="16966.920000000002"/>
        <n v="66766.13999999998"/>
        <n v="22071.02"/>
        <n v="52580.286"/>
        <n v="27828.022500000003"/>
        <n v="10660.33"/>
        <n v="13490.0"/>
        <n v="40562.97750000001"/>
        <n v="25621.227"/>
        <n v="25192.01"/>
        <n v="84638.52900000001"/>
        <n v="15641.78"/>
        <n v="29765.232000000004"/>
        <n v="18513.96"/>
        <n v="27410.848560000002"/>
        <n v="15254.72816"/>
        <n v="20190.06464"/>
        <n v="13927.078800000001"/>
        <n v="61122.888000000006"/>
        <n v="24384.451500000003"/>
        <n v="26092.16788"/>
        <n v="34465.52"/>
        <n v="36597.6746"/>
        <n v="24786.0"/>
        <n v="38745.0468"/>
        <n v="67785.28344"/>
        <n v="19822.540800000002"/>
        <n v="38869.956"/>
        <n v="18327.44"/>
        <n v="32272.01548"/>
        <n v="94684.68359999999"/>
        <n v="16172.7696"/>
        <n v="39051.72"/>
        <n v="60000.0"/>
        <n v="18615.96"/>
        <n v="84758.5575"/>
        <n v="10726.88"/>
        <n v="55154.67716"/>
        <n v="17852.66"/>
        <n v="23177.631600000004"/>
        <n v="16656.333540000003"/>
        <n v="16569.27"/>
        <n v="31768.77288"/>
        <n v="38049.69608"/>
        <n v="17055.12"/>
        <n v="17836.199999999997"/>
        <n v="34835.20728"/>
        <n v="25934.860080000002"/>
        <n v="53812.08"/>
        <n v="13642.72"/>
        <n v="19209.916040000004"/>
        <n v="25139.067680000004"/>
        <n v="18979.65"/>
        <n v="38717.24"/>
        <n v="27696.138000000003"/>
        <n v="26030.95308"/>
        <n v="59203.92"/>
        <n v="30717.59"/>
        <n v="65160.59212"/>
        <n v="21761.1496"/>
        <n v="39766.91358000001"/>
        <n v="16188.72"/>
        <n v="27904.55304"/>
        <n v="18729.56"/>
        <n v="50638.2642"/>
        <n v="17176.32"/>
        <n v="23822.451220000003"/>
        <n v="26561.030540000003"/>
        <n v="17576.90448"/>
        <n v="19488.51456"/>
        <n v="59105.95014"/>
        <n v="38849.90164"/>
        <n v="34107.489"/>
        <n v="16748.0079"/>
        <n v="22141.242"/>
        <n v="27822.744000000002"/>
        <n v="17406.641920000002"/>
        <n v="50624.26"/>
        <n v="55173.61104"/>
        <n v="19102.71896"/>
        <n v="15536.767500000002"/>
        <n v="28128.24"/>
        <n v="30500.4965"/>
        <n v="26628.438000000002"/>
        <n v="18095.16606"/>
        <n v="19222.083599999998"/>
        <n v="26260.864480000004"/>
        <n v="15773.688000000002"/>
        <n v="35897.78232"/>
        <n v="16892.77"/>
        <n v="18693.9189"/>
        <n v="13525.76596"/>
        <n v="65127.42224000001"/>
        <n v="32089.509960000003"/>
        <n v="52820.9"/>
        <n v="25767.16"/>
        <n v="27049.96596"/>
        <n v="39263.528620000005"/>
        <n v="17438.77"/>
        <n v="51246.25454"/>
        <n v="10470.68"/>
        <n v="51727.311"/>
        <n v="10727.04"/>
        <n v="31556.64"/>
        <n v="38433.71218"/>
        <n v="13611.33"/>
        <n v="46310.426900000006"/>
        <n v="31557.93772"/>
        <n v="200978.4504"/>
        <n v="64606.527"/>
        <n v="10709.18"/>
        <n v="62550.12"/>
        <n v="15927.34"/>
        <n v="57496.072080000005"/>
        <n v="26465.506980000002"/>
        <n v="17804.9652"/>
        <n v="26536.75816"/>
        <n v="63507.087"/>
        <n v="17599.11264"/>
        <n v="20042.694"/>
        <n v="35707.30464"/>
        <n v="29109.96"/>
        <n v="72171.84"/>
        <n v="30582.252"/>
        <n v="17861.38"/>
        <n v="38765.055080000006"/>
        <n v="61523.0642"/>
        <n v="36665.09"/>
        <n v="15849.76"/>
        <n v="17776.7"/>
        <n v="18688.7304"/>
        <n v="50837.7364"/>
        <n v="24311.847199999997"/>
        <n v="20990.62"/>
        <n v="15326.6"/>
        <n v="39395.31"/>
        <n v="24922.4"/>
        <n v="67837.94"/>
        <n v="30407.52"/>
        <n v="24646.908"/>
        <n v="16824.5304"/>
        <n v="51787.788"/>
        <n v="20343.96"/>
        <n v="123987.396"/>
        <n v="18253.64"/>
        <n v="15482.64"/>
        <n v="60397.95"/>
        <n v="61108.31999999999"/>
        <n v="20624.94"/>
        <n v="17090.42"/>
        <n v="41364.64"/>
        <n v="17394.01"/>
        <n v="38718.03"/>
        <n v="20185.541999999998"/>
        <n v="26203.632"/>
        <n v="35546.1345"/>
        <n v="17807.18"/>
        <n v="10389.52"/>
        <n v="42609.0"/>
        <n v="16472.4168"/>
        <n v="22205.1"/>
        <n v="120522.6925"/>
        <n v="15635.143300000002"/>
        <n v="18354.91"/>
        <n v="18970.47"/>
        <n v="13940.68"/>
        <n v="18117.073800000002"/>
        <n v="18867.1938"/>
        <n v="24734.807999999997"/>
        <n v="19100.771999999997"/>
        <n v="17081.04"/>
        <n v="120791.65499999998"/>
        <n v="19833.81"/>
        <n v="15476.98"/>
        <n v="26730.72"/>
        <n v="19073.67"/>
        <n v="60097.869"/>
        <n v="59942.592"/>
        <n v="26535.762"/>
        <n v="39203.271"/>
        <n v="20137.02"/>
        <n v="25546.492500000004"/>
        <n v="25180.3986"/>
        <n v="56583.499200000006"/>
        <n v="50167.5471"/>
        <n v="18672.171000000002"/>
        <n v="35057.2104"/>
        <n v="24091.466400000005"/>
        <n v="22499.7"/>
        <n v="24624.14"/>
        <n v="67082.9112"/>
        <n v="20683.1515"/>
        <n v="18682.571000000004"/>
        <n v="18671.92"/>
        <n v="80230.0125"/>
        <n v="20239.9725"/>
        <n v="19334.56"/>
        <n v="25364.0384"/>
        <n v="20384.47"/>
        <n v="62007.495"/>
        <n v="36613.83"/>
        <n v="18033.84"/>
        <n v="18606.9675"/>
        <n v="23031.73"/>
        <n v="24123.7342"/>
        <n v="73182.46199999998"/>
        <n v="24005.789999999997"/>
        <n v="24255.845999999998"/>
        <n v="50479.1028"/>
        <n v="120493.87199999999"/>
        <n v="18346.403000000002"/>
        <n v="121882.1443"/>
        <n v="53020.1168"/>
        <n v="51089.809"/>
        <n v="72634.7394"/>
        <n v="31423.574699999997"/>
        <n v="46939.26"/>
        <m/>
        <n v="30108.229199999994"/>
        <n v="20534.184400000002"/>
        <n v="19060.26"/>
        <n v="40462.83"/>
        <n v="23133.96"/>
        <n v="36159.9"/>
        <n v="22216.27"/>
        <n v="19492.49"/>
        <n v="19020.96"/>
        <n v="19875.744000000002"/>
        <n v="25983.41"/>
        <n v="50213.70249999999"/>
        <n v="50630.625499999995"/>
        <n v="134684.89200000002"/>
        <n v="35620.83"/>
        <n v="133859.24"/>
        <n v="156513.4944"/>
        <n v="28898.9072"/>
        <n v="51679.2727"/>
        <n v="70800.00720000001"/>
        <n v="22780.38"/>
        <n v="24285.197999999997"/>
        <n v="24977.82"/>
        <n v="60574.18"/>
        <n v="18202.95"/>
        <n v="38312.892"/>
        <n v="5037.71"/>
        <n v="40113.1"/>
        <n v="23136.47"/>
        <n v="25476.6456"/>
        <n v="36511.116"/>
        <n v="24616.214999999997"/>
        <n v="66006.2375"/>
        <n v="81409.482"/>
        <n v="25213.734"/>
        <n v="28077.48"/>
        <n v="48543.6314"/>
        <n v="80587.7384"/>
        <n v="45528.293999999994"/>
        <n v="67372.749"/>
        <n v="31415.995499999997"/>
        <n v="71058.1545"/>
      </sharedItems>
    </cacheField>
    <cacheField name="Tipo de Moneda" numFmtId="0">
      <sharedItems containsBlank="1">
        <s v="MXN"/>
        <s v="UDIS"/>
        <s v="USD"/>
        <s v=" MXN"/>
        <s v="MX"/>
        <m/>
      </sharedItems>
    </cacheField>
    <cacheField name="Forma de pago " numFmtId="0">
      <sharedItems containsBlank="1">
        <s v="Mensual"/>
        <s v="Semestral"/>
        <s v="Anual"/>
        <s v="Trimestral"/>
        <m/>
      </sharedItems>
    </cacheField>
    <cacheField name="Cumpleaños">
      <sharedItems containsDate="1" containsBlank="1" containsMixedTypes="1">
        <s v="15-sep"/>
        <d v="2022-05-26T00:00:00Z"/>
        <d v="2022-05-23T00:00:00Z"/>
        <d v="2023-10-07T00:00:00Z"/>
        <d v="2023-09-01T00:00:00Z"/>
        <d v="2022-09-01T00:00:00Z"/>
        <d v="2023-04-08T00:00:00Z"/>
        <d v="2022-04-05T00:00:00Z"/>
        <d v="2022-01-29T00:00:00Z"/>
        <d v="2022-07-27T00:00:00Z"/>
        <d v="2022-03-14T00:00:00Z"/>
        <d v="2022-08-28T00:00:00Z"/>
        <d v="2022-08-31T00:00:00Z"/>
        <s v="06-sep"/>
        <d v="2022-02-04T00:00:00Z"/>
        <d v="2022-02-13T00:00:00Z"/>
        <d v="2023-10-26T00:00:00Z"/>
        <s v="17-sep"/>
        <d v="2023-07-24T00:00:00Z"/>
        <d v="2023-01-12T00:00:00Z"/>
        <d v="2023-03-04T00:00:00Z"/>
        <d v="2023-06-24T00:00:00Z"/>
        <s v="12-sep"/>
        <d v="2022-09-06T00:00:00Z"/>
        <d v="2023-07-30T00:00:00Z"/>
        <d v="2022-06-01T00:00:00Z"/>
        <d v="2022-11-12T00:00:00Z"/>
        <d v="2023-08-25T00:00:00Z"/>
        <d v="2023-07-20T00:00:00Z"/>
        <d v="2023-12-16T00:00:00Z"/>
        <d v="2023-01-26T00:00:00Z"/>
        <s v="16-sep"/>
        <d v="2023-03-21T00:00:00Z"/>
        <d v="2022-08-23T00:00:00Z"/>
        <d v="2022-06-12T00:00:00Z"/>
        <s v="03-sep"/>
        <d v="2022-11-07T00:00:00Z"/>
        <d v="2022-03-25T00:00:00Z"/>
        <d v="2022-10-14T00:00:00Z"/>
        <d v="2022-03-06T00:00:00Z"/>
        <d v="2023-10-08T00:00:00Z"/>
        <d v="2022-01-01T00:00:00Z"/>
        <d v="2022-12-22T00:00:00Z"/>
        <d v="2022-11-09T00:00:00Z"/>
        <d v="2023-10-14T00:00:00Z"/>
        <d v="2022-01-26T00:00:00Z"/>
        <d v="2022-12-20T00:00:00Z"/>
        <s v="05-sep"/>
        <d v="2023-02-07T00:00:00Z"/>
        <d v="2022-08-30T00:00:00Z"/>
        <d v="2022-12-21T00:00:00Z"/>
        <d v="2022-04-23T00:00:00Z"/>
        <d v="2022-10-31T00:00:00Z"/>
        <d v="2022-10-24T00:00:00Z"/>
        <d v="2022-01-28T00:00:00Z"/>
        <d v="2022-06-14T00:00:00Z"/>
        <d v="2022-03-28T00:00:00Z"/>
        <d v="2022-06-18T00:00:00Z"/>
        <d v="2022-01-07T00:00:00Z"/>
        <d v="2022-02-25T00:00:00Z"/>
        <d v="2022-12-27T00:00:00Z"/>
        <d v="2023-03-30T00:00:00Z"/>
        <d v="2023-11-30T00:00:00Z"/>
        <d v="2023-08-19T00:00:00Z"/>
        <d v="2022-12-24T00:00:00Z"/>
        <d v="2022-12-13T00:00:00Z"/>
        <d v="2023-11-18T00:00:00Z"/>
        <d v="2022-08-07T00:00:00Z"/>
        <d v="2023-03-08T00:00:00Z"/>
        <d v="2022-10-23T00:00:00Z"/>
        <d v="2022-02-03T00:00:00Z"/>
        <d v="2023-08-16T00:00:00Z"/>
        <d v="2023-04-11T00:00:00Z"/>
        <d v="2023-04-23T00:00:00Z"/>
        <d v="2023-06-17T00:00:00Z"/>
        <d v="2022-04-09T00:00:00Z"/>
        <d v="2022-05-27T00:00:00Z"/>
        <d v="2022-11-21T00:00:00Z"/>
        <d v="2022-01-27T00:00:00Z"/>
        <d v="2022-05-11T00:00:00Z"/>
        <d v="2022-03-24T00:00:00Z"/>
        <d v="2022-02-28T00:00:00Z"/>
        <d v="2022-05-10T00:00:00Z"/>
        <d v="2022-02-09T00:00:00Z"/>
        <d v="2023-11-24T00:00:00Z"/>
        <d v="2023-02-24T00:00:00Z"/>
        <d v="2022-08-06T00:00:00Z"/>
        <d v="2022-12-28T00:00:00Z"/>
        <d v="2023-07-09T00:00:00Z"/>
        <d v="2022-04-20T00:00:00Z"/>
        <d v="2022-08-21T00:00:00Z"/>
        <d v="2022-06-29T00:00:00Z"/>
        <d v="2022-04-22T00:00:00Z"/>
        <d v="2022-04-21T00:00:00Z"/>
        <d v="2022-10-26T00:00:00Z"/>
        <d v="2022-11-11T00:00:00Z"/>
        <d v="2022-04-26T00:00:00Z"/>
        <d v="2022-02-05T00:00:00Z"/>
        <d v="2023-01-20T00:00:00Z"/>
        <s v="01-sep"/>
        <d v="2022-08-27T00:00:00Z"/>
        <d v="2023-10-16T00:00:00Z"/>
        <d v="2023-12-21T00:00:00Z"/>
        <d v="2022-07-04T00:00:00Z"/>
        <d v="2023-07-15T00:00:00Z"/>
        <d v="2023-09-11T00:00:00Z"/>
        <d v="2022-06-26T00:00:00Z"/>
        <d v="2022-09-08T00:00:00Z"/>
        <d v="2022-07-16T00:00:00Z"/>
        <d v="2022-02-26T00:00:00Z"/>
        <d v="2022-04-19T00:00:00Z"/>
        <d v="2022-07-05T00:00:00Z"/>
        <d v="2022-07-18T00:00:00Z"/>
        <d v="2022-11-08T00:00:00Z"/>
        <d v="2022-05-02T00:00:00Z"/>
        <d v="2022-02-11T00:00:00Z"/>
        <d v="2023-06-27T00:00:00Z"/>
        <d v="2023-05-23T00:00:00Z"/>
        <d v="2023-08-17T00:00:00Z"/>
        <d v="2023-07-26T00:00:00Z"/>
        <d v="2023-07-21T00:00:00Z"/>
        <d v="2023-12-09T00:00:00Z"/>
        <d v="2023-07-11T00:00:00Z"/>
        <d v="2023-09-04T00:00:00Z"/>
        <d v="2023-06-06T00:00:00Z"/>
        <d v="2023-08-11T00:00:00Z"/>
        <d v="2023-03-15T00:00:00Z"/>
        <d v="2023-11-12T00:00:00Z"/>
        <d v="2023-05-21T00:00:00Z"/>
        <d v="2023-09-06T00:00:00Z"/>
        <d v="2023-02-12T00:00:00Z"/>
        <d v="2023-02-11T00:00:00Z"/>
        <d v="2023-12-02T00:00:00Z"/>
        <d v="2023-01-08T00:00:00Z"/>
        <d v="2023-11-21T00:00:00Z"/>
        <d v="2023-06-13T00:00:00Z"/>
        <d v="2023-07-23T00:00:00Z"/>
        <d v="2023-07-02T00:00:00Z"/>
        <d v="2023-01-05T00:00:00Z"/>
        <d v="2023-12-17T00:00:00Z"/>
        <d v="2023-11-28T00:00:00Z"/>
        <d v="2023-09-27T00:00:00Z"/>
        <d v="2023-04-03T00:00:00Z"/>
        <d v="2024-07-29T00:00:00Z"/>
        <d v="2024-07-23T00:00:00Z"/>
        <d v="2024-11-11T00:00:00Z"/>
        <d v="2024-05-06T00:00:00Z"/>
        <d v="2024-09-03T00:00:00Z"/>
        <d v="2024-06-13T00:00:00Z"/>
        <d v="2024-09-07T00:00:00Z"/>
        <d v="2024-01-28T00:00:00Z"/>
        <d v="1984-10-17T00:00:00Z"/>
        <d v="1998-02-27T00:00:00Z"/>
        <d v="1973-01-19T00:00:00Z"/>
        <d v="1987-03-25T00:00:00Z"/>
        <d v="1994-07-16T00:00:00Z"/>
        <d v="1985-01-13T00:00:00Z"/>
        <d v="2004-12-24T00:00:00Z"/>
        <d v="1962-07-21T00:00:00Z"/>
        <d v="2024-04-16T00:00:00Z"/>
        <d v="1999-06-21T00:00:00Z"/>
        <d v="1999-02-03T00:00:00Z"/>
        <d v="1984-02-06T00:00:00Z"/>
        <d v="1996-07-25T00:00:00Z"/>
        <d v="1994-08-23T00:00:00Z"/>
        <d v="1989-06-01T00:00:00Z"/>
        <d v="1999-08-21T00:00:00Z"/>
        <d v="1994-07-24T00:00:00Z"/>
        <d v="2001-08-04T00:00:00Z"/>
        <d v="2002-11-10T00:00:00Z"/>
        <d v="1979-06-20T00:00:00Z"/>
        <d v="1975-05-18T00:00:00Z"/>
        <d v="1969-05-11T00:00:00Z"/>
        <d v="2024-08-03T00:00:00Z"/>
        <d v="2025-02-11T00:00:00Z"/>
        <d v="2025-10-12T00:00:00Z"/>
        <d v="2025-12-07T00:00:00Z"/>
        <d v="2025-11-20T00:00:00Z"/>
        <d v="2025-06-10T00:00:00Z"/>
        <d v="2025-11-29T00:00:00Z"/>
        <d v="2025-12-30T00:00:00Z"/>
        <d v="2025-11-05T00:00:00Z"/>
        <d v="2025-04-26T00:00:00Z"/>
        <d v="2025-06-26T00:00:00Z"/>
        <d v="2025-05-24T00:00:00Z"/>
        <d v="2025-08-15T00:00:00Z"/>
        <d v="2025-10-18T00:00:00Z"/>
        <d v="1990-03-25T00:00:00Z"/>
        <d v="1998-10-07T00:00:00Z"/>
        <d v="2025-06-21T00:00:00Z"/>
        <d v="2025-07-09T00:00:00Z"/>
        <d v="2025-07-29T00:00:00Z"/>
        <d v="2025-09-20T00:00:00Z"/>
        <d v="2025-09-26T00:00:00Z"/>
        <d v="1992-03-11T00:00:00Z"/>
        <d v="2025-06-03T00:00:00Z"/>
        <d v="2025-11-27T00:00:00Z"/>
        <d v="2004-10-10T00:00:00Z"/>
        <d v="2025-01-07T00:00:00Z"/>
        <d v="2025-03-04T00:00:00Z"/>
        <d v="2025-10-22T00:00:00Z"/>
        <d v="2025-09-07T00:00:00Z"/>
        <d v="2025-02-27T00:00:00Z"/>
        <d v="2026-08-05T00:00:00Z"/>
        <d v="2026-11-21T00:00:00Z"/>
        <d v="2026-04-02T00:00:00Z"/>
        <d v="2026-07-02T00:00:00Z"/>
        <d v="2026-08-21T00:00:00Z"/>
        <d v="2026-08-17T00:00:00Z"/>
        <d v="2026-09-15T00:00:00Z"/>
        <d v="2026-09-03T00:00:00Z"/>
        <d v="2026-06-13T00:00:00Z"/>
        <m/>
      </sharedItems>
    </cacheField>
    <cacheField name="Buen referenciador" numFmtId="0">
      <sharedItems containsBlank="1">
        <s v="Sí"/>
        <m/>
      </sharedItems>
    </cacheField>
    <cacheField name="Modo de cobro" numFmtId="0">
      <sharedItems containsBlank="1">
        <s v="TD"/>
        <s v="TC"/>
        <s v="AGENTE"/>
        <s v="TDD"/>
        <s v="TDC"/>
        <m/>
      </sharedItems>
    </cacheField>
    <cacheField name="Tipo de plan" numFmtId="0">
      <sharedItems containsBlank="1">
        <s v="Gastos Médicos "/>
        <s v="Vida"/>
        <s v="Gastos medicos"/>
        <m/>
      </sharedItems>
    </cacheField>
    <cacheField name="Nombre del plan " numFmtId="0">
      <sharedItems containsBlank="1">
        <s v="Integro"/>
        <s v="Orvi"/>
        <s v="Practico"/>
        <s v="Imagina ser"/>
        <s v="Segubeca"/>
        <s v="Nuevo Plenitud"/>
        <s v="Vida Mujer"/>
        <s v="PLENO"/>
        <s v="Temporal"/>
        <s v="Nuevo planitud"/>
        <s v="Objetivo Vida"/>
        <m/>
      </sharedItems>
    </cacheField>
    <cacheField name="Correo electrónico" numFmtId="0">
      <sharedItems containsBlank="1">
        <s v="abraham.mancera92@hotmail.com"/>
        <s v="adriangtsramirez261144@gmail.com"/>
        <s v="ajj_07@hotmail.com"/>
        <s v="ale_u_casillas@hotmail.com"/>
        <s v="aa.lomeli8@gmail.com"/>
        <s v="alejandromorenotrujillo1@gmail.com"/>
        <s v="soto.564@hotmail.com"/>
        <s v="a.vazquez.rodriguez@outlook.com"/>
        <s v="giselleinfante92@gmail.com"/>
        <s v="lupithamuniz0015@gmail.com"/>
        <s v="apgln@hotmail.com"/>
        <s v="andreahdz_09@hotmail.com"/>
        <s v="angelicaduran.4@hotmail.com"/>
        <s v="sanchez.201024835@outlook.com"/>
        <s v="bernigarcia365@icloud.com"/>
        <s v="moncar1709@gmail.com"/>
        <s v="aideflores.arellano@gmail.com"/>
        <s v="carla.martineez@hotmail.com"/>
        <s v="walazamn@hotmail.com"/>
        <s v="tekilopalazuelos@gmail.com"/>
        <s v="carlos_a_u@hotmail.com"/>
        <s v="carloshum3888@gmail.com"/>
        <s v="carlos.verduzcof@gmail.com"/>
        <s v="eagletijuana@gmail.com"/>
        <s v="cecyarceo@hotmail.com"/>
        <s v="cesar25941@outlook.com"/>
        <s v="noemijass1982@gmail.com"/>
        <s v="innsmouth26@gmail.com"/>
        <s v="crig91@hotmail.com"/>
        <s v="cristinarodriguezdelatorre@gmail.com"/>
        <s v="cynthi_lizi@hotmail.com"/>
        <s v="dacaro_22@hotmail.com"/>
        <s v="peregrinadaniela0@gmail.com"/>
        <s v="daniela.nietom@outlook.com"/>
        <s v="darinkasm7@gmail.com"/>
        <s v="davidmneri1490@gmail.com"/>
        <s v="denisse.cgonzalez@hotmail.com"/>
        <s v="diegoivanaguayorodriguez@gmail.com"/>
        <s v="guarnerosleo4e@gmail.com"/>
        <s v="digna.baza@gmail.com"/>
        <s v="ederemmanuel.alcala19@jaliscoedu.mx"/>
        <s v="esanchez_glez@outlook.com"/>
        <s v="evalles.0311@gmail.com"/>
        <s v="e_torres_alvarez@outlook.com"/>
        <s v="emmanuel.palmasal@gmail.com"/>
        <s v="minerliz109@hotmail.com"/>
        <s v="aleyois.cr@gmail.com"/>
        <s v="felicitascasillas@hotmail.com"/>
        <s v="florcorona8@gmail.com"/>
        <s v="javiz-94@hotmail.com"/>
        <s v="fcomartin@gmail.com"/>
        <s v="glencacasiano@hotmail.com"/>
        <s v="gpgustavo@yahoo.com"/>
        <s v="heber.ramirez.luna@gmail.com"/>
        <s v="expayupi.13@gmail.com"/>
        <s v="alexocho88@gmail.com"/>
        <s v="jaramos89@yahoo.com"/>
        <s v="jazmin_ro_jo@hotmail.com"/>
        <s v="jhernan8212@gmail.com"/>
        <s v="jenilira@gmail.com"/>
        <s v="jennifer.godinez.c@hotmail.com"/>
        <s v="jeadila@gmail.com"/>
        <s v="jorge.fcoarevalo@gmail.com"/>
        <s v="j.daniel.f.arellano@gmail.com"/>
        <s v="fsedaceja@gmail.com"/>
        <s v="josie_gg@hotmail.com"/>
        <s v="antonio.velazquez.alvarez@hotmail.com"/>
        <s v="juanleon1439@gmail.com"/>
        <s v="kdenisseseda@gmail.com"/>
        <s v="enriquezledezmakaren2@gmail.com"/>
        <s v="markador_23@hotmail.com"/>
        <s v="kimberlysm00@gmail.com"/>
        <s v="luciaortega2707@gmail.com"/>
        <s v="jimeapariciogarcia@gmail.com"/>
        <s v="01.ramosreynoso@gmail.com"/>
        <s v="florentina219011@gmail.com"/>
        <s v="valeryacortez@hotmail.com"/>
        <s v="avaldivieso16@gmail.com"/>
        <s v="balderasfonseca@gmail.com"/>
        <s v="melissa_grg@hotmail.com"/>
        <s v="mrcdsdelatorre@gmail.com"/>
        <s v="octavio_moises.s@hotmail.com"/>
        <s v="romar_uc@hotmail.com"/>
        <s v="orlanda.cervantes89@hotmail.com"/>
        <s v="oscar.correa.soto@gmail.com"/>
        <s v="natael28@icloud.com"/>
        <s v="pao.dlt.irigoyen@gmail.com"/>
        <s v="ramosreynosopaola@gmail.com"/>
        <s v="cr.rafael.rcr@gmail.com"/>
        <s v="rafaael_arevalo@hotmail.com"/>
        <s v="raularias186@gmail.com"/>
        <s v="raulurenaguzman@gmail.com"/>
        <s v="ricardo.a@ryrposters.com"/>
        <s v="salome@mauisa.com"/>
        <s v="sandrausagitomisaki@gmail.com"/>
        <s v="spaulinaorozco_25@hotmail.com"/>
        <s v="genaro.sanchezg91@icloud.com"/>
        <s v="rodriguez.susanar@gmail.com"/>
        <s v="pamela.guavelar@gmail.com"/>
        <s v="valeria123_7@hotmail.com"/>
        <s v="alambradosgallegosjal@hotmail.com"/>
        <s v="vicky.male.ber20@gmail.com"/>
        <s v="viviana08cr@live.com"/>
        <s v="liga117.rg@gmail.com"/>
        <s v="gibacor@hotmail.com"/>
        <s v="guzmanmaciasjuanjose@gmail.com"/>
        <s v="valeria.santacruz.tabares@gmail.com"/>
        <s v="carlos_nava74@hotmail.com"/>
        <s v="j_dayanna@hotmail.com"/>
        <s v="michelle.boy1216@gmail.com"/>
        <s v="nora.msg@hotmail.com"/>
        <s v="prix_jvm@hotmail.com"/>
        <s v="monse.romo.01@hotmail.com"/>
        <s v="finanzaslamesa@gmail.com"/>
        <s v="claudiamaciel@live.com.mx"/>
        <s v="kas_elka_02@hotmail.com"/>
        <s v="dmflor.ver@gmail.com"/>
        <s v="garibaymoran@outlook.com"/>
        <s v="josealinage@gmail.com"/>
        <s v="dan210397@gmail.com"/>
        <s v="alejandro.olivarez19@hotmail.com"/>
        <s v="j.gpe.marin.lopez@gmail.com"/>
        <s v="gabitovivar@gmail.com"/>
        <s v="berrellezaplascencia@gmail.com"/>
        <s v="garciauribekaren@gmail.com"/>
        <s v="sophiapm_04@hotmail.com"/>
        <s v="cordero.gustavo@outlook.com"/>
        <s v="fernandasolano59@gmail.com"/>
        <s v="carlos_pigui@hotmail.com"/>
        <s v="armando_diazr@hotmail.com"/>
        <s v="jacquelinemerazruiz@gmail.com"/>
        <s v="jannet1745@gmail.com"/>
        <s v="riosgs2169@gmail.com"/>
        <s v="rata4593@gmail.com"/>
        <s v="rodolfo.rogume@gmail.com"/>
        <s v="perezaldretesilviaanali@gmail.com"/>
        <s v="daniela.a.calva@gmail.com"/>
        <s v="m.gonzalez010895@gmail.com"/>
        <s v="kevin.oneal.salcedo@gmail.com"/>
        <s v="abbiegarciaa@gmail.com"/>
        <s v="ramirez99lili@gmail.com"/>
        <s v="marthi_li@hotmail.com"/>
        <s v="sandra.maciasayon@hotmail.com&#10;"/>
        <s v="odalis_ayon@hotmail.com"/>
        <s v="prismargon@hotmail.com&#10;"/>
        <s v="juliieta89@gmail.com"/>
        <s v="dra.esmegb@gmail.com"/>
        <s v="erika.diazmendez@hotmail.com"/>
        <s v="michellenumber4@hotmail.com"/>
        <s v="venus.silvas@gmail.com&#10;"/>
        <s v="gabrielanava0605@gmail.com"/>
        <s v="mayi_3333@hotmail.com&#10;"/>
        <s v="acorki@yahoo.com"/>
        <s v="jessiduarte95@gmail.com&#10;"/>
        <s v="kualis@hotmail.com"/>
        <s v="mstm1984@outlook.com&#10;"/>
        <s v="paolaramirezrsl@gmail.com&#10;"/>
        <s v="chesca_mia@hotmail.com"/>
        <s v="ing.mariovillanueva@gmail.com&#10;"/>
        <s v="je_dayanna@hotmail.com"/>
        <s v="lizettega1985@gmail.com&#10;"/>
        <s v="ganaderiasandimas@gmail.com&#10;"/>
        <s v="maquinariarsc@gmail.com"/>
        <s v="jorge_jdm@hotmail.com&#10;"/>
        <s v="victor.11.96@hotmail.com&#10;"/>
        <s v="keely_leonel@hotmail.com&#10;"/>
        <s v="aureamarisol@hotmail.com&#10;"/>
        <s v="mardicharodriguez@gmail.com&#10;"/>
        <s v="mig.ag.ch@gmail.com"/>
        <s v="cesar.cervantesdelvalle@gmail.com&#10;"/>
        <s v="angy_tobebts@outlook.es&#10;"/>
        <s v="jairquezada@hotmail.com&#10;"/>
        <s v="debanhiquezadaa@gmail.com&#10;"/>
        <s v="mibarraborrayo@gmail.com&#10;"/>
        <s v="fiscontadores@gmail.com&#10;"/>
        <s v="alvarezrake@gmail.com&#10;"/>
        <s v="deliacontrerasalvarez@gmail.com&#10;"/>
        <s v="efranquezflores@gmail.com&#10;"/>
        <s v="yatziri.franquez.flores@gmail.com&#10;"/>
        <s v="frankmendoza90@outlook.com&#10;"/>
        <s v="gonzalezdosveces.salome@gmail.com&#10;"/>
        <s v="betoleo99@gmail.com&#10;"/>
        <s v="luishriosgarcia@gmail.com"/>
        <s v="migueljauregui@outlook.es"/>
        <s v="dr.navarroalergo@gmail.com&#10;"/>
        <s v="landeros.gc@gmail.com&#10;"/>
        <s v="abrahamob7@gmail.com&#10;"/>
        <s v="aalvarezobrien@gmail.com&#10;"/>
        <s v="stephanie_2651@hotmail.com&#10;"/>
        <s v="darinkasm7@gmail.com&#10;"/>
        <s v="soymarcopreciado@gmail.com&#10;"/>
        <s v="contreras.mary@gmail.com&#10;"/>
        <s v="pao.dlt.irigoyen@gmail.com&#10;"/>
        <s v="adrianacastiyo@hotmail.com&#10;"/>
        <s v="flores.lopez2099@gmail.com&#10;"/>
        <s v="BARBARAZOE07@GMAIL.COM&#10;"/>
        <s v="omar.palomino1103@gmail.com"/>
        <s v="BUFFALO.GDL.OFICIAL@GMAIL.COM&#10;"/>
        <s v="melgarejopaulinaguillen96@gmail.com&#10;"/>
        <s v="nayeliwis378116@gmail.com&#10;"/>
        <s v="fernandasolano59@gmail.com&#10;"/>
        <s v="pascual@grupomajavi.com"/>
        <s v="ALEJANDRAURCA@HOTMAIL.COM&#10;"/>
        <s v="santiagoagro@hotmail.com"/>
        <s v="snow1char405@gmail.com"/>
        <s v="PIMINMOBILIARIA5@GMAIL.COM"/>
        <s v="ale.guzmansoria@gmail.com"/>
        <s v="ric.arechiga26@gmail.com"/>
        <s v="theyogastudiobego@gmail.com"/>
        <m/>
      </sharedItems>
    </cacheField>
    <cacheField name="Teléfono" numFmtId="0">
      <sharedItems containsString="0" containsBlank="1" containsNumber="1" containsInteger="1">
        <n v="3.322725657E9"/>
        <n v="3.335785031E9"/>
        <n v="3.314550115E9"/>
        <n v="3.322590323E9"/>
        <n v="3.322278793E9"/>
        <n v="3.324945143E9"/>
        <n v="3.339561889E9"/>
        <n v="3.318332966E9"/>
        <n v="3.312415016E9"/>
        <n v="3.314946421E9"/>
        <n v="3.312799019E9"/>
        <n v="3.353312319E9"/>
        <n v="3.314077658E9"/>
        <n v="2.223716744E9"/>
        <n v="3.317070106E9"/>
        <n v="3.313875424E9"/>
        <n v="3.314239602E9"/>
        <n v="3.33445368E9"/>
        <n v="3.314537802E9"/>
        <n v="9.985779227E9"/>
        <n v="9.84130928E9"/>
        <n v="3.313033649E9"/>
        <n v="3.316696345E9"/>
        <n v="3.324962545E9"/>
        <n v="3.311741926E9"/>
        <n v="3.311249925E9"/>
        <n v="3.321643018E9"/>
        <n v="3.311582572E9"/>
        <n v="3.315709079E9"/>
        <n v="6.142212111E9"/>
        <n v="3.329196044E9"/>
        <n v="3.314439698E9"/>
        <n v="3.314669252E9"/>
        <n v="3.312198584E9"/>
        <n v="3.323714729E9"/>
        <n v="3.314551462E9"/>
        <n v="3.315994003E9"/>
        <n v="3.319866597E9"/>
        <n v="3.324010177E9"/>
        <n v="3.316366711E9"/>
        <n v="3.334414617E9"/>
        <n v="6.692407705E9"/>
        <n v="5.535683014E9"/>
        <n v="3.33970575E9"/>
        <n v="3.316119244E9"/>
        <n v="3.325701779E9"/>
        <n v="3.331919169E9"/>
        <n v="3.331838401E9"/>
        <n v="3.310448631E9"/>
        <n v="3.331675304E9"/>
        <n v="3.323382232E9"/>
        <n v="3.339540399E9"/>
        <n v="3.338162151E9"/>
        <n v="3.314851938E9"/>
        <n v="3.339445412E9"/>
        <n v="3.336264624E9"/>
        <n v="3.314251081E9"/>
        <n v="3.310813799E9"/>
        <n v="3.32832694E9"/>
        <n v="3.324972428E9"/>
        <n v="3.314493281E9"/>
        <n v="3.316996266E9"/>
        <n v="3.32536443E9"/>
        <n v="3.338715628E9"/>
        <n v="3.318007866E9"/>
        <n v="8.16655191E9"/>
        <n v="3.331009288E9"/>
        <n v="3.312952384E9"/>
        <n v="9.87564619E9"/>
        <n v="3.339527328E9"/>
        <n v="3.315544084E9"/>
        <n v="3.316693326E9"/>
        <n v="9.8423306E9"/>
        <n v="3.331060698E9"/>
        <n v="3.310244685E9"/>
        <n v="3.313983302E9"/>
        <n v="3.328011841E9"/>
        <n v="3.311105873E9"/>
        <n v="3.310432712E9"/>
        <n v="3.314669672E9"/>
        <n v="3.312871031E9"/>
        <n v="3.322570451E9"/>
        <n v="3.313568539E9"/>
        <n v="3.321832449E9"/>
        <n v="3.310654457E9"/>
        <n v="3.314651944E9"/>
        <n v="3.318264373E9"/>
        <n v="3.314124438E9"/>
        <n v="3.311788769E9"/>
        <n v="3.331483605E9"/>
        <n v="3.323106934E9"/>
        <n v="6.371150054E9"/>
        <n v="6.69102773E9"/>
        <n v="3.316031092E9"/>
        <n v="3.321553026E9"/>
        <m/>
        <n v="3.335770232E9"/>
        <n v="3.310245076E9"/>
        <n v="3.311184857E9"/>
        <n v="3.315409829E9"/>
        <n v="3.316014747E9"/>
        <n v="3.32201571E9"/>
        <n v="3.315127357E9"/>
        <n v="3.314652257E9"/>
        <n v="9.841689199E9"/>
        <n v="3.311100069E9"/>
        <n v="3.325135897E9"/>
        <n v="3.313877809E9"/>
        <n v="3.316149646E9"/>
        <n v="3.318608259E9"/>
        <n v="3.313139505E9"/>
        <n v="3.412052997E9"/>
        <n v="3.322412519E9"/>
        <n v="9.981062449E9"/>
        <n v="3.331960365E9"/>
        <n v="3.312221777E9"/>
        <n v="3.33598829E9"/>
        <n v="3.312689115E9"/>
        <n v="3.313337798E9"/>
        <n v="3.319183306E9"/>
        <n v="9.982423189E9"/>
        <n v="3.312306159E9"/>
        <n v="3.311862243E9"/>
        <n v="3.312707907E9"/>
        <n v="3.315497145E9"/>
        <n v="5.55101737E9"/>
        <n v="3.323856131E9"/>
        <n v="3.338152956E9"/>
        <n v="3.328395992E9"/>
        <n v="3.339526404E9"/>
        <n v="3.335774167E9"/>
        <n v="3.339560027E9"/>
        <n v="3.310715478E9"/>
        <n v="3.3110948E9"/>
        <n v="3.314186581E9"/>
        <n v="3.333520616E9"/>
        <n v="6.959512989E9"/>
        <n v="3.313195934E9"/>
        <n v="3.317986895E9"/>
        <n v="3.314458615E9"/>
        <n v="3.312256678E9"/>
        <n v="6.641571064E9"/>
        <n v="3.312948594E9"/>
        <n v="3.313015603E9"/>
        <n v="3.313359709E9"/>
        <n v="3.314578905E9"/>
        <n v="3.314456062E9"/>
        <n v="3.333629109E9"/>
        <n v="3.37215962E8"/>
        <n v="3.319713487E9"/>
        <n v="3.334068796E9"/>
        <n v="3.333524742E9"/>
        <n v="3.321320967E9"/>
        <n v="3.311939793E9"/>
        <n v="3.323847939E9"/>
        <n v="3.32918321E9"/>
        <n v="3.313583637E9"/>
        <n v="2.292468186E9"/>
        <n v="3.481056576E9"/>
        <n v="3.329670346E9"/>
        <n v="3.315344817E9"/>
        <n v="3.317712571E9"/>
        <n v="3.313202593E9"/>
        <n v="9.983925177E9"/>
        <n v="3.781030438E9"/>
        <n v="3.331305033E9"/>
        <n v="3.312981328E9"/>
        <n v="3.314310877E9"/>
        <n v="3.312809227E9"/>
        <n v="3.322447207E9"/>
        <n v="3.312309278E9"/>
        <n v="3.322022696E10"/>
        <n v="3.312547502E9"/>
        <n v="3.332709475E9"/>
        <n v="3.312183225E9"/>
        <n v="3.317393218E9"/>
        <n v="3.315196442E9"/>
        <n v="3.331902987E9"/>
        <n v="3.326692247E9"/>
        <n v="5.549075655E9"/>
        <n v="3.336051229E9"/>
        <n v="2.225223793E9"/>
        <n v="3.319407208E9"/>
        <n v="3.311559775E9"/>
        <n v="3.317438642E9"/>
        <n v="3.338447023E9"/>
        <n v="3.314184353E9"/>
      </sharedItems>
    </cacheField>
    <cacheField name="Asesor " numFmtId="0">
      <sharedItems containsBlank="1">
        <s v="DARINKA UREÑA CASILLAS"/>
        <m/>
      </sharedItems>
    </cacheField>
    <cacheField name="Mes">
      <sharedItems containsMixedTypes="1" containsNumber="1" containsInteger="1">
        <s v="Febrero"/>
        <s v="Enero"/>
        <s v="Diciembre"/>
        <s v="Junio"/>
        <s v="Octubre"/>
        <s v="Marzo"/>
        <s v="Julio"/>
        <s v="Septiembre"/>
        <s v="Noviembre"/>
        <s v="Abril"/>
        <s v="Mayo"/>
        <s v="Agosto"/>
        <e v="#VALUE!"/>
        <n v="2026.0"/>
        <s v=""/>
      </sharedItems>
    </cacheField>
    <cacheField name="Año">
      <sharedItems containsMixedTypes="1" containsNumber="1" containsInteger="1">
        <n v="2021.0"/>
        <n v="2022.0"/>
        <n v="2020.0"/>
        <n v="2023.0"/>
        <n v="2017.0"/>
        <n v="2018.0"/>
        <n v="2019.0"/>
        <n v="2024.0"/>
        <e v="#VALUE!"/>
        <n v="2025.0"/>
        <n v="2009.0"/>
        <n v="2026.0"/>
        <n v="24.0"/>
        <s v=""/>
      </sharedItems>
    </cacheField>
    <cacheField name="DiaEm">
      <sharedItems containsMixedTypes="1" containsNumber="1" containsInteger="1">
        <n v="11.0"/>
        <n v="20.0"/>
        <n v="15.0"/>
        <n v="3.0"/>
        <n v="26.0"/>
        <n v="10.0"/>
        <n v="28.0"/>
        <n v="30.0"/>
        <n v="21.0"/>
        <n v="14.0"/>
        <n v="23.0"/>
        <n v="17.0"/>
        <n v="25.0"/>
        <n v="4.0"/>
        <n v="12.0"/>
        <n v="31.0"/>
        <n v="27.0"/>
        <n v="16.0"/>
        <n v="13.0"/>
        <n v="22.0"/>
        <n v="24.0"/>
        <n v="29.0"/>
        <n v="6.0"/>
        <n v="5.0"/>
        <n v="8.0"/>
        <n v="18.0"/>
        <n v="2.0"/>
        <n v="7.0"/>
        <n v="19.0"/>
        <n v="9.0"/>
        <n v="1.0"/>
        <e v="#VALUE!"/>
        <s v=""/>
      </sharedItems>
    </cacheField>
    <cacheField name="Diferencia de dia">
      <sharedItems containsMixedTypes="1" containsNumber="1" containsInteger="1">
        <n v="11.0"/>
        <n v="20.0"/>
        <n v="15.0"/>
        <n v="3.0"/>
        <n v="26.0"/>
        <n v="10.0"/>
        <n v="28.0"/>
        <n v="30.0"/>
        <n v="21.0"/>
        <n v="14.0"/>
        <n v="23.0"/>
        <n v="17.0"/>
        <n v="25.0"/>
        <n v="4.0"/>
        <n v="12.0"/>
        <n v="31.0"/>
        <n v="27.0"/>
        <n v="16.0"/>
        <n v="13.0"/>
        <n v="22.0"/>
        <n v="24.0"/>
        <n v="29.0"/>
        <n v="6.0"/>
        <n v="5.0"/>
        <n v="8.0"/>
        <n v="18.0"/>
        <n v="2.0"/>
        <n v="7.0"/>
        <n v="19.0"/>
        <n v="9.0"/>
        <n v="-9.0"/>
        <n v="1.0"/>
        <e v="#VALUE!"/>
        <s v=""/>
      </sharedItems>
    </cacheField>
    <cacheField name="MesEm">
      <sharedItems containsMixedTypes="1" containsNumber="1" containsInteger="1">
        <n v="2.0"/>
        <n v="1.0"/>
        <n v="12.0"/>
        <n v="6.0"/>
        <n v="10.0"/>
        <n v="3.0"/>
        <n v="7.0"/>
        <n v="9.0"/>
        <n v="11.0"/>
        <n v="4.0"/>
        <n v="5.0"/>
        <n v="8.0"/>
        <e v="#VALUE!"/>
        <n v="26.0"/>
        <s v=""/>
      </sharedItems>
    </cacheField>
    <cacheField name="DiaCu">
      <sharedItems containsMixedTypes="1" containsNumber="1" containsInteger="1">
        <n v="15.0"/>
        <n v="26.0"/>
        <n v="23.0"/>
        <n v="7.0"/>
        <n v="1.0"/>
        <n v="8.0"/>
        <n v="5.0"/>
        <n v="29.0"/>
        <n v="27.0"/>
        <n v="14.0"/>
        <n v="28.0"/>
        <n v="31.0"/>
        <n v="6.0"/>
        <n v="4.0"/>
        <n v="13.0"/>
        <n v="17.0"/>
        <n v="24.0"/>
        <n v="12.0"/>
        <n v="30.0"/>
        <n v="25.0"/>
        <n v="20.0"/>
        <n v="16.0"/>
        <n v="21.0"/>
        <n v="3.0"/>
        <n v="22.0"/>
        <n v="9.0"/>
        <n v="18.0"/>
        <n v="19.0"/>
        <n v="11.0"/>
        <n v="10.0"/>
        <n v="2.0"/>
        <s v=""/>
      </sharedItems>
    </cacheField>
    <cacheField name="Diferencia Cu">
      <sharedItems containsMixedTypes="1" containsNumber="1" containsInteger="1">
        <n v="15.0"/>
        <n v="26.0"/>
        <n v="23.0"/>
        <n v="7.0"/>
        <n v="1.0"/>
        <n v="8.0"/>
        <n v="5.0"/>
        <n v="29.0"/>
        <n v="27.0"/>
        <n v="14.0"/>
        <n v="28.0"/>
        <n v="31.0"/>
        <n v="6.0"/>
        <n v="4.0"/>
        <n v="13.0"/>
        <n v="17.0"/>
        <n v="24.0"/>
        <n v="12.0"/>
        <n v="30.0"/>
        <n v="25.0"/>
        <n v="20.0"/>
        <n v="16.0"/>
        <n v="21.0"/>
        <n v="3.0"/>
        <n v="22.0"/>
        <n v="9.0"/>
        <n v="18.0"/>
        <n v="19.0"/>
        <n v="11.0"/>
        <n v="10.0"/>
        <n v="-15.0"/>
        <n v="2.0"/>
        <s v=""/>
      </sharedItems>
    </cacheField>
    <cacheField name="MesCu">
      <sharedItems containsMixedTypes="1" containsNumber="1" containsInteger="1">
        <n v="9.0"/>
        <n v="5.0"/>
        <n v="10.0"/>
        <n v="4.0"/>
        <n v="1.0"/>
        <n v="7.0"/>
        <n v="3.0"/>
        <n v="8.0"/>
        <n v="2.0"/>
        <n v="6.0"/>
        <n v="11.0"/>
        <n v="12.0"/>
        <s v=""/>
      </sharedItems>
    </cacheField>
    <cacheField name="MesNum">
      <sharedItems containsBlank="1" containsMixedTypes="1" containsNumber="1" containsInteger="1">
        <n v="2.0"/>
        <n v="1.0"/>
        <n v="12.0"/>
        <n v="6.0"/>
        <n v="10.0"/>
        <n v="3.0"/>
        <n v="7.0"/>
        <n v="9.0"/>
        <n v="11.0"/>
        <n v="4.0"/>
        <n v="5.0"/>
        <n v="8.0"/>
        <m/>
        <e v="#VALUE!"/>
        <s v=""/>
      </sharedItems>
    </cacheField>
    <cacheField name="Años ">
      <sharedItems containsMixedTypes="1" containsNumber="1" containsInteger="1">
        <n v="0.0"/>
        <n v="3.0"/>
        <n v="2.0"/>
        <n v="4.0"/>
        <n v="1.0"/>
        <n v="41.0"/>
        <n v="28.0"/>
        <n v="53.0"/>
        <n v="39.0"/>
        <n v="31.0"/>
        <n v="21.0"/>
        <n v="63.0"/>
        <n v="26.0"/>
        <n v="27.0"/>
        <n v="42.0"/>
        <n v="29.0"/>
        <n v="36.0"/>
        <n v="24.0"/>
        <n v="23.0"/>
        <n v="46.0"/>
        <n v="51.0"/>
        <n v="57.0"/>
        <n v="34.0"/>
        <s v="-20 años"/>
        <s v=""/>
      </sharedItems>
    </cacheField>
    <cacheField name="Bloques edad" numFmtId="0">
      <sharedItems containsBlank="1">
        <s v="-20 años"/>
        <m/>
        <s v="40-50 años"/>
        <s v="20-39 años"/>
        <s v="51-60 años"/>
        <s v="61+ años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rospectos" cacheId="0" dataCaption="" compact="0" compactData="0">
  <location ref="P7:Q17" firstHeaderRow="0" firstDataRow="1" firstDataCol="0"/>
  <pivotFields>
    <pivotField name="Prosp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Fuente" compact="0" outline="0" multipleItemSelectionAllowed="1" showAll="0">
      <items>
        <item x="0"/>
        <item t="default"/>
      </items>
    </pivotField>
    <pivotField name="Siguiente Conta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Referenciado por" axis="axisRow" dataField="1" compact="0" outline="0" multipleItemSelectionAllowed="1" showAll="0" sortType="ascending">
      <items>
        <item x="8"/>
        <item x="2"/>
        <item x="1"/>
        <item x="7"/>
        <item x="0"/>
        <item x="3"/>
        <item x="4"/>
        <item x="5"/>
        <item x="6"/>
        <item t="default"/>
      </items>
    </pivotField>
  </pivotFields>
  <rowFields>
    <field x="3"/>
  </rowFields>
  <dataFields>
    <dataField name="Prospectos" fld="3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Prospectos 2" cacheId="1" dataCaption="" compact="0" compactData="0">
  <location ref="S7:W16" firstHeaderRow="0" firstDataRow="0" firstDataCol="0"/>
  <pivotFields>
    <pivotField name="Prosp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Fuente" compact="0" outline="0" multipleItemSelectionAllowed="1" showAll="0">
      <items>
        <item x="0"/>
        <item t="default"/>
      </items>
    </pivotField>
    <pivotField name="Siguiente Conta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Referenciado p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Análisis de Info Histórico" cacheId="2" dataCaption="" compact="0" compactData="0">
  <location ref="P10:T12" firstHeaderRow="0" firstDataRow="0" firstDataCol="1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axis="axisCol" dataField="1" compact="0" outline="0" multipleItemSelectionAllowed="1" showAll="0" sortType="ascending">
      <items>
        <item x="3"/>
        <item x="2"/>
        <item x="0"/>
        <item x="1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ñ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colFields>
    <field x="1"/>
  </colFields>
  <pageFields>
    <pageField fld="17"/>
    <pageField fld="16"/>
  </pageFields>
  <dataFields>
    <dataField name="Cantidad" fld="1" subtotal="count" baseField="0"/>
  </dataFields>
</pivotTableDefinition>
</file>

<file path=xl/pivotTables/pivotTable4.xml><?xml version="1.0" encoding="utf-8"?>
<pivotTableDefinition xmlns="http://schemas.openxmlformats.org/spreadsheetml/2006/main" name="Análisis de Info Histórico 2" cacheId="2" dataCaption="" compact="0" compactData="0">
  <location ref="U10:AA104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colFields>
    <field x="1"/>
  </colFields>
  <pageFields>
    <pageField fld="5"/>
  </pageFields>
  <dataFields>
    <dataField name=" Prima anual" fld="5" subtotal="average" baseField="0"/>
  </dataFields>
</pivotTableDefinition>
</file>

<file path=xl/pivotTables/pivotTable5.xml><?xml version="1.0" encoding="utf-8"?>
<pivotTableDefinition xmlns="http://schemas.openxmlformats.org/spreadsheetml/2006/main" name="Análisis de Info Histórico 3" cacheId="2" dataCaption="" compact="0" compactData="0">
  <location ref="AC10:AI104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colFields>
    <field x="1"/>
  </colFields>
  <pageFields>
    <pageField fld="4"/>
  </pageFields>
  <dataFields>
    <dataField name="# de pólizas" fld="4" subtotal="count" baseField="0"/>
  </dataFields>
</pivotTableDefinition>
</file>

<file path=xl/pivotTables/pivotTable6.xml><?xml version="1.0" encoding="utf-8"?>
<pivotTableDefinition xmlns="http://schemas.openxmlformats.org/spreadsheetml/2006/main" name="Análisis de Info Histórico 4" cacheId="3" dataCaption="" compact="0" compactData="0">
  <location ref="AP10:AY104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  <pivotField name="Año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Bloques edad" axis="axisCol" compact="0" outline="0" multipleItemSelectionAllowed="1" showAll="0" sortType="ascending">
      <items>
        <item x="1"/>
        <item x="6"/>
        <item x="0"/>
        <item x="3"/>
        <item x="2"/>
        <item x="4"/>
        <item x="5"/>
        <item t="default"/>
      </items>
    </pivotField>
  </pivotFields>
  <rowFields>
    <field x="17"/>
    <field x="24"/>
    <field x="16"/>
  </rowFields>
  <colFields>
    <field x="26"/>
  </colFields>
  <pageFields>
    <pageField fld="5"/>
  </pageFields>
  <dataFields>
    <dataField name=" Prima anual" fld="5" subtotal="average" baseField="0"/>
  </dataFields>
</pivotTableDefinition>
</file>

<file path=xl/pivotTables/pivotTable7.xml><?xml version="1.0" encoding="utf-8"?>
<pivotTableDefinition xmlns="http://schemas.openxmlformats.org/spreadsheetml/2006/main" name="Análisis de Info Histórico 5" cacheId="3" dataCaption="" compact="0" compactData="0">
  <location ref="BA10:BJ104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  <pivotField name="Año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Bloques edad" axis="axisCol" compact="0" outline="0" multipleItemSelectionAllowed="1" showAll="0" sortType="ascending">
      <items>
        <item x="1"/>
        <item x="6"/>
        <item x="0"/>
        <item x="3"/>
        <item x="2"/>
        <item x="4"/>
        <item x="5"/>
        <item t="default"/>
      </items>
    </pivotField>
  </pivotFields>
  <rowFields>
    <field x="17"/>
    <field x="24"/>
    <field x="16"/>
  </rowFields>
  <colFields>
    <field x="26"/>
  </colFields>
  <pageFields>
    <pageField fld="4"/>
  </pageFields>
  <dataFields>
    <dataField name="# de pólizas" fld="4" subtotal="count" baseField="0"/>
  </dataFields>
</pivotTableDefinition>
</file>

<file path=xl/pivotTables/pivotTable8.xml><?xml version="1.0" encoding="utf-8"?>
<pivotTableDefinition xmlns="http://schemas.openxmlformats.org/spreadsheetml/2006/main" name="Análisis de Info Histórico 6" cacheId="2" dataCaption="" compact="0" compactData="0">
  <location ref="B13:E106" firstHeaderRow="0" firstDataRow="3" firstDataCol="0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5"/>
  </pageFields>
  <dataFields>
    <dataField name=" Prima anual" fld="5" subtotal="average" baseField="0"/>
  </dataFields>
</pivotTableDefinition>
</file>

<file path=xl/pivotTables/pivotTable9.xml><?xml version="1.0" encoding="utf-8"?>
<pivotTableDefinition xmlns="http://schemas.openxmlformats.org/spreadsheetml/2006/main" name="Análisis de Info Histórico 7" cacheId="2" dataCaption="" compact="0" compactData="0">
  <location ref="G13:J106" firstHeaderRow="0" firstDataRow="3" firstDataCol="0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4"/>
  </pageFields>
  <dataFields>
    <dataField name="# de pólizas" fld="4" subtotal="count" baseField="0"/>
  </dataFields>
</pivotTableDefinition>
</file>

<file path=xl/pivotTables/pivotTable10.xml><?xml version="1.0" encoding="utf-8"?>
<pivotTableDefinition xmlns="http://schemas.openxmlformats.org/spreadsheetml/2006/main" name="Análisis de Info Histórico 8" cacheId="3" dataCaption="" compact="0" compactData="0">
  <location ref="AK15:AL22" firstHeaderRow="0" firstDataRow="1" firstDataCol="0" rowPageCount="3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ñ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ño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dad" axis="axisRow" dataField="1" compact="0" outline="0" multipleItemSelectionAllowed="1" showAll="0" sortType="ascending">
      <items>
        <item x="1"/>
        <item x="6"/>
        <item x="0"/>
        <item x="3"/>
        <item x="2"/>
        <item x="4"/>
        <item x="5"/>
        <item t="default"/>
      </items>
    </pivotField>
  </pivotFields>
  <rowFields>
    <field x="26"/>
  </rowFields>
  <pageFields>
    <pageField fld="17"/>
    <pageField fld="16"/>
    <pageField fld="5"/>
  </pageFields>
  <dataFields>
    <dataField name="Cantidad" fld="26" subtotal="count" baseField="0"/>
  </dataFields>
</pivotTableDefinition>
</file>

<file path=xl/pivotTables/pivotTable11.xml><?xml version="1.0" encoding="utf-8"?>
<pivotTableDefinition xmlns="http://schemas.openxmlformats.org/spreadsheetml/2006/main" name="Análisis de Info Histórico 9" cacheId="2" dataCaption="" compact="0" compactData="0">
  <location ref="BN14:BQ96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5"/>
    <pageField fld="11"/>
  </pageFields>
  <dataFields>
    <dataField name=" Prima anual" fld="5" subtotal="average" baseField="0"/>
  </dataFields>
</pivotTableDefinition>
</file>

<file path=xl/pivotTables/pivotTable12.xml><?xml version="1.0" encoding="utf-8"?>
<pivotTableDefinition xmlns="http://schemas.openxmlformats.org/spreadsheetml/2006/main" name="Análisis de Info Histórico 10" cacheId="2" dataCaption="" compact="0" compactData="0">
  <location ref="BS14:BV96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4"/>
    <pageField fld="11"/>
  </pageFields>
  <dataFields>
    <dataField name="# de pólizas" fld="4" subtotal="count" baseField="0"/>
  </dataFields>
</pivotTableDefinition>
</file>

<file path=xl/pivotTables/pivotTable13.xml><?xml version="1.0" encoding="utf-8"?>
<pivotTableDefinition xmlns="http://schemas.openxmlformats.org/spreadsheetml/2006/main" name="Análisis de Info Histórico 11" cacheId="2" dataCaption="" compact="0" compactData="0">
  <location ref="BX14:CA74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5"/>
    <pageField fld="11"/>
  </pageFields>
  <dataFields>
    <dataField name=" Prima anual" fld="5" subtotal="average" baseField="0"/>
  </dataFields>
</pivotTableDefinition>
</file>

<file path=xl/pivotTables/pivotTable14.xml><?xml version="1.0" encoding="utf-8"?>
<pivotTableDefinition xmlns="http://schemas.openxmlformats.org/spreadsheetml/2006/main" name="Análisis de Info Histórico 12" cacheId="2" dataCaption="" compact="0" compactData="0">
  <location ref="CC14:CF74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4"/>
    <pageField fld="11"/>
  </pageFields>
  <dataFields>
    <dataField name="# de pólizas" fld="4" subtotal="count" baseField="0"/>
  </dataFields>
</pivotTableDefinition>
</file>

<file path=xl/pivotTables/pivotTable15.xml><?xml version="1.0" encoding="utf-8"?>
<pivotTableDefinition xmlns="http://schemas.openxmlformats.org/spreadsheetml/2006/main" name="Análisis de Info Anual" cacheId="2" dataCaption="" compact="0" compactData="0">
  <location ref="P10:S12" firstHeaderRow="0" firstDataRow="0" firstDataCol="1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axis="axisCol" dataField="1" compact="0" outline="0" multipleItemSelectionAllowed="1" showAll="0" sortType="ascending">
      <items>
        <item x="3"/>
        <item x="2"/>
        <item x="0"/>
        <item x="1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ñ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colFields>
    <field x="1"/>
  </colFields>
  <pageFields>
    <pageField fld="17"/>
    <pageField fld="16"/>
  </pageFields>
  <dataFields>
    <dataField name="Cantidad" fld="1" subtotal="count" baseField="0"/>
  </dataFields>
</pivotTableDefinition>
</file>

<file path=xl/pivotTables/pivotTable16.xml><?xml version="1.0" encoding="utf-8"?>
<pivotTableDefinition xmlns="http://schemas.openxmlformats.org/spreadsheetml/2006/main" name="Análisis de Info Anual 2" cacheId="2" dataCaption="" compact="0" compactData="0">
  <location ref="U10:Z25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colFields>
    <field x="1"/>
  </colFields>
  <pageFields>
    <pageField fld="5"/>
  </pageFields>
  <dataFields>
    <dataField name=" Prima anual" fld="5" subtotal="average" baseField="0"/>
  </dataFields>
</pivotTableDefinition>
</file>

<file path=xl/pivotTables/pivotTable17.xml><?xml version="1.0" encoding="utf-8"?>
<pivotTableDefinition xmlns="http://schemas.openxmlformats.org/spreadsheetml/2006/main" name="Análisis de Info Anual 3" cacheId="2" dataCaption="" compact="0" compactData="0">
  <location ref="AC10:AH25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colFields>
    <field x="1"/>
  </colFields>
  <pageFields>
    <pageField fld="4"/>
  </pageFields>
  <dataFields>
    <dataField name="# de pólizas" fld="4" subtotal="count" baseField="0"/>
  </dataFields>
</pivotTableDefinition>
</file>

<file path=xl/pivotTables/pivotTable18.xml><?xml version="1.0" encoding="utf-8"?>
<pivotTableDefinition xmlns="http://schemas.openxmlformats.org/spreadsheetml/2006/main" name="Análisis de Info Anual 4" cacheId="3" dataCaption="" compact="0" compactData="0">
  <location ref="AP10:AT25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  <pivotField name="Año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Bloques edad" axis="axisCol" compact="0" outline="0" multipleItemSelectionAllowed="1" showAll="0" sortType="ascending">
      <items>
        <item x="1"/>
        <item x="6"/>
        <item x="0"/>
        <item x="3"/>
        <item x="2"/>
        <item x="4"/>
        <item x="5"/>
        <item t="default"/>
      </items>
    </pivotField>
  </pivotFields>
  <rowFields>
    <field x="17"/>
    <field x="24"/>
    <field x="16"/>
  </rowFields>
  <colFields>
    <field x="26"/>
  </colFields>
  <pageFields>
    <pageField fld="5"/>
  </pageFields>
  <dataFields>
    <dataField name=" Prima anual" fld="5" subtotal="average" baseField="0"/>
  </dataFields>
</pivotTableDefinition>
</file>

<file path=xl/pivotTables/pivotTable19.xml><?xml version="1.0" encoding="utf-8"?>
<pivotTableDefinition xmlns="http://schemas.openxmlformats.org/spreadsheetml/2006/main" name="Análisis de Info Anual 5" cacheId="3" dataCaption="" compact="0" compactData="0">
  <location ref="BA10:BE25" firstHeaderRow="0" firstDataRow="3" firstDataCol="1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  <pivotField name="Año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Bloques edad" axis="axisCol" compact="0" outline="0" multipleItemSelectionAllowed="1" showAll="0" sortType="ascending">
      <items>
        <item x="1"/>
        <item x="6"/>
        <item x="0"/>
        <item x="3"/>
        <item x="2"/>
        <item x="4"/>
        <item x="5"/>
        <item t="default"/>
      </items>
    </pivotField>
  </pivotFields>
  <rowFields>
    <field x="17"/>
    <field x="24"/>
    <field x="16"/>
  </rowFields>
  <colFields>
    <field x="26"/>
  </colFields>
  <pageFields>
    <pageField fld="4"/>
  </pageFields>
  <dataFields>
    <dataField name="# de pólizas" fld="4" subtotal="count" baseField="0"/>
  </dataFields>
</pivotTableDefinition>
</file>

<file path=xl/pivotTables/pivotTable20.xml><?xml version="1.0" encoding="utf-8"?>
<pivotTableDefinition xmlns="http://schemas.openxmlformats.org/spreadsheetml/2006/main" name="Análisis de Info Anual 6" cacheId="2" dataCaption="" compact="0" compactData="0">
  <location ref="B13:E27" firstHeaderRow="0" firstDataRow="3" firstDataCol="0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5"/>
  </pageFields>
  <dataFields>
    <dataField name=" Prima anual" fld="5" subtotal="average" baseField="0"/>
  </dataFields>
</pivotTableDefinition>
</file>

<file path=xl/pivotTables/pivotTable21.xml><?xml version="1.0" encoding="utf-8"?>
<pivotTableDefinition xmlns="http://schemas.openxmlformats.org/spreadsheetml/2006/main" name="Análisis de Info Anual 7" cacheId="2" dataCaption="" compact="0" compactData="0">
  <location ref="G13:J27" firstHeaderRow="0" firstDataRow="3" firstDataCol="0" rowPageCount="1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4"/>
  </pageFields>
  <dataFields>
    <dataField name="# de pólizas" fld="4" subtotal="count" baseField="0"/>
  </dataFields>
</pivotTableDefinition>
</file>

<file path=xl/pivotTables/pivotTable22.xml><?xml version="1.0" encoding="utf-8"?>
<pivotTableDefinition xmlns="http://schemas.openxmlformats.org/spreadsheetml/2006/main" name="Análisis de Info Anual 8" cacheId="3" dataCaption="" compact="0" compactData="0">
  <location ref="AK15:AL17" firstHeaderRow="0" firstDataRow="1" firstDataCol="0" rowPageCount="3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compact="0" outline="0" multipleItemSelectionAllowed="1" showAll="0">
      <items>
        <item x="0"/>
        <item x="1"/>
        <item x="2"/>
        <item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ñ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ño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dad" axis="axisRow" dataField="1" compact="0" outline="0" multipleItemSelectionAllowed="1" showAll="0" sortType="ascending">
      <items>
        <item x="1"/>
        <item x="6"/>
        <item x="0"/>
        <item x="3"/>
        <item x="2"/>
        <item x="4"/>
        <item x="5"/>
        <item t="default"/>
      </items>
    </pivotField>
  </pivotFields>
  <rowFields>
    <field x="26"/>
  </rowFields>
  <pageFields>
    <pageField fld="17"/>
    <pageField fld="16"/>
    <pageField fld="5"/>
  </pageFields>
  <dataFields>
    <dataField name="Cantidad" fld="26" subtotal="count" baseField="0"/>
  </dataFields>
</pivotTableDefinition>
</file>

<file path=xl/pivotTables/pivotTable23.xml><?xml version="1.0" encoding="utf-8"?>
<pivotTableDefinition xmlns="http://schemas.openxmlformats.org/spreadsheetml/2006/main" name="Análisis de Info Anual 9" cacheId="2" dataCaption="" compact="0" compactData="0">
  <location ref="BL14:BO27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5"/>
    <pageField fld="11"/>
  </pageFields>
  <dataFields>
    <dataField name=" Prima anual" fld="5" subtotal="average" baseField="0"/>
  </dataFields>
</pivotTableDefinition>
</file>

<file path=xl/pivotTables/pivotTable24.xml><?xml version="1.0" encoding="utf-8"?>
<pivotTableDefinition xmlns="http://schemas.openxmlformats.org/spreadsheetml/2006/main" name="Análisis de Info Anual 10" cacheId="2" dataCaption="" compact="0" compactData="0">
  <location ref="BQ14:BT27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4"/>
    <pageField fld="11"/>
  </pageFields>
  <dataFields>
    <dataField name="# de pólizas" fld="4" subtotal="count" baseField="0"/>
  </dataFields>
</pivotTableDefinition>
</file>

<file path=xl/pivotTables/pivotTable25.xml><?xml version="1.0" encoding="utf-8"?>
<pivotTableDefinition xmlns="http://schemas.openxmlformats.org/spreadsheetml/2006/main" name="Análisis de Info Anual 11" cacheId="2" dataCaption="" compact="0" compactData="0">
  <location ref="BV14:BY25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5"/>
    <pageField fld="11"/>
  </pageFields>
  <dataFields>
    <dataField name=" Prima anual" fld="5" subtotal="average" baseField="0"/>
  </dataFields>
</pivotTableDefinition>
</file>

<file path=xl/pivotTables/pivotTable26.xml><?xml version="1.0" encoding="utf-8"?>
<pivotTableDefinition xmlns="http://schemas.openxmlformats.org/spreadsheetml/2006/main" name="Análisis de Info Anual 12" cacheId="2" dataCaption="" compact="0" compactData="0">
  <location ref="CA14:CD25" firstHeaderRow="0" firstDataRow="3" firstDataCol="0" rowPageCount="2" colPageCount="1"/>
  <pivotFields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Sexo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Emis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Número de póliza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 Prima an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Tipo de Mone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rma de pag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mple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uen referenciador" compact="0" outline="0" multipleItemSelectionAllowed="1" showAll="0">
      <items>
        <item x="0"/>
        <item x="1"/>
        <item t="default"/>
      </items>
    </pivotField>
    <pivotField name="Modo de cobr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e plan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Nombre del pl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Asesor 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13"/>
        <item x="14"/>
        <item x="9"/>
        <item x="11"/>
        <item x="2"/>
        <item x="1"/>
        <item x="0"/>
        <item x="6"/>
        <item x="3"/>
        <item x="5"/>
        <item x="10"/>
        <item x="8"/>
        <item x="4"/>
        <item x="7"/>
        <item x="12"/>
        <item t="default"/>
      </items>
    </pivotField>
    <pivotField name="Año" axis="axisRow" compact="0" outline="0" multipleItemSelectionAllowed="1" showAll="0" sortType="ascending">
      <items>
        <item x="12"/>
        <item x="10"/>
        <item x="4"/>
        <item x="5"/>
        <item x="6"/>
        <item x="2"/>
        <item x="0"/>
        <item x="1"/>
        <item x="3"/>
        <item x="7"/>
        <item x="9"/>
        <item x="11"/>
        <item x="13"/>
        <item x="8"/>
        <item t="default"/>
      </items>
    </pivotField>
    <pivotField name="Dia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ferencia de 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a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ferencia 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sC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sNum" axis="axisRow" compact="0" outline="0" multipleItemSelectionAllowed="1" showAll="0" sortType="ascending" defaultSubtotal="0">
      <items>
        <item x="12"/>
        <item x="1"/>
        <item x="0"/>
        <item x="5"/>
        <item x="9"/>
        <item x="10"/>
        <item x="3"/>
        <item x="6"/>
        <item x="11"/>
        <item x="7"/>
        <item x="4"/>
        <item x="8"/>
        <item x="2"/>
        <item x="14"/>
        <item x="13"/>
      </items>
    </pivotField>
  </pivotFields>
  <rowFields>
    <field x="17"/>
    <field x="24"/>
    <field x="16"/>
  </rowFields>
  <pageFields>
    <pageField fld="4"/>
    <pageField fld="11"/>
  </pageFields>
  <dataFields>
    <dataField name="# de pólizas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ynthi_lizi@hotmail.com" TargetMode="External"/><Relationship Id="rId190" Type="http://schemas.openxmlformats.org/officeDocument/2006/relationships/hyperlink" Target="mailto:aideflores.arellano@gmail.com" TargetMode="External"/><Relationship Id="rId42" Type="http://schemas.openxmlformats.org/officeDocument/2006/relationships/hyperlink" Target="mailto:peregrinadaniela0@gmail.com" TargetMode="External"/><Relationship Id="rId41" Type="http://schemas.openxmlformats.org/officeDocument/2006/relationships/hyperlink" Target="mailto:dacaro_22@hotmail.com" TargetMode="External"/><Relationship Id="rId44" Type="http://schemas.openxmlformats.org/officeDocument/2006/relationships/hyperlink" Target="mailto:daniela.nietom@outlook.com" TargetMode="External"/><Relationship Id="rId194" Type="http://schemas.openxmlformats.org/officeDocument/2006/relationships/hyperlink" Target="mailto:moncar1709@gmail.com" TargetMode="External"/><Relationship Id="rId43" Type="http://schemas.openxmlformats.org/officeDocument/2006/relationships/hyperlink" Target="mailto:peregrinadaniela0@gmail.com" TargetMode="External"/><Relationship Id="rId193" Type="http://schemas.openxmlformats.org/officeDocument/2006/relationships/hyperlink" Target="mailto:spaulinaorozco_25@hotmail.com" TargetMode="External"/><Relationship Id="rId46" Type="http://schemas.openxmlformats.org/officeDocument/2006/relationships/hyperlink" Target="mailto:darinkasm7@gmail.com" TargetMode="External"/><Relationship Id="rId192" Type="http://schemas.openxmlformats.org/officeDocument/2006/relationships/hyperlink" Target="mailto:migueljauregui@outlook.es" TargetMode="External"/><Relationship Id="rId45" Type="http://schemas.openxmlformats.org/officeDocument/2006/relationships/hyperlink" Target="mailto:darinkasm7@gmail.com" TargetMode="External"/><Relationship Id="rId191" Type="http://schemas.openxmlformats.org/officeDocument/2006/relationships/hyperlink" Target="mailto:luishriosgarcia@gmail.com" TargetMode="External"/><Relationship Id="rId48" Type="http://schemas.openxmlformats.org/officeDocument/2006/relationships/hyperlink" Target="mailto:davidmneri1490@gmail.com" TargetMode="External"/><Relationship Id="rId187" Type="http://schemas.openxmlformats.org/officeDocument/2006/relationships/hyperlink" Target="mailto:maquinariarsc@gmail.com" TargetMode="External"/><Relationship Id="rId47" Type="http://schemas.openxmlformats.org/officeDocument/2006/relationships/hyperlink" Target="mailto:davidmneri1490@gmail.com" TargetMode="External"/><Relationship Id="rId186" Type="http://schemas.openxmlformats.org/officeDocument/2006/relationships/hyperlink" Target="mailto:je_dayanna@hotmail.com" TargetMode="External"/><Relationship Id="rId185" Type="http://schemas.openxmlformats.org/officeDocument/2006/relationships/hyperlink" Target="mailto:chesca_mia@hotmail.com" TargetMode="External"/><Relationship Id="rId49" Type="http://schemas.openxmlformats.org/officeDocument/2006/relationships/hyperlink" Target="mailto:denisse.cgonzalez@hotmail.com" TargetMode="External"/><Relationship Id="rId184" Type="http://schemas.openxmlformats.org/officeDocument/2006/relationships/hyperlink" Target="mailto:kualis@hotmail.com" TargetMode="External"/><Relationship Id="rId189" Type="http://schemas.openxmlformats.org/officeDocument/2006/relationships/hyperlink" Target="mailto:mig.ag.ch@gmail.com" TargetMode="External"/><Relationship Id="rId188" Type="http://schemas.openxmlformats.org/officeDocument/2006/relationships/hyperlink" Target="mailto:emmanuel.palmasal@gmail.com" TargetMode="External"/><Relationship Id="rId31" Type="http://schemas.openxmlformats.org/officeDocument/2006/relationships/hyperlink" Target="mailto:cecyarceo@hotmail.com" TargetMode="External"/><Relationship Id="rId30" Type="http://schemas.openxmlformats.org/officeDocument/2006/relationships/hyperlink" Target="mailto:eagletijuana@gmail.com" TargetMode="External"/><Relationship Id="rId33" Type="http://schemas.openxmlformats.org/officeDocument/2006/relationships/hyperlink" Target="mailto:cesar25941@outlook.com" TargetMode="External"/><Relationship Id="rId183" Type="http://schemas.openxmlformats.org/officeDocument/2006/relationships/hyperlink" Target="mailto:acorki@yahoo.com" TargetMode="External"/><Relationship Id="rId32" Type="http://schemas.openxmlformats.org/officeDocument/2006/relationships/hyperlink" Target="mailto:cesar25941@outlook.com" TargetMode="External"/><Relationship Id="rId182" Type="http://schemas.openxmlformats.org/officeDocument/2006/relationships/hyperlink" Target="mailto:gabrielanava0605@gmail.com" TargetMode="External"/><Relationship Id="rId35" Type="http://schemas.openxmlformats.org/officeDocument/2006/relationships/hyperlink" Target="mailto:innsmouth26@gmail.com" TargetMode="External"/><Relationship Id="rId181" Type="http://schemas.openxmlformats.org/officeDocument/2006/relationships/hyperlink" Target="mailto:monse.romo.01@hotmail.com" TargetMode="External"/><Relationship Id="rId34" Type="http://schemas.openxmlformats.org/officeDocument/2006/relationships/hyperlink" Target="mailto:noemijass1982@gmail.com" TargetMode="External"/><Relationship Id="rId180" Type="http://schemas.openxmlformats.org/officeDocument/2006/relationships/hyperlink" Target="mailto:michellenumber4@hotmail.com" TargetMode="External"/><Relationship Id="rId37" Type="http://schemas.openxmlformats.org/officeDocument/2006/relationships/hyperlink" Target="mailto:cristinarodriguezdelatorre@gmail.com" TargetMode="External"/><Relationship Id="rId176" Type="http://schemas.openxmlformats.org/officeDocument/2006/relationships/hyperlink" Target="mailto:juliieta89@gmail.com" TargetMode="External"/><Relationship Id="rId36" Type="http://schemas.openxmlformats.org/officeDocument/2006/relationships/hyperlink" Target="mailto:crig91@hotmail.com" TargetMode="External"/><Relationship Id="rId175" Type="http://schemas.openxmlformats.org/officeDocument/2006/relationships/hyperlink" Target="mailto:odalis_ayon@hotmail.com" TargetMode="External"/><Relationship Id="rId39" Type="http://schemas.openxmlformats.org/officeDocument/2006/relationships/hyperlink" Target="mailto:cynthi_lizi@hotmail.com" TargetMode="External"/><Relationship Id="rId174" Type="http://schemas.openxmlformats.org/officeDocument/2006/relationships/hyperlink" Target="mailto:marthi_li@hotmail.com" TargetMode="External"/><Relationship Id="rId38" Type="http://schemas.openxmlformats.org/officeDocument/2006/relationships/hyperlink" Target="mailto:cynthi_lizi@hotmail.com" TargetMode="External"/><Relationship Id="rId173" Type="http://schemas.openxmlformats.org/officeDocument/2006/relationships/hyperlink" Target="mailto:ramirez99lili@gmail.com" TargetMode="External"/><Relationship Id="rId179" Type="http://schemas.openxmlformats.org/officeDocument/2006/relationships/hyperlink" Target="mailto:erika.diazmendez@hotmail.com" TargetMode="External"/><Relationship Id="rId178" Type="http://schemas.openxmlformats.org/officeDocument/2006/relationships/hyperlink" Target="mailto:dra.esmegb@gmail.com" TargetMode="External"/><Relationship Id="rId177" Type="http://schemas.openxmlformats.org/officeDocument/2006/relationships/hyperlink" Target="mailto:dra.esmegb@gmail.com" TargetMode="External"/><Relationship Id="rId20" Type="http://schemas.openxmlformats.org/officeDocument/2006/relationships/hyperlink" Target="mailto:bernigarcia365@icloud.com" TargetMode="External"/><Relationship Id="rId22" Type="http://schemas.openxmlformats.org/officeDocument/2006/relationships/hyperlink" Target="mailto:moncar1709@gmail.com" TargetMode="External"/><Relationship Id="rId21" Type="http://schemas.openxmlformats.org/officeDocument/2006/relationships/hyperlink" Target="mailto:bernigarcia365@icloud.com" TargetMode="External"/><Relationship Id="rId24" Type="http://schemas.openxmlformats.org/officeDocument/2006/relationships/hyperlink" Target="mailto:carla.martineez@hotmail.com" TargetMode="External"/><Relationship Id="rId23" Type="http://schemas.openxmlformats.org/officeDocument/2006/relationships/hyperlink" Target="mailto:aideflores.arellano@gmail.com" TargetMode="External"/><Relationship Id="rId26" Type="http://schemas.openxmlformats.org/officeDocument/2006/relationships/hyperlink" Target="mailto:tekilopalazuelos@gmail.com" TargetMode="External"/><Relationship Id="rId25" Type="http://schemas.openxmlformats.org/officeDocument/2006/relationships/hyperlink" Target="mailto:walazamn@hotmail.com" TargetMode="External"/><Relationship Id="rId28" Type="http://schemas.openxmlformats.org/officeDocument/2006/relationships/hyperlink" Target="mailto:carloshum3888@gmail.com" TargetMode="External"/><Relationship Id="rId27" Type="http://schemas.openxmlformats.org/officeDocument/2006/relationships/hyperlink" Target="mailto:carlos_a_u@hotmail.com" TargetMode="External"/><Relationship Id="rId29" Type="http://schemas.openxmlformats.org/officeDocument/2006/relationships/hyperlink" Target="mailto:carlos.verduzcof@gmail.com" TargetMode="External"/><Relationship Id="rId11" Type="http://schemas.openxmlformats.org/officeDocument/2006/relationships/hyperlink" Target="mailto:alejandromorenotrujillo1@gmail.com" TargetMode="External"/><Relationship Id="rId10" Type="http://schemas.openxmlformats.org/officeDocument/2006/relationships/hyperlink" Target="mailto:alejandromorenotrujillo1@gmail.com" TargetMode="External"/><Relationship Id="rId13" Type="http://schemas.openxmlformats.org/officeDocument/2006/relationships/hyperlink" Target="mailto:a.vazquez.rodriguez@outlook.com" TargetMode="External"/><Relationship Id="rId12" Type="http://schemas.openxmlformats.org/officeDocument/2006/relationships/hyperlink" Target="mailto:soto.564@hotmail.com" TargetMode="External"/><Relationship Id="rId15" Type="http://schemas.openxmlformats.org/officeDocument/2006/relationships/hyperlink" Target="mailto:lupithamuniz0015@gmail.com" TargetMode="External"/><Relationship Id="rId198" Type="http://schemas.openxmlformats.org/officeDocument/2006/relationships/hyperlink" Target="mailto:jorge.fcoarevalo@gmail.com" TargetMode="External"/><Relationship Id="rId14" Type="http://schemas.openxmlformats.org/officeDocument/2006/relationships/hyperlink" Target="mailto:giselleinfante92@gmail.com" TargetMode="External"/><Relationship Id="rId197" Type="http://schemas.openxmlformats.org/officeDocument/2006/relationships/hyperlink" Target="mailto:perezaldretesilviaanali@gmail.com" TargetMode="External"/><Relationship Id="rId17" Type="http://schemas.openxmlformats.org/officeDocument/2006/relationships/hyperlink" Target="mailto:andreahdz_09@hotmail.com" TargetMode="External"/><Relationship Id="rId196" Type="http://schemas.openxmlformats.org/officeDocument/2006/relationships/hyperlink" Target="mailto:dmflor.ver@gmail.com" TargetMode="External"/><Relationship Id="rId16" Type="http://schemas.openxmlformats.org/officeDocument/2006/relationships/hyperlink" Target="mailto:apgln@hotmail.com" TargetMode="External"/><Relationship Id="rId195" Type="http://schemas.openxmlformats.org/officeDocument/2006/relationships/hyperlink" Target="mailto:kdenisseseda@gmail.com" TargetMode="External"/><Relationship Id="rId19" Type="http://schemas.openxmlformats.org/officeDocument/2006/relationships/hyperlink" Target="mailto:sanchez.201024835@outlook.com" TargetMode="External"/><Relationship Id="rId18" Type="http://schemas.openxmlformats.org/officeDocument/2006/relationships/hyperlink" Target="mailto:angelicaduran.4@hotmail.com" TargetMode="External"/><Relationship Id="rId199" Type="http://schemas.openxmlformats.org/officeDocument/2006/relationships/hyperlink" Target="mailto:peregrinadaniela0@gmail.com" TargetMode="External"/><Relationship Id="rId84" Type="http://schemas.openxmlformats.org/officeDocument/2006/relationships/hyperlink" Target="mailto:antonio.velazquez.alvarez@hotmail.com" TargetMode="External"/><Relationship Id="rId83" Type="http://schemas.openxmlformats.org/officeDocument/2006/relationships/hyperlink" Target="mailto:josie_gg@hotmail.com" TargetMode="External"/><Relationship Id="rId86" Type="http://schemas.openxmlformats.org/officeDocument/2006/relationships/hyperlink" Target="mailto:kdenisseseda@gmail.com" TargetMode="External"/><Relationship Id="rId85" Type="http://schemas.openxmlformats.org/officeDocument/2006/relationships/hyperlink" Target="mailto:juanleon1439@gmail.com" TargetMode="External"/><Relationship Id="rId88" Type="http://schemas.openxmlformats.org/officeDocument/2006/relationships/hyperlink" Target="mailto:markador_23@hotmail.com" TargetMode="External"/><Relationship Id="rId150" Type="http://schemas.openxmlformats.org/officeDocument/2006/relationships/hyperlink" Target="mailto:berrellezaplascencia@gmail.com" TargetMode="External"/><Relationship Id="rId87" Type="http://schemas.openxmlformats.org/officeDocument/2006/relationships/hyperlink" Target="mailto:enriquezledezmakaren2@gmail.com" TargetMode="External"/><Relationship Id="rId89" Type="http://schemas.openxmlformats.org/officeDocument/2006/relationships/hyperlink" Target="mailto:kimberlysm00@gmail.com" TargetMode="External"/><Relationship Id="rId80" Type="http://schemas.openxmlformats.org/officeDocument/2006/relationships/hyperlink" Target="mailto:jorge.fcoarevalo@gmail.com" TargetMode="External"/><Relationship Id="rId82" Type="http://schemas.openxmlformats.org/officeDocument/2006/relationships/hyperlink" Target="mailto:fsedaceja@gmail.com" TargetMode="External"/><Relationship Id="rId81" Type="http://schemas.openxmlformats.org/officeDocument/2006/relationships/hyperlink" Target="mailto:j.daniel.f.arellano@gmail.com" TargetMode="External"/><Relationship Id="rId1" Type="http://schemas.openxmlformats.org/officeDocument/2006/relationships/hyperlink" Target="mailto:abraham.mancera92@hotmail.com" TargetMode="External"/><Relationship Id="rId2" Type="http://schemas.openxmlformats.org/officeDocument/2006/relationships/hyperlink" Target="mailto:abraham.mancera92@hotmail.com" TargetMode="External"/><Relationship Id="rId3" Type="http://schemas.openxmlformats.org/officeDocument/2006/relationships/hyperlink" Target="mailto:adriangtsramirez261144@gmail.com" TargetMode="External"/><Relationship Id="rId149" Type="http://schemas.openxmlformats.org/officeDocument/2006/relationships/hyperlink" Target="mailto:gabitovivar@gmail.com" TargetMode="External"/><Relationship Id="rId4" Type="http://schemas.openxmlformats.org/officeDocument/2006/relationships/hyperlink" Target="mailto:adriangtsramirez261144@gmail.com" TargetMode="External"/><Relationship Id="rId148" Type="http://schemas.openxmlformats.org/officeDocument/2006/relationships/hyperlink" Target="mailto:j.gpe.marin.lopez@gmail.com" TargetMode="External"/><Relationship Id="rId9" Type="http://schemas.openxmlformats.org/officeDocument/2006/relationships/hyperlink" Target="mailto:aa.lomeli8@gmail.com" TargetMode="External"/><Relationship Id="rId143" Type="http://schemas.openxmlformats.org/officeDocument/2006/relationships/hyperlink" Target="mailto:j.daniel.f.arellano@gmail.com" TargetMode="External"/><Relationship Id="rId142" Type="http://schemas.openxmlformats.org/officeDocument/2006/relationships/hyperlink" Target="mailto:dmflor.ver@gmail.com" TargetMode="External"/><Relationship Id="rId141" Type="http://schemas.openxmlformats.org/officeDocument/2006/relationships/hyperlink" Target="mailto:kas_elka_02@hotmail.com" TargetMode="External"/><Relationship Id="rId140" Type="http://schemas.openxmlformats.org/officeDocument/2006/relationships/hyperlink" Target="mailto:claudiamaciel@live.com.mx" TargetMode="External"/><Relationship Id="rId5" Type="http://schemas.openxmlformats.org/officeDocument/2006/relationships/hyperlink" Target="mailto:ajj_07@hotmail.com" TargetMode="External"/><Relationship Id="rId147" Type="http://schemas.openxmlformats.org/officeDocument/2006/relationships/hyperlink" Target="mailto:alejandro.olivarez19@hotmail.com" TargetMode="External"/><Relationship Id="rId6" Type="http://schemas.openxmlformats.org/officeDocument/2006/relationships/hyperlink" Target="mailto:ale_u_casillas@hotmail.com" TargetMode="External"/><Relationship Id="rId146" Type="http://schemas.openxmlformats.org/officeDocument/2006/relationships/hyperlink" Target="mailto:dan210397@gmail.com" TargetMode="External"/><Relationship Id="rId7" Type="http://schemas.openxmlformats.org/officeDocument/2006/relationships/hyperlink" Target="mailto:ale_u_casillas@hotmail.com" TargetMode="External"/><Relationship Id="rId145" Type="http://schemas.openxmlformats.org/officeDocument/2006/relationships/hyperlink" Target="mailto:josealinage@gmail.com" TargetMode="External"/><Relationship Id="rId8" Type="http://schemas.openxmlformats.org/officeDocument/2006/relationships/hyperlink" Target="mailto:ale_u_casillas@hotmail.com" TargetMode="External"/><Relationship Id="rId144" Type="http://schemas.openxmlformats.org/officeDocument/2006/relationships/hyperlink" Target="mailto:garibaymoran@outlook.com" TargetMode="External"/><Relationship Id="rId73" Type="http://schemas.openxmlformats.org/officeDocument/2006/relationships/hyperlink" Target="mailto:jazmin_ro_jo@hotmail.com" TargetMode="External"/><Relationship Id="rId72" Type="http://schemas.openxmlformats.org/officeDocument/2006/relationships/hyperlink" Target="mailto:jaramos89@yahoo.com" TargetMode="External"/><Relationship Id="rId75" Type="http://schemas.openxmlformats.org/officeDocument/2006/relationships/hyperlink" Target="mailto:jhernan8212@gmail.com" TargetMode="External"/><Relationship Id="rId74" Type="http://schemas.openxmlformats.org/officeDocument/2006/relationships/hyperlink" Target="mailto:jazmin_ro_jo@hotmail.com" TargetMode="External"/><Relationship Id="rId77" Type="http://schemas.openxmlformats.org/officeDocument/2006/relationships/hyperlink" Target="mailto:jennifer.godinez.c@hotmail.com" TargetMode="External"/><Relationship Id="rId76" Type="http://schemas.openxmlformats.org/officeDocument/2006/relationships/hyperlink" Target="mailto:jenilira@gmail.com" TargetMode="External"/><Relationship Id="rId79" Type="http://schemas.openxmlformats.org/officeDocument/2006/relationships/hyperlink" Target="mailto:jorge.fcoarevalo@gmail.com" TargetMode="External"/><Relationship Id="rId78" Type="http://schemas.openxmlformats.org/officeDocument/2006/relationships/hyperlink" Target="mailto:jeadila@gmail.com" TargetMode="External"/><Relationship Id="rId71" Type="http://schemas.openxmlformats.org/officeDocument/2006/relationships/hyperlink" Target="mailto:alexocho88@gmail.com" TargetMode="External"/><Relationship Id="rId70" Type="http://schemas.openxmlformats.org/officeDocument/2006/relationships/hyperlink" Target="mailto:expayupi.13@gmail.com" TargetMode="External"/><Relationship Id="rId139" Type="http://schemas.openxmlformats.org/officeDocument/2006/relationships/hyperlink" Target="mailto:finanzaslamesa@gmail.com" TargetMode="External"/><Relationship Id="rId138" Type="http://schemas.openxmlformats.org/officeDocument/2006/relationships/hyperlink" Target="mailto:monse.romo.01@hotmail.com" TargetMode="External"/><Relationship Id="rId137" Type="http://schemas.openxmlformats.org/officeDocument/2006/relationships/hyperlink" Target="mailto:prix_jvm@hotmail.com" TargetMode="External"/><Relationship Id="rId132" Type="http://schemas.openxmlformats.org/officeDocument/2006/relationships/hyperlink" Target="mailto:valeria.santacruz.tabares@gmail.com" TargetMode="External"/><Relationship Id="rId131" Type="http://schemas.openxmlformats.org/officeDocument/2006/relationships/hyperlink" Target="mailto:guzmanmaciasjuanjose@gmail.com" TargetMode="External"/><Relationship Id="rId130" Type="http://schemas.openxmlformats.org/officeDocument/2006/relationships/hyperlink" Target="mailto:cr.rafael.rcr@gmail.com" TargetMode="External"/><Relationship Id="rId136" Type="http://schemas.openxmlformats.org/officeDocument/2006/relationships/hyperlink" Target="mailto:nora.msg@hotmail.com" TargetMode="External"/><Relationship Id="rId135" Type="http://schemas.openxmlformats.org/officeDocument/2006/relationships/hyperlink" Target="mailto:michelle.boy1216@gmail.com" TargetMode="External"/><Relationship Id="rId134" Type="http://schemas.openxmlformats.org/officeDocument/2006/relationships/hyperlink" Target="mailto:j_dayanna@hotmail.com" TargetMode="External"/><Relationship Id="rId133" Type="http://schemas.openxmlformats.org/officeDocument/2006/relationships/hyperlink" Target="mailto:carlos_nava74@hotmail.com" TargetMode="External"/><Relationship Id="rId62" Type="http://schemas.openxmlformats.org/officeDocument/2006/relationships/hyperlink" Target="mailto:florcorona8@gmail.com" TargetMode="External"/><Relationship Id="rId61" Type="http://schemas.openxmlformats.org/officeDocument/2006/relationships/hyperlink" Target="mailto:felicitascasillas@hotmail.com" TargetMode="External"/><Relationship Id="rId64" Type="http://schemas.openxmlformats.org/officeDocument/2006/relationships/hyperlink" Target="mailto:javiz-94@hotmail.com" TargetMode="External"/><Relationship Id="rId63" Type="http://schemas.openxmlformats.org/officeDocument/2006/relationships/hyperlink" Target="mailto:javiz-94@hotmail.com" TargetMode="External"/><Relationship Id="rId66" Type="http://schemas.openxmlformats.org/officeDocument/2006/relationships/hyperlink" Target="mailto:fcomartin@gmail.com" TargetMode="External"/><Relationship Id="rId172" Type="http://schemas.openxmlformats.org/officeDocument/2006/relationships/hyperlink" Target="mailto:ramirez99lili@gmail.com" TargetMode="External"/><Relationship Id="rId65" Type="http://schemas.openxmlformats.org/officeDocument/2006/relationships/hyperlink" Target="mailto:javiz-94@hotmail.com" TargetMode="External"/><Relationship Id="rId171" Type="http://schemas.openxmlformats.org/officeDocument/2006/relationships/hyperlink" Target="mailto:abbiegarciaa@gmail.com" TargetMode="External"/><Relationship Id="rId68" Type="http://schemas.openxmlformats.org/officeDocument/2006/relationships/hyperlink" Target="mailto:gpgustavo@yahoo.com" TargetMode="External"/><Relationship Id="rId170" Type="http://schemas.openxmlformats.org/officeDocument/2006/relationships/hyperlink" Target="mailto:kevin.oneal.salcedo@gmail.com" TargetMode="External"/><Relationship Id="rId67" Type="http://schemas.openxmlformats.org/officeDocument/2006/relationships/hyperlink" Target="mailto:glencacasiano@hotmail.com" TargetMode="External"/><Relationship Id="rId60" Type="http://schemas.openxmlformats.org/officeDocument/2006/relationships/hyperlink" Target="mailto:aleyois.cr@gmail.com" TargetMode="External"/><Relationship Id="rId165" Type="http://schemas.openxmlformats.org/officeDocument/2006/relationships/hyperlink" Target="mailto:perezaldretesilviaanali@gmail.com" TargetMode="External"/><Relationship Id="rId69" Type="http://schemas.openxmlformats.org/officeDocument/2006/relationships/hyperlink" Target="mailto:heber.ramirez.luna@gmail.com" TargetMode="External"/><Relationship Id="rId164" Type="http://schemas.openxmlformats.org/officeDocument/2006/relationships/hyperlink" Target="mailto:rodolfo.rogume@gmail.com" TargetMode="External"/><Relationship Id="rId163" Type="http://schemas.openxmlformats.org/officeDocument/2006/relationships/hyperlink" Target="mailto:rodolfo.rogume@gmail.com" TargetMode="External"/><Relationship Id="rId162" Type="http://schemas.openxmlformats.org/officeDocument/2006/relationships/hyperlink" Target="mailto:rata4593@gmail.com" TargetMode="External"/><Relationship Id="rId169" Type="http://schemas.openxmlformats.org/officeDocument/2006/relationships/hyperlink" Target="mailto:m.gonzalez010895@gmail.com" TargetMode="External"/><Relationship Id="rId168" Type="http://schemas.openxmlformats.org/officeDocument/2006/relationships/hyperlink" Target="mailto:rodolfo.rogume@gmail.com" TargetMode="External"/><Relationship Id="rId167" Type="http://schemas.openxmlformats.org/officeDocument/2006/relationships/hyperlink" Target="mailto:daniela.a.calva@gmail.com" TargetMode="External"/><Relationship Id="rId166" Type="http://schemas.openxmlformats.org/officeDocument/2006/relationships/hyperlink" Target="mailto:perezaldretesilviaanali@gmail.com" TargetMode="External"/><Relationship Id="rId51" Type="http://schemas.openxmlformats.org/officeDocument/2006/relationships/hyperlink" Target="mailto:guarnerosleo4e@gmail.com" TargetMode="External"/><Relationship Id="rId50" Type="http://schemas.openxmlformats.org/officeDocument/2006/relationships/hyperlink" Target="mailto:diegoivanaguayorodriguez@gmail.com" TargetMode="External"/><Relationship Id="rId53" Type="http://schemas.openxmlformats.org/officeDocument/2006/relationships/hyperlink" Target="mailto:ederemmanuel.alcala19@jaliscoedu.mx" TargetMode="External"/><Relationship Id="rId52" Type="http://schemas.openxmlformats.org/officeDocument/2006/relationships/hyperlink" Target="mailto:digna.baza@gmail.com" TargetMode="External"/><Relationship Id="rId55" Type="http://schemas.openxmlformats.org/officeDocument/2006/relationships/hyperlink" Target="mailto:evalles.0311@gmail.com" TargetMode="External"/><Relationship Id="rId161" Type="http://schemas.openxmlformats.org/officeDocument/2006/relationships/hyperlink" Target="mailto:riosgs2169@gmail.com" TargetMode="External"/><Relationship Id="rId54" Type="http://schemas.openxmlformats.org/officeDocument/2006/relationships/hyperlink" Target="mailto:esanchez_glez@outlook.com" TargetMode="External"/><Relationship Id="rId160" Type="http://schemas.openxmlformats.org/officeDocument/2006/relationships/hyperlink" Target="mailto:jannet1745@gmail.com" TargetMode="External"/><Relationship Id="rId57" Type="http://schemas.openxmlformats.org/officeDocument/2006/relationships/hyperlink" Target="mailto:emmanuel.palmasal@gmail.com" TargetMode="External"/><Relationship Id="rId56" Type="http://schemas.openxmlformats.org/officeDocument/2006/relationships/hyperlink" Target="mailto:e_torres_alvarez@outlook.com" TargetMode="External"/><Relationship Id="rId159" Type="http://schemas.openxmlformats.org/officeDocument/2006/relationships/hyperlink" Target="mailto:jacquelinemerazruiz@gmail.com" TargetMode="External"/><Relationship Id="rId59" Type="http://schemas.openxmlformats.org/officeDocument/2006/relationships/hyperlink" Target="mailto:aleyois.cr@gmail.com" TargetMode="External"/><Relationship Id="rId154" Type="http://schemas.openxmlformats.org/officeDocument/2006/relationships/hyperlink" Target="mailto:cordero.gustavo@outlook.com" TargetMode="External"/><Relationship Id="rId58" Type="http://schemas.openxmlformats.org/officeDocument/2006/relationships/hyperlink" Target="mailto:minerliz109@hotmail.com" TargetMode="External"/><Relationship Id="rId153" Type="http://schemas.openxmlformats.org/officeDocument/2006/relationships/hyperlink" Target="mailto:sophiapm_04@hotmail.com" TargetMode="External"/><Relationship Id="rId152" Type="http://schemas.openxmlformats.org/officeDocument/2006/relationships/hyperlink" Target="mailto:garciauribekaren@gmail.com" TargetMode="External"/><Relationship Id="rId151" Type="http://schemas.openxmlformats.org/officeDocument/2006/relationships/hyperlink" Target="mailto:jhernan8212@gmail.com" TargetMode="External"/><Relationship Id="rId158" Type="http://schemas.openxmlformats.org/officeDocument/2006/relationships/hyperlink" Target="mailto:bernigarcia365@icloud.com" TargetMode="External"/><Relationship Id="rId157" Type="http://schemas.openxmlformats.org/officeDocument/2006/relationships/hyperlink" Target="mailto:armando_diazr@hotmail.com" TargetMode="External"/><Relationship Id="rId156" Type="http://schemas.openxmlformats.org/officeDocument/2006/relationships/hyperlink" Target="mailto:carlos_pigui@hotmail.com" TargetMode="External"/><Relationship Id="rId155" Type="http://schemas.openxmlformats.org/officeDocument/2006/relationships/hyperlink" Target="mailto:fernandasolano59@gmail.com" TargetMode="External"/><Relationship Id="rId107" Type="http://schemas.openxmlformats.org/officeDocument/2006/relationships/hyperlink" Target="mailto:natael28@icloud.com" TargetMode="External"/><Relationship Id="rId106" Type="http://schemas.openxmlformats.org/officeDocument/2006/relationships/hyperlink" Target="mailto:oscar.correa.soto@gmail.com" TargetMode="External"/><Relationship Id="rId105" Type="http://schemas.openxmlformats.org/officeDocument/2006/relationships/hyperlink" Target="mailto:orlanda.cervantes89@hotmail.com" TargetMode="External"/><Relationship Id="rId104" Type="http://schemas.openxmlformats.org/officeDocument/2006/relationships/hyperlink" Target="mailto:romar_uc@hotmail.com" TargetMode="External"/><Relationship Id="rId109" Type="http://schemas.openxmlformats.org/officeDocument/2006/relationships/hyperlink" Target="mailto:ramosreynosopaola@gmail.com" TargetMode="External"/><Relationship Id="rId108" Type="http://schemas.openxmlformats.org/officeDocument/2006/relationships/hyperlink" Target="mailto:pao.dlt.irigoyen@gmail.com" TargetMode="External"/><Relationship Id="rId103" Type="http://schemas.openxmlformats.org/officeDocument/2006/relationships/hyperlink" Target="mailto:romar_uc@hotmail.com" TargetMode="External"/><Relationship Id="rId102" Type="http://schemas.openxmlformats.org/officeDocument/2006/relationships/hyperlink" Target="mailto:octavio_moises.s@hotmail.com" TargetMode="External"/><Relationship Id="rId101" Type="http://schemas.openxmlformats.org/officeDocument/2006/relationships/hyperlink" Target="mailto:mrcdsdelatorre@gmail.com" TargetMode="External"/><Relationship Id="rId100" Type="http://schemas.openxmlformats.org/officeDocument/2006/relationships/hyperlink" Target="mailto:mrcdsdelatorre@gmail.com" TargetMode="External"/><Relationship Id="rId129" Type="http://schemas.openxmlformats.org/officeDocument/2006/relationships/hyperlink" Target="mailto:gibacor@hotmail.com" TargetMode="External"/><Relationship Id="rId128" Type="http://schemas.openxmlformats.org/officeDocument/2006/relationships/hyperlink" Target="mailto:liga117.rg@gmail.com" TargetMode="External"/><Relationship Id="rId127" Type="http://schemas.openxmlformats.org/officeDocument/2006/relationships/hyperlink" Target="mailto:viviana08cr@live.com" TargetMode="External"/><Relationship Id="rId126" Type="http://schemas.openxmlformats.org/officeDocument/2006/relationships/hyperlink" Target="mailto:vicky.male.ber20@gmail.com" TargetMode="External"/><Relationship Id="rId121" Type="http://schemas.openxmlformats.org/officeDocument/2006/relationships/hyperlink" Target="mailto:rodriguez.susanar@gmail.com" TargetMode="External"/><Relationship Id="rId120" Type="http://schemas.openxmlformats.org/officeDocument/2006/relationships/hyperlink" Target="mailto:rodriguez.susanar@gmail.com" TargetMode="External"/><Relationship Id="rId125" Type="http://schemas.openxmlformats.org/officeDocument/2006/relationships/hyperlink" Target="mailto:alambradosgallegosjal@hotmail.com" TargetMode="External"/><Relationship Id="rId124" Type="http://schemas.openxmlformats.org/officeDocument/2006/relationships/hyperlink" Target="mailto:alambradosgallegosjal@hotmail.com" TargetMode="External"/><Relationship Id="rId123" Type="http://schemas.openxmlformats.org/officeDocument/2006/relationships/hyperlink" Target="mailto:valeria123_7@hotmail.com" TargetMode="External"/><Relationship Id="rId122" Type="http://schemas.openxmlformats.org/officeDocument/2006/relationships/hyperlink" Target="mailto:pamela.guavelar@gmail.com" TargetMode="External"/><Relationship Id="rId95" Type="http://schemas.openxmlformats.org/officeDocument/2006/relationships/hyperlink" Target="mailto:florentina219011@gmail.com" TargetMode="External"/><Relationship Id="rId94" Type="http://schemas.openxmlformats.org/officeDocument/2006/relationships/hyperlink" Target="mailto:aleyois.cr@gmail.com" TargetMode="External"/><Relationship Id="rId97" Type="http://schemas.openxmlformats.org/officeDocument/2006/relationships/hyperlink" Target="mailto:avaldivieso16@gmail.com" TargetMode="External"/><Relationship Id="rId96" Type="http://schemas.openxmlformats.org/officeDocument/2006/relationships/hyperlink" Target="mailto:valeryacortez@hotmail.com" TargetMode="External"/><Relationship Id="rId99" Type="http://schemas.openxmlformats.org/officeDocument/2006/relationships/hyperlink" Target="mailto:melissa_grg@hotmail.com" TargetMode="External"/><Relationship Id="rId98" Type="http://schemas.openxmlformats.org/officeDocument/2006/relationships/hyperlink" Target="mailto:balderasfonseca@gmail.com" TargetMode="External"/><Relationship Id="rId91" Type="http://schemas.openxmlformats.org/officeDocument/2006/relationships/hyperlink" Target="mailto:jimeapariciogarcia@gmail.com" TargetMode="External"/><Relationship Id="rId90" Type="http://schemas.openxmlformats.org/officeDocument/2006/relationships/hyperlink" Target="mailto:luciaortega2707@gmail.com" TargetMode="External"/><Relationship Id="rId93" Type="http://schemas.openxmlformats.org/officeDocument/2006/relationships/hyperlink" Target="mailto:01.ramosreynoso@gmail.com" TargetMode="External"/><Relationship Id="rId92" Type="http://schemas.openxmlformats.org/officeDocument/2006/relationships/hyperlink" Target="mailto:markador_23@hotmail.com" TargetMode="External"/><Relationship Id="rId118" Type="http://schemas.openxmlformats.org/officeDocument/2006/relationships/hyperlink" Target="mailto:spaulinaorozco_25@hotmail.com" TargetMode="External"/><Relationship Id="rId117" Type="http://schemas.openxmlformats.org/officeDocument/2006/relationships/hyperlink" Target="mailto:sandrausagitomisaki@gmail.com" TargetMode="External"/><Relationship Id="rId116" Type="http://schemas.openxmlformats.org/officeDocument/2006/relationships/hyperlink" Target="mailto:salome@mauisa.com" TargetMode="External"/><Relationship Id="rId115" Type="http://schemas.openxmlformats.org/officeDocument/2006/relationships/hyperlink" Target="mailto:ricardo.a@ryrposters.com" TargetMode="External"/><Relationship Id="rId119" Type="http://schemas.openxmlformats.org/officeDocument/2006/relationships/hyperlink" Target="mailto:genaro.sanchezg91@icloud.com" TargetMode="External"/><Relationship Id="rId110" Type="http://schemas.openxmlformats.org/officeDocument/2006/relationships/hyperlink" Target="mailto:aleyois.cr@gmail.com" TargetMode="External"/><Relationship Id="rId114" Type="http://schemas.openxmlformats.org/officeDocument/2006/relationships/hyperlink" Target="mailto:raulurenaguzman@gmail.com" TargetMode="External"/><Relationship Id="rId113" Type="http://schemas.openxmlformats.org/officeDocument/2006/relationships/hyperlink" Target="mailto:raularias186@gmail.com" TargetMode="External"/><Relationship Id="rId112" Type="http://schemas.openxmlformats.org/officeDocument/2006/relationships/hyperlink" Target="mailto:rafaael_arevalo@hotmail.com" TargetMode="External"/><Relationship Id="rId111" Type="http://schemas.openxmlformats.org/officeDocument/2006/relationships/hyperlink" Target="mailto:cr.rafael.rcr@gmail.com" TargetMode="External"/><Relationship Id="rId200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3.xml"/><Relationship Id="rId10" Type="http://schemas.openxmlformats.org/officeDocument/2006/relationships/pivotTable" Target="../pivotTables/pivotTable12.xml"/><Relationship Id="rId13" Type="http://schemas.openxmlformats.org/officeDocument/2006/relationships/drawing" Target="../drawings/drawing4.xml"/><Relationship Id="rId12" Type="http://schemas.openxmlformats.org/officeDocument/2006/relationships/pivotTable" Target="../pivotTables/pivotTable14.xml"/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Relationship Id="rId5" Type="http://schemas.openxmlformats.org/officeDocument/2006/relationships/pivotTable" Target="../pivotTables/pivotTable7.xml"/><Relationship Id="rId6" Type="http://schemas.openxmlformats.org/officeDocument/2006/relationships/pivotTable" Target="../pivotTables/pivotTable8.xml"/><Relationship Id="rId7" Type="http://schemas.openxmlformats.org/officeDocument/2006/relationships/pivotTable" Target="../pivotTables/pivotTable9.xml"/><Relationship Id="rId8" Type="http://schemas.openxmlformats.org/officeDocument/2006/relationships/pivotTable" Target="../pivotTables/pivotTable10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25.xml"/><Relationship Id="rId10" Type="http://schemas.openxmlformats.org/officeDocument/2006/relationships/pivotTable" Target="../pivotTables/pivotTable24.xml"/><Relationship Id="rId13" Type="http://schemas.openxmlformats.org/officeDocument/2006/relationships/drawing" Target="../drawings/drawing5.xml"/><Relationship Id="rId12" Type="http://schemas.openxmlformats.org/officeDocument/2006/relationships/pivotTable" Target="../pivotTables/pivotTable26.xml"/><Relationship Id="rId1" Type="http://schemas.openxmlformats.org/officeDocument/2006/relationships/pivotTable" Target="../pivotTables/pivotTable15.xml"/><Relationship Id="rId2" Type="http://schemas.openxmlformats.org/officeDocument/2006/relationships/pivotTable" Target="../pivotTables/pivotTable16.xml"/><Relationship Id="rId3" Type="http://schemas.openxmlformats.org/officeDocument/2006/relationships/pivotTable" Target="../pivotTables/pivotTable17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Relationship Id="rId5" Type="http://schemas.openxmlformats.org/officeDocument/2006/relationships/pivotTable" Target="../pivotTables/pivotTable19.xml"/><Relationship Id="rId6" Type="http://schemas.openxmlformats.org/officeDocument/2006/relationships/pivotTable" Target="../pivotTables/pivotTable20.xml"/><Relationship Id="rId7" Type="http://schemas.openxmlformats.org/officeDocument/2006/relationships/pivotTable" Target="../pivotTables/pivotTable21.xml"/><Relationship Id="rId8" Type="http://schemas.openxmlformats.org/officeDocument/2006/relationships/pivotTable" Target="../pivotTables/pivotTable2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6.63"/>
    <col customWidth="1" min="2" max="2" width="8.25"/>
    <col customWidth="1" min="3" max="4" width="13.75"/>
    <col customWidth="1" min="5" max="5" width="19.25"/>
    <col customWidth="1" min="6" max="6" width="14.13"/>
    <col customWidth="1" min="7" max="9" width="17.13"/>
    <col customWidth="1" min="10" max="10" width="20.88"/>
    <col customWidth="1" min="11" max="11" width="16.5"/>
    <col customWidth="1" min="12" max="12" width="15.38"/>
    <col customWidth="1" min="13" max="13" width="18.5"/>
    <col customWidth="1" min="14" max="14" width="30.75"/>
    <col customWidth="1" min="15" max="16" width="24.13"/>
    <col customWidth="1" min="17" max="17" width="4.5"/>
    <col customWidth="1" min="18" max="18" width="3.88"/>
    <col customWidth="1" min="19" max="19" width="3.5"/>
    <col customWidth="1" min="20" max="20" width="3.63"/>
    <col customWidth="1" min="21" max="21" width="5.5"/>
    <col customWidth="1" min="22" max="22" width="7.5"/>
    <col customWidth="1" min="23" max="23" width="6.75"/>
    <col customWidth="1" min="24" max="24" width="6.5"/>
    <col customWidth="1" min="25" max="25" width="13.25"/>
  </cols>
  <sheetData>
    <row r="1" ht="15.75" customHeight="1">
      <c r="B1" s="1"/>
      <c r="C1" s="1"/>
      <c r="D1" s="1"/>
      <c r="E1" s="1"/>
      <c r="F1" s="2"/>
      <c r="G1" s="1"/>
      <c r="H1" s="1"/>
      <c r="K1" s="1"/>
      <c r="L1" s="1"/>
      <c r="M1" s="1"/>
      <c r="N1" s="1"/>
      <c r="O1" s="1"/>
      <c r="Q1" s="3"/>
      <c r="R1" s="3"/>
      <c r="S1" s="3"/>
      <c r="T1" s="3"/>
      <c r="U1" s="3"/>
      <c r="V1" s="3">
        <f>DAY(Listas!B2)</f>
        <v>19</v>
      </c>
      <c r="W1" s="3"/>
      <c r="X1" s="3">
        <f>MONTH(Listas!B2)</f>
        <v>5</v>
      </c>
    </row>
    <row r="2" ht="15.75" customHeight="1">
      <c r="A2" s="4"/>
      <c r="B2" s="5"/>
      <c r="C2" s="1"/>
      <c r="D2" s="1"/>
      <c r="E2" s="1"/>
      <c r="G2" s="1"/>
      <c r="H2" s="1"/>
      <c r="K2" s="1"/>
      <c r="L2" s="1"/>
      <c r="M2" s="1"/>
      <c r="N2" s="1"/>
      <c r="O2" s="1"/>
      <c r="Q2" s="6"/>
      <c r="R2" s="3"/>
      <c r="S2" s="6"/>
      <c r="T2" s="6"/>
      <c r="U2" s="3"/>
      <c r="V2" s="3"/>
      <c r="W2" s="3"/>
      <c r="X2" s="3"/>
    </row>
    <row r="3">
      <c r="A3" s="4"/>
      <c r="B3" s="7" t="s">
        <v>0</v>
      </c>
      <c r="Q3" s="8"/>
      <c r="R3" s="3"/>
      <c r="S3" s="8"/>
      <c r="T3" s="8"/>
      <c r="U3" s="3"/>
      <c r="V3" s="3"/>
      <c r="W3" s="3"/>
      <c r="X3" s="3"/>
    </row>
    <row r="4" ht="15.75" customHeight="1">
      <c r="A4" s="4"/>
      <c r="B4" s="1"/>
      <c r="C4" s="5"/>
      <c r="D4" s="5"/>
      <c r="E4" s="5"/>
      <c r="F4" s="9"/>
      <c r="G4" s="5"/>
      <c r="H4" s="5"/>
      <c r="I4" s="4"/>
      <c r="J4" s="10"/>
      <c r="K4" s="11"/>
      <c r="L4" s="11"/>
      <c r="M4" s="11"/>
      <c r="N4" s="11"/>
      <c r="O4" s="11"/>
      <c r="P4" s="10"/>
      <c r="Q4" s="3"/>
      <c r="R4" s="3"/>
      <c r="S4" s="3"/>
      <c r="T4" s="3"/>
      <c r="U4" s="3"/>
      <c r="V4" s="3"/>
      <c r="W4" s="3"/>
      <c r="X4" s="3"/>
    </row>
    <row r="5" ht="15.75" customHeight="1">
      <c r="A5" s="4"/>
      <c r="B5" s="5"/>
      <c r="C5" s="12"/>
      <c r="D5" s="12" t="s">
        <v>1</v>
      </c>
      <c r="E5" s="5"/>
      <c r="F5" s="9"/>
      <c r="G5" s="13"/>
      <c r="H5" s="13"/>
      <c r="I5" s="14" t="s">
        <v>2</v>
      </c>
      <c r="J5" s="10"/>
      <c r="K5" s="11"/>
      <c r="L5" s="11"/>
      <c r="M5" s="11"/>
      <c r="N5" s="11"/>
      <c r="O5" s="11"/>
      <c r="P5" s="10"/>
      <c r="Q5" s="3"/>
      <c r="R5" s="3"/>
      <c r="S5" s="3"/>
      <c r="T5" s="3"/>
      <c r="U5" s="3"/>
      <c r="V5" s="3"/>
      <c r="W5" s="3"/>
      <c r="X5" s="3"/>
    </row>
    <row r="6" ht="15.75" customHeight="1">
      <c r="A6" s="4"/>
      <c r="B6" s="5"/>
      <c r="C6" s="15"/>
      <c r="D6" s="15" t="s">
        <v>3</v>
      </c>
      <c r="E6" s="5"/>
      <c r="F6" s="9"/>
      <c r="G6" s="13"/>
      <c r="H6" s="13"/>
      <c r="I6" s="16" t="s">
        <v>4</v>
      </c>
      <c r="J6" s="10"/>
      <c r="K6" s="11"/>
      <c r="L6" s="11"/>
      <c r="M6" s="11"/>
      <c r="N6" s="11"/>
      <c r="O6" s="11"/>
      <c r="P6" s="10"/>
      <c r="Q6" s="3"/>
      <c r="R6" s="3"/>
      <c r="S6" s="3"/>
      <c r="T6" s="3"/>
      <c r="U6" s="3"/>
      <c r="V6" s="3"/>
      <c r="W6" s="3"/>
      <c r="X6" s="3"/>
    </row>
    <row r="7" ht="15.75" customHeight="1">
      <c r="A7" s="17" t="s">
        <v>5</v>
      </c>
      <c r="B7" s="18" t="s">
        <v>6</v>
      </c>
      <c r="C7" s="19" t="s">
        <v>7</v>
      </c>
      <c r="D7" s="18" t="s">
        <v>8</v>
      </c>
      <c r="E7" s="18" t="s">
        <v>9</v>
      </c>
      <c r="F7" s="20" t="s">
        <v>10</v>
      </c>
      <c r="G7" s="19" t="s">
        <v>11</v>
      </c>
      <c r="H7" s="19" t="s">
        <v>12</v>
      </c>
      <c r="I7" s="17" t="s">
        <v>13</v>
      </c>
      <c r="J7" s="21" t="s">
        <v>14</v>
      </c>
      <c r="K7" s="22" t="s">
        <v>15</v>
      </c>
      <c r="L7" s="22" t="s">
        <v>16</v>
      </c>
      <c r="M7" s="19" t="s">
        <v>17</v>
      </c>
      <c r="N7" s="19" t="s">
        <v>18</v>
      </c>
      <c r="O7" s="19" t="s">
        <v>19</v>
      </c>
      <c r="P7" s="23" t="s">
        <v>20</v>
      </c>
      <c r="Q7" s="24" t="s">
        <v>21</v>
      </c>
      <c r="R7" s="24" t="s">
        <v>22</v>
      </c>
      <c r="S7" s="24" t="s">
        <v>23</v>
      </c>
      <c r="T7" s="24" t="s">
        <v>24</v>
      </c>
      <c r="U7" s="24" t="s">
        <v>25</v>
      </c>
      <c r="V7" s="24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5" t="s">
        <v>31</v>
      </c>
      <c r="AG7" s="10"/>
    </row>
    <row r="8" ht="15.75" customHeight="1">
      <c r="A8" s="26" t="s">
        <v>32</v>
      </c>
      <c r="B8" s="27" t="s">
        <v>33</v>
      </c>
      <c r="C8" s="28" t="s">
        <v>34</v>
      </c>
      <c r="D8" s="29">
        <v>44238.0</v>
      </c>
      <c r="E8" s="30" t="s">
        <v>35</v>
      </c>
      <c r="F8" s="31">
        <f>1413.91*12</f>
        <v>16966.92</v>
      </c>
      <c r="G8" s="30" t="s">
        <v>36</v>
      </c>
      <c r="H8" s="30" t="s">
        <v>37</v>
      </c>
      <c r="I8" s="32" t="s">
        <v>38</v>
      </c>
      <c r="J8" s="27" t="s">
        <v>39</v>
      </c>
      <c r="K8" s="30" t="s">
        <v>40</v>
      </c>
      <c r="L8" s="30" t="s">
        <v>41</v>
      </c>
      <c r="M8" s="30" t="s">
        <v>42</v>
      </c>
      <c r="N8" s="33" t="s">
        <v>43</v>
      </c>
      <c r="O8" s="30">
        <v>3.322725657E9</v>
      </c>
      <c r="P8" s="34" t="str">
        <f t="shared" ref="P8:P114" si="1">IF(A8="","", "DARINKA UREÑA CASILLAS")</f>
        <v>DARINKA UREÑA CASILLAS</v>
      </c>
      <c r="Q8" s="35" t="str">
        <f>IF(D8="","",VLOOKUP(MONTH(D8),Listas!$C$2:$D$14,2,0))</f>
        <v>Febrero</v>
      </c>
      <c r="R8" s="36">
        <f t="shared" ref="R8:R264" si="2">IF(D8="","",YEAR(D8))</f>
        <v>2021</v>
      </c>
      <c r="S8" s="37">
        <f t="shared" ref="S8:S264" si="3">IF(D8="","",(DAY(D8)))</f>
        <v>11</v>
      </c>
      <c r="T8" s="37">
        <f t="shared" ref="T8:T129" si="4">IF(D8="","",S8-$W$1)</f>
        <v>11</v>
      </c>
      <c r="U8" s="37">
        <f t="shared" ref="U8:U129" si="5">IF(D8="","",(MONTH(D8)))</f>
        <v>2</v>
      </c>
      <c r="V8" s="37">
        <f t="shared" ref="V8:V129" si="6">IF(I8="","",(DAY(I8)))</f>
        <v>15</v>
      </c>
      <c r="W8" s="37">
        <f t="shared" ref="W8:W129" si="7">IF(I8="","",V8-$W$1)</f>
        <v>15</v>
      </c>
      <c r="X8" s="37">
        <f t="shared" ref="X8:X129" si="8">IF(I8="","",(MONTH(I8)))</f>
        <v>9</v>
      </c>
      <c r="Y8" s="37">
        <f t="shared" ref="Y8:Y129" si="9">IF(D8="","",(MONTH(D8)))</f>
        <v>2</v>
      </c>
      <c r="Z8" s="38">
        <f t="shared" ref="Z8:Z264" si="10">IFERROR(IF(I8="","", DATEDIF(I8, TODAY(), "Y")),0)</f>
        <v>0</v>
      </c>
      <c r="AA8" s="39" t="str">
        <f t="shared" ref="AA8:AA129" si="11">IF(Z8="","", IFS(Z8 &gt;= 61, "61+ años",
     Z8 &gt;= 51, "51-60 años",
     Z8 &gt;= 40, "40-50 años",
     Z8 &gt;= 20, "20-39 años",
     TRUE, "-20 años"))</f>
        <v>-20 años</v>
      </c>
      <c r="AB8" s="40"/>
      <c r="AD8" s="41"/>
      <c r="AE8" s="42"/>
      <c r="AG8" s="10"/>
    </row>
    <row r="9" ht="15.75" customHeight="1">
      <c r="A9" s="26" t="s">
        <v>32</v>
      </c>
      <c r="B9" s="27" t="s">
        <v>33</v>
      </c>
      <c r="C9" s="28" t="s">
        <v>34</v>
      </c>
      <c r="D9" s="29">
        <v>44247.0</v>
      </c>
      <c r="E9" s="30" t="s">
        <v>44</v>
      </c>
      <c r="F9" s="31">
        <f>727.3*12*7.65</f>
        <v>66766.14</v>
      </c>
      <c r="G9" s="30" t="s">
        <v>45</v>
      </c>
      <c r="H9" s="30" t="s">
        <v>37</v>
      </c>
      <c r="I9" s="32" t="s">
        <v>38</v>
      </c>
      <c r="J9" s="27" t="s">
        <v>39</v>
      </c>
      <c r="K9" s="30" t="s">
        <v>40</v>
      </c>
      <c r="L9" s="30" t="s">
        <v>46</v>
      </c>
      <c r="M9" s="30" t="s">
        <v>47</v>
      </c>
      <c r="N9" s="33" t="s">
        <v>43</v>
      </c>
      <c r="O9" s="30">
        <v>3.322725657E9</v>
      </c>
      <c r="P9" s="34" t="str">
        <f t="shared" si="1"/>
        <v>DARINKA UREÑA CASILLAS</v>
      </c>
      <c r="Q9" s="35" t="str">
        <f>IF(D9="","",VLOOKUP(MONTH(D9),Listas!$C$2:$D$14,2,0))</f>
        <v>Febrero</v>
      </c>
      <c r="R9" s="36">
        <f t="shared" si="2"/>
        <v>2021</v>
      </c>
      <c r="S9" s="37">
        <f t="shared" si="3"/>
        <v>20</v>
      </c>
      <c r="T9" s="37">
        <f t="shared" si="4"/>
        <v>20</v>
      </c>
      <c r="U9" s="37">
        <f t="shared" si="5"/>
        <v>2</v>
      </c>
      <c r="V9" s="37">
        <f t="shared" si="6"/>
        <v>15</v>
      </c>
      <c r="W9" s="37">
        <f t="shared" si="7"/>
        <v>15</v>
      </c>
      <c r="X9" s="37">
        <f t="shared" si="8"/>
        <v>9</v>
      </c>
      <c r="Y9" s="37">
        <f t="shared" si="9"/>
        <v>2</v>
      </c>
      <c r="Z9" s="38">
        <f t="shared" si="10"/>
        <v>0</v>
      </c>
      <c r="AA9" s="39" t="str">
        <f t="shared" si="11"/>
        <v>-20 años</v>
      </c>
      <c r="AB9" s="40"/>
      <c r="AD9" s="41"/>
      <c r="AE9" s="42"/>
    </row>
    <row r="10" ht="15.75" customHeight="1">
      <c r="A10" s="26" t="s">
        <v>48</v>
      </c>
      <c r="B10" s="27" t="s">
        <v>33</v>
      </c>
      <c r="C10" s="28" t="s">
        <v>34</v>
      </c>
      <c r="D10" s="29">
        <v>44581.0</v>
      </c>
      <c r="E10" s="30" t="s">
        <v>49</v>
      </c>
      <c r="F10" s="31">
        <f>11035.51*2</f>
        <v>22071.02</v>
      </c>
      <c r="G10" s="30" t="s">
        <v>36</v>
      </c>
      <c r="H10" s="30" t="s">
        <v>50</v>
      </c>
      <c r="I10" s="32">
        <v>44707.0</v>
      </c>
      <c r="J10" s="5"/>
      <c r="K10" s="30" t="s">
        <v>40</v>
      </c>
      <c r="L10" s="30" t="s">
        <v>41</v>
      </c>
      <c r="M10" s="30" t="s">
        <v>51</v>
      </c>
      <c r="N10" s="33" t="s">
        <v>52</v>
      </c>
      <c r="O10" s="30">
        <v>3.335785031E9</v>
      </c>
      <c r="P10" s="34" t="str">
        <f t="shared" si="1"/>
        <v>DARINKA UREÑA CASILLAS</v>
      </c>
      <c r="Q10" s="35" t="str">
        <f>IF(D10="","",VLOOKUP(MONTH(D10),Listas!$C$2:$D$14,2,0))</f>
        <v>Enero</v>
      </c>
      <c r="R10" s="36">
        <f t="shared" si="2"/>
        <v>2022</v>
      </c>
      <c r="S10" s="37">
        <f t="shared" si="3"/>
        <v>20</v>
      </c>
      <c r="T10" s="37">
        <f t="shared" si="4"/>
        <v>20</v>
      </c>
      <c r="U10" s="37">
        <f t="shared" si="5"/>
        <v>1</v>
      </c>
      <c r="V10" s="37">
        <f t="shared" si="6"/>
        <v>26</v>
      </c>
      <c r="W10" s="37">
        <f t="shared" si="7"/>
        <v>26</v>
      </c>
      <c r="X10" s="37">
        <f t="shared" si="8"/>
        <v>5</v>
      </c>
      <c r="Y10" s="37">
        <f t="shared" si="9"/>
        <v>1</v>
      </c>
      <c r="Z10" s="38">
        <f t="shared" si="10"/>
        <v>3</v>
      </c>
      <c r="AA10" s="39" t="str">
        <f t="shared" si="11"/>
        <v>-20 años</v>
      </c>
      <c r="AB10" s="40"/>
      <c r="AD10" s="41"/>
      <c r="AE10" s="42"/>
    </row>
    <row r="11" ht="15.75" customHeight="1">
      <c r="A11" s="26" t="s">
        <v>48</v>
      </c>
      <c r="B11" s="27" t="s">
        <v>33</v>
      </c>
      <c r="C11" s="28" t="s">
        <v>34</v>
      </c>
      <c r="D11" s="29">
        <v>44576.0</v>
      </c>
      <c r="E11" s="30" t="s">
        <v>53</v>
      </c>
      <c r="F11" s="31">
        <f>572.77*12*7.65</f>
        <v>52580.286</v>
      </c>
      <c r="G11" s="30" t="s">
        <v>45</v>
      </c>
      <c r="H11" s="30" t="s">
        <v>37</v>
      </c>
      <c r="I11" s="32">
        <v>44707.0</v>
      </c>
      <c r="J11" s="5"/>
      <c r="K11" s="30" t="s">
        <v>54</v>
      </c>
      <c r="L11" s="30" t="s">
        <v>46</v>
      </c>
      <c r="M11" s="30" t="s">
        <v>47</v>
      </c>
      <c r="N11" s="33" t="s">
        <v>52</v>
      </c>
      <c r="O11" s="30">
        <v>3.335785031E9</v>
      </c>
      <c r="P11" s="34" t="str">
        <f t="shared" si="1"/>
        <v>DARINKA UREÑA CASILLAS</v>
      </c>
      <c r="Q11" s="35" t="str">
        <f>IF(D11="","",VLOOKUP(MONTH(D11),Listas!$C$2:$D$14,2,0))</f>
        <v>Enero</v>
      </c>
      <c r="R11" s="36">
        <f t="shared" si="2"/>
        <v>2022</v>
      </c>
      <c r="S11" s="37">
        <f t="shared" si="3"/>
        <v>15</v>
      </c>
      <c r="T11" s="37">
        <f t="shared" si="4"/>
        <v>15</v>
      </c>
      <c r="U11" s="37">
        <f t="shared" si="5"/>
        <v>1</v>
      </c>
      <c r="V11" s="37">
        <f t="shared" si="6"/>
        <v>26</v>
      </c>
      <c r="W11" s="37">
        <f t="shared" si="7"/>
        <v>26</v>
      </c>
      <c r="X11" s="37">
        <f t="shared" si="8"/>
        <v>5</v>
      </c>
      <c r="Y11" s="37">
        <f t="shared" si="9"/>
        <v>1</v>
      </c>
      <c r="Z11" s="38">
        <f t="shared" si="10"/>
        <v>3</v>
      </c>
      <c r="AA11" s="39" t="str">
        <f t="shared" si="11"/>
        <v>-20 años</v>
      </c>
      <c r="AB11" s="40"/>
      <c r="AD11" s="41"/>
      <c r="AE11" s="42"/>
    </row>
    <row r="12" ht="15.75" customHeight="1">
      <c r="A12" s="26" t="s">
        <v>55</v>
      </c>
      <c r="B12" s="27" t="s">
        <v>56</v>
      </c>
      <c r="C12" s="28" t="s">
        <v>34</v>
      </c>
      <c r="D12" s="29">
        <v>44168.0</v>
      </c>
      <c r="E12" s="30" t="s">
        <v>57</v>
      </c>
      <c r="F12" s="31">
        <f>3637.65*7.65</f>
        <v>27828.0225</v>
      </c>
      <c r="G12" s="30" t="s">
        <v>45</v>
      </c>
      <c r="H12" s="30" t="s">
        <v>58</v>
      </c>
      <c r="I12" s="32">
        <v>44704.0</v>
      </c>
      <c r="J12" s="5"/>
      <c r="K12" s="30" t="s">
        <v>54</v>
      </c>
      <c r="L12" s="30" t="s">
        <v>46</v>
      </c>
      <c r="M12" s="30" t="s">
        <v>47</v>
      </c>
      <c r="N12" s="33" t="s">
        <v>59</v>
      </c>
      <c r="O12" s="30">
        <v>3.314550115E9</v>
      </c>
      <c r="P12" s="34" t="str">
        <f t="shared" si="1"/>
        <v>DARINKA UREÑA CASILLAS</v>
      </c>
      <c r="Q12" s="35" t="str">
        <f>IF(D12="","",VLOOKUP(MONTH(D12),Listas!$C$2:$D$14,2,0))</f>
        <v>Diciembre</v>
      </c>
      <c r="R12" s="36">
        <f t="shared" si="2"/>
        <v>2020</v>
      </c>
      <c r="S12" s="37">
        <f t="shared" si="3"/>
        <v>3</v>
      </c>
      <c r="T12" s="37">
        <f t="shared" si="4"/>
        <v>3</v>
      </c>
      <c r="U12" s="37">
        <f t="shared" si="5"/>
        <v>12</v>
      </c>
      <c r="V12" s="37">
        <f t="shared" si="6"/>
        <v>23</v>
      </c>
      <c r="W12" s="37">
        <f t="shared" si="7"/>
        <v>23</v>
      </c>
      <c r="X12" s="37">
        <f t="shared" si="8"/>
        <v>5</v>
      </c>
      <c r="Y12" s="37">
        <f t="shared" si="9"/>
        <v>12</v>
      </c>
      <c r="Z12" s="38">
        <f t="shared" si="10"/>
        <v>3</v>
      </c>
      <c r="AA12" s="39" t="str">
        <f t="shared" si="11"/>
        <v>-20 años</v>
      </c>
      <c r="AB12" s="43"/>
      <c r="AG12" s="10"/>
    </row>
    <row r="13" ht="15.75" customHeight="1">
      <c r="A13" s="26" t="s">
        <v>60</v>
      </c>
      <c r="B13" s="27" t="s">
        <v>56</v>
      </c>
      <c r="C13" s="28" t="s">
        <v>34</v>
      </c>
      <c r="D13" s="29">
        <v>44008.0</v>
      </c>
      <c r="E13" s="30" t="s">
        <v>61</v>
      </c>
      <c r="F13" s="44">
        <v>10660.33</v>
      </c>
      <c r="G13" s="30" t="s">
        <v>36</v>
      </c>
      <c r="H13" s="30" t="s">
        <v>58</v>
      </c>
      <c r="I13" s="32">
        <v>45206.0</v>
      </c>
      <c r="J13" s="5"/>
      <c r="K13" s="30" t="s">
        <v>54</v>
      </c>
      <c r="L13" s="30" t="s">
        <v>41</v>
      </c>
      <c r="M13" s="30" t="s">
        <v>42</v>
      </c>
      <c r="N13" s="33" t="s">
        <v>62</v>
      </c>
      <c r="O13" s="30">
        <v>3.322590323E9</v>
      </c>
      <c r="P13" s="34" t="str">
        <f t="shared" si="1"/>
        <v>DARINKA UREÑA CASILLAS</v>
      </c>
      <c r="Q13" s="35" t="str">
        <f>IF(D13="","",VLOOKUP(MONTH(D13),Listas!$C$2:$D$14,2,0))</f>
        <v>Junio</v>
      </c>
      <c r="R13" s="36">
        <f t="shared" si="2"/>
        <v>2020</v>
      </c>
      <c r="S13" s="37">
        <f t="shared" si="3"/>
        <v>26</v>
      </c>
      <c r="T13" s="37">
        <f t="shared" si="4"/>
        <v>26</v>
      </c>
      <c r="U13" s="37">
        <f t="shared" si="5"/>
        <v>6</v>
      </c>
      <c r="V13" s="37">
        <f t="shared" si="6"/>
        <v>7</v>
      </c>
      <c r="W13" s="37">
        <f t="shared" si="7"/>
        <v>7</v>
      </c>
      <c r="X13" s="37">
        <f t="shared" si="8"/>
        <v>10</v>
      </c>
      <c r="Y13" s="37">
        <f t="shared" si="9"/>
        <v>6</v>
      </c>
      <c r="Z13" s="38">
        <f t="shared" si="10"/>
        <v>2</v>
      </c>
      <c r="AA13" s="39" t="str">
        <f t="shared" si="11"/>
        <v>-20 años</v>
      </c>
      <c r="AB13" s="43"/>
    </row>
    <row r="14" ht="15.75" customHeight="1">
      <c r="A14" s="26" t="s">
        <v>60</v>
      </c>
      <c r="B14" s="27" t="s">
        <v>56</v>
      </c>
      <c r="C14" s="28" t="s">
        <v>34</v>
      </c>
      <c r="D14" s="29">
        <v>44844.0</v>
      </c>
      <c r="E14" s="30" t="s">
        <v>63</v>
      </c>
      <c r="F14" s="31">
        <f>6745*2</f>
        <v>13490</v>
      </c>
      <c r="G14" s="30" t="s">
        <v>36</v>
      </c>
      <c r="H14" s="30" t="s">
        <v>50</v>
      </c>
      <c r="I14" s="32">
        <v>45170.0</v>
      </c>
      <c r="J14" s="5"/>
      <c r="K14" s="30" t="s">
        <v>54</v>
      </c>
      <c r="L14" s="30" t="s">
        <v>41</v>
      </c>
      <c r="M14" s="30" t="s">
        <v>51</v>
      </c>
      <c r="N14" s="33" t="s">
        <v>62</v>
      </c>
      <c r="O14" s="30">
        <v>3.322590323E9</v>
      </c>
      <c r="P14" s="34" t="str">
        <f t="shared" si="1"/>
        <v>DARINKA UREÑA CASILLAS</v>
      </c>
      <c r="Q14" s="35" t="str">
        <f>IF(D14="","",VLOOKUP(MONTH(D14),Listas!$C$2:$D$14,2,0))</f>
        <v>Octubre</v>
      </c>
      <c r="R14" s="36">
        <f t="shared" si="2"/>
        <v>2022</v>
      </c>
      <c r="S14" s="37">
        <f t="shared" si="3"/>
        <v>10</v>
      </c>
      <c r="T14" s="37">
        <f t="shared" si="4"/>
        <v>10</v>
      </c>
      <c r="U14" s="37">
        <f t="shared" si="5"/>
        <v>10</v>
      </c>
      <c r="V14" s="37">
        <f t="shared" si="6"/>
        <v>1</v>
      </c>
      <c r="W14" s="37">
        <f t="shared" si="7"/>
        <v>1</v>
      </c>
      <c r="X14" s="37">
        <f t="shared" si="8"/>
        <v>9</v>
      </c>
      <c r="Y14" s="37">
        <f t="shared" si="9"/>
        <v>10</v>
      </c>
      <c r="Z14" s="38">
        <f t="shared" si="10"/>
        <v>2</v>
      </c>
      <c r="AA14" s="39" t="str">
        <f t="shared" si="11"/>
        <v>-20 años</v>
      </c>
      <c r="AB14" s="43"/>
    </row>
    <row r="15" ht="15.75" customHeight="1">
      <c r="A15" s="26" t="s">
        <v>60</v>
      </c>
      <c r="B15" s="27" t="s">
        <v>56</v>
      </c>
      <c r="C15" s="28" t="s">
        <v>34</v>
      </c>
      <c r="D15" s="29">
        <v>43893.0</v>
      </c>
      <c r="E15" s="30" t="s">
        <v>64</v>
      </c>
      <c r="F15" s="31">
        <f>5302.35*7.65</f>
        <v>40562.9775</v>
      </c>
      <c r="G15" s="30" t="s">
        <v>45</v>
      </c>
      <c r="H15" s="30" t="s">
        <v>58</v>
      </c>
      <c r="I15" s="32">
        <v>44805.0</v>
      </c>
      <c r="J15" s="5"/>
      <c r="K15" s="30" t="s">
        <v>40</v>
      </c>
      <c r="L15" s="30" t="s">
        <v>46</v>
      </c>
      <c r="M15" s="30" t="s">
        <v>47</v>
      </c>
      <c r="N15" s="33" t="s">
        <v>62</v>
      </c>
      <c r="O15" s="30">
        <v>3.322590323E9</v>
      </c>
      <c r="P15" s="34" t="str">
        <f t="shared" si="1"/>
        <v>DARINKA UREÑA CASILLAS</v>
      </c>
      <c r="Q15" s="35" t="str">
        <f>IF(D15="","",VLOOKUP(MONTH(D15),Listas!$C$2:$D$14,2,0))</f>
        <v>Marzo</v>
      </c>
      <c r="R15" s="36">
        <f t="shared" si="2"/>
        <v>2020</v>
      </c>
      <c r="S15" s="37">
        <f t="shared" si="3"/>
        <v>3</v>
      </c>
      <c r="T15" s="37">
        <f t="shared" si="4"/>
        <v>3</v>
      </c>
      <c r="U15" s="37">
        <f t="shared" si="5"/>
        <v>3</v>
      </c>
      <c r="V15" s="37">
        <f t="shared" si="6"/>
        <v>1</v>
      </c>
      <c r="W15" s="37">
        <f t="shared" si="7"/>
        <v>1</v>
      </c>
      <c r="X15" s="37">
        <f t="shared" si="8"/>
        <v>9</v>
      </c>
      <c r="Y15" s="37">
        <f t="shared" si="9"/>
        <v>3</v>
      </c>
      <c r="Z15" s="38">
        <f t="shared" si="10"/>
        <v>3</v>
      </c>
      <c r="AA15" s="39" t="str">
        <f t="shared" si="11"/>
        <v>-20 años</v>
      </c>
      <c r="AB15" s="43"/>
    </row>
    <row r="16" ht="15.75" customHeight="1">
      <c r="A16" s="26" t="s">
        <v>65</v>
      </c>
      <c r="B16" s="27" t="s">
        <v>33</v>
      </c>
      <c r="C16" s="28" t="s">
        <v>34</v>
      </c>
      <c r="D16" s="29">
        <v>44753.0</v>
      </c>
      <c r="E16" s="30" t="s">
        <v>66</v>
      </c>
      <c r="F16" s="31">
        <f>1674.59*2*7.65</f>
        <v>25621.227</v>
      </c>
      <c r="G16" s="30" t="s">
        <v>45</v>
      </c>
      <c r="H16" s="30" t="s">
        <v>50</v>
      </c>
      <c r="I16" s="32">
        <v>45024.0</v>
      </c>
      <c r="J16" s="5"/>
      <c r="K16" s="27" t="s">
        <v>40</v>
      </c>
      <c r="L16" s="45" t="s">
        <v>46</v>
      </c>
      <c r="M16" s="45" t="s">
        <v>47</v>
      </c>
      <c r="N16" s="33" t="s">
        <v>67</v>
      </c>
      <c r="O16" s="30">
        <v>3.322278793E9</v>
      </c>
      <c r="P16" s="34" t="str">
        <f t="shared" si="1"/>
        <v>DARINKA UREÑA CASILLAS</v>
      </c>
      <c r="Q16" s="35" t="str">
        <f>IF(D16="","",VLOOKUP(MONTH(D16),Listas!$C$2:$D$14,2,0))</f>
        <v>Julio</v>
      </c>
      <c r="R16" s="36">
        <f t="shared" si="2"/>
        <v>2022</v>
      </c>
      <c r="S16" s="37">
        <f t="shared" si="3"/>
        <v>11</v>
      </c>
      <c r="T16" s="37">
        <f t="shared" si="4"/>
        <v>11</v>
      </c>
      <c r="U16" s="37">
        <f t="shared" si="5"/>
        <v>7</v>
      </c>
      <c r="V16" s="37">
        <f t="shared" si="6"/>
        <v>8</v>
      </c>
      <c r="W16" s="37">
        <f t="shared" si="7"/>
        <v>8</v>
      </c>
      <c r="X16" s="37">
        <f t="shared" si="8"/>
        <v>4</v>
      </c>
      <c r="Y16" s="37">
        <f t="shared" si="9"/>
        <v>7</v>
      </c>
      <c r="Z16" s="38">
        <f t="shared" si="10"/>
        <v>3</v>
      </c>
      <c r="AA16" s="39" t="str">
        <f t="shared" si="11"/>
        <v>-20 años</v>
      </c>
      <c r="AB16" s="43"/>
    </row>
    <row r="17" ht="15.75" customHeight="1">
      <c r="A17" s="26" t="s">
        <v>68</v>
      </c>
      <c r="B17" s="27" t="s">
        <v>33</v>
      </c>
      <c r="C17" s="28" t="s">
        <v>34</v>
      </c>
      <c r="D17" s="29">
        <v>44581.0</v>
      </c>
      <c r="E17" s="30" t="s">
        <v>69</v>
      </c>
      <c r="F17" s="44">
        <v>25192.01</v>
      </c>
      <c r="G17" s="30" t="s">
        <v>36</v>
      </c>
      <c r="H17" s="30" t="s">
        <v>58</v>
      </c>
      <c r="I17" s="32">
        <v>44656.0</v>
      </c>
      <c r="J17" s="5"/>
      <c r="K17" s="30" t="s">
        <v>54</v>
      </c>
      <c r="L17" s="30" t="s">
        <v>41</v>
      </c>
      <c r="M17" s="30" t="s">
        <v>51</v>
      </c>
      <c r="N17" s="33" t="s">
        <v>70</v>
      </c>
      <c r="O17" s="30">
        <v>3.324945143E9</v>
      </c>
      <c r="P17" s="34" t="str">
        <f t="shared" si="1"/>
        <v>DARINKA UREÑA CASILLAS</v>
      </c>
      <c r="Q17" s="35" t="str">
        <f>IF(D17="","",VLOOKUP(MONTH(D17),Listas!$C$2:$D$14,2,0))</f>
        <v>Enero</v>
      </c>
      <c r="R17" s="36">
        <f t="shared" si="2"/>
        <v>2022</v>
      </c>
      <c r="S17" s="37">
        <f t="shared" si="3"/>
        <v>20</v>
      </c>
      <c r="T17" s="37">
        <f t="shared" si="4"/>
        <v>20</v>
      </c>
      <c r="U17" s="37">
        <f t="shared" si="5"/>
        <v>1</v>
      </c>
      <c r="V17" s="37">
        <f t="shared" si="6"/>
        <v>5</v>
      </c>
      <c r="W17" s="37">
        <f t="shared" si="7"/>
        <v>5</v>
      </c>
      <c r="X17" s="37">
        <f t="shared" si="8"/>
        <v>4</v>
      </c>
      <c r="Y17" s="37">
        <f t="shared" si="9"/>
        <v>1</v>
      </c>
      <c r="Z17" s="38">
        <f t="shared" si="10"/>
        <v>4</v>
      </c>
      <c r="AA17" s="39" t="str">
        <f t="shared" si="11"/>
        <v>-20 años</v>
      </c>
      <c r="AB17" s="43"/>
    </row>
    <row r="18" ht="15.75" customHeight="1">
      <c r="A18" s="26" t="s">
        <v>68</v>
      </c>
      <c r="B18" s="27" t="s">
        <v>33</v>
      </c>
      <c r="C18" s="28" t="s">
        <v>34</v>
      </c>
      <c r="D18" s="29">
        <v>44603.0</v>
      </c>
      <c r="E18" s="30" t="s">
        <v>71</v>
      </c>
      <c r="F18" s="44">
        <f>5531.93*2*7.65</f>
        <v>84638.529</v>
      </c>
      <c r="G18" s="30" t="s">
        <v>45</v>
      </c>
      <c r="H18" s="30" t="s">
        <v>50</v>
      </c>
      <c r="I18" s="32">
        <v>44656.0</v>
      </c>
      <c r="J18" s="5"/>
      <c r="K18" s="27" t="s">
        <v>40</v>
      </c>
      <c r="L18" s="45" t="s">
        <v>46</v>
      </c>
      <c r="M18" s="45" t="s">
        <v>47</v>
      </c>
      <c r="N18" s="33" t="s">
        <v>70</v>
      </c>
      <c r="O18" s="30">
        <v>3.324945143E9</v>
      </c>
      <c r="P18" s="34" t="str">
        <f t="shared" si="1"/>
        <v>DARINKA UREÑA CASILLAS</v>
      </c>
      <c r="Q18" s="35" t="str">
        <f>IF(D18="","",VLOOKUP(MONTH(D18),Listas!$C$2:$D$14,2,0))</f>
        <v>Febrero</v>
      </c>
      <c r="R18" s="36">
        <f t="shared" si="2"/>
        <v>2022</v>
      </c>
      <c r="S18" s="37">
        <f t="shared" si="3"/>
        <v>11</v>
      </c>
      <c r="T18" s="37">
        <f t="shared" si="4"/>
        <v>11</v>
      </c>
      <c r="U18" s="37">
        <f t="shared" si="5"/>
        <v>2</v>
      </c>
      <c r="V18" s="37">
        <f t="shared" si="6"/>
        <v>5</v>
      </c>
      <c r="W18" s="37">
        <f t="shared" si="7"/>
        <v>5</v>
      </c>
      <c r="X18" s="37">
        <f t="shared" si="8"/>
        <v>4</v>
      </c>
      <c r="Y18" s="37">
        <f t="shared" si="9"/>
        <v>2</v>
      </c>
      <c r="Z18" s="38">
        <f t="shared" si="10"/>
        <v>4</v>
      </c>
      <c r="AA18" s="39" t="str">
        <f t="shared" si="11"/>
        <v>-20 años</v>
      </c>
      <c r="AB18" s="43"/>
      <c r="AC18" s="43"/>
      <c r="AD18" s="40"/>
      <c r="AE18" s="43"/>
    </row>
    <row r="19" ht="15.75" customHeight="1">
      <c r="A19" s="26" t="s">
        <v>72</v>
      </c>
      <c r="B19" s="27" t="s">
        <v>33</v>
      </c>
      <c r="C19" s="28" t="s">
        <v>34</v>
      </c>
      <c r="D19" s="29">
        <v>44467.0</v>
      </c>
      <c r="E19" s="30" t="s">
        <v>73</v>
      </c>
      <c r="F19" s="44">
        <v>15641.78</v>
      </c>
      <c r="G19" s="30" t="s">
        <v>36</v>
      </c>
      <c r="H19" s="30" t="s">
        <v>50</v>
      </c>
      <c r="I19" s="32">
        <v>44590.0</v>
      </c>
      <c r="J19" s="5"/>
      <c r="K19" s="30" t="s">
        <v>40</v>
      </c>
      <c r="L19" s="30" t="s">
        <v>41</v>
      </c>
      <c r="M19" s="30" t="s">
        <v>42</v>
      </c>
      <c r="N19" s="33" t="s">
        <v>74</v>
      </c>
      <c r="O19" s="30">
        <v>3.339561889E9</v>
      </c>
      <c r="P19" s="34" t="str">
        <f t="shared" si="1"/>
        <v>DARINKA UREÑA CASILLAS</v>
      </c>
      <c r="Q19" s="35" t="str">
        <f>IF(D19="","",VLOOKUP(MONTH(D19),Listas!$C$2:$D$14,2,0))</f>
        <v>Septiembre</v>
      </c>
      <c r="R19" s="36">
        <f t="shared" si="2"/>
        <v>2021</v>
      </c>
      <c r="S19" s="37">
        <f t="shared" si="3"/>
        <v>28</v>
      </c>
      <c r="T19" s="37">
        <f t="shared" si="4"/>
        <v>28</v>
      </c>
      <c r="U19" s="37">
        <f t="shared" si="5"/>
        <v>9</v>
      </c>
      <c r="V19" s="37">
        <f t="shared" si="6"/>
        <v>29</v>
      </c>
      <c r="W19" s="37">
        <f t="shared" si="7"/>
        <v>29</v>
      </c>
      <c r="X19" s="37">
        <f t="shared" si="8"/>
        <v>1</v>
      </c>
      <c r="Y19" s="37">
        <f t="shared" si="9"/>
        <v>9</v>
      </c>
      <c r="Z19" s="38">
        <f t="shared" si="10"/>
        <v>4</v>
      </c>
      <c r="AA19" s="39" t="str">
        <f t="shared" si="11"/>
        <v>-20 años</v>
      </c>
      <c r="AB19" s="43"/>
      <c r="AC19" s="43"/>
      <c r="AD19" s="40"/>
      <c r="AE19" s="43"/>
    </row>
    <row r="20" ht="15.75" customHeight="1">
      <c r="A20" s="26" t="s">
        <v>75</v>
      </c>
      <c r="B20" s="27" t="s">
        <v>33</v>
      </c>
      <c r="C20" s="28" t="s">
        <v>34</v>
      </c>
      <c r="D20" s="29">
        <v>44042.0</v>
      </c>
      <c r="E20" s="30" t="s">
        <v>76</v>
      </c>
      <c r="F20" s="31">
        <f>324.24*12*7.65</f>
        <v>29765.232</v>
      </c>
      <c r="G20" s="30" t="s">
        <v>45</v>
      </c>
      <c r="H20" s="30" t="s">
        <v>37</v>
      </c>
      <c r="I20" s="32">
        <v>44769.0</v>
      </c>
      <c r="J20" s="5"/>
      <c r="K20" s="30" t="s">
        <v>54</v>
      </c>
      <c r="L20" s="30" t="s">
        <v>46</v>
      </c>
      <c r="M20" s="30" t="s">
        <v>47</v>
      </c>
      <c r="N20" s="33" t="s">
        <v>77</v>
      </c>
      <c r="O20" s="30">
        <v>3.318332966E9</v>
      </c>
      <c r="P20" s="34" t="str">
        <f t="shared" si="1"/>
        <v>DARINKA UREÑA CASILLAS</v>
      </c>
      <c r="Q20" s="35" t="str">
        <f>IF(D20="","",VLOOKUP(MONTH(D20),Listas!$C$2:$D$14,2,0))</f>
        <v>Julio</v>
      </c>
      <c r="R20" s="36">
        <f t="shared" si="2"/>
        <v>2020</v>
      </c>
      <c r="S20" s="37">
        <f t="shared" si="3"/>
        <v>30</v>
      </c>
      <c r="T20" s="37">
        <f t="shared" si="4"/>
        <v>30</v>
      </c>
      <c r="U20" s="37">
        <f t="shared" si="5"/>
        <v>7</v>
      </c>
      <c r="V20" s="37">
        <f t="shared" si="6"/>
        <v>27</v>
      </c>
      <c r="W20" s="37">
        <f t="shared" si="7"/>
        <v>27</v>
      </c>
      <c r="X20" s="37">
        <f t="shared" si="8"/>
        <v>7</v>
      </c>
      <c r="Y20" s="37">
        <f t="shared" si="9"/>
        <v>7</v>
      </c>
      <c r="Z20" s="38">
        <f t="shared" si="10"/>
        <v>3</v>
      </c>
      <c r="AA20" s="39" t="str">
        <f t="shared" si="11"/>
        <v>-20 años</v>
      </c>
      <c r="AB20" s="43"/>
      <c r="AC20" s="40"/>
      <c r="AD20" s="40"/>
      <c r="AE20" s="43"/>
    </row>
    <row r="21" ht="15.75" customHeight="1">
      <c r="A21" s="26" t="s">
        <v>78</v>
      </c>
      <c r="B21" s="27" t="s">
        <v>56</v>
      </c>
      <c r="C21" s="28" t="s">
        <v>34</v>
      </c>
      <c r="D21" s="29">
        <v>44125.0</v>
      </c>
      <c r="E21" s="30" t="s">
        <v>79</v>
      </c>
      <c r="F21" s="31">
        <f t="shared" ref="F21:F22" si="12">1542.83*12</f>
        <v>18513.96</v>
      </c>
      <c r="G21" s="30" t="s">
        <v>36</v>
      </c>
      <c r="H21" s="30" t="s">
        <v>37</v>
      </c>
      <c r="I21" s="32">
        <v>44634.0</v>
      </c>
      <c r="J21" s="5"/>
      <c r="K21" s="30" t="s">
        <v>54</v>
      </c>
      <c r="L21" s="30" t="s">
        <v>41</v>
      </c>
      <c r="M21" s="30" t="s">
        <v>51</v>
      </c>
      <c r="N21" s="33" t="s">
        <v>80</v>
      </c>
      <c r="O21" s="30">
        <v>3.312415016E9</v>
      </c>
      <c r="P21" s="34" t="str">
        <f t="shared" si="1"/>
        <v>DARINKA UREÑA CASILLAS</v>
      </c>
      <c r="Q21" s="35" t="str">
        <f>IF(D21="","",VLOOKUP(MONTH(D21),Listas!$C$2:$D$14,2,0))</f>
        <v>Octubre</v>
      </c>
      <c r="R21" s="36">
        <f t="shared" si="2"/>
        <v>2020</v>
      </c>
      <c r="S21" s="37">
        <f t="shared" si="3"/>
        <v>21</v>
      </c>
      <c r="T21" s="37">
        <f t="shared" si="4"/>
        <v>21</v>
      </c>
      <c r="U21" s="37">
        <f t="shared" si="5"/>
        <v>10</v>
      </c>
      <c r="V21" s="37">
        <f t="shared" si="6"/>
        <v>14</v>
      </c>
      <c r="W21" s="37">
        <f t="shared" si="7"/>
        <v>14</v>
      </c>
      <c r="X21" s="37">
        <f t="shared" si="8"/>
        <v>3</v>
      </c>
      <c r="Y21" s="37">
        <f t="shared" si="9"/>
        <v>10</v>
      </c>
      <c r="Z21" s="38">
        <f t="shared" si="10"/>
        <v>4</v>
      </c>
      <c r="AA21" s="39" t="str">
        <f t="shared" si="11"/>
        <v>-20 años</v>
      </c>
      <c r="AB21" s="43"/>
      <c r="AC21" s="40"/>
      <c r="AD21" s="40"/>
      <c r="AE21" s="43"/>
    </row>
    <row r="22" ht="15.75" customHeight="1">
      <c r="A22" s="26" t="s">
        <v>81</v>
      </c>
      <c r="B22" s="27" t="s">
        <v>56</v>
      </c>
      <c r="C22" s="28" t="s">
        <v>34</v>
      </c>
      <c r="D22" s="29">
        <v>44241.0</v>
      </c>
      <c r="E22" s="30" t="s">
        <v>82</v>
      </c>
      <c r="F22" s="31">
        <f t="shared" si="12"/>
        <v>18513.96</v>
      </c>
      <c r="G22" s="30" t="s">
        <v>36</v>
      </c>
      <c r="H22" s="30" t="s">
        <v>37</v>
      </c>
      <c r="I22" s="32">
        <v>44801.0</v>
      </c>
      <c r="J22" s="5"/>
      <c r="K22" s="30" t="s">
        <v>40</v>
      </c>
      <c r="L22" s="30" t="s">
        <v>41</v>
      </c>
      <c r="M22" s="30" t="s">
        <v>51</v>
      </c>
      <c r="N22" s="33" t="s">
        <v>83</v>
      </c>
      <c r="O22" s="30">
        <v>3.314946421E9</v>
      </c>
      <c r="P22" s="34" t="str">
        <f t="shared" si="1"/>
        <v>DARINKA UREÑA CASILLAS</v>
      </c>
      <c r="Q22" s="35" t="str">
        <f>IF(D22="","",VLOOKUP(MONTH(D22),Listas!$C$2:$D$14,2,0))</f>
        <v>Febrero</v>
      </c>
      <c r="R22" s="36">
        <f t="shared" si="2"/>
        <v>2021</v>
      </c>
      <c r="S22" s="37">
        <f t="shared" si="3"/>
        <v>14</v>
      </c>
      <c r="T22" s="37">
        <f t="shared" si="4"/>
        <v>14</v>
      </c>
      <c r="U22" s="37">
        <f t="shared" si="5"/>
        <v>2</v>
      </c>
      <c r="V22" s="37">
        <f t="shared" si="6"/>
        <v>28</v>
      </c>
      <c r="W22" s="37">
        <f t="shared" si="7"/>
        <v>28</v>
      </c>
      <c r="X22" s="37">
        <f t="shared" si="8"/>
        <v>8</v>
      </c>
      <c r="Y22" s="37">
        <f t="shared" si="9"/>
        <v>2</v>
      </c>
      <c r="Z22" s="38">
        <f t="shared" si="10"/>
        <v>3</v>
      </c>
      <c r="AA22" s="39" t="str">
        <f t="shared" si="11"/>
        <v>-20 años</v>
      </c>
      <c r="AB22" s="43"/>
      <c r="AC22" s="40"/>
      <c r="AD22" s="43"/>
      <c r="AE22" s="43"/>
    </row>
    <row r="23" ht="15.75" customHeight="1">
      <c r="A23" s="26" t="s">
        <v>84</v>
      </c>
      <c r="B23" s="27" t="s">
        <v>56</v>
      </c>
      <c r="C23" s="28" t="s">
        <v>34</v>
      </c>
      <c r="D23" s="29">
        <v>44146.0</v>
      </c>
      <c r="E23" s="30" t="s">
        <v>85</v>
      </c>
      <c r="F23" s="31">
        <f>320.91*12*7.118</f>
        <v>27410.84856</v>
      </c>
      <c r="G23" s="30" t="s">
        <v>45</v>
      </c>
      <c r="H23" s="30" t="s">
        <v>37</v>
      </c>
      <c r="I23" s="32">
        <v>44804.0</v>
      </c>
      <c r="J23" s="5"/>
      <c r="K23" s="30" t="s">
        <v>40</v>
      </c>
      <c r="L23" s="30" t="s">
        <v>46</v>
      </c>
      <c r="M23" s="30" t="s">
        <v>47</v>
      </c>
      <c r="N23" s="33" t="s">
        <v>86</v>
      </c>
      <c r="O23" s="30">
        <v>3.312799019E9</v>
      </c>
      <c r="P23" s="34" t="str">
        <f t="shared" si="1"/>
        <v>DARINKA UREÑA CASILLAS</v>
      </c>
      <c r="Q23" s="35" t="str">
        <f>IF(D23="","",VLOOKUP(MONTH(D23),Listas!$C$2:$D$14,2,0))</f>
        <v>Noviembre</v>
      </c>
      <c r="R23" s="36">
        <f t="shared" si="2"/>
        <v>2020</v>
      </c>
      <c r="S23" s="37">
        <f t="shared" si="3"/>
        <v>11</v>
      </c>
      <c r="T23" s="37">
        <f t="shared" si="4"/>
        <v>11</v>
      </c>
      <c r="U23" s="37">
        <f t="shared" si="5"/>
        <v>11</v>
      </c>
      <c r="V23" s="37">
        <f t="shared" si="6"/>
        <v>31</v>
      </c>
      <c r="W23" s="37">
        <f t="shared" si="7"/>
        <v>31</v>
      </c>
      <c r="X23" s="37">
        <f t="shared" si="8"/>
        <v>8</v>
      </c>
      <c r="Y23" s="37">
        <f t="shared" si="9"/>
        <v>11</v>
      </c>
      <c r="Z23" s="38">
        <f t="shared" si="10"/>
        <v>3</v>
      </c>
      <c r="AA23" s="39" t="str">
        <f t="shared" si="11"/>
        <v>-20 años</v>
      </c>
      <c r="AB23" s="43"/>
      <c r="AC23" s="40"/>
      <c r="AD23" s="43"/>
      <c r="AE23" s="43"/>
    </row>
    <row r="24" ht="15.75" customHeight="1">
      <c r="A24" s="26" t="s">
        <v>87</v>
      </c>
      <c r="B24" s="27" t="s">
        <v>56</v>
      </c>
      <c r="C24" s="28" t="s">
        <v>34</v>
      </c>
      <c r="D24" s="29">
        <v>44278.0</v>
      </c>
      <c r="E24" s="30" t="s">
        <v>88</v>
      </c>
      <c r="F24" s="31">
        <f>2143.12*7.118</f>
        <v>15254.72816</v>
      </c>
      <c r="G24" s="30" t="s">
        <v>45</v>
      </c>
      <c r="H24" s="30" t="s">
        <v>89</v>
      </c>
      <c r="I24" s="30" t="s">
        <v>90</v>
      </c>
      <c r="J24" s="5"/>
      <c r="K24" s="30" t="s">
        <v>54</v>
      </c>
      <c r="L24" s="30" t="s">
        <v>46</v>
      </c>
      <c r="M24" s="30" t="s">
        <v>47</v>
      </c>
      <c r="N24" s="33" t="s">
        <v>91</v>
      </c>
      <c r="O24" s="30">
        <v>3.353312319E9</v>
      </c>
      <c r="P24" s="34" t="str">
        <f t="shared" si="1"/>
        <v>DARINKA UREÑA CASILLAS</v>
      </c>
      <c r="Q24" s="35" t="str">
        <f>IF(D24="","",VLOOKUP(MONTH(D24),Listas!$C$2:$D$14,2,0))</f>
        <v>Marzo</v>
      </c>
      <c r="R24" s="36">
        <f t="shared" si="2"/>
        <v>2021</v>
      </c>
      <c r="S24" s="37">
        <f t="shared" si="3"/>
        <v>23</v>
      </c>
      <c r="T24" s="37">
        <f t="shared" si="4"/>
        <v>23</v>
      </c>
      <c r="U24" s="37">
        <f t="shared" si="5"/>
        <v>3</v>
      </c>
      <c r="V24" s="37">
        <f t="shared" si="6"/>
        <v>6</v>
      </c>
      <c r="W24" s="37">
        <f t="shared" si="7"/>
        <v>6</v>
      </c>
      <c r="X24" s="37">
        <f t="shared" si="8"/>
        <v>9</v>
      </c>
      <c r="Y24" s="37">
        <f t="shared" si="9"/>
        <v>3</v>
      </c>
      <c r="Z24" s="38">
        <f t="shared" si="10"/>
        <v>0</v>
      </c>
      <c r="AA24" s="39" t="str">
        <f t="shared" si="11"/>
        <v>-20 años</v>
      </c>
      <c r="AB24" s="43"/>
    </row>
    <row r="25" ht="15.75" customHeight="1">
      <c r="A25" s="26" t="s">
        <v>92</v>
      </c>
      <c r="B25" s="27" t="s">
        <v>56</v>
      </c>
      <c r="C25" s="28" t="s">
        <v>34</v>
      </c>
      <c r="D25" s="29">
        <v>44185.0</v>
      </c>
      <c r="E25" s="30" t="s">
        <v>93</v>
      </c>
      <c r="F25" s="31">
        <f>709.12*4*7.118</f>
        <v>20190.06464</v>
      </c>
      <c r="G25" s="30" t="s">
        <v>45</v>
      </c>
      <c r="H25" s="30" t="s">
        <v>94</v>
      </c>
      <c r="I25" s="32">
        <v>44596.0</v>
      </c>
      <c r="J25" s="5"/>
      <c r="K25" s="30" t="s">
        <v>54</v>
      </c>
      <c r="L25" s="30" t="s">
        <v>46</v>
      </c>
      <c r="M25" s="30" t="s">
        <v>47</v>
      </c>
      <c r="N25" s="33" t="s">
        <v>95</v>
      </c>
      <c r="O25" s="30">
        <v>3.314077658E9</v>
      </c>
      <c r="P25" s="34" t="str">
        <f t="shared" si="1"/>
        <v>DARINKA UREÑA CASILLAS</v>
      </c>
      <c r="Q25" s="35" t="str">
        <f>IF(D25="","",VLOOKUP(MONTH(D25),Listas!$C$2:$D$14,2,0))</f>
        <v>Diciembre</v>
      </c>
      <c r="R25" s="36">
        <f t="shared" si="2"/>
        <v>2020</v>
      </c>
      <c r="S25" s="37">
        <f t="shared" si="3"/>
        <v>20</v>
      </c>
      <c r="T25" s="37">
        <f t="shared" si="4"/>
        <v>20</v>
      </c>
      <c r="U25" s="37">
        <f t="shared" si="5"/>
        <v>12</v>
      </c>
      <c r="V25" s="37">
        <f t="shared" si="6"/>
        <v>4</v>
      </c>
      <c r="W25" s="37">
        <f t="shared" si="7"/>
        <v>4</v>
      </c>
      <c r="X25" s="37">
        <f t="shared" si="8"/>
        <v>2</v>
      </c>
      <c r="Y25" s="37">
        <f t="shared" si="9"/>
        <v>12</v>
      </c>
      <c r="Z25" s="38">
        <f t="shared" si="10"/>
        <v>4</v>
      </c>
      <c r="AA25" s="39" t="str">
        <f t="shared" si="11"/>
        <v>-20 años</v>
      </c>
      <c r="AB25" s="43"/>
      <c r="AD25" s="40"/>
      <c r="AE25" s="43"/>
    </row>
    <row r="26" ht="15.75" customHeight="1">
      <c r="A26" s="26" t="s">
        <v>96</v>
      </c>
      <c r="B26" s="27" t="s">
        <v>33</v>
      </c>
      <c r="C26" s="28" t="s">
        <v>34</v>
      </c>
      <c r="D26" s="29">
        <v>43878.0</v>
      </c>
      <c r="E26" s="30" t="s">
        <v>97</v>
      </c>
      <c r="F26" s="31">
        <f>163.05*12*7.118</f>
        <v>13927.0788</v>
      </c>
      <c r="G26" s="30" t="s">
        <v>45</v>
      </c>
      <c r="H26" s="30" t="s">
        <v>37</v>
      </c>
      <c r="I26" s="32">
        <v>44605.0</v>
      </c>
      <c r="J26" s="27"/>
      <c r="K26" s="30" t="s">
        <v>54</v>
      </c>
      <c r="L26" s="30" t="s">
        <v>46</v>
      </c>
      <c r="M26" s="30" t="s">
        <v>47</v>
      </c>
      <c r="N26" s="33" t="s">
        <v>98</v>
      </c>
      <c r="O26" s="30">
        <v>2.223716744E9</v>
      </c>
      <c r="P26" s="34" t="str">
        <f t="shared" si="1"/>
        <v>DARINKA UREÑA CASILLAS</v>
      </c>
      <c r="Q26" s="35" t="str">
        <f>IF(D26="","",VLOOKUP(MONTH(D26),Listas!$C$2:$D$14,2,0))</f>
        <v>Febrero</v>
      </c>
      <c r="R26" s="36">
        <f t="shared" si="2"/>
        <v>2020</v>
      </c>
      <c r="S26" s="37">
        <f t="shared" si="3"/>
        <v>17</v>
      </c>
      <c r="T26" s="37">
        <f t="shared" si="4"/>
        <v>17</v>
      </c>
      <c r="U26" s="37">
        <f t="shared" si="5"/>
        <v>2</v>
      </c>
      <c r="V26" s="37">
        <f t="shared" si="6"/>
        <v>13</v>
      </c>
      <c r="W26" s="37">
        <f t="shared" si="7"/>
        <v>13</v>
      </c>
      <c r="X26" s="37">
        <f t="shared" si="8"/>
        <v>2</v>
      </c>
      <c r="Y26" s="37">
        <f t="shared" si="9"/>
        <v>2</v>
      </c>
      <c r="Z26" s="38">
        <f t="shared" si="10"/>
        <v>4</v>
      </c>
      <c r="AA26" s="39" t="str">
        <f t="shared" si="11"/>
        <v>-20 años</v>
      </c>
      <c r="AB26" s="43"/>
      <c r="AD26" s="40"/>
      <c r="AE26" s="43"/>
    </row>
    <row r="27" ht="15.75" customHeight="1">
      <c r="A27" s="26" t="s">
        <v>99</v>
      </c>
      <c r="B27" s="27" t="s">
        <v>33</v>
      </c>
      <c r="C27" s="28" t="s">
        <v>34</v>
      </c>
      <c r="D27" s="29">
        <v>44859.0</v>
      </c>
      <c r="E27" s="30" t="s">
        <v>100</v>
      </c>
      <c r="F27" s="31">
        <f>7989.92*7.65</f>
        <v>61122.888</v>
      </c>
      <c r="G27" s="30" t="s">
        <v>45</v>
      </c>
      <c r="H27" s="30" t="s">
        <v>58</v>
      </c>
      <c r="I27" s="32">
        <v>45225.0</v>
      </c>
      <c r="J27" s="5"/>
      <c r="K27" s="30" t="s">
        <v>54</v>
      </c>
      <c r="L27" s="30" t="s">
        <v>46</v>
      </c>
      <c r="M27" s="30" t="s">
        <v>101</v>
      </c>
      <c r="N27" s="33" t="s">
        <v>102</v>
      </c>
      <c r="O27" s="30">
        <v>3.317070106E9</v>
      </c>
      <c r="P27" s="34" t="str">
        <f t="shared" si="1"/>
        <v>DARINKA UREÑA CASILLAS</v>
      </c>
      <c r="Q27" s="35" t="str">
        <f>IF(D27="","",VLOOKUP(MONTH(D27),Listas!$C$2:$D$14,2,0))</f>
        <v>Octubre</v>
      </c>
      <c r="R27" s="36">
        <f t="shared" si="2"/>
        <v>2022</v>
      </c>
      <c r="S27" s="37">
        <f t="shared" si="3"/>
        <v>25</v>
      </c>
      <c r="T27" s="37">
        <f t="shared" si="4"/>
        <v>25</v>
      </c>
      <c r="U27" s="37">
        <f t="shared" si="5"/>
        <v>10</v>
      </c>
      <c r="V27" s="37">
        <f t="shared" si="6"/>
        <v>26</v>
      </c>
      <c r="W27" s="37">
        <f t="shared" si="7"/>
        <v>26</v>
      </c>
      <c r="X27" s="37">
        <f t="shared" si="8"/>
        <v>10</v>
      </c>
      <c r="Y27" s="37">
        <f t="shared" si="9"/>
        <v>10</v>
      </c>
      <c r="Z27" s="38">
        <f t="shared" si="10"/>
        <v>2</v>
      </c>
      <c r="AA27" s="39" t="str">
        <f t="shared" si="11"/>
        <v>-20 años</v>
      </c>
      <c r="AB27" s="43"/>
    </row>
    <row r="28" ht="15.75" customHeight="1">
      <c r="A28" s="26" t="s">
        <v>99</v>
      </c>
      <c r="B28" s="27" t="s">
        <v>33</v>
      </c>
      <c r="C28" s="28" t="s">
        <v>34</v>
      </c>
      <c r="D28" s="29">
        <v>44859.0</v>
      </c>
      <c r="E28" s="30" t="s">
        <v>103</v>
      </c>
      <c r="F28" s="31">
        <f>3187.51*7.65</f>
        <v>24384.4515</v>
      </c>
      <c r="G28" s="30" t="s">
        <v>45</v>
      </c>
      <c r="H28" s="30" t="s">
        <v>58</v>
      </c>
      <c r="I28" s="32">
        <v>45225.0</v>
      </c>
      <c r="J28" s="5"/>
      <c r="K28" s="30" t="s">
        <v>54</v>
      </c>
      <c r="L28" s="30" t="s">
        <v>46</v>
      </c>
      <c r="M28" s="30" t="s">
        <v>47</v>
      </c>
      <c r="N28" s="33" t="s">
        <v>102</v>
      </c>
      <c r="O28" s="30">
        <v>3.317070106E9</v>
      </c>
      <c r="P28" s="34" t="str">
        <f t="shared" si="1"/>
        <v>DARINKA UREÑA CASILLAS</v>
      </c>
      <c r="Q28" s="35" t="str">
        <f>IF(D28="","",VLOOKUP(MONTH(D28),Listas!$C$2:$D$14,2,0))</f>
        <v>Octubre</v>
      </c>
      <c r="R28" s="36">
        <f t="shared" si="2"/>
        <v>2022</v>
      </c>
      <c r="S28" s="37">
        <f t="shared" si="3"/>
        <v>25</v>
      </c>
      <c r="T28" s="37">
        <f t="shared" si="4"/>
        <v>25</v>
      </c>
      <c r="U28" s="37">
        <f t="shared" si="5"/>
        <v>10</v>
      </c>
      <c r="V28" s="37">
        <f t="shared" si="6"/>
        <v>26</v>
      </c>
      <c r="W28" s="37">
        <f t="shared" si="7"/>
        <v>26</v>
      </c>
      <c r="X28" s="37">
        <f t="shared" si="8"/>
        <v>10</v>
      </c>
      <c r="Y28" s="37">
        <f t="shared" si="9"/>
        <v>10</v>
      </c>
      <c r="Z28" s="38">
        <f t="shared" si="10"/>
        <v>2</v>
      </c>
      <c r="AA28" s="39" t="str">
        <f t="shared" si="11"/>
        <v>-20 años</v>
      </c>
      <c r="AB28" s="43"/>
    </row>
    <row r="29" ht="15.75" customHeight="1">
      <c r="A29" s="26" t="s">
        <v>104</v>
      </c>
      <c r="B29" s="27" t="s">
        <v>56</v>
      </c>
      <c r="C29" s="28" t="s">
        <v>34</v>
      </c>
      <c r="D29" s="29">
        <v>44104.0</v>
      </c>
      <c r="E29" s="30" t="s">
        <v>105</v>
      </c>
      <c r="F29" s="31">
        <f>3665.66*7.118</f>
        <v>26092.16788</v>
      </c>
      <c r="G29" s="30" t="s">
        <v>45</v>
      </c>
      <c r="H29" s="30" t="s">
        <v>58</v>
      </c>
      <c r="I29" s="30" t="s">
        <v>106</v>
      </c>
      <c r="J29" s="5"/>
      <c r="K29" s="30" t="s">
        <v>54</v>
      </c>
      <c r="L29" s="30" t="s">
        <v>46</v>
      </c>
      <c r="M29" s="30" t="s">
        <v>47</v>
      </c>
      <c r="N29" s="33" t="s">
        <v>107</v>
      </c>
      <c r="O29" s="30">
        <v>3.313875424E9</v>
      </c>
      <c r="P29" s="34" t="str">
        <f t="shared" si="1"/>
        <v>DARINKA UREÑA CASILLAS</v>
      </c>
      <c r="Q29" s="35" t="str">
        <f>IF(D29="","",VLOOKUP(MONTH(D29),Listas!$C$2:$D$14,2,0))</f>
        <v>Septiembre</v>
      </c>
      <c r="R29" s="36">
        <f t="shared" si="2"/>
        <v>2020</v>
      </c>
      <c r="S29" s="37">
        <f t="shared" si="3"/>
        <v>30</v>
      </c>
      <c r="T29" s="37">
        <f t="shared" si="4"/>
        <v>30</v>
      </c>
      <c r="U29" s="37">
        <f t="shared" si="5"/>
        <v>9</v>
      </c>
      <c r="V29" s="37">
        <f t="shared" si="6"/>
        <v>17</v>
      </c>
      <c r="W29" s="37">
        <f t="shared" si="7"/>
        <v>17</v>
      </c>
      <c r="X29" s="37">
        <f t="shared" si="8"/>
        <v>9</v>
      </c>
      <c r="Y29" s="37">
        <f t="shared" si="9"/>
        <v>9</v>
      </c>
      <c r="Z29" s="38">
        <f t="shared" si="10"/>
        <v>0</v>
      </c>
      <c r="AA29" s="39" t="str">
        <f t="shared" si="11"/>
        <v>-20 años</v>
      </c>
      <c r="AB29" s="43"/>
    </row>
    <row r="30" ht="15.75" customHeight="1">
      <c r="A30" s="26" t="s">
        <v>108</v>
      </c>
      <c r="B30" s="27" t="s">
        <v>56</v>
      </c>
      <c r="C30" s="28" t="s">
        <v>34</v>
      </c>
      <c r="D30" s="29">
        <v>44930.0</v>
      </c>
      <c r="E30" s="30" t="s">
        <v>109</v>
      </c>
      <c r="F30" s="46">
        <f>8616.38*4</f>
        <v>34465.52</v>
      </c>
      <c r="G30" s="30" t="s">
        <v>36</v>
      </c>
      <c r="H30" s="30" t="s">
        <v>94</v>
      </c>
      <c r="I30" s="47">
        <v>45131.0</v>
      </c>
      <c r="J30" s="5"/>
      <c r="K30" s="27" t="s">
        <v>110</v>
      </c>
      <c r="L30" s="45" t="s">
        <v>41</v>
      </c>
      <c r="M30" s="45" t="s">
        <v>42</v>
      </c>
      <c r="N30" s="33" t="s">
        <v>111</v>
      </c>
      <c r="O30" s="30">
        <v>3.314239602E9</v>
      </c>
      <c r="P30" s="34" t="str">
        <f t="shared" si="1"/>
        <v>DARINKA UREÑA CASILLAS</v>
      </c>
      <c r="Q30" s="35" t="str">
        <f>IF(D30="","",VLOOKUP(MONTH(D30),Listas!$C$2:$D$14,2,0))</f>
        <v>Enero</v>
      </c>
      <c r="R30" s="36">
        <f t="shared" si="2"/>
        <v>2023</v>
      </c>
      <c r="S30" s="37">
        <f t="shared" si="3"/>
        <v>4</v>
      </c>
      <c r="T30" s="37">
        <f t="shared" si="4"/>
        <v>4</v>
      </c>
      <c r="U30" s="37">
        <f t="shared" si="5"/>
        <v>1</v>
      </c>
      <c r="V30" s="37">
        <f t="shared" si="6"/>
        <v>24</v>
      </c>
      <c r="W30" s="37">
        <f t="shared" si="7"/>
        <v>24</v>
      </c>
      <c r="X30" s="37">
        <f t="shared" si="8"/>
        <v>7</v>
      </c>
      <c r="Y30" s="37">
        <f t="shared" si="9"/>
        <v>1</v>
      </c>
      <c r="Z30" s="38">
        <f t="shared" si="10"/>
        <v>2</v>
      </c>
      <c r="AA30" s="39" t="str">
        <f t="shared" si="11"/>
        <v>-20 años</v>
      </c>
      <c r="AB30" s="43"/>
      <c r="AD30" s="41"/>
    </row>
    <row r="31" ht="15.75" customHeight="1">
      <c r="A31" s="26" t="s">
        <v>112</v>
      </c>
      <c r="B31" s="27" t="s">
        <v>56</v>
      </c>
      <c r="C31" s="28" t="s">
        <v>34</v>
      </c>
      <c r="D31" s="29">
        <v>44632.0</v>
      </c>
      <c r="E31" s="30" t="s">
        <v>113</v>
      </c>
      <c r="F31" s="46">
        <v>36597.6746</v>
      </c>
      <c r="G31" s="30" t="s">
        <v>45</v>
      </c>
      <c r="H31" s="30" t="s">
        <v>58</v>
      </c>
      <c r="I31" s="48">
        <v>44938.0</v>
      </c>
      <c r="J31" s="5"/>
      <c r="K31" s="27" t="s">
        <v>40</v>
      </c>
      <c r="L31" s="45" t="s">
        <v>46</v>
      </c>
      <c r="M31" s="45" t="s">
        <v>47</v>
      </c>
      <c r="N31" s="33" t="s">
        <v>114</v>
      </c>
      <c r="O31" s="30">
        <v>3.33445368E9</v>
      </c>
      <c r="P31" s="34" t="str">
        <f t="shared" si="1"/>
        <v>DARINKA UREÑA CASILLAS</v>
      </c>
      <c r="Q31" s="35" t="str">
        <f>IF(D31="","",VLOOKUP(MONTH(D31),Listas!$C$2:$D$14,2,0))</f>
        <v>Marzo</v>
      </c>
      <c r="R31" s="36">
        <f t="shared" si="2"/>
        <v>2022</v>
      </c>
      <c r="S31" s="37">
        <f t="shared" si="3"/>
        <v>12</v>
      </c>
      <c r="T31" s="37">
        <f t="shared" si="4"/>
        <v>12</v>
      </c>
      <c r="U31" s="37">
        <f t="shared" si="5"/>
        <v>3</v>
      </c>
      <c r="V31" s="37">
        <f t="shared" si="6"/>
        <v>12</v>
      </c>
      <c r="W31" s="37">
        <f t="shared" si="7"/>
        <v>12</v>
      </c>
      <c r="X31" s="37">
        <f t="shared" si="8"/>
        <v>1</v>
      </c>
      <c r="Y31" s="37">
        <f t="shared" si="9"/>
        <v>3</v>
      </c>
      <c r="Z31" s="38">
        <f t="shared" si="10"/>
        <v>3</v>
      </c>
      <c r="AA31" s="39" t="str">
        <f t="shared" si="11"/>
        <v>-20 años</v>
      </c>
      <c r="AB31" s="43"/>
      <c r="AD31" s="41"/>
    </row>
    <row r="32" ht="15.75" customHeight="1">
      <c r="A32" s="26" t="s">
        <v>115</v>
      </c>
      <c r="B32" s="27" t="s">
        <v>56</v>
      </c>
      <c r="C32" s="28" t="s">
        <v>34</v>
      </c>
      <c r="D32" s="29">
        <v>44773.0</v>
      </c>
      <c r="E32" s="30" t="s">
        <v>116</v>
      </c>
      <c r="F32" s="31">
        <f>3240*7.65</f>
        <v>24786</v>
      </c>
      <c r="G32" s="27" t="s">
        <v>45</v>
      </c>
      <c r="H32" s="30" t="s">
        <v>58</v>
      </c>
      <c r="I32" s="47">
        <v>44989.0</v>
      </c>
      <c r="J32" s="5"/>
      <c r="K32" s="27" t="s">
        <v>54</v>
      </c>
      <c r="L32" s="45" t="s">
        <v>46</v>
      </c>
      <c r="M32" s="45" t="s">
        <v>117</v>
      </c>
      <c r="N32" s="33" t="s">
        <v>118</v>
      </c>
      <c r="O32" s="30">
        <v>3.314537802E9</v>
      </c>
      <c r="P32" s="34" t="str">
        <f t="shared" si="1"/>
        <v>DARINKA UREÑA CASILLAS</v>
      </c>
      <c r="Q32" s="35" t="str">
        <f>IF(D32="","",VLOOKUP(MONTH(D32),Listas!$C$2:$D$14,2,0))</f>
        <v>Julio</v>
      </c>
      <c r="R32" s="36">
        <f t="shared" si="2"/>
        <v>2022</v>
      </c>
      <c r="S32" s="37">
        <f t="shared" si="3"/>
        <v>31</v>
      </c>
      <c r="T32" s="37">
        <f t="shared" si="4"/>
        <v>31</v>
      </c>
      <c r="U32" s="37">
        <f t="shared" si="5"/>
        <v>7</v>
      </c>
      <c r="V32" s="37">
        <f t="shared" si="6"/>
        <v>4</v>
      </c>
      <c r="W32" s="37">
        <f t="shared" si="7"/>
        <v>4</v>
      </c>
      <c r="X32" s="37">
        <f t="shared" si="8"/>
        <v>3</v>
      </c>
      <c r="Y32" s="37">
        <f t="shared" si="9"/>
        <v>7</v>
      </c>
      <c r="Z32" s="38">
        <f t="shared" si="10"/>
        <v>3</v>
      </c>
      <c r="AA32" s="39" t="str">
        <f t="shared" si="11"/>
        <v>-20 años</v>
      </c>
      <c r="AD32" s="41"/>
    </row>
    <row r="33" ht="15.75" customHeight="1">
      <c r="A33" s="26" t="s">
        <v>119</v>
      </c>
      <c r="B33" s="27" t="s">
        <v>33</v>
      </c>
      <c r="C33" s="28" t="s">
        <v>34</v>
      </c>
      <c r="D33" s="29">
        <v>44677.0</v>
      </c>
      <c r="E33" s="30" t="s">
        <v>120</v>
      </c>
      <c r="F33" s="31">
        <f>441.69*12*7.31</f>
        <v>38745.0468</v>
      </c>
      <c r="G33" s="27" t="s">
        <v>45</v>
      </c>
      <c r="H33" s="30" t="s">
        <v>37</v>
      </c>
      <c r="I33" s="47">
        <v>45101.0</v>
      </c>
      <c r="J33" s="5"/>
      <c r="K33" s="27" t="s">
        <v>54</v>
      </c>
      <c r="L33" s="45" t="s">
        <v>46</v>
      </c>
      <c r="M33" s="45" t="s">
        <v>47</v>
      </c>
      <c r="N33" s="33" t="s">
        <v>121</v>
      </c>
      <c r="O33" s="30">
        <v>9.985779227E9</v>
      </c>
      <c r="P33" s="34" t="str">
        <f t="shared" si="1"/>
        <v>DARINKA UREÑA CASILLAS</v>
      </c>
      <c r="Q33" s="35" t="str">
        <f>IF(D33="","",VLOOKUP(MONTH(D33),Listas!$C$2:$D$14,2,0))</f>
        <v>Abril</v>
      </c>
      <c r="R33" s="36">
        <f t="shared" si="2"/>
        <v>2022</v>
      </c>
      <c r="S33" s="37">
        <f t="shared" si="3"/>
        <v>26</v>
      </c>
      <c r="T33" s="37">
        <f t="shared" si="4"/>
        <v>26</v>
      </c>
      <c r="U33" s="37">
        <f t="shared" si="5"/>
        <v>4</v>
      </c>
      <c r="V33" s="37">
        <f t="shared" si="6"/>
        <v>24</v>
      </c>
      <c r="W33" s="37">
        <f t="shared" si="7"/>
        <v>24</v>
      </c>
      <c r="X33" s="37">
        <f t="shared" si="8"/>
        <v>6</v>
      </c>
      <c r="Y33" s="37">
        <f t="shared" si="9"/>
        <v>4</v>
      </c>
      <c r="Z33" s="38">
        <f t="shared" si="10"/>
        <v>2</v>
      </c>
      <c r="AA33" s="39" t="str">
        <f t="shared" si="11"/>
        <v>-20 años</v>
      </c>
      <c r="AD33" s="41"/>
    </row>
    <row r="34" ht="15.75" customHeight="1">
      <c r="A34" s="26" t="s">
        <v>122</v>
      </c>
      <c r="B34" s="27" t="s">
        <v>33</v>
      </c>
      <c r="C34" s="28" t="s">
        <v>34</v>
      </c>
      <c r="D34" s="29">
        <v>44389.0</v>
      </c>
      <c r="E34" s="30" t="s">
        <v>123</v>
      </c>
      <c r="F34" s="31">
        <f>793.59*12*7.118</f>
        <v>67785.28344</v>
      </c>
      <c r="G34" s="30" t="s">
        <v>45</v>
      </c>
      <c r="H34" s="30" t="s">
        <v>37</v>
      </c>
      <c r="I34" s="30" t="s">
        <v>124</v>
      </c>
      <c r="J34" s="5"/>
      <c r="K34" s="30" t="s">
        <v>40</v>
      </c>
      <c r="L34" s="30" t="s">
        <v>46</v>
      </c>
      <c r="M34" s="30" t="s">
        <v>117</v>
      </c>
      <c r="N34" s="33" t="s">
        <v>125</v>
      </c>
      <c r="O34" s="30">
        <v>9.84130928E9</v>
      </c>
      <c r="P34" s="34" t="str">
        <f t="shared" si="1"/>
        <v>DARINKA UREÑA CASILLAS</v>
      </c>
      <c r="Q34" s="35" t="str">
        <f>IF(D34="","",VLOOKUP(MONTH(D34),Listas!$C$2:$D$14,2,0))</f>
        <v>Julio</v>
      </c>
      <c r="R34" s="36">
        <f t="shared" si="2"/>
        <v>2021</v>
      </c>
      <c r="S34" s="37">
        <f t="shared" si="3"/>
        <v>12</v>
      </c>
      <c r="T34" s="37">
        <f t="shared" si="4"/>
        <v>12</v>
      </c>
      <c r="U34" s="37">
        <f t="shared" si="5"/>
        <v>7</v>
      </c>
      <c r="V34" s="37">
        <f t="shared" si="6"/>
        <v>12</v>
      </c>
      <c r="W34" s="37">
        <f t="shared" si="7"/>
        <v>12</v>
      </c>
      <c r="X34" s="37">
        <f t="shared" si="8"/>
        <v>9</v>
      </c>
      <c r="Y34" s="37">
        <f t="shared" si="9"/>
        <v>7</v>
      </c>
      <c r="Z34" s="38">
        <f t="shared" si="10"/>
        <v>0</v>
      </c>
      <c r="AA34" s="39" t="str">
        <f t="shared" si="11"/>
        <v>-20 años</v>
      </c>
    </row>
    <row r="35" ht="15.75" customHeight="1">
      <c r="A35" s="26" t="s">
        <v>126</v>
      </c>
      <c r="B35" s="27" t="s">
        <v>33</v>
      </c>
      <c r="C35" s="28" t="s">
        <v>34</v>
      </c>
      <c r="D35" s="29">
        <v>44646.0</v>
      </c>
      <c r="E35" s="30" t="s">
        <v>127</v>
      </c>
      <c r="F35" s="46">
        <f>228.16*12*7.24</f>
        <v>19822.5408</v>
      </c>
      <c r="G35" s="30" t="s">
        <v>45</v>
      </c>
      <c r="H35" s="30" t="s">
        <v>37</v>
      </c>
      <c r="I35" s="32">
        <v>44810.0</v>
      </c>
      <c r="J35" s="5"/>
      <c r="K35" s="27" t="s">
        <v>54</v>
      </c>
      <c r="L35" s="45" t="s">
        <v>46</v>
      </c>
      <c r="M35" s="45" t="s">
        <v>47</v>
      </c>
      <c r="N35" s="33" t="s">
        <v>128</v>
      </c>
      <c r="O35" s="30">
        <v>3.313033649E9</v>
      </c>
      <c r="P35" s="34" t="str">
        <f t="shared" si="1"/>
        <v>DARINKA UREÑA CASILLAS</v>
      </c>
      <c r="Q35" s="35" t="str">
        <f>IF(D35="","",VLOOKUP(MONTH(D35),Listas!$C$2:$D$14,2,0))</f>
        <v>Marzo</v>
      </c>
      <c r="R35" s="36">
        <f t="shared" si="2"/>
        <v>2022</v>
      </c>
      <c r="S35" s="37">
        <f t="shared" si="3"/>
        <v>26</v>
      </c>
      <c r="T35" s="37">
        <f t="shared" si="4"/>
        <v>26</v>
      </c>
      <c r="U35" s="37">
        <f t="shared" si="5"/>
        <v>3</v>
      </c>
      <c r="V35" s="37">
        <f t="shared" si="6"/>
        <v>6</v>
      </c>
      <c r="W35" s="37">
        <f t="shared" si="7"/>
        <v>6</v>
      </c>
      <c r="X35" s="37">
        <f t="shared" si="8"/>
        <v>9</v>
      </c>
      <c r="Y35" s="37">
        <f t="shared" si="9"/>
        <v>3</v>
      </c>
      <c r="Z35" s="38">
        <f t="shared" si="10"/>
        <v>3</v>
      </c>
      <c r="AA35" s="39" t="str">
        <f t="shared" si="11"/>
        <v>-20 años</v>
      </c>
      <c r="AD35" s="40"/>
      <c r="AE35" s="43"/>
      <c r="AF35" s="43"/>
    </row>
    <row r="36" ht="15.75" customHeight="1">
      <c r="A36" s="26" t="s">
        <v>129</v>
      </c>
      <c r="B36" s="27" t="s">
        <v>33</v>
      </c>
      <c r="C36" s="28" t="s">
        <v>34</v>
      </c>
      <c r="D36" s="29">
        <v>44831.0</v>
      </c>
      <c r="E36" s="30" t="s">
        <v>130</v>
      </c>
      <c r="F36" s="31">
        <f>2540.52*2*7.65</f>
        <v>38869.956</v>
      </c>
      <c r="G36" s="30" t="s">
        <v>45</v>
      </c>
      <c r="H36" s="30" t="s">
        <v>50</v>
      </c>
      <c r="I36" s="32">
        <v>45137.0</v>
      </c>
      <c r="J36" s="5"/>
      <c r="K36" s="30" t="s">
        <v>40</v>
      </c>
      <c r="L36" s="30" t="s">
        <v>46</v>
      </c>
      <c r="M36" s="30" t="s">
        <v>47</v>
      </c>
      <c r="N36" s="33" t="s">
        <v>131</v>
      </c>
      <c r="O36" s="30">
        <v>3.316696345E9</v>
      </c>
      <c r="P36" s="34" t="str">
        <f t="shared" si="1"/>
        <v>DARINKA UREÑA CASILLAS</v>
      </c>
      <c r="Q36" s="35" t="str">
        <f>IF(D36="","",VLOOKUP(MONTH(D36),Listas!$C$2:$D$14,2,0))</f>
        <v>Septiembre</v>
      </c>
      <c r="R36" s="36">
        <f t="shared" si="2"/>
        <v>2022</v>
      </c>
      <c r="S36" s="37">
        <f t="shared" si="3"/>
        <v>27</v>
      </c>
      <c r="T36" s="37">
        <f t="shared" si="4"/>
        <v>27</v>
      </c>
      <c r="U36" s="37">
        <f t="shared" si="5"/>
        <v>9</v>
      </c>
      <c r="V36" s="37">
        <f t="shared" si="6"/>
        <v>30</v>
      </c>
      <c r="W36" s="37">
        <f t="shared" si="7"/>
        <v>30</v>
      </c>
      <c r="X36" s="37">
        <f t="shared" si="8"/>
        <v>7</v>
      </c>
      <c r="Y36" s="37">
        <f t="shared" si="9"/>
        <v>9</v>
      </c>
      <c r="Z36" s="38">
        <f t="shared" si="10"/>
        <v>2</v>
      </c>
      <c r="AA36" s="39" t="str">
        <f t="shared" si="11"/>
        <v>-20 años</v>
      </c>
      <c r="AD36" s="40"/>
      <c r="AE36" s="40"/>
      <c r="AF36" s="49"/>
    </row>
    <row r="37" ht="15.75" customHeight="1">
      <c r="A37" s="26" t="s">
        <v>132</v>
      </c>
      <c r="B37" s="27" t="s">
        <v>33</v>
      </c>
      <c r="C37" s="28" t="s">
        <v>34</v>
      </c>
      <c r="D37" s="29">
        <v>44560.0</v>
      </c>
      <c r="E37" s="30" t="s">
        <v>133</v>
      </c>
      <c r="F37" s="31">
        <f>4581.86*4</f>
        <v>18327.44</v>
      </c>
      <c r="G37" s="30" t="s">
        <v>36</v>
      </c>
      <c r="H37" s="30" t="s">
        <v>94</v>
      </c>
      <c r="I37" s="32">
        <v>44713.0</v>
      </c>
      <c r="J37" s="5"/>
      <c r="K37" s="30" t="s">
        <v>40</v>
      </c>
      <c r="L37" s="30" t="s">
        <v>41</v>
      </c>
      <c r="M37" s="30" t="s">
        <v>42</v>
      </c>
      <c r="N37" s="33" t="s">
        <v>134</v>
      </c>
      <c r="O37" s="30">
        <v>3.324962545E9</v>
      </c>
      <c r="P37" s="34" t="str">
        <f t="shared" si="1"/>
        <v>DARINKA UREÑA CASILLAS</v>
      </c>
      <c r="Q37" s="35" t="str">
        <f>IF(D37="","",VLOOKUP(MONTH(D37),Listas!$C$2:$D$14,2,0))</f>
        <v>Diciembre</v>
      </c>
      <c r="R37" s="36">
        <f t="shared" si="2"/>
        <v>2021</v>
      </c>
      <c r="S37" s="37">
        <f t="shared" si="3"/>
        <v>30</v>
      </c>
      <c r="T37" s="37">
        <f t="shared" si="4"/>
        <v>30</v>
      </c>
      <c r="U37" s="37">
        <f t="shared" si="5"/>
        <v>12</v>
      </c>
      <c r="V37" s="37">
        <f t="shared" si="6"/>
        <v>1</v>
      </c>
      <c r="W37" s="37">
        <f t="shared" si="7"/>
        <v>1</v>
      </c>
      <c r="X37" s="37">
        <f t="shared" si="8"/>
        <v>6</v>
      </c>
      <c r="Y37" s="37">
        <f t="shared" si="9"/>
        <v>12</v>
      </c>
      <c r="Z37" s="38">
        <f t="shared" si="10"/>
        <v>3</v>
      </c>
      <c r="AA37" s="39" t="str">
        <f t="shared" si="11"/>
        <v>-20 años</v>
      </c>
      <c r="AD37" s="40"/>
      <c r="AE37" s="40"/>
      <c r="AF37" s="49"/>
    </row>
    <row r="38" ht="15.75" customHeight="1">
      <c r="A38" s="26" t="s">
        <v>135</v>
      </c>
      <c r="B38" s="27" t="s">
        <v>56</v>
      </c>
      <c r="C38" s="28" t="s">
        <v>34</v>
      </c>
      <c r="D38" s="29">
        <v>44333.0</v>
      </c>
      <c r="E38" s="30" t="s">
        <v>136</v>
      </c>
      <c r="F38" s="31">
        <f>2266.93*2*7.118</f>
        <v>32272.01548</v>
      </c>
      <c r="G38" s="30" t="s">
        <v>45</v>
      </c>
      <c r="H38" s="30" t="s">
        <v>50</v>
      </c>
      <c r="I38" s="32">
        <v>44877.0</v>
      </c>
      <c r="J38" s="5"/>
      <c r="K38" s="30" t="s">
        <v>54</v>
      </c>
      <c r="L38" s="30" t="s">
        <v>46</v>
      </c>
      <c r="M38" s="30" t="s">
        <v>47</v>
      </c>
      <c r="N38" s="33" t="s">
        <v>137</v>
      </c>
      <c r="O38" s="30">
        <v>3.311741926E9</v>
      </c>
      <c r="P38" s="34" t="str">
        <f t="shared" si="1"/>
        <v>DARINKA UREÑA CASILLAS</v>
      </c>
      <c r="Q38" s="35" t="str">
        <f>IF(D38="","",VLOOKUP(MONTH(D38),Listas!$C$2:$D$14,2,0))</f>
        <v>Mayo</v>
      </c>
      <c r="R38" s="36">
        <f t="shared" si="2"/>
        <v>2021</v>
      </c>
      <c r="S38" s="37">
        <f t="shared" si="3"/>
        <v>17</v>
      </c>
      <c r="T38" s="37">
        <f t="shared" si="4"/>
        <v>17</v>
      </c>
      <c r="U38" s="37">
        <f t="shared" si="5"/>
        <v>5</v>
      </c>
      <c r="V38" s="37">
        <f t="shared" si="6"/>
        <v>12</v>
      </c>
      <c r="W38" s="37">
        <f t="shared" si="7"/>
        <v>12</v>
      </c>
      <c r="X38" s="37">
        <f t="shared" si="8"/>
        <v>11</v>
      </c>
      <c r="Y38" s="37">
        <f t="shared" si="9"/>
        <v>5</v>
      </c>
      <c r="Z38" s="38">
        <f t="shared" si="10"/>
        <v>3</v>
      </c>
      <c r="AA38" s="39" t="str">
        <f t="shared" si="11"/>
        <v>-20 años</v>
      </c>
      <c r="AD38" s="40"/>
      <c r="AE38" s="40"/>
      <c r="AF38" s="49"/>
    </row>
    <row r="39" ht="15.75" customHeight="1">
      <c r="A39" s="26" t="s">
        <v>138</v>
      </c>
      <c r="B39" s="27" t="s">
        <v>33</v>
      </c>
      <c r="C39" s="28" t="s">
        <v>34</v>
      </c>
      <c r="D39" s="29">
        <v>44728.0</v>
      </c>
      <c r="E39" s="30" t="s">
        <v>139</v>
      </c>
      <c r="F39" s="31">
        <f>3194.49*4*7.41</f>
        <v>94684.6836</v>
      </c>
      <c r="G39" s="30" t="s">
        <v>45</v>
      </c>
      <c r="H39" s="30" t="s">
        <v>94</v>
      </c>
      <c r="I39" s="32">
        <v>45163.0</v>
      </c>
      <c r="J39" s="5"/>
      <c r="K39" s="27" t="s">
        <v>40</v>
      </c>
      <c r="L39" s="45" t="s">
        <v>46</v>
      </c>
      <c r="M39" s="45" t="s">
        <v>47</v>
      </c>
      <c r="N39" s="33" t="s">
        <v>140</v>
      </c>
      <c r="O39" s="30">
        <v>3.311249925E9</v>
      </c>
      <c r="P39" s="34" t="str">
        <f t="shared" si="1"/>
        <v>DARINKA UREÑA CASILLAS</v>
      </c>
      <c r="Q39" s="35" t="str">
        <f>IF(D39="","",VLOOKUP(MONTH(D39),Listas!$C$2:$D$14,2,0))</f>
        <v>Junio</v>
      </c>
      <c r="R39" s="36">
        <f t="shared" si="2"/>
        <v>2022</v>
      </c>
      <c r="S39" s="37">
        <f t="shared" si="3"/>
        <v>16</v>
      </c>
      <c r="T39" s="37">
        <f t="shared" si="4"/>
        <v>16</v>
      </c>
      <c r="U39" s="37">
        <f t="shared" si="5"/>
        <v>6</v>
      </c>
      <c r="V39" s="37">
        <f t="shared" si="6"/>
        <v>25</v>
      </c>
      <c r="W39" s="37">
        <f t="shared" si="7"/>
        <v>25</v>
      </c>
      <c r="X39" s="37">
        <f t="shared" si="8"/>
        <v>8</v>
      </c>
      <c r="Y39" s="37">
        <f t="shared" si="9"/>
        <v>6</v>
      </c>
      <c r="Z39" s="38">
        <f t="shared" si="10"/>
        <v>2</v>
      </c>
      <c r="AA39" s="39" t="str">
        <f t="shared" si="11"/>
        <v>-20 años</v>
      </c>
      <c r="AD39" s="40"/>
      <c r="AE39" s="43"/>
      <c r="AF39" s="43"/>
    </row>
    <row r="40" ht="15.75" customHeight="1">
      <c r="A40" s="26" t="s">
        <v>138</v>
      </c>
      <c r="B40" s="27" t="s">
        <v>56</v>
      </c>
      <c r="C40" s="28" t="s">
        <v>34</v>
      </c>
      <c r="D40" s="29">
        <v>44755.0</v>
      </c>
      <c r="E40" s="30" t="s">
        <v>141</v>
      </c>
      <c r="F40" s="31">
        <f>1091.28*2*7.41</f>
        <v>16172.7696</v>
      </c>
      <c r="G40" s="30" t="s">
        <v>45</v>
      </c>
      <c r="H40" s="30" t="s">
        <v>50</v>
      </c>
      <c r="I40" s="32">
        <v>45127.0</v>
      </c>
      <c r="J40" s="5"/>
      <c r="K40" s="27" t="s">
        <v>40</v>
      </c>
      <c r="L40" s="45" t="s">
        <v>46</v>
      </c>
      <c r="M40" s="30" t="s">
        <v>47</v>
      </c>
      <c r="N40" s="33" t="s">
        <v>140</v>
      </c>
      <c r="O40" s="30">
        <v>3.311249925E9</v>
      </c>
      <c r="P40" s="34" t="str">
        <f t="shared" si="1"/>
        <v>DARINKA UREÑA CASILLAS</v>
      </c>
      <c r="Q40" s="35" t="str">
        <f>IF(D40="","",VLOOKUP(MONTH(D40),Listas!$C$2:$D$14,2,0))</f>
        <v>Julio</v>
      </c>
      <c r="R40" s="36">
        <f t="shared" si="2"/>
        <v>2022</v>
      </c>
      <c r="S40" s="37">
        <f t="shared" si="3"/>
        <v>13</v>
      </c>
      <c r="T40" s="37">
        <f t="shared" si="4"/>
        <v>13</v>
      </c>
      <c r="U40" s="37">
        <f t="shared" si="5"/>
        <v>7</v>
      </c>
      <c r="V40" s="37">
        <f t="shared" si="6"/>
        <v>20</v>
      </c>
      <c r="W40" s="37">
        <f t="shared" si="7"/>
        <v>20</v>
      </c>
      <c r="X40" s="37">
        <f t="shared" si="8"/>
        <v>7</v>
      </c>
      <c r="Y40" s="37">
        <f t="shared" si="9"/>
        <v>7</v>
      </c>
      <c r="Z40" s="38">
        <f t="shared" si="10"/>
        <v>2</v>
      </c>
      <c r="AA40" s="39" t="str">
        <f t="shared" si="11"/>
        <v>-20 años</v>
      </c>
    </row>
    <row r="41" ht="15.75" customHeight="1">
      <c r="A41" s="26" t="s">
        <v>142</v>
      </c>
      <c r="B41" s="27" t="s">
        <v>56</v>
      </c>
      <c r="C41" s="28" t="s">
        <v>34</v>
      </c>
      <c r="D41" s="29">
        <v>44826.0</v>
      </c>
      <c r="E41" s="30" t="s">
        <v>143</v>
      </c>
      <c r="F41" s="44">
        <f>425.4*7.65*12</f>
        <v>39051.72</v>
      </c>
      <c r="G41" s="30" t="s">
        <v>45</v>
      </c>
      <c r="H41" s="30" t="s">
        <v>37</v>
      </c>
      <c r="I41" s="32">
        <v>45276.0</v>
      </c>
      <c r="J41" s="5"/>
      <c r="K41" s="27" t="s">
        <v>54</v>
      </c>
      <c r="L41" s="45" t="s">
        <v>46</v>
      </c>
      <c r="M41" s="45" t="s">
        <v>47</v>
      </c>
      <c r="N41" s="33" t="s">
        <v>144</v>
      </c>
      <c r="O41" s="30">
        <v>3.321643018E9</v>
      </c>
      <c r="P41" s="34" t="str">
        <f t="shared" si="1"/>
        <v>DARINKA UREÑA CASILLAS</v>
      </c>
      <c r="Q41" s="35" t="str">
        <f>IF(D41="","",VLOOKUP(MONTH(D41),Listas!$C$2:$D$14,2,0))</f>
        <v>Septiembre</v>
      </c>
      <c r="R41" s="36">
        <f t="shared" si="2"/>
        <v>2022</v>
      </c>
      <c r="S41" s="37">
        <f t="shared" si="3"/>
        <v>22</v>
      </c>
      <c r="T41" s="37">
        <f t="shared" si="4"/>
        <v>22</v>
      </c>
      <c r="U41" s="37">
        <f t="shared" si="5"/>
        <v>9</v>
      </c>
      <c r="V41" s="37">
        <f t="shared" si="6"/>
        <v>16</v>
      </c>
      <c r="W41" s="37">
        <f t="shared" si="7"/>
        <v>16</v>
      </c>
      <c r="X41" s="37">
        <f t="shared" si="8"/>
        <v>12</v>
      </c>
      <c r="Y41" s="37">
        <f t="shared" si="9"/>
        <v>9</v>
      </c>
      <c r="Z41" s="38">
        <f t="shared" si="10"/>
        <v>2</v>
      </c>
      <c r="AA41" s="39" t="str">
        <f t="shared" si="11"/>
        <v>-20 años</v>
      </c>
      <c r="AD41" s="40"/>
      <c r="AE41" s="43"/>
    </row>
    <row r="42" ht="15.75" customHeight="1">
      <c r="A42" s="26" t="s">
        <v>145</v>
      </c>
      <c r="B42" s="27" t="s">
        <v>33</v>
      </c>
      <c r="C42" s="28" t="s">
        <v>34</v>
      </c>
      <c r="D42" s="29">
        <v>44616.0</v>
      </c>
      <c r="E42" s="30" t="s">
        <v>146</v>
      </c>
      <c r="F42" s="44">
        <v>60000.0</v>
      </c>
      <c r="G42" s="30" t="s">
        <v>45</v>
      </c>
      <c r="H42" s="30" t="s">
        <v>50</v>
      </c>
      <c r="I42" s="32">
        <v>44952.0</v>
      </c>
      <c r="J42" s="5"/>
      <c r="K42" s="27" t="s">
        <v>54</v>
      </c>
      <c r="L42" s="45" t="s">
        <v>46</v>
      </c>
      <c r="M42" s="45" t="s">
        <v>47</v>
      </c>
      <c r="N42" s="33" t="s">
        <v>147</v>
      </c>
      <c r="O42" s="30">
        <v>3.311582572E9</v>
      </c>
      <c r="P42" s="34" t="str">
        <f t="shared" si="1"/>
        <v>DARINKA UREÑA CASILLAS</v>
      </c>
      <c r="Q42" s="35" t="str">
        <f>IF(D42="","",VLOOKUP(MONTH(D42),Listas!$C$2:$D$14,2,0))</f>
        <v>Febrero</v>
      </c>
      <c r="R42" s="36">
        <f t="shared" si="2"/>
        <v>2022</v>
      </c>
      <c r="S42" s="37">
        <f t="shared" si="3"/>
        <v>24</v>
      </c>
      <c r="T42" s="37">
        <f t="shared" si="4"/>
        <v>24</v>
      </c>
      <c r="U42" s="37">
        <f t="shared" si="5"/>
        <v>2</v>
      </c>
      <c r="V42" s="37">
        <f t="shared" si="6"/>
        <v>26</v>
      </c>
      <c r="W42" s="37">
        <f t="shared" si="7"/>
        <v>26</v>
      </c>
      <c r="X42" s="37">
        <f t="shared" si="8"/>
        <v>1</v>
      </c>
      <c r="Y42" s="37">
        <f t="shared" si="9"/>
        <v>2</v>
      </c>
      <c r="Z42" s="38">
        <f t="shared" si="10"/>
        <v>3</v>
      </c>
      <c r="AA42" s="39" t="str">
        <f t="shared" si="11"/>
        <v>-20 años</v>
      </c>
      <c r="AD42" s="40"/>
      <c r="AE42" s="43"/>
    </row>
    <row r="43" ht="15.75" customHeight="1">
      <c r="A43" s="26" t="s">
        <v>148</v>
      </c>
      <c r="B43" s="27" t="s">
        <v>56</v>
      </c>
      <c r="C43" s="28" t="s">
        <v>34</v>
      </c>
      <c r="D43" s="29">
        <v>44439.0</v>
      </c>
      <c r="E43" s="30" t="s">
        <v>149</v>
      </c>
      <c r="F43" s="44">
        <v>18615.96</v>
      </c>
      <c r="G43" s="30" t="s">
        <v>36</v>
      </c>
      <c r="H43" s="30" t="s">
        <v>58</v>
      </c>
      <c r="I43" s="30" t="s">
        <v>150</v>
      </c>
      <c r="J43" s="5"/>
      <c r="K43" s="30" t="s">
        <v>54</v>
      </c>
      <c r="L43" s="30" t="s">
        <v>41</v>
      </c>
      <c r="M43" s="30" t="s">
        <v>51</v>
      </c>
      <c r="N43" s="33" t="s">
        <v>151</v>
      </c>
      <c r="O43" s="30">
        <v>3.315709079E9</v>
      </c>
      <c r="P43" s="34" t="str">
        <f t="shared" si="1"/>
        <v>DARINKA UREÑA CASILLAS</v>
      </c>
      <c r="Q43" s="35" t="str">
        <f>IF(D43="","",VLOOKUP(MONTH(D43),Listas!$C$2:$D$14,2,0))</f>
        <v>Agosto</v>
      </c>
      <c r="R43" s="36">
        <f t="shared" si="2"/>
        <v>2021</v>
      </c>
      <c r="S43" s="37">
        <f t="shared" si="3"/>
        <v>31</v>
      </c>
      <c r="T43" s="37">
        <f t="shared" si="4"/>
        <v>31</v>
      </c>
      <c r="U43" s="37">
        <f t="shared" si="5"/>
        <v>8</v>
      </c>
      <c r="V43" s="37">
        <f t="shared" si="6"/>
        <v>16</v>
      </c>
      <c r="W43" s="37">
        <f t="shared" si="7"/>
        <v>16</v>
      </c>
      <c r="X43" s="37">
        <f t="shared" si="8"/>
        <v>9</v>
      </c>
      <c r="Y43" s="37">
        <f t="shared" si="9"/>
        <v>8</v>
      </c>
      <c r="Z43" s="38">
        <f t="shared" si="10"/>
        <v>0</v>
      </c>
      <c r="AA43" s="39" t="str">
        <f t="shared" si="11"/>
        <v>-20 años</v>
      </c>
      <c r="AD43" s="40"/>
      <c r="AE43" s="43"/>
    </row>
    <row r="44" ht="15.75" customHeight="1">
      <c r="A44" s="26" t="s">
        <v>152</v>
      </c>
      <c r="B44" s="27" t="s">
        <v>56</v>
      </c>
      <c r="C44" s="28" t="s">
        <v>34</v>
      </c>
      <c r="D44" s="29">
        <v>44916.0</v>
      </c>
      <c r="E44" s="30" t="s">
        <v>153</v>
      </c>
      <c r="F44" s="31">
        <f>11079.55*7.65</f>
        <v>84758.5575</v>
      </c>
      <c r="G44" s="30" t="s">
        <v>45</v>
      </c>
      <c r="H44" s="30" t="s">
        <v>58</v>
      </c>
      <c r="I44" s="32">
        <v>45006.0</v>
      </c>
      <c r="J44" s="5"/>
      <c r="K44" s="30" t="s">
        <v>54</v>
      </c>
      <c r="L44" s="45" t="s">
        <v>46</v>
      </c>
      <c r="M44" s="30" t="s">
        <v>154</v>
      </c>
      <c r="N44" s="33" t="s">
        <v>155</v>
      </c>
      <c r="O44" s="30">
        <v>6.142212111E9</v>
      </c>
      <c r="P44" s="34" t="str">
        <f t="shared" si="1"/>
        <v>DARINKA UREÑA CASILLAS</v>
      </c>
      <c r="Q44" s="35" t="str">
        <f>IF(D44="","",VLOOKUP(MONTH(D44),Listas!$C$2:$D$14,2,0))</f>
        <v>Diciembre</v>
      </c>
      <c r="R44" s="36">
        <f t="shared" si="2"/>
        <v>2022</v>
      </c>
      <c r="S44" s="37">
        <f t="shared" si="3"/>
        <v>21</v>
      </c>
      <c r="T44" s="37">
        <f t="shared" si="4"/>
        <v>21</v>
      </c>
      <c r="U44" s="37">
        <f t="shared" si="5"/>
        <v>12</v>
      </c>
      <c r="V44" s="37">
        <f t="shared" si="6"/>
        <v>21</v>
      </c>
      <c r="W44" s="37">
        <f t="shared" si="7"/>
        <v>21</v>
      </c>
      <c r="X44" s="37">
        <f t="shared" si="8"/>
        <v>3</v>
      </c>
      <c r="Y44" s="37">
        <f t="shared" si="9"/>
        <v>12</v>
      </c>
      <c r="Z44" s="38">
        <f t="shared" si="10"/>
        <v>3</v>
      </c>
      <c r="AA44" s="39" t="str">
        <f t="shared" si="11"/>
        <v>-20 años</v>
      </c>
    </row>
    <row r="45" ht="15.75" customHeight="1">
      <c r="A45" s="26" t="s">
        <v>156</v>
      </c>
      <c r="B45" s="27" t="s">
        <v>56</v>
      </c>
      <c r="C45" s="28" t="s">
        <v>34</v>
      </c>
      <c r="D45" s="29">
        <v>44224.0</v>
      </c>
      <c r="E45" s="30" t="s">
        <v>157</v>
      </c>
      <c r="F45" s="31">
        <f>5363.44*2</f>
        <v>10726.88</v>
      </c>
      <c r="G45" s="30" t="s">
        <v>36</v>
      </c>
      <c r="H45" s="30" t="s">
        <v>50</v>
      </c>
      <c r="I45" s="32">
        <v>44796.0</v>
      </c>
      <c r="J45" s="5"/>
      <c r="K45" s="30" t="s">
        <v>40</v>
      </c>
      <c r="L45" s="30" t="s">
        <v>41</v>
      </c>
      <c r="M45" s="30" t="s">
        <v>51</v>
      </c>
      <c r="N45" s="33" t="s">
        <v>158</v>
      </c>
      <c r="O45" s="30">
        <v>3.329196044E9</v>
      </c>
      <c r="P45" s="34" t="str">
        <f t="shared" si="1"/>
        <v>DARINKA UREÑA CASILLAS</v>
      </c>
      <c r="Q45" s="35" t="str">
        <f>IF(D45="","",VLOOKUP(MONTH(D45),Listas!$C$2:$D$14,2,0))</f>
        <v>Enero</v>
      </c>
      <c r="R45" s="36">
        <f t="shared" si="2"/>
        <v>2021</v>
      </c>
      <c r="S45" s="37">
        <f t="shared" si="3"/>
        <v>28</v>
      </c>
      <c r="T45" s="37">
        <f t="shared" si="4"/>
        <v>28</v>
      </c>
      <c r="U45" s="37">
        <f t="shared" si="5"/>
        <v>1</v>
      </c>
      <c r="V45" s="37">
        <f t="shared" si="6"/>
        <v>23</v>
      </c>
      <c r="W45" s="37">
        <f t="shared" si="7"/>
        <v>23</v>
      </c>
      <c r="X45" s="37">
        <f t="shared" si="8"/>
        <v>8</v>
      </c>
      <c r="Y45" s="37">
        <f t="shared" si="9"/>
        <v>1</v>
      </c>
      <c r="Z45" s="38">
        <f t="shared" si="10"/>
        <v>3</v>
      </c>
      <c r="AA45" s="39" t="str">
        <f t="shared" si="11"/>
        <v>-20 años</v>
      </c>
    </row>
    <row r="46" ht="15.75" customHeight="1">
      <c r="A46" s="26" t="s">
        <v>156</v>
      </c>
      <c r="B46" s="27" t="s">
        <v>56</v>
      </c>
      <c r="C46" s="28" t="s">
        <v>34</v>
      </c>
      <c r="D46" s="29">
        <v>44225.0</v>
      </c>
      <c r="E46" s="30" t="s">
        <v>159</v>
      </c>
      <c r="F46" s="31">
        <f>3874.31*2*7.118</f>
        <v>55154.67716</v>
      </c>
      <c r="G46" s="30" t="s">
        <v>45</v>
      </c>
      <c r="H46" s="30" t="s">
        <v>50</v>
      </c>
      <c r="I46" s="32">
        <v>44796.0</v>
      </c>
      <c r="J46" s="5"/>
      <c r="K46" s="30" t="s">
        <v>160</v>
      </c>
      <c r="L46" s="30" t="s">
        <v>46</v>
      </c>
      <c r="M46" s="30" t="s">
        <v>47</v>
      </c>
      <c r="N46" s="33" t="s">
        <v>158</v>
      </c>
      <c r="O46" s="30">
        <v>3.329196044E9</v>
      </c>
      <c r="P46" s="34" t="str">
        <f t="shared" si="1"/>
        <v>DARINKA UREÑA CASILLAS</v>
      </c>
      <c r="Q46" s="35" t="str">
        <f>IF(D46="","",VLOOKUP(MONTH(D46),Listas!$C$2:$D$14,2,0))</f>
        <v>Enero</v>
      </c>
      <c r="R46" s="36">
        <f t="shared" si="2"/>
        <v>2021</v>
      </c>
      <c r="S46" s="37">
        <f t="shared" si="3"/>
        <v>29</v>
      </c>
      <c r="T46" s="37">
        <f t="shared" si="4"/>
        <v>29</v>
      </c>
      <c r="U46" s="37">
        <f t="shared" si="5"/>
        <v>1</v>
      </c>
      <c r="V46" s="37">
        <f t="shared" si="6"/>
        <v>23</v>
      </c>
      <c r="W46" s="37">
        <f t="shared" si="7"/>
        <v>23</v>
      </c>
      <c r="X46" s="37">
        <f t="shared" si="8"/>
        <v>8</v>
      </c>
      <c r="Y46" s="37">
        <f t="shared" si="9"/>
        <v>1</v>
      </c>
      <c r="Z46" s="38">
        <f t="shared" si="10"/>
        <v>3</v>
      </c>
      <c r="AA46" s="39" t="str">
        <f t="shared" si="11"/>
        <v>-20 años</v>
      </c>
    </row>
    <row r="47" ht="15.75" customHeight="1">
      <c r="A47" s="26" t="s">
        <v>156</v>
      </c>
      <c r="B47" s="27" t="s">
        <v>56</v>
      </c>
      <c r="C47" s="28" t="s">
        <v>34</v>
      </c>
      <c r="D47" s="29">
        <v>44536.0</v>
      </c>
      <c r="E47" s="30" t="s">
        <v>161</v>
      </c>
      <c r="F47" s="31">
        <f>2*8926.33</f>
        <v>17852.66</v>
      </c>
      <c r="G47" s="30" t="s">
        <v>36</v>
      </c>
      <c r="H47" s="30" t="s">
        <v>50</v>
      </c>
      <c r="I47" s="32">
        <v>44796.0</v>
      </c>
      <c r="J47" s="5"/>
      <c r="K47" s="30" t="s">
        <v>40</v>
      </c>
      <c r="L47" s="30" t="s">
        <v>41</v>
      </c>
      <c r="M47" s="30" t="s">
        <v>51</v>
      </c>
      <c r="N47" s="33" t="s">
        <v>158</v>
      </c>
      <c r="O47" s="30">
        <v>3.329196044E9</v>
      </c>
      <c r="P47" s="34" t="str">
        <f t="shared" si="1"/>
        <v>DARINKA UREÑA CASILLAS</v>
      </c>
      <c r="Q47" s="35" t="str">
        <f>IF(D47="","",VLOOKUP(MONTH(D47),Listas!$C$2:$D$14,2,0))</f>
        <v>Diciembre</v>
      </c>
      <c r="R47" s="36">
        <f t="shared" si="2"/>
        <v>2021</v>
      </c>
      <c r="S47" s="37">
        <f t="shared" si="3"/>
        <v>6</v>
      </c>
      <c r="T47" s="37">
        <f t="shared" si="4"/>
        <v>6</v>
      </c>
      <c r="U47" s="37">
        <f t="shared" si="5"/>
        <v>12</v>
      </c>
      <c r="V47" s="37">
        <f t="shared" si="6"/>
        <v>23</v>
      </c>
      <c r="W47" s="37">
        <f t="shared" si="7"/>
        <v>23</v>
      </c>
      <c r="X47" s="37">
        <f t="shared" si="8"/>
        <v>8</v>
      </c>
      <c r="Y47" s="37">
        <f t="shared" si="9"/>
        <v>12</v>
      </c>
      <c r="Z47" s="38">
        <f t="shared" si="10"/>
        <v>3</v>
      </c>
      <c r="AA47" s="39" t="str">
        <f t="shared" si="11"/>
        <v>-20 años</v>
      </c>
    </row>
    <row r="48" ht="15.75" customHeight="1">
      <c r="A48" s="26" t="s">
        <v>162</v>
      </c>
      <c r="B48" s="27" t="s">
        <v>56</v>
      </c>
      <c r="C48" s="28" t="s">
        <v>34</v>
      </c>
      <c r="D48" s="29">
        <v>44413.0</v>
      </c>
      <c r="E48" s="30" t="s">
        <v>163</v>
      </c>
      <c r="F48" s="31">
        <f>271.35*12*7.118</f>
        <v>23177.6316</v>
      </c>
      <c r="G48" s="30" t="s">
        <v>45</v>
      </c>
      <c r="H48" s="30" t="s">
        <v>37</v>
      </c>
      <c r="I48" s="32">
        <v>44724.0</v>
      </c>
      <c r="J48" s="5"/>
      <c r="K48" s="30" t="s">
        <v>54</v>
      </c>
      <c r="L48" s="30" t="s">
        <v>46</v>
      </c>
      <c r="M48" s="30" t="s">
        <v>47</v>
      </c>
      <c r="N48" s="33" t="s">
        <v>164</v>
      </c>
      <c r="O48" s="30">
        <v>3.314439698E9</v>
      </c>
      <c r="P48" s="34" t="str">
        <f t="shared" si="1"/>
        <v>DARINKA UREÑA CASILLAS</v>
      </c>
      <c r="Q48" s="35" t="str">
        <f>IF(D48="","",VLOOKUP(MONTH(D48),Listas!$C$2:$D$14,2,0))</f>
        <v>Agosto</v>
      </c>
      <c r="R48" s="36">
        <f t="shared" si="2"/>
        <v>2021</v>
      </c>
      <c r="S48" s="37">
        <f t="shared" si="3"/>
        <v>5</v>
      </c>
      <c r="T48" s="37">
        <f t="shared" si="4"/>
        <v>5</v>
      </c>
      <c r="U48" s="37">
        <f t="shared" si="5"/>
        <v>8</v>
      </c>
      <c r="V48" s="37">
        <f t="shared" si="6"/>
        <v>12</v>
      </c>
      <c r="W48" s="37">
        <f t="shared" si="7"/>
        <v>12</v>
      </c>
      <c r="X48" s="37">
        <f t="shared" si="8"/>
        <v>6</v>
      </c>
      <c r="Y48" s="37">
        <f t="shared" si="9"/>
        <v>8</v>
      </c>
      <c r="Z48" s="38">
        <f t="shared" si="10"/>
        <v>3</v>
      </c>
      <c r="AA48" s="39" t="str">
        <f t="shared" si="11"/>
        <v>-20 años</v>
      </c>
    </row>
    <row r="49" ht="15.75" customHeight="1">
      <c r="A49" s="26" t="s">
        <v>165</v>
      </c>
      <c r="B49" s="27" t="s">
        <v>56</v>
      </c>
      <c r="C49" s="28" t="s">
        <v>34</v>
      </c>
      <c r="D49" s="29">
        <v>43965.0</v>
      </c>
      <c r="E49" s="30" t="s">
        <v>166</v>
      </c>
      <c r="F49" s="31">
        <f>2340.03*7.118</f>
        <v>16656.33354</v>
      </c>
      <c r="G49" s="30" t="s">
        <v>45</v>
      </c>
      <c r="H49" s="30" t="s">
        <v>58</v>
      </c>
      <c r="I49" s="30" t="s">
        <v>167</v>
      </c>
      <c r="J49" s="5"/>
      <c r="K49" s="30" t="s">
        <v>54</v>
      </c>
      <c r="L49" s="30" t="s">
        <v>46</v>
      </c>
      <c r="M49" s="30" t="s">
        <v>47</v>
      </c>
      <c r="N49" s="33" t="s">
        <v>168</v>
      </c>
      <c r="O49" s="30">
        <v>3.314669252E9</v>
      </c>
      <c r="P49" s="34" t="str">
        <f t="shared" si="1"/>
        <v>DARINKA UREÑA CASILLAS</v>
      </c>
      <c r="Q49" s="35" t="str">
        <f>IF(D49="","",VLOOKUP(MONTH(D49),Listas!$C$2:$D$14,2,0))</f>
        <v>Mayo</v>
      </c>
      <c r="R49" s="36">
        <f t="shared" si="2"/>
        <v>2020</v>
      </c>
      <c r="S49" s="37">
        <f t="shared" si="3"/>
        <v>14</v>
      </c>
      <c r="T49" s="37">
        <f t="shared" si="4"/>
        <v>14</v>
      </c>
      <c r="U49" s="37">
        <f t="shared" si="5"/>
        <v>5</v>
      </c>
      <c r="V49" s="37">
        <f t="shared" si="6"/>
        <v>3</v>
      </c>
      <c r="W49" s="37">
        <f t="shared" si="7"/>
        <v>3</v>
      </c>
      <c r="X49" s="37">
        <f t="shared" si="8"/>
        <v>9</v>
      </c>
      <c r="Y49" s="37">
        <f t="shared" si="9"/>
        <v>5</v>
      </c>
      <c r="Z49" s="38">
        <f t="shared" si="10"/>
        <v>0</v>
      </c>
      <c r="AA49" s="39" t="str">
        <f t="shared" si="11"/>
        <v>-20 años</v>
      </c>
    </row>
    <row r="50" ht="15.75" customHeight="1">
      <c r="A50" s="26" t="s">
        <v>165</v>
      </c>
      <c r="B50" s="27" t="s">
        <v>56</v>
      </c>
      <c r="C50" s="28" t="s">
        <v>34</v>
      </c>
      <c r="D50" s="29">
        <v>44779.0</v>
      </c>
      <c r="E50" s="30" t="s">
        <v>169</v>
      </c>
      <c r="F50" s="44">
        <v>16569.27</v>
      </c>
      <c r="G50" s="30" t="s">
        <v>36</v>
      </c>
      <c r="H50" s="30" t="s">
        <v>58</v>
      </c>
      <c r="I50" s="30" t="s">
        <v>167</v>
      </c>
      <c r="J50" s="5"/>
      <c r="K50" s="30" t="s">
        <v>54</v>
      </c>
      <c r="L50" s="30" t="s">
        <v>41</v>
      </c>
      <c r="M50" s="30" t="s">
        <v>51</v>
      </c>
      <c r="N50" s="33" t="s">
        <v>168</v>
      </c>
      <c r="O50" s="30">
        <v>3.314669252E9</v>
      </c>
      <c r="P50" s="34" t="str">
        <f t="shared" si="1"/>
        <v>DARINKA UREÑA CASILLAS</v>
      </c>
      <c r="Q50" s="35" t="str">
        <f>IF(D50="","",VLOOKUP(MONTH(D50),Listas!$C$2:$D$14,2,0))</f>
        <v>Agosto</v>
      </c>
      <c r="R50" s="36">
        <f t="shared" si="2"/>
        <v>2022</v>
      </c>
      <c r="S50" s="37">
        <f t="shared" si="3"/>
        <v>6</v>
      </c>
      <c r="T50" s="37">
        <f t="shared" si="4"/>
        <v>6</v>
      </c>
      <c r="U50" s="37">
        <f t="shared" si="5"/>
        <v>8</v>
      </c>
      <c r="V50" s="37">
        <f t="shared" si="6"/>
        <v>3</v>
      </c>
      <c r="W50" s="37">
        <f t="shared" si="7"/>
        <v>3</v>
      </c>
      <c r="X50" s="37">
        <f t="shared" si="8"/>
        <v>9</v>
      </c>
      <c r="Y50" s="37">
        <f t="shared" si="9"/>
        <v>8</v>
      </c>
      <c r="Z50" s="38">
        <f t="shared" si="10"/>
        <v>0</v>
      </c>
      <c r="AA50" s="39" t="str">
        <f t="shared" si="11"/>
        <v>-20 años</v>
      </c>
    </row>
    <row r="51" ht="15.75" customHeight="1">
      <c r="A51" s="26" t="s">
        <v>170</v>
      </c>
      <c r="B51" s="27" t="s">
        <v>56</v>
      </c>
      <c r="C51" s="28" t="s">
        <v>34</v>
      </c>
      <c r="D51" s="29">
        <v>44235.0</v>
      </c>
      <c r="E51" s="30" t="s">
        <v>171</v>
      </c>
      <c r="F51" s="31">
        <f>371.93*12*7.118</f>
        <v>31768.77288</v>
      </c>
      <c r="G51" s="30" t="s">
        <v>45</v>
      </c>
      <c r="H51" s="30" t="s">
        <v>37</v>
      </c>
      <c r="I51" s="32">
        <v>44872.0</v>
      </c>
      <c r="J51" s="5"/>
      <c r="K51" s="30" t="s">
        <v>54</v>
      </c>
      <c r="L51" s="30" t="s">
        <v>46</v>
      </c>
      <c r="M51" s="30" t="s">
        <v>47</v>
      </c>
      <c r="N51" s="33" t="s">
        <v>172</v>
      </c>
      <c r="O51" s="30">
        <v>3.312198584E9</v>
      </c>
      <c r="P51" s="34" t="str">
        <f t="shared" si="1"/>
        <v>DARINKA UREÑA CASILLAS</v>
      </c>
      <c r="Q51" s="35" t="str">
        <f>IF(D51="","",VLOOKUP(MONTH(D51),Listas!$C$2:$D$14,2,0))</f>
        <v>Febrero</v>
      </c>
      <c r="R51" s="36">
        <f t="shared" si="2"/>
        <v>2021</v>
      </c>
      <c r="S51" s="37">
        <f t="shared" si="3"/>
        <v>8</v>
      </c>
      <c r="T51" s="37">
        <f t="shared" si="4"/>
        <v>8</v>
      </c>
      <c r="U51" s="37">
        <f t="shared" si="5"/>
        <v>2</v>
      </c>
      <c r="V51" s="37">
        <f t="shared" si="6"/>
        <v>7</v>
      </c>
      <c r="W51" s="37">
        <f t="shared" si="7"/>
        <v>7</v>
      </c>
      <c r="X51" s="37">
        <f t="shared" si="8"/>
        <v>11</v>
      </c>
      <c r="Y51" s="37">
        <f t="shared" si="9"/>
        <v>2</v>
      </c>
      <c r="Z51" s="38">
        <f t="shared" si="10"/>
        <v>3</v>
      </c>
      <c r="AA51" s="39" t="str">
        <f t="shared" si="11"/>
        <v>-20 años</v>
      </c>
    </row>
    <row r="52" ht="15.75" customHeight="1">
      <c r="A52" s="26" t="s">
        <v>173</v>
      </c>
      <c r="B52" s="27" t="s">
        <v>56</v>
      </c>
      <c r="C52" s="28" t="s">
        <v>34</v>
      </c>
      <c r="D52" s="29">
        <v>44131.0</v>
      </c>
      <c r="E52" s="30" t="s">
        <v>174</v>
      </c>
      <c r="F52" s="31">
        <f>5345.56*7.118</f>
        <v>38049.69608</v>
      </c>
      <c r="G52" s="30" t="s">
        <v>45</v>
      </c>
      <c r="H52" s="30" t="s">
        <v>58</v>
      </c>
      <c r="I52" s="32">
        <v>44645.0</v>
      </c>
      <c r="J52" s="5"/>
      <c r="K52" s="30" t="s">
        <v>160</v>
      </c>
      <c r="L52" s="30" t="s">
        <v>46</v>
      </c>
      <c r="M52" s="30" t="s">
        <v>47</v>
      </c>
      <c r="N52" s="33" t="s">
        <v>175</v>
      </c>
      <c r="O52" s="30">
        <v>3.323714729E9</v>
      </c>
      <c r="P52" s="34" t="str">
        <f t="shared" si="1"/>
        <v>DARINKA UREÑA CASILLAS</v>
      </c>
      <c r="Q52" s="35" t="str">
        <f>IF(D52="","",VLOOKUP(MONTH(D52),Listas!$C$2:$D$14,2,0))</f>
        <v>Octubre</v>
      </c>
      <c r="R52" s="36">
        <f t="shared" si="2"/>
        <v>2020</v>
      </c>
      <c r="S52" s="37">
        <f t="shared" si="3"/>
        <v>27</v>
      </c>
      <c r="T52" s="37">
        <f t="shared" si="4"/>
        <v>27</v>
      </c>
      <c r="U52" s="37">
        <f t="shared" si="5"/>
        <v>10</v>
      </c>
      <c r="V52" s="37">
        <f t="shared" si="6"/>
        <v>25</v>
      </c>
      <c r="W52" s="37">
        <f t="shared" si="7"/>
        <v>25</v>
      </c>
      <c r="X52" s="37">
        <f t="shared" si="8"/>
        <v>3</v>
      </c>
      <c r="Y52" s="37">
        <f t="shared" si="9"/>
        <v>10</v>
      </c>
      <c r="Z52" s="38">
        <f t="shared" si="10"/>
        <v>4</v>
      </c>
      <c r="AA52" s="39" t="str">
        <f t="shared" si="11"/>
        <v>-20 años</v>
      </c>
    </row>
    <row r="53" ht="15.75" customHeight="1">
      <c r="A53" s="26" t="s">
        <v>173</v>
      </c>
      <c r="B53" s="27" t="s">
        <v>56</v>
      </c>
      <c r="C53" s="28" t="s">
        <v>34</v>
      </c>
      <c r="D53" s="29">
        <v>44343.0</v>
      </c>
      <c r="E53" s="30" t="s">
        <v>176</v>
      </c>
      <c r="F53" s="31">
        <f>1421.26*12</f>
        <v>17055.12</v>
      </c>
      <c r="G53" s="30" t="s">
        <v>36</v>
      </c>
      <c r="H53" s="30" t="s">
        <v>37</v>
      </c>
      <c r="I53" s="32">
        <v>44645.0</v>
      </c>
      <c r="J53" s="5"/>
      <c r="K53" s="30" t="s">
        <v>54</v>
      </c>
      <c r="L53" s="30" t="s">
        <v>41</v>
      </c>
      <c r="M53" s="30" t="s">
        <v>51</v>
      </c>
      <c r="N53" s="33" t="s">
        <v>175</v>
      </c>
      <c r="O53" s="30">
        <v>3.323714729E9</v>
      </c>
      <c r="P53" s="34" t="str">
        <f t="shared" si="1"/>
        <v>DARINKA UREÑA CASILLAS</v>
      </c>
      <c r="Q53" s="35" t="str">
        <f>IF(D53="","",VLOOKUP(MONTH(D53),Listas!$C$2:$D$14,2,0))</f>
        <v>Mayo</v>
      </c>
      <c r="R53" s="36">
        <f t="shared" si="2"/>
        <v>2021</v>
      </c>
      <c r="S53" s="37">
        <f t="shared" si="3"/>
        <v>27</v>
      </c>
      <c r="T53" s="37">
        <f t="shared" si="4"/>
        <v>27</v>
      </c>
      <c r="U53" s="37">
        <f t="shared" si="5"/>
        <v>5</v>
      </c>
      <c r="V53" s="37">
        <f t="shared" si="6"/>
        <v>25</v>
      </c>
      <c r="W53" s="37">
        <f t="shared" si="7"/>
        <v>25</v>
      </c>
      <c r="X53" s="37">
        <f t="shared" si="8"/>
        <v>3</v>
      </c>
      <c r="Y53" s="37">
        <f t="shared" si="9"/>
        <v>5</v>
      </c>
      <c r="Z53" s="38">
        <f t="shared" si="10"/>
        <v>4</v>
      </c>
      <c r="AA53" s="39" t="str">
        <f t="shared" si="11"/>
        <v>-20 años</v>
      </c>
    </row>
    <row r="54" ht="15.75" customHeight="1">
      <c r="A54" s="26" t="s">
        <v>177</v>
      </c>
      <c r="B54" s="27" t="s">
        <v>33</v>
      </c>
      <c r="C54" s="28" t="s">
        <v>34</v>
      </c>
      <c r="D54" s="29">
        <v>42982.0</v>
      </c>
      <c r="E54" s="30" t="s">
        <v>178</v>
      </c>
      <c r="F54" s="31">
        <f>1486.35*12</f>
        <v>17836.2</v>
      </c>
      <c r="G54" s="30" t="s">
        <v>36</v>
      </c>
      <c r="H54" s="30" t="s">
        <v>37</v>
      </c>
      <c r="I54" s="32">
        <v>44848.0</v>
      </c>
      <c r="J54" s="27"/>
      <c r="K54" s="30" t="s">
        <v>54</v>
      </c>
      <c r="L54" s="30" t="s">
        <v>41</v>
      </c>
      <c r="M54" s="30" t="s">
        <v>42</v>
      </c>
      <c r="N54" s="33" t="s">
        <v>179</v>
      </c>
      <c r="O54" s="30">
        <v>3.314551462E9</v>
      </c>
      <c r="P54" s="34" t="str">
        <f t="shared" si="1"/>
        <v>DARINKA UREÑA CASILLAS</v>
      </c>
      <c r="Q54" s="35" t="str">
        <f>IF(D54="","",VLOOKUP(MONTH(D54),Listas!$C$2:$D$14,2,0))</f>
        <v>Septiembre</v>
      </c>
      <c r="R54" s="36">
        <f t="shared" si="2"/>
        <v>2017</v>
      </c>
      <c r="S54" s="37">
        <f t="shared" si="3"/>
        <v>4</v>
      </c>
      <c r="T54" s="37">
        <f t="shared" si="4"/>
        <v>4</v>
      </c>
      <c r="U54" s="37">
        <f t="shared" si="5"/>
        <v>9</v>
      </c>
      <c r="V54" s="37">
        <f t="shared" si="6"/>
        <v>14</v>
      </c>
      <c r="W54" s="37">
        <f t="shared" si="7"/>
        <v>14</v>
      </c>
      <c r="X54" s="37">
        <f t="shared" si="8"/>
        <v>10</v>
      </c>
      <c r="Y54" s="37">
        <f t="shared" si="9"/>
        <v>9</v>
      </c>
      <c r="Z54" s="38">
        <f t="shared" si="10"/>
        <v>3</v>
      </c>
      <c r="AA54" s="39" t="str">
        <f t="shared" si="11"/>
        <v>-20 años</v>
      </c>
    </row>
    <row r="55" ht="15.75" customHeight="1">
      <c r="A55" s="26" t="s">
        <v>177</v>
      </c>
      <c r="B55" s="27" t="s">
        <v>33</v>
      </c>
      <c r="C55" s="28" t="s">
        <v>34</v>
      </c>
      <c r="D55" s="29">
        <v>44064.0</v>
      </c>
      <c r="E55" s="30" t="s">
        <v>180</v>
      </c>
      <c r="F55" s="31">
        <f>407.83*12*7.118</f>
        <v>34835.20728</v>
      </c>
      <c r="G55" s="30" t="s">
        <v>45</v>
      </c>
      <c r="H55" s="30" t="s">
        <v>37</v>
      </c>
      <c r="I55" s="32">
        <v>44848.0</v>
      </c>
      <c r="J55" s="5"/>
      <c r="K55" s="30" t="s">
        <v>54</v>
      </c>
      <c r="L55" s="30" t="s">
        <v>46</v>
      </c>
      <c r="M55" s="30" t="s">
        <v>47</v>
      </c>
      <c r="N55" s="33" t="s">
        <v>179</v>
      </c>
      <c r="O55" s="30">
        <v>3.314551462E9</v>
      </c>
      <c r="P55" s="34" t="str">
        <f t="shared" si="1"/>
        <v>DARINKA UREÑA CASILLAS</v>
      </c>
      <c r="Q55" s="35" t="str">
        <f>IF(D55="","",VLOOKUP(MONTH(D55),Listas!$C$2:$D$14,2,0))</f>
        <v>Agosto</v>
      </c>
      <c r="R55" s="36">
        <f t="shared" si="2"/>
        <v>2020</v>
      </c>
      <c r="S55" s="37">
        <f t="shared" si="3"/>
        <v>21</v>
      </c>
      <c r="T55" s="37">
        <f t="shared" si="4"/>
        <v>21</v>
      </c>
      <c r="U55" s="37">
        <f t="shared" si="5"/>
        <v>8</v>
      </c>
      <c r="V55" s="37">
        <f t="shared" si="6"/>
        <v>14</v>
      </c>
      <c r="W55" s="37">
        <f t="shared" si="7"/>
        <v>14</v>
      </c>
      <c r="X55" s="37">
        <f t="shared" si="8"/>
        <v>10</v>
      </c>
      <c r="Y55" s="37">
        <f t="shared" si="9"/>
        <v>8</v>
      </c>
      <c r="Z55" s="38">
        <f t="shared" si="10"/>
        <v>3</v>
      </c>
      <c r="AA55" s="39" t="str">
        <f t="shared" si="11"/>
        <v>-20 años</v>
      </c>
    </row>
    <row r="56" ht="15.75" customHeight="1">
      <c r="A56" s="26" t="s">
        <v>181</v>
      </c>
      <c r="B56" s="27" t="s">
        <v>56</v>
      </c>
      <c r="C56" s="28" t="s">
        <v>34</v>
      </c>
      <c r="D56" s="29">
        <v>44173.0</v>
      </c>
      <c r="E56" s="30" t="s">
        <v>182</v>
      </c>
      <c r="F56" s="31">
        <f>3643.56*7.118</f>
        <v>25934.86008</v>
      </c>
      <c r="G56" s="30" t="s">
        <v>45</v>
      </c>
      <c r="H56" s="30" t="s">
        <v>94</v>
      </c>
      <c r="I56" s="32">
        <v>44626.0</v>
      </c>
      <c r="J56" s="5"/>
      <c r="K56" s="30" t="s">
        <v>54</v>
      </c>
      <c r="L56" s="30" t="s">
        <v>46</v>
      </c>
      <c r="M56" s="30" t="s">
        <v>47</v>
      </c>
      <c r="N56" s="33" t="s">
        <v>183</v>
      </c>
      <c r="O56" s="30">
        <v>3.315994003E9</v>
      </c>
      <c r="P56" s="34" t="str">
        <f t="shared" si="1"/>
        <v>DARINKA UREÑA CASILLAS</v>
      </c>
      <c r="Q56" s="35" t="str">
        <f>IF(D56="","",VLOOKUP(MONTH(D56),Listas!$C$2:$D$14,2,0))</f>
        <v>Diciembre</v>
      </c>
      <c r="R56" s="36">
        <f t="shared" si="2"/>
        <v>2020</v>
      </c>
      <c r="S56" s="37">
        <f t="shared" si="3"/>
        <v>8</v>
      </c>
      <c r="T56" s="37">
        <f t="shared" si="4"/>
        <v>8</v>
      </c>
      <c r="U56" s="37">
        <f t="shared" si="5"/>
        <v>12</v>
      </c>
      <c r="V56" s="37">
        <f t="shared" si="6"/>
        <v>6</v>
      </c>
      <c r="W56" s="37">
        <f t="shared" si="7"/>
        <v>6</v>
      </c>
      <c r="X56" s="37">
        <f t="shared" si="8"/>
        <v>3</v>
      </c>
      <c r="Y56" s="37">
        <f t="shared" si="9"/>
        <v>12</v>
      </c>
      <c r="Z56" s="38">
        <f t="shared" si="10"/>
        <v>4</v>
      </c>
      <c r="AA56" s="39" t="str">
        <f t="shared" si="11"/>
        <v>-20 años</v>
      </c>
    </row>
    <row r="57" ht="15.75" customHeight="1">
      <c r="A57" s="26" t="s">
        <v>184</v>
      </c>
      <c r="B57" s="27" t="s">
        <v>33</v>
      </c>
      <c r="C57" s="28" t="s">
        <v>34</v>
      </c>
      <c r="D57" s="29">
        <v>44895.0</v>
      </c>
      <c r="E57" s="30" t="s">
        <v>185</v>
      </c>
      <c r="F57" s="44">
        <f>26906.04*2</f>
        <v>53812.08</v>
      </c>
      <c r="G57" s="30" t="s">
        <v>36</v>
      </c>
      <c r="H57" s="30" t="s">
        <v>50</v>
      </c>
      <c r="I57" s="32">
        <v>45207.0</v>
      </c>
      <c r="J57" s="5"/>
      <c r="K57" s="30" t="s">
        <v>160</v>
      </c>
      <c r="L57" s="30" t="s">
        <v>41</v>
      </c>
      <c r="M57" s="30" t="s">
        <v>42</v>
      </c>
      <c r="N57" s="33" t="s">
        <v>186</v>
      </c>
      <c r="O57" s="30">
        <v>3.319866597E9</v>
      </c>
      <c r="P57" s="34" t="str">
        <f t="shared" si="1"/>
        <v>DARINKA UREÑA CASILLAS</v>
      </c>
      <c r="Q57" s="35" t="str">
        <f>IF(D57="","",VLOOKUP(MONTH(D57),Listas!$C$2:$D$14,2,0))</f>
        <v>Noviembre</v>
      </c>
      <c r="R57" s="36">
        <f t="shared" si="2"/>
        <v>2022</v>
      </c>
      <c r="S57" s="37">
        <f t="shared" si="3"/>
        <v>30</v>
      </c>
      <c r="T57" s="37">
        <f t="shared" si="4"/>
        <v>30</v>
      </c>
      <c r="U57" s="37">
        <f t="shared" si="5"/>
        <v>11</v>
      </c>
      <c r="V57" s="37">
        <f t="shared" si="6"/>
        <v>8</v>
      </c>
      <c r="W57" s="37">
        <f t="shared" si="7"/>
        <v>8</v>
      </c>
      <c r="X57" s="37">
        <f t="shared" si="8"/>
        <v>10</v>
      </c>
      <c r="Y57" s="37">
        <f t="shared" si="9"/>
        <v>11</v>
      </c>
      <c r="Z57" s="38">
        <f t="shared" si="10"/>
        <v>2</v>
      </c>
      <c r="AA57" s="39" t="str">
        <f t="shared" si="11"/>
        <v>-20 años</v>
      </c>
    </row>
    <row r="58" ht="15.75" customHeight="1">
      <c r="A58" s="26" t="s">
        <v>187</v>
      </c>
      <c r="B58" s="27" t="s">
        <v>33</v>
      </c>
      <c r="C58" s="28" t="s">
        <v>34</v>
      </c>
      <c r="D58" s="29">
        <v>44034.0</v>
      </c>
      <c r="E58" s="30" t="s">
        <v>188</v>
      </c>
      <c r="F58" s="44">
        <v>13642.72</v>
      </c>
      <c r="G58" s="30" t="s">
        <v>36</v>
      </c>
      <c r="H58" s="30" t="s">
        <v>58</v>
      </c>
      <c r="I58" s="32">
        <v>44562.0</v>
      </c>
      <c r="J58" s="5"/>
      <c r="K58" s="30" t="s">
        <v>40</v>
      </c>
      <c r="L58" s="30" t="s">
        <v>41</v>
      </c>
      <c r="M58" s="30" t="s">
        <v>42</v>
      </c>
      <c r="N58" s="33" t="s">
        <v>189</v>
      </c>
      <c r="O58" s="30">
        <v>3.324010177E9</v>
      </c>
      <c r="P58" s="34" t="str">
        <f t="shared" si="1"/>
        <v>DARINKA UREÑA CASILLAS</v>
      </c>
      <c r="Q58" s="35" t="str">
        <f>IF(D58="","",VLOOKUP(MONTH(D58),Listas!$C$2:$D$14,2,0))</f>
        <v>Julio</v>
      </c>
      <c r="R58" s="36">
        <f t="shared" si="2"/>
        <v>2020</v>
      </c>
      <c r="S58" s="37">
        <f t="shared" si="3"/>
        <v>22</v>
      </c>
      <c r="T58" s="37">
        <f t="shared" si="4"/>
        <v>22</v>
      </c>
      <c r="U58" s="37">
        <f t="shared" si="5"/>
        <v>7</v>
      </c>
      <c r="V58" s="37">
        <f t="shared" si="6"/>
        <v>1</v>
      </c>
      <c r="W58" s="37">
        <f t="shared" si="7"/>
        <v>1</v>
      </c>
      <c r="X58" s="37">
        <f t="shared" si="8"/>
        <v>1</v>
      </c>
      <c r="Y58" s="37">
        <f t="shared" si="9"/>
        <v>7</v>
      </c>
      <c r="Z58" s="38">
        <f t="shared" si="10"/>
        <v>4</v>
      </c>
      <c r="AA58" s="39" t="str">
        <f t="shared" si="11"/>
        <v>-20 años</v>
      </c>
    </row>
    <row r="59" ht="15.75" customHeight="1">
      <c r="A59" s="26" t="s">
        <v>190</v>
      </c>
      <c r="B59" s="27" t="s">
        <v>56</v>
      </c>
      <c r="C59" s="28" t="s">
        <v>34</v>
      </c>
      <c r="D59" s="29">
        <v>44249.0</v>
      </c>
      <c r="E59" s="30" t="s">
        <v>191</v>
      </c>
      <c r="F59" s="31">
        <f>2698.78*7.118</f>
        <v>19209.91604</v>
      </c>
      <c r="G59" s="30" t="s">
        <v>45</v>
      </c>
      <c r="H59" s="30" t="s">
        <v>94</v>
      </c>
      <c r="I59" s="32">
        <v>44917.0</v>
      </c>
      <c r="J59" s="5"/>
      <c r="K59" s="30" t="s">
        <v>54</v>
      </c>
      <c r="L59" s="30" t="s">
        <v>46</v>
      </c>
      <c r="M59" s="30" t="s">
        <v>47</v>
      </c>
      <c r="N59" s="33" t="s">
        <v>192</v>
      </c>
      <c r="O59" s="30">
        <v>3.316366711E9</v>
      </c>
      <c r="P59" s="34" t="str">
        <f t="shared" si="1"/>
        <v>DARINKA UREÑA CASILLAS</v>
      </c>
      <c r="Q59" s="35" t="str">
        <f>IF(D59="","",VLOOKUP(MONTH(D59),Listas!$C$2:$D$14,2,0))</f>
        <v>Febrero</v>
      </c>
      <c r="R59" s="36">
        <f t="shared" si="2"/>
        <v>2021</v>
      </c>
      <c r="S59" s="37">
        <f t="shared" si="3"/>
        <v>22</v>
      </c>
      <c r="T59" s="37">
        <f t="shared" si="4"/>
        <v>22</v>
      </c>
      <c r="U59" s="37">
        <f t="shared" si="5"/>
        <v>2</v>
      </c>
      <c r="V59" s="37">
        <f t="shared" si="6"/>
        <v>22</v>
      </c>
      <c r="W59" s="37">
        <f t="shared" si="7"/>
        <v>22</v>
      </c>
      <c r="X59" s="37">
        <f t="shared" si="8"/>
        <v>12</v>
      </c>
      <c r="Y59" s="37">
        <f t="shared" si="9"/>
        <v>2</v>
      </c>
      <c r="Z59" s="38">
        <f t="shared" si="10"/>
        <v>3</v>
      </c>
      <c r="AA59" s="39" t="str">
        <f t="shared" si="11"/>
        <v>-20 años</v>
      </c>
    </row>
    <row r="60" ht="15.75" customHeight="1">
      <c r="A60" s="26" t="s">
        <v>193</v>
      </c>
      <c r="B60" s="27" t="s">
        <v>33</v>
      </c>
      <c r="C60" s="28" t="s">
        <v>34</v>
      </c>
      <c r="D60" s="29">
        <v>44395.0</v>
      </c>
      <c r="E60" s="30" t="s">
        <v>194</v>
      </c>
      <c r="F60" s="31">
        <f>3531.76*7.118</f>
        <v>25139.06768</v>
      </c>
      <c r="G60" s="30" t="s">
        <v>45</v>
      </c>
      <c r="H60" s="30" t="s">
        <v>58</v>
      </c>
      <c r="I60" s="32">
        <v>44874.0</v>
      </c>
      <c r="J60" s="5"/>
      <c r="K60" s="30" t="s">
        <v>54</v>
      </c>
      <c r="L60" s="30" t="s">
        <v>46</v>
      </c>
      <c r="M60" s="30" t="s">
        <v>47</v>
      </c>
      <c r="N60" s="33" t="s">
        <v>195</v>
      </c>
      <c r="O60" s="30">
        <v>3.334414617E9</v>
      </c>
      <c r="P60" s="34" t="str">
        <f t="shared" si="1"/>
        <v>DARINKA UREÑA CASILLAS</v>
      </c>
      <c r="Q60" s="35" t="str">
        <f>IF(D60="","",VLOOKUP(MONTH(D60),Listas!$C$2:$D$14,2,0))</f>
        <v>Julio</v>
      </c>
      <c r="R60" s="36">
        <f t="shared" si="2"/>
        <v>2021</v>
      </c>
      <c r="S60" s="37">
        <f t="shared" si="3"/>
        <v>18</v>
      </c>
      <c r="T60" s="37">
        <f t="shared" si="4"/>
        <v>18</v>
      </c>
      <c r="U60" s="37">
        <f t="shared" si="5"/>
        <v>7</v>
      </c>
      <c r="V60" s="37">
        <f t="shared" si="6"/>
        <v>9</v>
      </c>
      <c r="W60" s="37">
        <f t="shared" si="7"/>
        <v>9</v>
      </c>
      <c r="X60" s="37">
        <f t="shared" si="8"/>
        <v>11</v>
      </c>
      <c r="Y60" s="37">
        <f t="shared" si="9"/>
        <v>7</v>
      </c>
      <c r="Z60" s="38">
        <f t="shared" si="10"/>
        <v>3</v>
      </c>
      <c r="AA60" s="39" t="str">
        <f t="shared" si="11"/>
        <v>-20 años</v>
      </c>
    </row>
    <row r="61" ht="15.75" customHeight="1">
      <c r="A61" s="26" t="s">
        <v>196</v>
      </c>
      <c r="B61" s="27" t="s">
        <v>33</v>
      </c>
      <c r="C61" s="28" t="s">
        <v>34</v>
      </c>
      <c r="D61" s="29">
        <v>44923.0</v>
      </c>
      <c r="E61" s="30" t="s">
        <v>197</v>
      </c>
      <c r="F61" s="44">
        <f>206.75*12*7.65</f>
        <v>18979.65</v>
      </c>
      <c r="G61" s="30" t="s">
        <v>45</v>
      </c>
      <c r="H61" s="30" t="s">
        <v>37</v>
      </c>
      <c r="I61" s="32">
        <v>45213.0</v>
      </c>
      <c r="J61" s="5"/>
      <c r="K61" s="27" t="s">
        <v>40</v>
      </c>
      <c r="L61" s="45" t="s">
        <v>46</v>
      </c>
      <c r="M61" s="45" t="s">
        <v>47</v>
      </c>
      <c r="N61" s="33" t="s">
        <v>198</v>
      </c>
      <c r="O61" s="30">
        <v>6.692407705E9</v>
      </c>
      <c r="P61" s="34" t="str">
        <f t="shared" si="1"/>
        <v>DARINKA UREÑA CASILLAS</v>
      </c>
      <c r="Q61" s="35" t="str">
        <f>IF(D61="","",VLOOKUP(MONTH(D61),Listas!$C$2:$D$14,2,0))</f>
        <v>Diciembre</v>
      </c>
      <c r="R61" s="36">
        <f t="shared" si="2"/>
        <v>2022</v>
      </c>
      <c r="S61" s="37">
        <f t="shared" si="3"/>
        <v>28</v>
      </c>
      <c r="T61" s="37">
        <f t="shared" si="4"/>
        <v>28</v>
      </c>
      <c r="U61" s="37">
        <f t="shared" si="5"/>
        <v>12</v>
      </c>
      <c r="V61" s="37">
        <f t="shared" si="6"/>
        <v>14</v>
      </c>
      <c r="W61" s="37">
        <f t="shared" si="7"/>
        <v>14</v>
      </c>
      <c r="X61" s="37">
        <f t="shared" si="8"/>
        <v>10</v>
      </c>
      <c r="Y61" s="37">
        <f t="shared" si="9"/>
        <v>12</v>
      </c>
      <c r="Z61" s="38">
        <f t="shared" si="10"/>
        <v>2</v>
      </c>
      <c r="AA61" s="39" t="str">
        <f t="shared" si="11"/>
        <v>-20 años</v>
      </c>
    </row>
    <row r="62" ht="15.75" customHeight="1">
      <c r="A62" s="26" t="s">
        <v>199</v>
      </c>
      <c r="B62" s="27" t="s">
        <v>33</v>
      </c>
      <c r="C62" s="28" t="s">
        <v>34</v>
      </c>
      <c r="D62" s="29">
        <v>44622.0</v>
      </c>
      <c r="E62" s="30" t="s">
        <v>200</v>
      </c>
      <c r="F62" s="44">
        <v>38717.24</v>
      </c>
      <c r="G62" s="30" t="s">
        <v>36</v>
      </c>
      <c r="H62" s="30" t="s">
        <v>50</v>
      </c>
      <c r="I62" s="32">
        <v>44587.0</v>
      </c>
      <c r="J62" s="5"/>
      <c r="K62" s="27" t="s">
        <v>54</v>
      </c>
      <c r="L62" s="45" t="s">
        <v>41</v>
      </c>
      <c r="M62" s="45" t="s">
        <v>42</v>
      </c>
      <c r="N62" s="33" t="s">
        <v>201</v>
      </c>
      <c r="O62" s="30">
        <v>5.535683014E9</v>
      </c>
      <c r="P62" s="34" t="str">
        <f t="shared" si="1"/>
        <v>DARINKA UREÑA CASILLAS</v>
      </c>
      <c r="Q62" s="35" t="str">
        <f>IF(D62="","",VLOOKUP(MONTH(D62),Listas!$C$2:$D$14,2,0))</f>
        <v>Marzo</v>
      </c>
      <c r="R62" s="36">
        <f t="shared" si="2"/>
        <v>2022</v>
      </c>
      <c r="S62" s="37">
        <f t="shared" si="3"/>
        <v>2</v>
      </c>
      <c r="T62" s="37">
        <f t="shared" si="4"/>
        <v>2</v>
      </c>
      <c r="U62" s="37">
        <f t="shared" si="5"/>
        <v>3</v>
      </c>
      <c r="V62" s="37">
        <f t="shared" si="6"/>
        <v>26</v>
      </c>
      <c r="W62" s="37">
        <f t="shared" si="7"/>
        <v>26</v>
      </c>
      <c r="X62" s="37">
        <f t="shared" si="8"/>
        <v>1</v>
      </c>
      <c r="Y62" s="37">
        <f t="shared" si="9"/>
        <v>3</v>
      </c>
      <c r="Z62" s="38">
        <f t="shared" si="10"/>
        <v>4</v>
      </c>
      <c r="AA62" s="39" t="str">
        <f t="shared" si="11"/>
        <v>-20 años</v>
      </c>
    </row>
    <row r="63" ht="15.75" customHeight="1">
      <c r="A63" s="26" t="s">
        <v>202</v>
      </c>
      <c r="B63" s="27" t="s">
        <v>33</v>
      </c>
      <c r="C63" s="28" t="s">
        <v>34</v>
      </c>
      <c r="D63" s="29">
        <v>44053.0</v>
      </c>
      <c r="E63" s="30" t="s">
        <v>203</v>
      </c>
      <c r="F63" s="31">
        <f>324.25*12*7.118</f>
        <v>27696.138</v>
      </c>
      <c r="G63" s="30" t="s">
        <v>45</v>
      </c>
      <c r="H63" s="30" t="s">
        <v>37</v>
      </c>
      <c r="I63" s="32">
        <v>44915.0</v>
      </c>
      <c r="J63" s="5"/>
      <c r="K63" s="30" t="s">
        <v>54</v>
      </c>
      <c r="L63" s="30" t="s">
        <v>46</v>
      </c>
      <c r="M63" s="30" t="s">
        <v>47</v>
      </c>
      <c r="N63" s="33" t="s">
        <v>204</v>
      </c>
      <c r="O63" s="30">
        <v>3.33970575E9</v>
      </c>
      <c r="P63" s="34" t="str">
        <f t="shared" si="1"/>
        <v>DARINKA UREÑA CASILLAS</v>
      </c>
      <c r="Q63" s="35" t="str">
        <f>IF(D63="","",VLOOKUP(MONTH(D63),Listas!$C$2:$D$14,2,0))</f>
        <v>Agosto</v>
      </c>
      <c r="R63" s="36">
        <f t="shared" si="2"/>
        <v>2020</v>
      </c>
      <c r="S63" s="37">
        <f t="shared" si="3"/>
        <v>10</v>
      </c>
      <c r="T63" s="37">
        <f t="shared" si="4"/>
        <v>10</v>
      </c>
      <c r="U63" s="37">
        <f t="shared" si="5"/>
        <v>8</v>
      </c>
      <c r="V63" s="37">
        <f t="shared" si="6"/>
        <v>20</v>
      </c>
      <c r="W63" s="37">
        <f t="shared" si="7"/>
        <v>20</v>
      </c>
      <c r="X63" s="37">
        <f t="shared" si="8"/>
        <v>12</v>
      </c>
      <c r="Y63" s="37">
        <f t="shared" si="9"/>
        <v>8</v>
      </c>
      <c r="Z63" s="38">
        <f t="shared" si="10"/>
        <v>3</v>
      </c>
      <c r="AA63" s="39" t="str">
        <f t="shared" si="11"/>
        <v>-20 años</v>
      </c>
    </row>
    <row r="64" ht="15.75" customHeight="1">
      <c r="A64" s="26" t="s">
        <v>205</v>
      </c>
      <c r="B64" s="27" t="s">
        <v>33</v>
      </c>
      <c r="C64" s="28" t="s">
        <v>34</v>
      </c>
      <c r="D64" s="29">
        <v>44280.0</v>
      </c>
      <c r="E64" s="30" t="s">
        <v>206</v>
      </c>
      <c r="F64" s="31">
        <f>1828.53*2*7.118</f>
        <v>26030.95308</v>
      </c>
      <c r="G64" s="30" t="s">
        <v>45</v>
      </c>
      <c r="H64" s="30" t="s">
        <v>50</v>
      </c>
      <c r="I64" s="30" t="s">
        <v>207</v>
      </c>
      <c r="J64" s="5"/>
      <c r="K64" s="30" t="s">
        <v>40</v>
      </c>
      <c r="L64" s="30" t="s">
        <v>46</v>
      </c>
      <c r="M64" s="30" t="s">
        <v>47</v>
      </c>
      <c r="N64" s="33" t="s">
        <v>208</v>
      </c>
      <c r="O64" s="30">
        <v>3.316119244E9</v>
      </c>
      <c r="P64" s="34" t="str">
        <f t="shared" si="1"/>
        <v>DARINKA UREÑA CASILLAS</v>
      </c>
      <c r="Q64" s="35" t="str">
        <f>IF(D64="","",VLOOKUP(MONTH(D64),Listas!$C$2:$D$14,2,0))</f>
        <v>Marzo</v>
      </c>
      <c r="R64" s="36">
        <f t="shared" si="2"/>
        <v>2021</v>
      </c>
      <c r="S64" s="37">
        <f t="shared" si="3"/>
        <v>25</v>
      </c>
      <c r="T64" s="37">
        <f t="shared" si="4"/>
        <v>25</v>
      </c>
      <c r="U64" s="37">
        <f t="shared" si="5"/>
        <v>3</v>
      </c>
      <c r="V64" s="37">
        <f t="shared" si="6"/>
        <v>5</v>
      </c>
      <c r="W64" s="37">
        <f t="shared" si="7"/>
        <v>5</v>
      </c>
      <c r="X64" s="37">
        <f t="shared" si="8"/>
        <v>9</v>
      </c>
      <c r="Y64" s="37">
        <f t="shared" si="9"/>
        <v>3</v>
      </c>
      <c r="Z64" s="38">
        <f t="shared" si="10"/>
        <v>0</v>
      </c>
      <c r="AA64" s="39" t="str">
        <f t="shared" si="11"/>
        <v>-20 años</v>
      </c>
    </row>
    <row r="65" ht="15.75" customHeight="1">
      <c r="A65" s="26" t="s">
        <v>209</v>
      </c>
      <c r="B65" s="27" t="s">
        <v>33</v>
      </c>
      <c r="C65" s="28" t="s">
        <v>34</v>
      </c>
      <c r="D65" s="29">
        <v>44096.0</v>
      </c>
      <c r="E65" s="30" t="s">
        <v>210</v>
      </c>
      <c r="F65" s="31">
        <f>14800.98*4</f>
        <v>59203.92</v>
      </c>
      <c r="G65" s="30" t="s">
        <v>36</v>
      </c>
      <c r="H65" s="30" t="s">
        <v>94</v>
      </c>
      <c r="I65" s="48">
        <v>44964.0</v>
      </c>
      <c r="J65" s="5"/>
      <c r="K65" s="27" t="s">
        <v>54</v>
      </c>
      <c r="L65" s="45" t="s">
        <v>41</v>
      </c>
      <c r="M65" s="45" t="s">
        <v>51</v>
      </c>
      <c r="N65" s="33" t="s">
        <v>211</v>
      </c>
      <c r="O65" s="30">
        <v>3.325701779E9</v>
      </c>
      <c r="P65" s="34" t="str">
        <f t="shared" si="1"/>
        <v>DARINKA UREÑA CASILLAS</v>
      </c>
      <c r="Q65" s="35" t="str">
        <f>IF(D65="","",VLOOKUP(MONTH(D65),Listas!$C$2:$D$14,2,0))</f>
        <v>Septiembre</v>
      </c>
      <c r="R65" s="36">
        <f t="shared" si="2"/>
        <v>2020</v>
      </c>
      <c r="S65" s="37">
        <f t="shared" si="3"/>
        <v>22</v>
      </c>
      <c r="T65" s="37">
        <f t="shared" si="4"/>
        <v>22</v>
      </c>
      <c r="U65" s="37">
        <f t="shared" si="5"/>
        <v>9</v>
      </c>
      <c r="V65" s="37">
        <f t="shared" si="6"/>
        <v>7</v>
      </c>
      <c r="W65" s="37">
        <f t="shared" si="7"/>
        <v>7</v>
      </c>
      <c r="X65" s="37">
        <f t="shared" si="8"/>
        <v>2</v>
      </c>
      <c r="Y65" s="37">
        <f t="shared" si="9"/>
        <v>9</v>
      </c>
      <c r="Z65" s="38">
        <f t="shared" si="10"/>
        <v>3</v>
      </c>
      <c r="AA65" s="39" t="str">
        <f t="shared" si="11"/>
        <v>-20 años</v>
      </c>
    </row>
    <row r="66" ht="15.75" customHeight="1">
      <c r="A66" s="26" t="s">
        <v>212</v>
      </c>
      <c r="B66" s="27" t="s">
        <v>56</v>
      </c>
      <c r="C66" s="28" t="s">
        <v>34</v>
      </c>
      <c r="D66" s="29">
        <v>44916.0</v>
      </c>
      <c r="E66" s="30" t="s">
        <v>213</v>
      </c>
      <c r="F66" s="44">
        <v>30717.59</v>
      </c>
      <c r="G66" s="30" t="s">
        <v>36</v>
      </c>
      <c r="H66" s="30" t="s">
        <v>58</v>
      </c>
      <c r="I66" s="32">
        <v>44803.0</v>
      </c>
      <c r="J66" s="5"/>
      <c r="K66" s="30" t="s">
        <v>40</v>
      </c>
      <c r="L66" s="45" t="s">
        <v>41</v>
      </c>
      <c r="M66" s="45" t="s">
        <v>51</v>
      </c>
      <c r="N66" s="33" t="s">
        <v>214</v>
      </c>
      <c r="O66" s="30">
        <v>3.316119244E9</v>
      </c>
      <c r="P66" s="34" t="str">
        <f t="shared" si="1"/>
        <v>DARINKA UREÑA CASILLAS</v>
      </c>
      <c r="Q66" s="35" t="str">
        <f>IF(D66="","",VLOOKUP(MONTH(D66),Listas!$C$2:$D$14,2,0))</f>
        <v>Diciembre</v>
      </c>
      <c r="R66" s="36">
        <f t="shared" si="2"/>
        <v>2022</v>
      </c>
      <c r="S66" s="37">
        <f t="shared" si="3"/>
        <v>21</v>
      </c>
      <c r="T66" s="37">
        <f t="shared" si="4"/>
        <v>21</v>
      </c>
      <c r="U66" s="37">
        <f t="shared" si="5"/>
        <v>12</v>
      </c>
      <c r="V66" s="37">
        <f t="shared" si="6"/>
        <v>30</v>
      </c>
      <c r="W66" s="37">
        <f t="shared" si="7"/>
        <v>30</v>
      </c>
      <c r="X66" s="37">
        <f t="shared" si="8"/>
        <v>8</v>
      </c>
      <c r="Y66" s="37">
        <f t="shared" si="9"/>
        <v>12</v>
      </c>
      <c r="Z66" s="38">
        <f t="shared" si="10"/>
        <v>3</v>
      </c>
      <c r="AA66" s="39" t="str">
        <f t="shared" si="11"/>
        <v>-20 años</v>
      </c>
    </row>
    <row r="67" ht="15.75" customHeight="1">
      <c r="A67" s="26" t="s">
        <v>212</v>
      </c>
      <c r="B67" s="27" t="s">
        <v>56</v>
      </c>
      <c r="C67" s="28" t="s">
        <v>34</v>
      </c>
      <c r="D67" s="29">
        <v>44276.0</v>
      </c>
      <c r="E67" s="30" t="s">
        <v>215</v>
      </c>
      <c r="F67" s="31">
        <f>2*4577.17*7.118</f>
        <v>65160.59212</v>
      </c>
      <c r="G67" s="30" t="s">
        <v>45</v>
      </c>
      <c r="H67" s="30" t="s">
        <v>50</v>
      </c>
      <c r="I67" s="32">
        <v>44803.0</v>
      </c>
      <c r="J67" s="5"/>
      <c r="K67" s="30" t="s">
        <v>40</v>
      </c>
      <c r="L67" s="30" t="s">
        <v>46</v>
      </c>
      <c r="M67" s="30" t="s">
        <v>47</v>
      </c>
      <c r="N67" s="33" t="s">
        <v>214</v>
      </c>
      <c r="O67" s="30">
        <v>3.316119244E9</v>
      </c>
      <c r="P67" s="34" t="str">
        <f t="shared" si="1"/>
        <v>DARINKA UREÑA CASILLAS</v>
      </c>
      <c r="Q67" s="35" t="str">
        <f>IF(D67="","",VLOOKUP(MONTH(D67),Listas!$C$2:$D$14,2,0))</f>
        <v>Marzo</v>
      </c>
      <c r="R67" s="36">
        <f t="shared" si="2"/>
        <v>2021</v>
      </c>
      <c r="S67" s="37">
        <f t="shared" si="3"/>
        <v>21</v>
      </c>
      <c r="T67" s="37">
        <f t="shared" si="4"/>
        <v>21</v>
      </c>
      <c r="U67" s="37">
        <f t="shared" si="5"/>
        <v>3</v>
      </c>
      <c r="V67" s="37">
        <f t="shared" si="6"/>
        <v>30</v>
      </c>
      <c r="W67" s="37">
        <f t="shared" si="7"/>
        <v>30</v>
      </c>
      <c r="X67" s="37">
        <f t="shared" si="8"/>
        <v>8</v>
      </c>
      <c r="Y67" s="37">
        <f t="shared" si="9"/>
        <v>3</v>
      </c>
      <c r="Z67" s="38">
        <f t="shared" si="10"/>
        <v>3</v>
      </c>
      <c r="AA67" s="39" t="str">
        <f t="shared" si="11"/>
        <v>-20 años</v>
      </c>
    </row>
    <row r="68" ht="15.75" customHeight="1">
      <c r="A68" s="26" t="s">
        <v>216</v>
      </c>
      <c r="B68" s="27" t="s">
        <v>56</v>
      </c>
      <c r="C68" s="28" t="s">
        <v>34</v>
      </c>
      <c r="D68" s="29">
        <v>44092.0</v>
      </c>
      <c r="E68" s="30" t="s">
        <v>217</v>
      </c>
      <c r="F68" s="31">
        <f>3057.2*7.118</f>
        <v>21761.1496</v>
      </c>
      <c r="G68" s="30" t="s">
        <v>45</v>
      </c>
      <c r="H68" s="30" t="s">
        <v>58</v>
      </c>
      <c r="I68" s="32">
        <v>44916.0</v>
      </c>
      <c r="J68" s="5"/>
      <c r="K68" s="30" t="s">
        <v>54</v>
      </c>
      <c r="L68" s="30" t="s">
        <v>46</v>
      </c>
      <c r="M68" s="30" t="s">
        <v>47</v>
      </c>
      <c r="N68" s="33" t="s">
        <v>218</v>
      </c>
      <c r="O68" s="30">
        <v>3.331919169E9</v>
      </c>
      <c r="P68" s="34" t="str">
        <f t="shared" si="1"/>
        <v>DARINKA UREÑA CASILLAS</v>
      </c>
      <c r="Q68" s="35" t="str">
        <f>IF(D68="","",VLOOKUP(MONTH(D68),Listas!$C$2:$D$14,2,0))</f>
        <v>Septiembre</v>
      </c>
      <c r="R68" s="36">
        <f t="shared" si="2"/>
        <v>2020</v>
      </c>
      <c r="S68" s="37">
        <f t="shared" si="3"/>
        <v>18</v>
      </c>
      <c r="T68" s="37">
        <f t="shared" si="4"/>
        <v>18</v>
      </c>
      <c r="U68" s="37">
        <f t="shared" si="5"/>
        <v>9</v>
      </c>
      <c r="V68" s="37">
        <f t="shared" si="6"/>
        <v>21</v>
      </c>
      <c r="W68" s="37">
        <f t="shared" si="7"/>
        <v>21</v>
      </c>
      <c r="X68" s="37">
        <f t="shared" si="8"/>
        <v>12</v>
      </c>
      <c r="Y68" s="37">
        <f t="shared" si="9"/>
        <v>9</v>
      </c>
      <c r="Z68" s="38">
        <f t="shared" si="10"/>
        <v>3</v>
      </c>
      <c r="AA68" s="39" t="str">
        <f t="shared" si="11"/>
        <v>-20 años</v>
      </c>
    </row>
    <row r="69" ht="15.75" customHeight="1">
      <c r="A69" s="26" t="s">
        <v>219</v>
      </c>
      <c r="B69" s="27" t="s">
        <v>56</v>
      </c>
      <c r="C69" s="28" t="s">
        <v>34</v>
      </c>
      <c r="D69" s="29">
        <v>44020.0</v>
      </c>
      <c r="E69" s="30" t="s">
        <v>220</v>
      </c>
      <c r="F69" s="31">
        <f>5586.81*7.118</f>
        <v>39766.91358</v>
      </c>
      <c r="G69" s="30" t="s">
        <v>45</v>
      </c>
      <c r="H69" s="30" t="s">
        <v>58</v>
      </c>
      <c r="I69" s="32">
        <v>44674.0</v>
      </c>
      <c r="J69" s="5"/>
      <c r="K69" s="30" t="s">
        <v>40</v>
      </c>
      <c r="L69" s="30" t="s">
        <v>46</v>
      </c>
      <c r="M69" s="30" t="s">
        <v>47</v>
      </c>
      <c r="N69" s="33" t="s">
        <v>221</v>
      </c>
      <c r="O69" s="30">
        <v>3.331838401E9</v>
      </c>
      <c r="P69" s="34" t="str">
        <f t="shared" si="1"/>
        <v>DARINKA UREÑA CASILLAS</v>
      </c>
      <c r="Q69" s="35" t="str">
        <f>IF(D69="","",VLOOKUP(MONTH(D69),Listas!$C$2:$D$14,2,0))</f>
        <v>Julio</v>
      </c>
      <c r="R69" s="36">
        <f t="shared" si="2"/>
        <v>2020</v>
      </c>
      <c r="S69" s="37">
        <f t="shared" si="3"/>
        <v>8</v>
      </c>
      <c r="T69" s="37">
        <f t="shared" si="4"/>
        <v>8</v>
      </c>
      <c r="U69" s="37">
        <f t="shared" si="5"/>
        <v>7</v>
      </c>
      <c r="V69" s="37">
        <f t="shared" si="6"/>
        <v>23</v>
      </c>
      <c r="W69" s="37">
        <f t="shared" si="7"/>
        <v>23</v>
      </c>
      <c r="X69" s="37">
        <f t="shared" si="8"/>
        <v>4</v>
      </c>
      <c r="Y69" s="37">
        <f t="shared" si="9"/>
        <v>7</v>
      </c>
      <c r="Z69" s="38">
        <f t="shared" si="10"/>
        <v>4</v>
      </c>
      <c r="AA69" s="39" t="str">
        <f t="shared" si="11"/>
        <v>-20 años</v>
      </c>
    </row>
    <row r="70" ht="15.75" customHeight="1">
      <c r="A70" s="26" t="s">
        <v>222</v>
      </c>
      <c r="B70" s="27" t="s">
        <v>33</v>
      </c>
      <c r="C70" s="28" t="s">
        <v>34</v>
      </c>
      <c r="D70" s="29">
        <v>44012.0</v>
      </c>
      <c r="E70" s="30" t="s">
        <v>223</v>
      </c>
      <c r="F70" s="31">
        <f>1349.06*12</f>
        <v>16188.72</v>
      </c>
      <c r="G70" s="30" t="s">
        <v>36</v>
      </c>
      <c r="H70" s="30" t="s">
        <v>37</v>
      </c>
      <c r="I70" s="32">
        <v>44865.0</v>
      </c>
      <c r="J70" s="27"/>
      <c r="K70" s="30" t="s">
        <v>40</v>
      </c>
      <c r="L70" s="30" t="s">
        <v>41</v>
      </c>
      <c r="M70" s="30" t="s">
        <v>42</v>
      </c>
      <c r="N70" s="33" t="s">
        <v>224</v>
      </c>
      <c r="O70" s="30">
        <v>3.310448631E9</v>
      </c>
      <c r="P70" s="34" t="str">
        <f t="shared" si="1"/>
        <v>DARINKA UREÑA CASILLAS</v>
      </c>
      <c r="Q70" s="35" t="str">
        <f>IF(D70="","",VLOOKUP(MONTH(D70),Listas!$C$2:$D$14,2,0))</f>
        <v>Junio</v>
      </c>
      <c r="R70" s="36">
        <f t="shared" si="2"/>
        <v>2020</v>
      </c>
      <c r="S70" s="37">
        <f t="shared" si="3"/>
        <v>30</v>
      </c>
      <c r="T70" s="37">
        <f t="shared" si="4"/>
        <v>30</v>
      </c>
      <c r="U70" s="37">
        <f t="shared" si="5"/>
        <v>6</v>
      </c>
      <c r="V70" s="37">
        <f t="shared" si="6"/>
        <v>31</v>
      </c>
      <c r="W70" s="37">
        <f t="shared" si="7"/>
        <v>31</v>
      </c>
      <c r="X70" s="37">
        <f t="shared" si="8"/>
        <v>10</v>
      </c>
      <c r="Y70" s="37">
        <f t="shared" si="9"/>
        <v>6</v>
      </c>
      <c r="Z70" s="38">
        <f t="shared" si="10"/>
        <v>3</v>
      </c>
      <c r="AA70" s="39" t="str">
        <f t="shared" si="11"/>
        <v>-20 años</v>
      </c>
    </row>
    <row r="71" ht="15.75" customHeight="1">
      <c r="A71" s="26" t="s">
        <v>222</v>
      </c>
      <c r="B71" s="27" t="s">
        <v>33</v>
      </c>
      <c r="C71" s="28" t="s">
        <v>34</v>
      </c>
      <c r="D71" s="29">
        <v>44019.0</v>
      </c>
      <c r="E71" s="30" t="s">
        <v>225</v>
      </c>
      <c r="F71" s="31">
        <f>326.69*12*7.118</f>
        <v>27904.55304</v>
      </c>
      <c r="G71" s="30" t="s">
        <v>45</v>
      </c>
      <c r="H71" s="30" t="s">
        <v>37</v>
      </c>
      <c r="I71" s="32">
        <v>44865.0</v>
      </c>
      <c r="J71" s="5"/>
      <c r="K71" s="30" t="s">
        <v>40</v>
      </c>
      <c r="L71" s="30" t="s">
        <v>46</v>
      </c>
      <c r="M71" s="30" t="s">
        <v>47</v>
      </c>
      <c r="N71" s="33" t="s">
        <v>224</v>
      </c>
      <c r="O71" s="30">
        <v>3.310448631E9</v>
      </c>
      <c r="P71" s="34" t="str">
        <f t="shared" si="1"/>
        <v>DARINKA UREÑA CASILLAS</v>
      </c>
      <c r="Q71" s="35" t="str">
        <f>IF(D71="","",VLOOKUP(MONTH(D71),Listas!$C$2:$D$14,2,0))</f>
        <v>Julio</v>
      </c>
      <c r="R71" s="36">
        <f t="shared" si="2"/>
        <v>2020</v>
      </c>
      <c r="S71" s="37">
        <f t="shared" si="3"/>
        <v>7</v>
      </c>
      <c r="T71" s="37">
        <f t="shared" si="4"/>
        <v>7</v>
      </c>
      <c r="U71" s="37">
        <f t="shared" si="5"/>
        <v>7</v>
      </c>
      <c r="V71" s="37">
        <f t="shared" si="6"/>
        <v>31</v>
      </c>
      <c r="W71" s="37">
        <f t="shared" si="7"/>
        <v>31</v>
      </c>
      <c r="X71" s="37">
        <f t="shared" si="8"/>
        <v>10</v>
      </c>
      <c r="Y71" s="37">
        <f t="shared" si="9"/>
        <v>7</v>
      </c>
      <c r="Z71" s="38">
        <f t="shared" si="10"/>
        <v>3</v>
      </c>
      <c r="AA71" s="39" t="str">
        <f t="shared" si="11"/>
        <v>-20 años</v>
      </c>
    </row>
    <row r="72" ht="15.75" customHeight="1">
      <c r="A72" s="26" t="s">
        <v>222</v>
      </c>
      <c r="B72" s="27" t="s">
        <v>33</v>
      </c>
      <c r="C72" s="28" t="s">
        <v>34</v>
      </c>
      <c r="D72" s="29">
        <v>44467.0</v>
      </c>
      <c r="E72" s="30" t="s">
        <v>226</v>
      </c>
      <c r="F72" s="31">
        <f>9364.78*2</f>
        <v>18729.56</v>
      </c>
      <c r="G72" s="30" t="s">
        <v>36</v>
      </c>
      <c r="H72" s="30" t="s">
        <v>50</v>
      </c>
      <c r="I72" s="32">
        <v>44865.0</v>
      </c>
      <c r="J72" s="5"/>
      <c r="K72" s="30" t="s">
        <v>40</v>
      </c>
      <c r="L72" s="30" t="s">
        <v>41</v>
      </c>
      <c r="M72" s="30" t="s">
        <v>42</v>
      </c>
      <c r="N72" s="33" t="s">
        <v>224</v>
      </c>
      <c r="O72" s="30">
        <v>3.310448631E9</v>
      </c>
      <c r="P72" s="34" t="str">
        <f t="shared" si="1"/>
        <v>DARINKA UREÑA CASILLAS</v>
      </c>
      <c r="Q72" s="35" t="str">
        <f>IF(D72="","",VLOOKUP(MONTH(D72),Listas!$C$2:$D$14,2,0))</f>
        <v>Septiembre</v>
      </c>
      <c r="R72" s="36">
        <f t="shared" si="2"/>
        <v>2021</v>
      </c>
      <c r="S72" s="37">
        <f t="shared" si="3"/>
        <v>28</v>
      </c>
      <c r="T72" s="37">
        <f t="shared" si="4"/>
        <v>28</v>
      </c>
      <c r="U72" s="37">
        <f t="shared" si="5"/>
        <v>9</v>
      </c>
      <c r="V72" s="37">
        <f t="shared" si="6"/>
        <v>31</v>
      </c>
      <c r="W72" s="37">
        <f t="shared" si="7"/>
        <v>31</v>
      </c>
      <c r="X72" s="37">
        <f t="shared" si="8"/>
        <v>10</v>
      </c>
      <c r="Y72" s="37">
        <f t="shared" si="9"/>
        <v>9</v>
      </c>
      <c r="Z72" s="38">
        <f t="shared" si="10"/>
        <v>3</v>
      </c>
      <c r="AA72" s="39" t="str">
        <f t="shared" si="11"/>
        <v>-20 años</v>
      </c>
    </row>
    <row r="73" ht="15.75" customHeight="1">
      <c r="A73" s="26" t="s">
        <v>227</v>
      </c>
      <c r="B73" s="27" t="s">
        <v>33</v>
      </c>
      <c r="C73" s="28" t="s">
        <v>34</v>
      </c>
      <c r="D73" s="29">
        <v>44641.0</v>
      </c>
      <c r="E73" s="30" t="s">
        <v>228</v>
      </c>
      <c r="F73" s="46">
        <v>50638.2642</v>
      </c>
      <c r="G73" s="30" t="s">
        <v>45</v>
      </c>
      <c r="H73" s="30" t="s">
        <v>58</v>
      </c>
      <c r="I73" s="32">
        <v>44858.0</v>
      </c>
      <c r="J73" s="5"/>
      <c r="K73" s="27" t="s">
        <v>54</v>
      </c>
      <c r="L73" s="45" t="s">
        <v>46</v>
      </c>
      <c r="M73" s="45" t="s">
        <v>47</v>
      </c>
      <c r="N73" s="33" t="s">
        <v>229</v>
      </c>
      <c r="O73" s="30">
        <v>3.331675304E9</v>
      </c>
      <c r="P73" s="34" t="str">
        <f t="shared" si="1"/>
        <v>DARINKA UREÑA CASILLAS</v>
      </c>
      <c r="Q73" s="35" t="str">
        <f>IF(D73="","",VLOOKUP(MONTH(D73),Listas!$C$2:$D$14,2,0))</f>
        <v>Marzo</v>
      </c>
      <c r="R73" s="36">
        <f t="shared" si="2"/>
        <v>2022</v>
      </c>
      <c r="S73" s="37">
        <f t="shared" si="3"/>
        <v>21</v>
      </c>
      <c r="T73" s="37">
        <f t="shared" si="4"/>
        <v>21</v>
      </c>
      <c r="U73" s="37">
        <f t="shared" si="5"/>
        <v>3</v>
      </c>
      <c r="V73" s="37">
        <f t="shared" si="6"/>
        <v>24</v>
      </c>
      <c r="W73" s="37">
        <f t="shared" si="7"/>
        <v>24</v>
      </c>
      <c r="X73" s="37">
        <f t="shared" si="8"/>
        <v>10</v>
      </c>
      <c r="Y73" s="37">
        <f t="shared" si="9"/>
        <v>3</v>
      </c>
      <c r="Z73" s="38">
        <f t="shared" si="10"/>
        <v>3</v>
      </c>
      <c r="AA73" s="39" t="str">
        <f t="shared" si="11"/>
        <v>-20 años</v>
      </c>
    </row>
    <row r="74" ht="15.75" customHeight="1">
      <c r="A74" s="26" t="s">
        <v>230</v>
      </c>
      <c r="B74" s="27" t="s">
        <v>56</v>
      </c>
      <c r="C74" s="28" t="s">
        <v>34</v>
      </c>
      <c r="D74" s="29">
        <v>43867.0</v>
      </c>
      <c r="E74" s="30" t="s">
        <v>231</v>
      </c>
      <c r="F74" s="31">
        <f>1431.36*12</f>
        <v>17176.32</v>
      </c>
      <c r="G74" s="30" t="s">
        <v>36</v>
      </c>
      <c r="H74" s="30" t="s">
        <v>37</v>
      </c>
      <c r="I74" s="32">
        <v>44589.0</v>
      </c>
      <c r="J74" s="27"/>
      <c r="K74" s="30" t="s">
        <v>54</v>
      </c>
      <c r="L74" s="30" t="s">
        <v>41</v>
      </c>
      <c r="M74" s="30" t="s">
        <v>51</v>
      </c>
      <c r="N74" s="33" t="s">
        <v>232</v>
      </c>
      <c r="O74" s="30">
        <v>3.323382232E9</v>
      </c>
      <c r="P74" s="34" t="str">
        <f t="shared" si="1"/>
        <v>DARINKA UREÑA CASILLAS</v>
      </c>
      <c r="Q74" s="35" t="str">
        <f>IF(D74="","",VLOOKUP(MONTH(D74),Listas!$C$2:$D$14,2,0))</f>
        <v>Febrero</v>
      </c>
      <c r="R74" s="36">
        <f t="shared" si="2"/>
        <v>2020</v>
      </c>
      <c r="S74" s="37">
        <f t="shared" si="3"/>
        <v>6</v>
      </c>
      <c r="T74" s="37">
        <f t="shared" si="4"/>
        <v>6</v>
      </c>
      <c r="U74" s="37">
        <f t="shared" si="5"/>
        <v>2</v>
      </c>
      <c r="V74" s="37">
        <f t="shared" si="6"/>
        <v>28</v>
      </c>
      <c r="W74" s="37">
        <f t="shared" si="7"/>
        <v>28</v>
      </c>
      <c r="X74" s="37">
        <f t="shared" si="8"/>
        <v>1</v>
      </c>
      <c r="Y74" s="37">
        <f t="shared" si="9"/>
        <v>2</v>
      </c>
      <c r="Z74" s="38">
        <f t="shared" si="10"/>
        <v>4</v>
      </c>
      <c r="AA74" s="39" t="str">
        <f t="shared" si="11"/>
        <v>-20 años</v>
      </c>
    </row>
    <row r="75" ht="15.75" customHeight="1">
      <c r="A75" s="26" t="s">
        <v>233</v>
      </c>
      <c r="B75" s="27" t="s">
        <v>33</v>
      </c>
      <c r="C75" s="28" t="s">
        <v>34</v>
      </c>
      <c r="D75" s="29">
        <v>44362.0</v>
      </c>
      <c r="E75" s="30" t="s">
        <v>234</v>
      </c>
      <c r="F75" s="31">
        <f>3346.79*7.118</f>
        <v>23822.45122</v>
      </c>
      <c r="G75" s="30" t="s">
        <v>45</v>
      </c>
      <c r="H75" s="30" t="s">
        <v>58</v>
      </c>
      <c r="I75" s="32">
        <v>44726.0</v>
      </c>
      <c r="J75" s="5"/>
      <c r="K75" s="30" t="s">
        <v>54</v>
      </c>
      <c r="L75" s="30" t="s">
        <v>46</v>
      </c>
      <c r="M75" s="30" t="s">
        <v>47</v>
      </c>
      <c r="N75" s="33" t="s">
        <v>235</v>
      </c>
      <c r="O75" s="30">
        <v>3.339540399E9</v>
      </c>
      <c r="P75" s="34" t="str">
        <f t="shared" si="1"/>
        <v>DARINKA UREÑA CASILLAS</v>
      </c>
      <c r="Q75" s="35" t="str">
        <f>IF(D75="","",VLOOKUP(MONTH(D75),Listas!$C$2:$D$14,2,0))</f>
        <v>Junio</v>
      </c>
      <c r="R75" s="36">
        <f t="shared" si="2"/>
        <v>2021</v>
      </c>
      <c r="S75" s="37">
        <f t="shared" si="3"/>
        <v>15</v>
      </c>
      <c r="T75" s="37">
        <f t="shared" si="4"/>
        <v>15</v>
      </c>
      <c r="U75" s="37">
        <f t="shared" si="5"/>
        <v>6</v>
      </c>
      <c r="V75" s="37">
        <f t="shared" si="6"/>
        <v>14</v>
      </c>
      <c r="W75" s="37">
        <f t="shared" si="7"/>
        <v>14</v>
      </c>
      <c r="X75" s="37">
        <f t="shared" si="8"/>
        <v>6</v>
      </c>
      <c r="Y75" s="37">
        <f t="shared" si="9"/>
        <v>6</v>
      </c>
      <c r="Z75" s="38">
        <f t="shared" si="10"/>
        <v>3</v>
      </c>
      <c r="AA75" s="39" t="str">
        <f t="shared" si="11"/>
        <v>-20 años</v>
      </c>
    </row>
    <row r="76" ht="15.75" customHeight="1">
      <c r="A76" s="26" t="s">
        <v>236</v>
      </c>
      <c r="B76" s="27" t="s">
        <v>33</v>
      </c>
      <c r="C76" s="28" t="s">
        <v>34</v>
      </c>
      <c r="D76" s="29">
        <v>43955.0</v>
      </c>
      <c r="E76" s="30" t="s">
        <v>237</v>
      </c>
      <c r="F76" s="31">
        <f>3731.53*7.118</f>
        <v>26561.03054</v>
      </c>
      <c r="G76" s="30" t="s">
        <v>45</v>
      </c>
      <c r="H76" s="30" t="s">
        <v>58</v>
      </c>
      <c r="I76" s="32">
        <v>44648.0</v>
      </c>
      <c r="J76" s="5"/>
      <c r="K76" s="30" t="s">
        <v>54</v>
      </c>
      <c r="L76" s="30" t="s">
        <v>46</v>
      </c>
      <c r="M76" s="30" t="s">
        <v>47</v>
      </c>
      <c r="N76" s="33" t="s">
        <v>238</v>
      </c>
      <c r="O76" s="30">
        <v>3.338162151E9</v>
      </c>
      <c r="P76" s="34" t="str">
        <f t="shared" si="1"/>
        <v>DARINKA UREÑA CASILLAS</v>
      </c>
      <c r="Q76" s="35" t="str">
        <f>IF(D76="","",VLOOKUP(MONTH(D76),Listas!$C$2:$D$14,2,0))</f>
        <v>Mayo</v>
      </c>
      <c r="R76" s="36">
        <f t="shared" si="2"/>
        <v>2020</v>
      </c>
      <c r="S76" s="37">
        <f t="shared" si="3"/>
        <v>4</v>
      </c>
      <c r="T76" s="37">
        <f t="shared" si="4"/>
        <v>4</v>
      </c>
      <c r="U76" s="37">
        <f t="shared" si="5"/>
        <v>5</v>
      </c>
      <c r="V76" s="37">
        <f t="shared" si="6"/>
        <v>28</v>
      </c>
      <c r="W76" s="37">
        <f t="shared" si="7"/>
        <v>28</v>
      </c>
      <c r="X76" s="37">
        <f t="shared" si="8"/>
        <v>3</v>
      </c>
      <c r="Y76" s="37">
        <f t="shared" si="9"/>
        <v>5</v>
      </c>
      <c r="Z76" s="38">
        <f t="shared" si="10"/>
        <v>4</v>
      </c>
      <c r="AA76" s="39" t="str">
        <f t="shared" si="11"/>
        <v>-20 años</v>
      </c>
    </row>
    <row r="77" ht="15.75" customHeight="1">
      <c r="A77" s="26" t="s">
        <v>239</v>
      </c>
      <c r="B77" s="27" t="s">
        <v>56</v>
      </c>
      <c r="C77" s="28" t="s">
        <v>34</v>
      </c>
      <c r="D77" s="29">
        <v>44366.0</v>
      </c>
      <c r="E77" s="30" t="s">
        <v>240</v>
      </c>
      <c r="F77" s="31">
        <f>205.78*12*7.118</f>
        <v>17576.90448</v>
      </c>
      <c r="G77" s="30" t="s">
        <v>45</v>
      </c>
      <c r="H77" s="30" t="s">
        <v>37</v>
      </c>
      <c r="I77" s="32">
        <v>44730.0</v>
      </c>
      <c r="J77" s="5"/>
      <c r="K77" s="30" t="s">
        <v>40</v>
      </c>
      <c r="L77" s="30" t="s">
        <v>46</v>
      </c>
      <c r="M77" s="30" t="s">
        <v>47</v>
      </c>
      <c r="N77" s="33" t="s">
        <v>241</v>
      </c>
      <c r="O77" s="30">
        <v>3.314851938E9</v>
      </c>
      <c r="P77" s="34" t="str">
        <f t="shared" si="1"/>
        <v>DARINKA UREÑA CASILLAS</v>
      </c>
      <c r="Q77" s="35" t="str">
        <f>IF(D77="","",VLOOKUP(MONTH(D77),Listas!$C$2:$D$14,2,0))</f>
        <v>Junio</v>
      </c>
      <c r="R77" s="36">
        <f t="shared" si="2"/>
        <v>2021</v>
      </c>
      <c r="S77" s="37">
        <f t="shared" si="3"/>
        <v>19</v>
      </c>
      <c r="T77" s="37">
        <f t="shared" si="4"/>
        <v>19</v>
      </c>
      <c r="U77" s="37">
        <f t="shared" si="5"/>
        <v>6</v>
      </c>
      <c r="V77" s="37">
        <f t="shared" si="6"/>
        <v>18</v>
      </c>
      <c r="W77" s="37">
        <f t="shared" si="7"/>
        <v>18</v>
      </c>
      <c r="X77" s="37">
        <f t="shared" si="8"/>
        <v>6</v>
      </c>
      <c r="Y77" s="37">
        <f t="shared" si="9"/>
        <v>6</v>
      </c>
      <c r="Z77" s="38">
        <f t="shared" si="10"/>
        <v>3</v>
      </c>
      <c r="AA77" s="39" t="str">
        <f t="shared" si="11"/>
        <v>-20 años</v>
      </c>
    </row>
    <row r="78" ht="15.75" customHeight="1">
      <c r="A78" s="26" t="s">
        <v>242</v>
      </c>
      <c r="B78" s="27" t="s">
        <v>33</v>
      </c>
      <c r="C78" s="28" t="s">
        <v>34</v>
      </c>
      <c r="D78" s="29">
        <v>44516.0</v>
      </c>
      <c r="E78" s="30" t="s">
        <v>243</v>
      </c>
      <c r="F78" s="31">
        <f>228.16*12*7.118</f>
        <v>19488.51456</v>
      </c>
      <c r="G78" s="30" t="s">
        <v>36</v>
      </c>
      <c r="H78" s="30" t="s">
        <v>37</v>
      </c>
      <c r="I78" s="32">
        <v>44568.0</v>
      </c>
      <c r="J78" s="5"/>
      <c r="K78" s="30" t="s">
        <v>40</v>
      </c>
      <c r="L78" s="30" t="s">
        <v>46</v>
      </c>
      <c r="M78" s="30" t="s">
        <v>47</v>
      </c>
      <c r="N78" s="33" t="s">
        <v>244</v>
      </c>
      <c r="O78" s="30">
        <v>3.339445412E9</v>
      </c>
      <c r="P78" s="34" t="str">
        <f t="shared" si="1"/>
        <v>DARINKA UREÑA CASILLAS</v>
      </c>
      <c r="Q78" s="35" t="str">
        <f>IF(D78="","",VLOOKUP(MONTH(D78),Listas!$C$2:$D$14,2,0))</f>
        <v>Noviembre</v>
      </c>
      <c r="R78" s="36">
        <f t="shared" si="2"/>
        <v>2021</v>
      </c>
      <c r="S78" s="37">
        <f t="shared" si="3"/>
        <v>16</v>
      </c>
      <c r="T78" s="37">
        <f t="shared" si="4"/>
        <v>16</v>
      </c>
      <c r="U78" s="37">
        <f t="shared" si="5"/>
        <v>11</v>
      </c>
      <c r="V78" s="37">
        <f t="shared" si="6"/>
        <v>7</v>
      </c>
      <c r="W78" s="37">
        <f t="shared" si="7"/>
        <v>7</v>
      </c>
      <c r="X78" s="37">
        <f t="shared" si="8"/>
        <v>1</v>
      </c>
      <c r="Y78" s="37">
        <f t="shared" si="9"/>
        <v>11</v>
      </c>
      <c r="Z78" s="38">
        <f t="shared" si="10"/>
        <v>4</v>
      </c>
      <c r="AA78" s="39" t="str">
        <f t="shared" si="11"/>
        <v>-20 años</v>
      </c>
    </row>
    <row r="79" ht="15.75" customHeight="1">
      <c r="A79" s="26" t="s">
        <v>245</v>
      </c>
      <c r="B79" s="27" t="s">
        <v>33</v>
      </c>
      <c r="C79" s="28" t="s">
        <v>34</v>
      </c>
      <c r="D79" s="29">
        <v>44059.0</v>
      </c>
      <c r="E79" s="30" t="s">
        <v>246</v>
      </c>
      <c r="F79" s="31">
        <f>8303.73*7.118</f>
        <v>59105.95014</v>
      </c>
      <c r="G79" s="30" t="s">
        <v>45</v>
      </c>
      <c r="H79" s="30" t="s">
        <v>58</v>
      </c>
      <c r="I79" s="32">
        <v>44617.0</v>
      </c>
      <c r="J79" s="5"/>
      <c r="K79" s="30" t="s">
        <v>40</v>
      </c>
      <c r="L79" s="30" t="s">
        <v>46</v>
      </c>
      <c r="M79" s="30" t="s">
        <v>47</v>
      </c>
      <c r="N79" s="33" t="s">
        <v>247</v>
      </c>
      <c r="O79" s="30">
        <v>3.336264624E9</v>
      </c>
      <c r="P79" s="34" t="str">
        <f t="shared" si="1"/>
        <v>DARINKA UREÑA CASILLAS</v>
      </c>
      <c r="Q79" s="35" t="str">
        <f>IF(D79="","",VLOOKUP(MONTH(D79),Listas!$C$2:$D$14,2,0))</f>
        <v>Agosto</v>
      </c>
      <c r="R79" s="36">
        <f t="shared" si="2"/>
        <v>2020</v>
      </c>
      <c r="S79" s="37">
        <f t="shared" si="3"/>
        <v>16</v>
      </c>
      <c r="T79" s="37">
        <f t="shared" si="4"/>
        <v>16</v>
      </c>
      <c r="U79" s="37">
        <f t="shared" si="5"/>
        <v>8</v>
      </c>
      <c r="V79" s="37">
        <f t="shared" si="6"/>
        <v>25</v>
      </c>
      <c r="W79" s="37">
        <f t="shared" si="7"/>
        <v>25</v>
      </c>
      <c r="X79" s="37">
        <f t="shared" si="8"/>
        <v>2</v>
      </c>
      <c r="Y79" s="37">
        <f t="shared" si="9"/>
        <v>8</v>
      </c>
      <c r="Z79" s="38">
        <f t="shared" si="10"/>
        <v>4</v>
      </c>
      <c r="AA79" s="39" t="str">
        <f t="shared" si="11"/>
        <v>-20 años</v>
      </c>
    </row>
    <row r="80" ht="15.75" customHeight="1">
      <c r="A80" s="26" t="s">
        <v>248</v>
      </c>
      <c r="B80" s="27" t="s">
        <v>56</v>
      </c>
      <c r="C80" s="28" t="s">
        <v>34</v>
      </c>
      <c r="D80" s="29">
        <v>44177.0</v>
      </c>
      <c r="E80" s="30" t="s">
        <v>249</v>
      </c>
      <c r="F80" s="31">
        <f>5457.98*7.118</f>
        <v>38849.90164</v>
      </c>
      <c r="G80" s="30" t="s">
        <v>45</v>
      </c>
      <c r="H80" s="30" t="s">
        <v>58</v>
      </c>
      <c r="I80" s="32">
        <v>44922.0</v>
      </c>
      <c r="J80" s="5"/>
      <c r="K80" s="30" t="s">
        <v>54</v>
      </c>
      <c r="L80" s="30" t="s">
        <v>46</v>
      </c>
      <c r="M80" s="30" t="s">
        <v>47</v>
      </c>
      <c r="N80" s="33" t="s">
        <v>250</v>
      </c>
      <c r="O80" s="30">
        <v>3.314251081E9</v>
      </c>
      <c r="P80" s="34" t="str">
        <f t="shared" si="1"/>
        <v>DARINKA UREÑA CASILLAS</v>
      </c>
      <c r="Q80" s="35" t="str">
        <f>IF(D80="","",VLOOKUP(MONTH(D80),Listas!$C$2:$D$14,2,0))</f>
        <v>Diciembre</v>
      </c>
      <c r="R80" s="36">
        <f t="shared" si="2"/>
        <v>2020</v>
      </c>
      <c r="S80" s="37">
        <f t="shared" si="3"/>
        <v>12</v>
      </c>
      <c r="T80" s="37">
        <f t="shared" si="4"/>
        <v>12</v>
      </c>
      <c r="U80" s="37">
        <f t="shared" si="5"/>
        <v>12</v>
      </c>
      <c r="V80" s="37">
        <f t="shared" si="6"/>
        <v>27</v>
      </c>
      <c r="W80" s="37">
        <f t="shared" si="7"/>
        <v>27</v>
      </c>
      <c r="X80" s="37">
        <f t="shared" si="8"/>
        <v>12</v>
      </c>
      <c r="Y80" s="37">
        <f t="shared" si="9"/>
        <v>12</v>
      </c>
      <c r="Z80" s="38">
        <f t="shared" si="10"/>
        <v>3</v>
      </c>
      <c r="AA80" s="39" t="str">
        <f t="shared" si="11"/>
        <v>-20 años</v>
      </c>
    </row>
    <row r="81" ht="15.75" customHeight="1">
      <c r="A81" s="26" t="s">
        <v>248</v>
      </c>
      <c r="B81" s="27" t="s">
        <v>56</v>
      </c>
      <c r="C81" s="28" t="s">
        <v>34</v>
      </c>
      <c r="D81" s="29">
        <v>43249.0</v>
      </c>
      <c r="E81" s="30" t="s">
        <v>251</v>
      </c>
      <c r="F81" s="31">
        <f>4602.9*7.41</f>
        <v>34107.489</v>
      </c>
      <c r="G81" s="30" t="s">
        <v>45</v>
      </c>
      <c r="H81" s="30" t="s">
        <v>58</v>
      </c>
      <c r="I81" s="50">
        <v>44922.0</v>
      </c>
      <c r="J81" s="5"/>
      <c r="K81" s="27" t="s">
        <v>54</v>
      </c>
      <c r="L81" s="45" t="s">
        <v>46</v>
      </c>
      <c r="M81" s="45" t="s">
        <v>47</v>
      </c>
      <c r="N81" s="33" t="s">
        <v>250</v>
      </c>
      <c r="O81" s="30">
        <v>3.314251081E9</v>
      </c>
      <c r="P81" s="34" t="str">
        <f t="shared" si="1"/>
        <v>DARINKA UREÑA CASILLAS</v>
      </c>
      <c r="Q81" s="35" t="str">
        <f>IF(D81="","",VLOOKUP(MONTH(D81),Listas!$C$2:$D$14,2,0))</f>
        <v>Mayo</v>
      </c>
      <c r="R81" s="36">
        <f t="shared" si="2"/>
        <v>2018</v>
      </c>
      <c r="S81" s="37">
        <f t="shared" si="3"/>
        <v>29</v>
      </c>
      <c r="T81" s="37">
        <f t="shared" si="4"/>
        <v>29</v>
      </c>
      <c r="U81" s="37">
        <f t="shared" si="5"/>
        <v>5</v>
      </c>
      <c r="V81" s="37">
        <f t="shared" si="6"/>
        <v>27</v>
      </c>
      <c r="W81" s="37">
        <f t="shared" si="7"/>
        <v>27</v>
      </c>
      <c r="X81" s="37">
        <f t="shared" si="8"/>
        <v>12</v>
      </c>
      <c r="Y81" s="37">
        <f t="shared" si="9"/>
        <v>5</v>
      </c>
      <c r="Z81" s="38">
        <f t="shared" si="10"/>
        <v>3</v>
      </c>
      <c r="AA81" s="39" t="str">
        <f t="shared" si="11"/>
        <v>-20 años</v>
      </c>
    </row>
    <row r="82" ht="15.75" customHeight="1">
      <c r="A82" s="26" t="s">
        <v>252</v>
      </c>
      <c r="B82" s="27" t="s">
        <v>56</v>
      </c>
      <c r="C82" s="28" t="s">
        <v>34</v>
      </c>
      <c r="D82" s="29">
        <v>44740.0</v>
      </c>
      <c r="E82" s="30" t="s">
        <v>253</v>
      </c>
      <c r="F82" s="31">
        <f>2260.19*7.41</f>
        <v>16748.0079</v>
      </c>
      <c r="G82" s="30" t="s">
        <v>45</v>
      </c>
      <c r="H82" s="30" t="s">
        <v>58</v>
      </c>
      <c r="I82" s="50">
        <v>45015.0</v>
      </c>
      <c r="J82" s="5"/>
      <c r="K82" s="27" t="s">
        <v>54</v>
      </c>
      <c r="L82" s="45" t="s">
        <v>46</v>
      </c>
      <c r="M82" s="45" t="s">
        <v>117</v>
      </c>
      <c r="N82" s="33" t="s">
        <v>254</v>
      </c>
      <c r="O82" s="30">
        <v>3.310813799E9</v>
      </c>
      <c r="P82" s="34" t="str">
        <f t="shared" si="1"/>
        <v>DARINKA UREÑA CASILLAS</v>
      </c>
      <c r="Q82" s="35" t="str">
        <f>IF(D82="","",VLOOKUP(MONTH(D82),Listas!$C$2:$D$14,2,0))</f>
        <v>Junio</v>
      </c>
      <c r="R82" s="36">
        <f t="shared" si="2"/>
        <v>2022</v>
      </c>
      <c r="S82" s="37">
        <f t="shared" si="3"/>
        <v>28</v>
      </c>
      <c r="T82" s="37">
        <f t="shared" si="4"/>
        <v>28</v>
      </c>
      <c r="U82" s="37">
        <f t="shared" si="5"/>
        <v>6</v>
      </c>
      <c r="V82" s="37">
        <f t="shared" si="6"/>
        <v>30</v>
      </c>
      <c r="W82" s="37">
        <f t="shared" si="7"/>
        <v>30</v>
      </c>
      <c r="X82" s="37">
        <f t="shared" si="8"/>
        <v>3</v>
      </c>
      <c r="Y82" s="37">
        <f t="shared" si="9"/>
        <v>6</v>
      </c>
      <c r="Z82" s="38">
        <f t="shared" si="10"/>
        <v>3</v>
      </c>
      <c r="AA82" s="39" t="str">
        <f t="shared" si="11"/>
        <v>-20 años</v>
      </c>
    </row>
    <row r="83" ht="15.75" customHeight="1">
      <c r="A83" s="51" t="s">
        <v>255</v>
      </c>
      <c r="B83" s="27" t="s">
        <v>56</v>
      </c>
      <c r="C83" s="28" t="s">
        <v>34</v>
      </c>
      <c r="D83" s="29">
        <v>44848.0</v>
      </c>
      <c r="E83" s="30" t="s">
        <v>256</v>
      </c>
      <c r="F83" s="31">
        <f>241.19*12*7.65</f>
        <v>22141.242</v>
      </c>
      <c r="G83" s="30" t="s">
        <v>45</v>
      </c>
      <c r="H83" s="30" t="s">
        <v>37</v>
      </c>
      <c r="I83" s="50">
        <v>45260.0</v>
      </c>
      <c r="J83" s="5"/>
      <c r="K83" s="27" t="s">
        <v>54</v>
      </c>
      <c r="L83" s="45" t="s">
        <v>46</v>
      </c>
      <c r="M83" s="45" t="s">
        <v>257</v>
      </c>
      <c r="N83" s="33" t="s">
        <v>258</v>
      </c>
      <c r="O83" s="30">
        <v>3.32832694E9</v>
      </c>
      <c r="P83" s="34" t="str">
        <f t="shared" si="1"/>
        <v>DARINKA UREÑA CASILLAS</v>
      </c>
      <c r="Q83" s="35" t="str">
        <f>IF(D83="","",VLOOKUP(MONTH(D83),Listas!$C$2:$D$14,2,0))</f>
        <v>Octubre</v>
      </c>
      <c r="R83" s="36">
        <f t="shared" si="2"/>
        <v>2022</v>
      </c>
      <c r="S83" s="37">
        <f t="shared" si="3"/>
        <v>14</v>
      </c>
      <c r="T83" s="37">
        <f t="shared" si="4"/>
        <v>14</v>
      </c>
      <c r="U83" s="37">
        <f t="shared" si="5"/>
        <v>10</v>
      </c>
      <c r="V83" s="37">
        <f t="shared" si="6"/>
        <v>30</v>
      </c>
      <c r="W83" s="37">
        <f t="shared" si="7"/>
        <v>30</v>
      </c>
      <c r="X83" s="37">
        <f t="shared" si="8"/>
        <v>11</v>
      </c>
      <c r="Y83" s="37">
        <f t="shared" si="9"/>
        <v>10</v>
      </c>
      <c r="Z83" s="38">
        <f t="shared" si="10"/>
        <v>2</v>
      </c>
      <c r="AA83" s="39" t="str">
        <f t="shared" si="11"/>
        <v>-20 años</v>
      </c>
    </row>
    <row r="84" ht="15.75" customHeight="1">
      <c r="A84" s="51" t="s">
        <v>259</v>
      </c>
      <c r="B84" s="27" t="s">
        <v>56</v>
      </c>
      <c r="C84" s="28" t="s">
        <v>34</v>
      </c>
      <c r="D84" s="29">
        <v>43683.0</v>
      </c>
      <c r="E84" s="30" t="s">
        <v>260</v>
      </c>
      <c r="F84" s="31">
        <f>3636.96*7.65</f>
        <v>27822.744</v>
      </c>
      <c r="G84" s="30" t="s">
        <v>45</v>
      </c>
      <c r="H84" s="30" t="s">
        <v>37</v>
      </c>
      <c r="I84" s="50">
        <v>45157.0</v>
      </c>
      <c r="J84" s="5"/>
      <c r="K84" s="27" t="s">
        <v>54</v>
      </c>
      <c r="L84" s="45" t="s">
        <v>46</v>
      </c>
      <c r="M84" s="45" t="s">
        <v>101</v>
      </c>
      <c r="N84" s="33" t="s">
        <v>261</v>
      </c>
      <c r="O84" s="30">
        <v>3.324972428E9</v>
      </c>
      <c r="P84" s="34" t="str">
        <f t="shared" si="1"/>
        <v>DARINKA UREÑA CASILLAS</v>
      </c>
      <c r="Q84" s="35" t="str">
        <f>IF(D84="","",VLOOKUP(MONTH(D84),Listas!$C$2:$D$14,2,0))</f>
        <v>Agosto</v>
      </c>
      <c r="R84" s="36">
        <f t="shared" si="2"/>
        <v>2019</v>
      </c>
      <c r="S84" s="37">
        <f t="shared" si="3"/>
        <v>6</v>
      </c>
      <c r="T84" s="37">
        <f t="shared" si="4"/>
        <v>6</v>
      </c>
      <c r="U84" s="37">
        <f t="shared" si="5"/>
        <v>8</v>
      </c>
      <c r="V84" s="37">
        <f t="shared" si="6"/>
        <v>19</v>
      </c>
      <c r="W84" s="37">
        <f t="shared" si="7"/>
        <v>19</v>
      </c>
      <c r="X84" s="37">
        <f t="shared" si="8"/>
        <v>8</v>
      </c>
      <c r="Y84" s="37">
        <f t="shared" si="9"/>
        <v>8</v>
      </c>
      <c r="Z84" s="38">
        <f t="shared" si="10"/>
        <v>2</v>
      </c>
      <c r="AA84" s="39" t="str">
        <f t="shared" si="11"/>
        <v>-20 años</v>
      </c>
    </row>
    <row r="85" ht="15.75" customHeight="1">
      <c r="A85" s="26" t="s">
        <v>262</v>
      </c>
      <c r="B85" s="27" t="s">
        <v>33</v>
      </c>
      <c r="C85" s="28" t="s">
        <v>34</v>
      </c>
      <c r="D85" s="29">
        <v>44091.0</v>
      </c>
      <c r="E85" s="30" t="s">
        <v>263</v>
      </c>
      <c r="F85" s="31">
        <f>1222.72*2*7.118</f>
        <v>17406.64192</v>
      </c>
      <c r="G85" s="30" t="s">
        <v>45</v>
      </c>
      <c r="H85" s="30" t="s">
        <v>50</v>
      </c>
      <c r="I85" s="32">
        <v>44919.0</v>
      </c>
      <c r="J85" s="5"/>
      <c r="K85" s="30" t="s">
        <v>54</v>
      </c>
      <c r="L85" s="30" t="s">
        <v>46</v>
      </c>
      <c r="M85" s="30" t="s">
        <v>47</v>
      </c>
      <c r="N85" s="33" t="s">
        <v>264</v>
      </c>
      <c r="O85" s="30">
        <v>3.314493281E9</v>
      </c>
      <c r="P85" s="34" t="str">
        <f t="shared" si="1"/>
        <v>DARINKA UREÑA CASILLAS</v>
      </c>
      <c r="Q85" s="35" t="str">
        <f>IF(D85="","",VLOOKUP(MONTH(D85),Listas!$C$2:$D$14,2,0))</f>
        <v>Septiembre</v>
      </c>
      <c r="R85" s="36">
        <f t="shared" si="2"/>
        <v>2020</v>
      </c>
      <c r="S85" s="37">
        <f t="shared" si="3"/>
        <v>17</v>
      </c>
      <c r="T85" s="37">
        <f t="shared" si="4"/>
        <v>17</v>
      </c>
      <c r="U85" s="37">
        <f t="shared" si="5"/>
        <v>9</v>
      </c>
      <c r="V85" s="37">
        <f t="shared" si="6"/>
        <v>24</v>
      </c>
      <c r="W85" s="37">
        <f t="shared" si="7"/>
        <v>24</v>
      </c>
      <c r="X85" s="37">
        <f t="shared" si="8"/>
        <v>12</v>
      </c>
      <c r="Y85" s="37">
        <f t="shared" si="9"/>
        <v>9</v>
      </c>
      <c r="Z85" s="38">
        <f t="shared" si="10"/>
        <v>3</v>
      </c>
      <c r="AA85" s="39" t="str">
        <f t="shared" si="11"/>
        <v>-20 años</v>
      </c>
    </row>
    <row r="86" ht="15.75" customHeight="1">
      <c r="A86" s="26" t="s">
        <v>265</v>
      </c>
      <c r="B86" s="27" t="s">
        <v>33</v>
      </c>
      <c r="C86" s="28" t="s">
        <v>34</v>
      </c>
      <c r="D86" s="29">
        <v>44441.0</v>
      </c>
      <c r="E86" s="30" t="s">
        <v>266</v>
      </c>
      <c r="F86" s="44">
        <v>50624.26</v>
      </c>
      <c r="G86" s="30" t="s">
        <v>36</v>
      </c>
      <c r="H86" s="30" t="s">
        <v>58</v>
      </c>
      <c r="I86" s="30" t="s">
        <v>38</v>
      </c>
      <c r="J86" s="5"/>
      <c r="K86" s="30" t="s">
        <v>40</v>
      </c>
      <c r="L86" s="30" t="s">
        <v>41</v>
      </c>
      <c r="M86" s="30" t="s">
        <v>42</v>
      </c>
      <c r="N86" s="33" t="s">
        <v>267</v>
      </c>
      <c r="O86" s="30">
        <v>3.316996266E9</v>
      </c>
      <c r="P86" s="34" t="str">
        <f t="shared" si="1"/>
        <v>DARINKA UREÑA CASILLAS</v>
      </c>
      <c r="Q86" s="35" t="str">
        <f>IF(D86="","",VLOOKUP(MONTH(D86),Listas!$C$2:$D$14,2,0))</f>
        <v>Septiembre</v>
      </c>
      <c r="R86" s="36">
        <f t="shared" si="2"/>
        <v>2021</v>
      </c>
      <c r="S86" s="37">
        <f t="shared" si="3"/>
        <v>2</v>
      </c>
      <c r="T86" s="37">
        <f t="shared" si="4"/>
        <v>2</v>
      </c>
      <c r="U86" s="37">
        <f t="shared" si="5"/>
        <v>9</v>
      </c>
      <c r="V86" s="37">
        <f t="shared" si="6"/>
        <v>15</v>
      </c>
      <c r="W86" s="37">
        <f t="shared" si="7"/>
        <v>15</v>
      </c>
      <c r="X86" s="37">
        <f t="shared" si="8"/>
        <v>9</v>
      </c>
      <c r="Y86" s="37">
        <f t="shared" si="9"/>
        <v>9</v>
      </c>
      <c r="Z86" s="38">
        <f t="shared" si="10"/>
        <v>0</v>
      </c>
      <c r="AA86" s="39" t="str">
        <f t="shared" si="11"/>
        <v>-20 años</v>
      </c>
    </row>
    <row r="87" ht="15.75" customHeight="1">
      <c r="A87" s="51" t="s">
        <v>265</v>
      </c>
      <c r="B87" s="27" t="s">
        <v>33</v>
      </c>
      <c r="C87" s="28" t="s">
        <v>34</v>
      </c>
      <c r="D87" s="29">
        <v>44544.0</v>
      </c>
      <c r="E87" s="30" t="s">
        <v>268</v>
      </c>
      <c r="F87" s="31">
        <f>4*7.118*1937.82</f>
        <v>55173.61104</v>
      </c>
      <c r="G87" s="30" t="s">
        <v>45</v>
      </c>
      <c r="H87" s="30" t="s">
        <v>94</v>
      </c>
      <c r="I87" s="30" t="s">
        <v>38</v>
      </c>
      <c r="J87" s="5"/>
      <c r="K87" s="30" t="s">
        <v>40</v>
      </c>
      <c r="L87" s="30" t="s">
        <v>46</v>
      </c>
      <c r="M87" s="30" t="s">
        <v>117</v>
      </c>
      <c r="N87" s="33" t="s">
        <v>267</v>
      </c>
      <c r="O87" s="30">
        <v>3.316996266E9</v>
      </c>
      <c r="P87" s="34" t="str">
        <f t="shared" si="1"/>
        <v>DARINKA UREÑA CASILLAS</v>
      </c>
      <c r="Q87" s="35" t="str">
        <f>IF(D87="","",VLOOKUP(MONTH(D87),Listas!$C$2:$D$14,2,0))</f>
        <v>Diciembre</v>
      </c>
      <c r="R87" s="36">
        <f t="shared" si="2"/>
        <v>2021</v>
      </c>
      <c r="S87" s="37">
        <f t="shared" si="3"/>
        <v>14</v>
      </c>
      <c r="T87" s="37">
        <f t="shared" si="4"/>
        <v>14</v>
      </c>
      <c r="U87" s="37">
        <f t="shared" si="5"/>
        <v>12</v>
      </c>
      <c r="V87" s="37">
        <f t="shared" si="6"/>
        <v>15</v>
      </c>
      <c r="W87" s="37">
        <f t="shared" si="7"/>
        <v>15</v>
      </c>
      <c r="X87" s="37">
        <f t="shared" si="8"/>
        <v>9</v>
      </c>
      <c r="Y87" s="37">
        <f t="shared" si="9"/>
        <v>12</v>
      </c>
      <c r="Z87" s="38">
        <f t="shared" si="10"/>
        <v>0</v>
      </c>
      <c r="AA87" s="39" t="str">
        <f t="shared" si="11"/>
        <v>-20 años</v>
      </c>
    </row>
    <row r="88" ht="15.75" customHeight="1">
      <c r="A88" s="26" t="s">
        <v>269</v>
      </c>
      <c r="B88" s="27" t="s">
        <v>33</v>
      </c>
      <c r="C88" s="28" t="s">
        <v>34</v>
      </c>
      <c r="D88" s="29">
        <v>43878.0</v>
      </c>
      <c r="E88" s="30" t="s">
        <v>270</v>
      </c>
      <c r="F88" s="31">
        <f>2*7.118*1341.86</f>
        <v>19102.71896</v>
      </c>
      <c r="G88" s="30" t="s">
        <v>45</v>
      </c>
      <c r="H88" s="30" t="s">
        <v>37</v>
      </c>
      <c r="I88" s="32">
        <v>44908.0</v>
      </c>
      <c r="J88" s="5"/>
      <c r="K88" s="30" t="s">
        <v>54</v>
      </c>
      <c r="L88" s="30" t="s">
        <v>46</v>
      </c>
      <c r="M88" s="30" t="s">
        <v>47</v>
      </c>
      <c r="N88" s="33" t="s">
        <v>271</v>
      </c>
      <c r="O88" s="30">
        <v>3.32536443E9</v>
      </c>
      <c r="P88" s="34" t="str">
        <f t="shared" si="1"/>
        <v>DARINKA UREÑA CASILLAS</v>
      </c>
      <c r="Q88" s="35" t="str">
        <f>IF(D88="","",VLOOKUP(MONTH(D88),Listas!$C$2:$D$14,2,0))</f>
        <v>Febrero</v>
      </c>
      <c r="R88" s="36">
        <f t="shared" si="2"/>
        <v>2020</v>
      </c>
      <c r="S88" s="37">
        <f t="shared" si="3"/>
        <v>17</v>
      </c>
      <c r="T88" s="37">
        <f t="shared" si="4"/>
        <v>17</v>
      </c>
      <c r="U88" s="37">
        <f t="shared" si="5"/>
        <v>2</v>
      </c>
      <c r="V88" s="37">
        <f t="shared" si="6"/>
        <v>13</v>
      </c>
      <c r="W88" s="37">
        <f t="shared" si="7"/>
        <v>13</v>
      </c>
      <c r="X88" s="37">
        <f t="shared" si="8"/>
        <v>12</v>
      </c>
      <c r="Y88" s="37">
        <f t="shared" si="9"/>
        <v>2</v>
      </c>
      <c r="Z88" s="38">
        <f t="shared" si="10"/>
        <v>3</v>
      </c>
      <c r="AA88" s="39" t="str">
        <f t="shared" si="11"/>
        <v>-20 años</v>
      </c>
    </row>
    <row r="89" ht="15.75" customHeight="1">
      <c r="A89" s="26" t="s">
        <v>272</v>
      </c>
      <c r="B89" s="27" t="s">
        <v>33</v>
      </c>
      <c r="C89" s="28" t="s">
        <v>34</v>
      </c>
      <c r="D89" s="29">
        <v>44818.0</v>
      </c>
      <c r="E89" s="30" t="s">
        <v>273</v>
      </c>
      <c r="F89" s="31">
        <f>2030.95*7.65</f>
        <v>15536.7675</v>
      </c>
      <c r="G89" s="30" t="s">
        <v>45</v>
      </c>
      <c r="H89" s="30" t="s">
        <v>58</v>
      </c>
      <c r="I89" s="32">
        <v>45248.0</v>
      </c>
      <c r="J89" s="5"/>
      <c r="K89" s="30" t="s">
        <v>274</v>
      </c>
      <c r="L89" s="30" t="s">
        <v>46</v>
      </c>
      <c r="M89" s="30" t="s">
        <v>47</v>
      </c>
      <c r="N89" s="33" t="s">
        <v>275</v>
      </c>
      <c r="O89" s="30">
        <v>3.338715628E9</v>
      </c>
      <c r="P89" s="34" t="str">
        <f t="shared" si="1"/>
        <v>DARINKA UREÑA CASILLAS</v>
      </c>
      <c r="Q89" s="35" t="str">
        <f>IF(D89="","",VLOOKUP(MONTH(D89),Listas!$C$2:$D$14,2,0))</f>
        <v>Septiembre</v>
      </c>
      <c r="R89" s="36">
        <f t="shared" si="2"/>
        <v>2022</v>
      </c>
      <c r="S89" s="37">
        <f t="shared" si="3"/>
        <v>14</v>
      </c>
      <c r="T89" s="37">
        <f t="shared" si="4"/>
        <v>14</v>
      </c>
      <c r="U89" s="37">
        <f t="shared" si="5"/>
        <v>9</v>
      </c>
      <c r="V89" s="37">
        <f t="shared" si="6"/>
        <v>18</v>
      </c>
      <c r="W89" s="37">
        <f t="shared" si="7"/>
        <v>18</v>
      </c>
      <c r="X89" s="37">
        <f t="shared" si="8"/>
        <v>11</v>
      </c>
      <c r="Y89" s="37">
        <f t="shared" si="9"/>
        <v>9</v>
      </c>
      <c r="Z89" s="38">
        <f t="shared" si="10"/>
        <v>2</v>
      </c>
      <c r="AA89" s="39" t="str">
        <f t="shared" si="11"/>
        <v>-20 años</v>
      </c>
    </row>
    <row r="90" ht="15.75" customHeight="1">
      <c r="A90" s="26" t="s">
        <v>276</v>
      </c>
      <c r="B90" s="27" t="s">
        <v>56</v>
      </c>
      <c r="C90" s="28" t="s">
        <v>34</v>
      </c>
      <c r="D90" s="29">
        <v>44507.0</v>
      </c>
      <c r="E90" s="30" t="s">
        <v>277</v>
      </c>
      <c r="F90" s="31">
        <f>7032.06*4</f>
        <v>28128.24</v>
      </c>
      <c r="G90" s="30" t="s">
        <v>45</v>
      </c>
      <c r="H90" s="30" t="s">
        <v>37</v>
      </c>
      <c r="I90" s="32">
        <v>44780.0</v>
      </c>
      <c r="J90" s="5"/>
      <c r="K90" s="30" t="s">
        <v>54</v>
      </c>
      <c r="L90" s="30" t="s">
        <v>41</v>
      </c>
      <c r="M90" s="30" t="s">
        <v>51</v>
      </c>
      <c r="N90" s="33" t="s">
        <v>278</v>
      </c>
      <c r="O90" s="30">
        <v>3.318007866E9</v>
      </c>
      <c r="P90" s="34" t="str">
        <f t="shared" si="1"/>
        <v>DARINKA UREÑA CASILLAS</v>
      </c>
      <c r="Q90" s="35" t="str">
        <f>IF(D90="","",VLOOKUP(MONTH(D90),Listas!$C$2:$D$14,2,0))</f>
        <v>Noviembre</v>
      </c>
      <c r="R90" s="36">
        <f t="shared" si="2"/>
        <v>2021</v>
      </c>
      <c r="S90" s="37">
        <f t="shared" si="3"/>
        <v>7</v>
      </c>
      <c r="T90" s="37">
        <f t="shared" si="4"/>
        <v>7</v>
      </c>
      <c r="U90" s="37">
        <f t="shared" si="5"/>
        <v>11</v>
      </c>
      <c r="V90" s="37">
        <f t="shared" si="6"/>
        <v>7</v>
      </c>
      <c r="W90" s="37">
        <f t="shared" si="7"/>
        <v>7</v>
      </c>
      <c r="X90" s="37">
        <f t="shared" si="8"/>
        <v>8</v>
      </c>
      <c r="Y90" s="37">
        <f t="shared" si="9"/>
        <v>11</v>
      </c>
      <c r="Z90" s="38">
        <f t="shared" si="10"/>
        <v>3</v>
      </c>
      <c r="AA90" s="39" t="str">
        <f t="shared" si="11"/>
        <v>-20 años</v>
      </c>
    </row>
    <row r="91" ht="15.75" customHeight="1">
      <c r="A91" s="26" t="s">
        <v>279</v>
      </c>
      <c r="B91" s="27" t="s">
        <v>33</v>
      </c>
      <c r="C91" s="28" t="s">
        <v>34</v>
      </c>
      <c r="D91" s="29">
        <v>44693.0</v>
      </c>
      <c r="E91" s="30" t="s">
        <v>280</v>
      </c>
      <c r="F91" s="31">
        <f>4161.05*7.33</f>
        <v>30500.4965</v>
      </c>
      <c r="G91" s="27" t="s">
        <v>45</v>
      </c>
      <c r="H91" s="30" t="s">
        <v>58</v>
      </c>
      <c r="I91" s="32">
        <v>44993.0</v>
      </c>
      <c r="J91" s="1"/>
      <c r="K91" s="27" t="s">
        <v>54</v>
      </c>
      <c r="L91" s="45" t="s">
        <v>46</v>
      </c>
      <c r="M91" s="45" t="s">
        <v>47</v>
      </c>
      <c r="N91" s="33" t="s">
        <v>281</v>
      </c>
      <c r="O91" s="30">
        <v>8.16655191E9</v>
      </c>
      <c r="P91" s="34" t="str">
        <f t="shared" si="1"/>
        <v>DARINKA UREÑA CASILLAS</v>
      </c>
      <c r="Q91" s="35" t="str">
        <f>IF(D91="","",VLOOKUP(MONTH(D91),Listas!$C$2:$D$14,2,0))</f>
        <v>Mayo</v>
      </c>
      <c r="R91" s="36">
        <f t="shared" si="2"/>
        <v>2022</v>
      </c>
      <c r="S91" s="37">
        <f t="shared" si="3"/>
        <v>12</v>
      </c>
      <c r="T91" s="37">
        <f t="shared" si="4"/>
        <v>12</v>
      </c>
      <c r="U91" s="37">
        <f t="shared" si="5"/>
        <v>5</v>
      </c>
      <c r="V91" s="37">
        <f t="shared" si="6"/>
        <v>8</v>
      </c>
      <c r="W91" s="37">
        <f t="shared" si="7"/>
        <v>8</v>
      </c>
      <c r="X91" s="37">
        <f t="shared" si="8"/>
        <v>3</v>
      </c>
      <c r="Y91" s="37">
        <f t="shared" si="9"/>
        <v>5</v>
      </c>
      <c r="Z91" s="38">
        <f t="shared" si="10"/>
        <v>3</v>
      </c>
      <c r="AA91" s="39" t="str">
        <f t="shared" si="11"/>
        <v>-20 años</v>
      </c>
    </row>
    <row r="92" ht="15.75" customHeight="1">
      <c r="A92" s="26" t="s">
        <v>282</v>
      </c>
      <c r="B92" s="27" t="s">
        <v>33</v>
      </c>
      <c r="C92" s="28" t="s">
        <v>34</v>
      </c>
      <c r="D92" s="29">
        <v>44174.0</v>
      </c>
      <c r="E92" s="30" t="s">
        <v>283</v>
      </c>
      <c r="F92" s="31">
        <f>1870.5*2*7.118</f>
        <v>26628.438</v>
      </c>
      <c r="G92" s="30" t="s">
        <v>45</v>
      </c>
      <c r="H92" s="30" t="s">
        <v>50</v>
      </c>
      <c r="I92" s="32">
        <v>44857.0</v>
      </c>
      <c r="J92" s="5"/>
      <c r="K92" s="30" t="s">
        <v>40</v>
      </c>
      <c r="L92" s="30" t="s">
        <v>46</v>
      </c>
      <c r="M92" s="30" t="s">
        <v>47</v>
      </c>
      <c r="N92" s="33" t="s">
        <v>284</v>
      </c>
      <c r="O92" s="30">
        <v>3.331009288E9</v>
      </c>
      <c r="P92" s="34" t="str">
        <f t="shared" si="1"/>
        <v>DARINKA UREÑA CASILLAS</v>
      </c>
      <c r="Q92" s="35" t="str">
        <f>IF(D92="","",VLOOKUP(MONTH(D92),Listas!$C$2:$D$14,2,0))</f>
        <v>Diciembre</v>
      </c>
      <c r="R92" s="36">
        <f t="shared" si="2"/>
        <v>2020</v>
      </c>
      <c r="S92" s="37">
        <f t="shared" si="3"/>
        <v>9</v>
      </c>
      <c r="T92" s="37">
        <f t="shared" si="4"/>
        <v>9</v>
      </c>
      <c r="U92" s="37">
        <f t="shared" si="5"/>
        <v>12</v>
      </c>
      <c r="V92" s="37">
        <f t="shared" si="6"/>
        <v>23</v>
      </c>
      <c r="W92" s="37">
        <f t="shared" si="7"/>
        <v>23</v>
      </c>
      <c r="X92" s="37">
        <f t="shared" si="8"/>
        <v>10</v>
      </c>
      <c r="Y92" s="37">
        <f t="shared" si="9"/>
        <v>12</v>
      </c>
      <c r="Z92" s="38">
        <f t="shared" si="10"/>
        <v>3</v>
      </c>
      <c r="AA92" s="39" t="str">
        <f t="shared" si="11"/>
        <v>-20 años</v>
      </c>
    </row>
    <row r="93" ht="15.75" customHeight="1">
      <c r="A93" s="26" t="s">
        <v>285</v>
      </c>
      <c r="B93" s="27" t="s">
        <v>56</v>
      </c>
      <c r="C93" s="28" t="s">
        <v>34</v>
      </c>
      <c r="D93" s="29">
        <v>44576.0</v>
      </c>
      <c r="E93" s="30" t="s">
        <v>286</v>
      </c>
      <c r="F93" s="31">
        <f>2542.17*7.118</f>
        <v>18095.16606</v>
      </c>
      <c r="G93" s="30" t="s">
        <v>45</v>
      </c>
      <c r="H93" s="30" t="s">
        <v>58</v>
      </c>
      <c r="I93" s="32">
        <v>44595.0</v>
      </c>
      <c r="J93" s="5"/>
      <c r="K93" s="30" t="s">
        <v>54</v>
      </c>
      <c r="L93" s="30" t="s">
        <v>46</v>
      </c>
      <c r="M93" s="30" t="s">
        <v>47</v>
      </c>
      <c r="N93" s="33" t="s">
        <v>287</v>
      </c>
      <c r="O93" s="30">
        <v>3.312952384E9</v>
      </c>
      <c r="P93" s="34" t="str">
        <f t="shared" si="1"/>
        <v>DARINKA UREÑA CASILLAS</v>
      </c>
      <c r="Q93" s="35" t="str">
        <f>IF(D93="","",VLOOKUP(MONTH(D93),Listas!$C$2:$D$14,2,0))</f>
        <v>Enero</v>
      </c>
      <c r="R93" s="36">
        <f t="shared" si="2"/>
        <v>2022</v>
      </c>
      <c r="S93" s="37">
        <f t="shared" si="3"/>
        <v>15</v>
      </c>
      <c r="T93" s="37">
        <f t="shared" si="4"/>
        <v>15</v>
      </c>
      <c r="U93" s="37">
        <f t="shared" si="5"/>
        <v>1</v>
      </c>
      <c r="V93" s="37">
        <f t="shared" si="6"/>
        <v>3</v>
      </c>
      <c r="W93" s="37">
        <f t="shared" si="7"/>
        <v>3</v>
      </c>
      <c r="X93" s="37">
        <f t="shared" si="8"/>
        <v>2</v>
      </c>
      <c r="Y93" s="37">
        <f t="shared" si="9"/>
        <v>1</v>
      </c>
      <c r="Z93" s="38">
        <f t="shared" si="10"/>
        <v>4</v>
      </c>
      <c r="AA93" s="39" t="str">
        <f t="shared" si="11"/>
        <v>-20 años</v>
      </c>
    </row>
    <row r="94" ht="15.75" customHeight="1">
      <c r="A94" s="26" t="s">
        <v>288</v>
      </c>
      <c r="B94" s="27" t="s">
        <v>56</v>
      </c>
      <c r="C94" s="28" t="s">
        <v>34</v>
      </c>
      <c r="D94" s="29">
        <v>44678.0</v>
      </c>
      <c r="E94" s="30" t="s">
        <v>289</v>
      </c>
      <c r="F94" s="31">
        <f>219.13*12*7.31</f>
        <v>19222.0836</v>
      </c>
      <c r="G94" s="27" t="s">
        <v>45</v>
      </c>
      <c r="H94" s="30" t="s">
        <v>37</v>
      </c>
      <c r="I94" s="32">
        <v>45154.0</v>
      </c>
      <c r="J94" s="5"/>
      <c r="K94" s="27" t="s">
        <v>54</v>
      </c>
      <c r="L94" s="45" t="s">
        <v>46</v>
      </c>
      <c r="M94" s="45" t="s">
        <v>47</v>
      </c>
      <c r="N94" s="33" t="s">
        <v>290</v>
      </c>
      <c r="O94" s="30">
        <v>9.87564619E9</v>
      </c>
      <c r="P94" s="34" t="str">
        <f t="shared" si="1"/>
        <v>DARINKA UREÑA CASILLAS</v>
      </c>
      <c r="Q94" s="35" t="str">
        <f>IF(D94="","",VLOOKUP(MONTH(D94),Listas!$C$2:$D$14,2,0))</f>
        <v>Abril</v>
      </c>
      <c r="R94" s="36">
        <f t="shared" si="2"/>
        <v>2022</v>
      </c>
      <c r="S94" s="37">
        <f t="shared" si="3"/>
        <v>27</v>
      </c>
      <c r="T94" s="37">
        <f t="shared" si="4"/>
        <v>27</v>
      </c>
      <c r="U94" s="37">
        <f t="shared" si="5"/>
        <v>4</v>
      </c>
      <c r="V94" s="37">
        <f t="shared" si="6"/>
        <v>16</v>
      </c>
      <c r="W94" s="37">
        <f t="shared" si="7"/>
        <v>16</v>
      </c>
      <c r="X94" s="37">
        <f t="shared" si="8"/>
        <v>8</v>
      </c>
      <c r="Y94" s="37">
        <f t="shared" si="9"/>
        <v>4</v>
      </c>
      <c r="Z94" s="38">
        <f t="shared" si="10"/>
        <v>2</v>
      </c>
      <c r="AA94" s="39" t="str">
        <f t="shared" si="11"/>
        <v>-20 años</v>
      </c>
    </row>
    <row r="95" ht="15.75" customHeight="1">
      <c r="A95" s="26" t="s">
        <v>291</v>
      </c>
      <c r="B95" s="27" t="s">
        <v>33</v>
      </c>
      <c r="C95" s="28" t="s">
        <v>34</v>
      </c>
      <c r="D95" s="29">
        <v>44309.0</v>
      </c>
      <c r="E95" s="30" t="s">
        <v>292</v>
      </c>
      <c r="F95" s="31">
        <f>7.118*4*922.34</f>
        <v>26260.86448</v>
      </c>
      <c r="G95" s="30" t="s">
        <v>45</v>
      </c>
      <c r="H95" s="30" t="s">
        <v>94</v>
      </c>
      <c r="I95" s="32">
        <v>44857.0</v>
      </c>
      <c r="J95" s="5"/>
      <c r="K95" s="30" t="s">
        <v>54</v>
      </c>
      <c r="L95" s="30" t="s">
        <v>46</v>
      </c>
      <c r="M95" s="30" t="s">
        <v>47</v>
      </c>
      <c r="N95" s="33" t="s">
        <v>293</v>
      </c>
      <c r="O95" s="30">
        <v>3.339527328E9</v>
      </c>
      <c r="P95" s="34" t="str">
        <f t="shared" si="1"/>
        <v>DARINKA UREÑA CASILLAS</v>
      </c>
      <c r="Q95" s="35" t="str">
        <f>IF(D95="","",VLOOKUP(MONTH(D95),Listas!$C$2:$D$14,2,0))</f>
        <v>Abril</v>
      </c>
      <c r="R95" s="36">
        <f t="shared" si="2"/>
        <v>2021</v>
      </c>
      <c r="S95" s="37">
        <f t="shared" si="3"/>
        <v>23</v>
      </c>
      <c r="T95" s="37">
        <f t="shared" si="4"/>
        <v>23</v>
      </c>
      <c r="U95" s="37">
        <f t="shared" si="5"/>
        <v>4</v>
      </c>
      <c r="V95" s="37">
        <f t="shared" si="6"/>
        <v>23</v>
      </c>
      <c r="W95" s="37">
        <f t="shared" si="7"/>
        <v>23</v>
      </c>
      <c r="X95" s="37">
        <f t="shared" si="8"/>
        <v>10</v>
      </c>
      <c r="Y95" s="37">
        <f t="shared" si="9"/>
        <v>4</v>
      </c>
      <c r="Z95" s="38">
        <f t="shared" si="10"/>
        <v>3</v>
      </c>
      <c r="AA95" s="39" t="str">
        <f t="shared" si="11"/>
        <v>-20 años</v>
      </c>
    </row>
    <row r="96" ht="15.75" customHeight="1">
      <c r="A96" s="26" t="s">
        <v>294</v>
      </c>
      <c r="B96" s="27" t="s">
        <v>56</v>
      </c>
      <c r="C96" s="28" t="s">
        <v>34</v>
      </c>
      <c r="D96" s="29">
        <v>44782.0</v>
      </c>
      <c r="E96" s="30" t="s">
        <v>295</v>
      </c>
      <c r="F96" s="31">
        <f>2061.92*7.65</f>
        <v>15773.688</v>
      </c>
      <c r="G96" s="30" t="s">
        <v>45</v>
      </c>
      <c r="H96" s="30" t="s">
        <v>58</v>
      </c>
      <c r="I96" s="32">
        <v>45027.0</v>
      </c>
      <c r="J96" s="5"/>
      <c r="K96" s="30" t="s">
        <v>54</v>
      </c>
      <c r="L96" s="30" t="s">
        <v>46</v>
      </c>
      <c r="M96" s="30" t="s">
        <v>47</v>
      </c>
      <c r="N96" s="33" t="s">
        <v>296</v>
      </c>
      <c r="O96" s="30">
        <v>3.315544084E9</v>
      </c>
      <c r="P96" s="34" t="str">
        <f t="shared" si="1"/>
        <v>DARINKA UREÑA CASILLAS</v>
      </c>
      <c r="Q96" s="35" t="str">
        <f>IF(D96="","",VLOOKUP(MONTH(D96),Listas!$C$2:$D$14,2,0))</f>
        <v>Agosto</v>
      </c>
      <c r="R96" s="36">
        <f t="shared" si="2"/>
        <v>2022</v>
      </c>
      <c r="S96" s="37">
        <f t="shared" si="3"/>
        <v>9</v>
      </c>
      <c r="T96" s="37">
        <f t="shared" si="4"/>
        <v>9</v>
      </c>
      <c r="U96" s="37">
        <f t="shared" si="5"/>
        <v>8</v>
      </c>
      <c r="V96" s="37">
        <f t="shared" si="6"/>
        <v>11</v>
      </c>
      <c r="W96" s="37">
        <f t="shared" si="7"/>
        <v>11</v>
      </c>
      <c r="X96" s="37">
        <f t="shared" si="8"/>
        <v>4</v>
      </c>
      <c r="Y96" s="37">
        <f t="shared" si="9"/>
        <v>8</v>
      </c>
      <c r="Z96" s="38">
        <f t="shared" si="10"/>
        <v>3</v>
      </c>
      <c r="AA96" s="39" t="str">
        <f t="shared" si="11"/>
        <v>-20 años</v>
      </c>
    </row>
    <row r="97" ht="15.75" customHeight="1">
      <c r="A97" s="26" t="s">
        <v>297</v>
      </c>
      <c r="B97" s="27" t="s">
        <v>56</v>
      </c>
      <c r="C97" s="28" t="s">
        <v>34</v>
      </c>
      <c r="D97" s="29">
        <v>44278.0</v>
      </c>
      <c r="E97" s="30" t="s">
        <v>298</v>
      </c>
      <c r="F97" s="31">
        <f>420.27*12*7.118</f>
        <v>35897.78232</v>
      </c>
      <c r="G97" s="30" t="s">
        <v>45</v>
      </c>
      <c r="H97" s="30" t="s">
        <v>37</v>
      </c>
      <c r="I97" s="32">
        <v>44769.0</v>
      </c>
      <c r="J97" s="5"/>
      <c r="K97" s="30" t="s">
        <v>40</v>
      </c>
      <c r="L97" s="30" t="s">
        <v>46</v>
      </c>
      <c r="M97" s="30" t="s">
        <v>47</v>
      </c>
      <c r="N97" s="33" t="s">
        <v>299</v>
      </c>
      <c r="O97" s="30">
        <v>3.316693326E9</v>
      </c>
      <c r="P97" s="34" t="str">
        <f t="shared" si="1"/>
        <v>DARINKA UREÑA CASILLAS</v>
      </c>
      <c r="Q97" s="35" t="str">
        <f>IF(D97="","",VLOOKUP(MONTH(D97),Listas!$C$2:$D$14,2,0))</f>
        <v>Marzo</v>
      </c>
      <c r="R97" s="36">
        <f t="shared" si="2"/>
        <v>2021</v>
      </c>
      <c r="S97" s="37">
        <f t="shared" si="3"/>
        <v>23</v>
      </c>
      <c r="T97" s="37">
        <f t="shared" si="4"/>
        <v>23</v>
      </c>
      <c r="U97" s="37">
        <f t="shared" si="5"/>
        <v>3</v>
      </c>
      <c r="V97" s="37">
        <f t="shared" si="6"/>
        <v>27</v>
      </c>
      <c r="W97" s="37">
        <f t="shared" si="7"/>
        <v>27</v>
      </c>
      <c r="X97" s="37">
        <f t="shared" si="8"/>
        <v>7</v>
      </c>
      <c r="Y97" s="37">
        <f t="shared" si="9"/>
        <v>3</v>
      </c>
      <c r="Z97" s="38">
        <f t="shared" si="10"/>
        <v>3</v>
      </c>
      <c r="AA97" s="39" t="str">
        <f t="shared" si="11"/>
        <v>-20 años</v>
      </c>
    </row>
    <row r="98" ht="15.75" customHeight="1">
      <c r="A98" s="26" t="s">
        <v>300</v>
      </c>
      <c r="B98" s="27" t="s">
        <v>56</v>
      </c>
      <c r="C98" s="28" t="s">
        <v>34</v>
      </c>
      <c r="D98" s="29">
        <v>44913.0</v>
      </c>
      <c r="E98" s="30" t="s">
        <v>301</v>
      </c>
      <c r="F98" s="31">
        <v>16892.77</v>
      </c>
      <c r="G98" s="27" t="s">
        <v>36</v>
      </c>
      <c r="H98" s="30" t="s">
        <v>58</v>
      </c>
      <c r="I98" s="32">
        <v>45039.0</v>
      </c>
      <c r="J98" s="5"/>
      <c r="K98" s="27" t="s">
        <v>54</v>
      </c>
      <c r="L98" s="45" t="s">
        <v>41</v>
      </c>
      <c r="M98" s="45" t="s">
        <v>42</v>
      </c>
      <c r="N98" s="33" t="s">
        <v>302</v>
      </c>
      <c r="O98" s="30">
        <v>9.8423306E9</v>
      </c>
      <c r="P98" s="34" t="str">
        <f t="shared" si="1"/>
        <v>DARINKA UREÑA CASILLAS</v>
      </c>
      <c r="Q98" s="35" t="str">
        <f>IF(D98="","",VLOOKUP(MONTH(D98),Listas!$C$2:$D$14,2,0))</f>
        <v>Diciembre</v>
      </c>
      <c r="R98" s="36">
        <f t="shared" si="2"/>
        <v>2022</v>
      </c>
      <c r="S98" s="37">
        <f t="shared" si="3"/>
        <v>18</v>
      </c>
      <c r="T98" s="37">
        <f t="shared" si="4"/>
        <v>18</v>
      </c>
      <c r="U98" s="37">
        <f t="shared" si="5"/>
        <v>12</v>
      </c>
      <c r="V98" s="37">
        <f t="shared" si="6"/>
        <v>23</v>
      </c>
      <c r="W98" s="37">
        <f t="shared" si="7"/>
        <v>23</v>
      </c>
      <c r="X98" s="37">
        <f t="shared" si="8"/>
        <v>4</v>
      </c>
      <c r="Y98" s="37">
        <f t="shared" si="9"/>
        <v>12</v>
      </c>
      <c r="Z98" s="38">
        <f t="shared" si="10"/>
        <v>3</v>
      </c>
      <c r="AA98" s="39" t="str">
        <f t="shared" si="11"/>
        <v>-20 años</v>
      </c>
    </row>
    <row r="99" ht="15.75" customHeight="1">
      <c r="A99" s="26" t="s">
        <v>303</v>
      </c>
      <c r="B99" s="27" t="s">
        <v>56</v>
      </c>
      <c r="C99" s="28" t="s">
        <v>34</v>
      </c>
      <c r="D99" s="29">
        <v>44698.0</v>
      </c>
      <c r="E99" s="30" t="s">
        <v>304</v>
      </c>
      <c r="F99" s="31">
        <f>2550.33*7.33</f>
        <v>18693.9189</v>
      </c>
      <c r="G99" s="27" t="s">
        <v>45</v>
      </c>
      <c r="H99" s="30" t="s">
        <v>58</v>
      </c>
      <c r="I99" s="32">
        <v>45094.0</v>
      </c>
      <c r="J99" s="5"/>
      <c r="K99" s="27" t="s">
        <v>54</v>
      </c>
      <c r="L99" s="45" t="s">
        <v>46</v>
      </c>
      <c r="M99" s="45" t="s">
        <v>117</v>
      </c>
      <c r="N99" s="33" t="s">
        <v>293</v>
      </c>
      <c r="O99" s="30">
        <v>3.331060698E9</v>
      </c>
      <c r="P99" s="34" t="str">
        <f t="shared" si="1"/>
        <v>DARINKA UREÑA CASILLAS</v>
      </c>
      <c r="Q99" s="35" t="str">
        <f>IF(D99="","",VLOOKUP(MONTH(D99),Listas!$C$2:$D$14,2,0))</f>
        <v>Mayo</v>
      </c>
      <c r="R99" s="36">
        <f t="shared" si="2"/>
        <v>2022</v>
      </c>
      <c r="S99" s="37">
        <f t="shared" si="3"/>
        <v>17</v>
      </c>
      <c r="T99" s="37">
        <f t="shared" si="4"/>
        <v>17</v>
      </c>
      <c r="U99" s="37">
        <f t="shared" si="5"/>
        <v>5</v>
      </c>
      <c r="V99" s="37">
        <f t="shared" si="6"/>
        <v>17</v>
      </c>
      <c r="W99" s="37">
        <f t="shared" si="7"/>
        <v>17</v>
      </c>
      <c r="X99" s="37">
        <f t="shared" si="8"/>
        <v>6</v>
      </c>
      <c r="Y99" s="37">
        <f t="shared" si="9"/>
        <v>5</v>
      </c>
      <c r="Z99" s="38">
        <f t="shared" si="10"/>
        <v>2</v>
      </c>
      <c r="AA99" s="39" t="str">
        <f t="shared" si="11"/>
        <v>-20 años</v>
      </c>
    </row>
    <row r="100" ht="15.75" customHeight="1">
      <c r="A100" s="26" t="s">
        <v>305</v>
      </c>
      <c r="B100" s="27" t="s">
        <v>33</v>
      </c>
      <c r="C100" s="28" t="s">
        <v>34</v>
      </c>
      <c r="D100" s="29">
        <v>44259.0</v>
      </c>
      <c r="E100" s="30" t="s">
        <v>306</v>
      </c>
      <c r="F100" s="31">
        <f>1900.22*7.118</f>
        <v>13525.76596</v>
      </c>
      <c r="G100" s="30" t="s">
        <v>45</v>
      </c>
      <c r="H100" s="30" t="s">
        <v>58</v>
      </c>
      <c r="I100" s="32">
        <v>44660.0</v>
      </c>
      <c r="J100" s="5"/>
      <c r="K100" s="30" t="s">
        <v>54</v>
      </c>
      <c r="L100" s="30" t="s">
        <v>46</v>
      </c>
      <c r="M100" s="30" t="s">
        <v>47</v>
      </c>
      <c r="N100" s="33" t="s">
        <v>307</v>
      </c>
      <c r="O100" s="30">
        <v>3.310244685E9</v>
      </c>
      <c r="P100" s="34" t="str">
        <f t="shared" si="1"/>
        <v>DARINKA UREÑA CASILLAS</v>
      </c>
      <c r="Q100" s="35" t="str">
        <f>IF(D100="","",VLOOKUP(MONTH(D100),Listas!$C$2:$D$14,2,0))</f>
        <v>Marzo</v>
      </c>
      <c r="R100" s="36">
        <f t="shared" si="2"/>
        <v>2021</v>
      </c>
      <c r="S100" s="37">
        <f t="shared" si="3"/>
        <v>4</v>
      </c>
      <c r="T100" s="37">
        <f t="shared" si="4"/>
        <v>4</v>
      </c>
      <c r="U100" s="37">
        <f t="shared" si="5"/>
        <v>3</v>
      </c>
      <c r="V100" s="37">
        <f t="shared" si="6"/>
        <v>9</v>
      </c>
      <c r="W100" s="37">
        <f t="shared" si="7"/>
        <v>9</v>
      </c>
      <c r="X100" s="37">
        <f t="shared" si="8"/>
        <v>4</v>
      </c>
      <c r="Y100" s="37">
        <f t="shared" si="9"/>
        <v>3</v>
      </c>
      <c r="Z100" s="38">
        <f t="shared" si="10"/>
        <v>4</v>
      </c>
      <c r="AA100" s="39" t="str">
        <f t="shared" si="11"/>
        <v>-20 años</v>
      </c>
    </row>
    <row r="101" ht="15.75" customHeight="1">
      <c r="A101" s="26" t="s">
        <v>308</v>
      </c>
      <c r="B101" s="27" t="s">
        <v>56</v>
      </c>
      <c r="C101" s="28" t="s">
        <v>34</v>
      </c>
      <c r="D101" s="29">
        <v>44280.0</v>
      </c>
      <c r="E101" s="30" t="s">
        <v>309</v>
      </c>
      <c r="F101" s="31">
        <f>2*7.118*4574.84</f>
        <v>65127.42224</v>
      </c>
      <c r="G101" s="30" t="s">
        <v>45</v>
      </c>
      <c r="H101" s="30" t="s">
        <v>50</v>
      </c>
      <c r="I101" s="32">
        <v>44708.0</v>
      </c>
      <c r="J101" s="5"/>
      <c r="K101" s="30" t="s">
        <v>40</v>
      </c>
      <c r="L101" s="30" t="s">
        <v>46</v>
      </c>
      <c r="M101" s="30" t="s">
        <v>47</v>
      </c>
      <c r="N101" s="33" t="s">
        <v>214</v>
      </c>
      <c r="O101" s="30">
        <v>3.316119244E9</v>
      </c>
      <c r="P101" s="34" t="str">
        <f t="shared" si="1"/>
        <v>DARINKA UREÑA CASILLAS</v>
      </c>
      <c r="Q101" s="35" t="str">
        <f>IF(D101="","",VLOOKUP(MONTH(D101),Listas!$C$2:$D$14,2,0))</f>
        <v>Marzo</v>
      </c>
      <c r="R101" s="36">
        <f t="shared" si="2"/>
        <v>2021</v>
      </c>
      <c r="S101" s="37">
        <f t="shared" si="3"/>
        <v>25</v>
      </c>
      <c r="T101" s="37">
        <f t="shared" si="4"/>
        <v>25</v>
      </c>
      <c r="U101" s="37">
        <f t="shared" si="5"/>
        <v>3</v>
      </c>
      <c r="V101" s="37">
        <f t="shared" si="6"/>
        <v>27</v>
      </c>
      <c r="W101" s="37">
        <f t="shared" si="7"/>
        <v>27</v>
      </c>
      <c r="X101" s="37">
        <f t="shared" si="8"/>
        <v>5</v>
      </c>
      <c r="Y101" s="37">
        <f t="shared" si="9"/>
        <v>3</v>
      </c>
      <c r="Z101" s="38">
        <f t="shared" si="10"/>
        <v>3</v>
      </c>
      <c r="AA101" s="39" t="str">
        <f t="shared" si="11"/>
        <v>-20 años</v>
      </c>
    </row>
    <row r="102" ht="15.75" customHeight="1">
      <c r="A102" s="26" t="s">
        <v>310</v>
      </c>
      <c r="B102" s="27" t="s">
        <v>56</v>
      </c>
      <c r="C102" s="28" t="s">
        <v>34</v>
      </c>
      <c r="D102" s="29">
        <v>44433.0</v>
      </c>
      <c r="E102" s="30" t="s">
        <v>311</v>
      </c>
      <c r="F102" s="31">
        <f>2*2254.11*7.118</f>
        <v>32089.50996</v>
      </c>
      <c r="G102" s="30" t="s">
        <v>45</v>
      </c>
      <c r="H102" s="30" t="s">
        <v>50</v>
      </c>
      <c r="I102" s="32">
        <v>44886.0</v>
      </c>
      <c r="J102" s="5"/>
      <c r="K102" s="30" t="s">
        <v>54</v>
      </c>
      <c r="L102" s="30" t="s">
        <v>46</v>
      </c>
      <c r="M102" s="30" t="s">
        <v>47</v>
      </c>
      <c r="N102" s="33" t="s">
        <v>312</v>
      </c>
      <c r="O102" s="30">
        <v>3.313983302E9</v>
      </c>
      <c r="P102" s="34" t="str">
        <f t="shared" si="1"/>
        <v>DARINKA UREÑA CASILLAS</v>
      </c>
      <c r="Q102" s="35" t="str">
        <f>IF(D102="","",VLOOKUP(MONTH(D102),Listas!$C$2:$D$14,2,0))</f>
        <v>Agosto</v>
      </c>
      <c r="R102" s="36">
        <f t="shared" si="2"/>
        <v>2021</v>
      </c>
      <c r="S102" s="37">
        <f t="shared" si="3"/>
        <v>25</v>
      </c>
      <c r="T102" s="37">
        <f t="shared" si="4"/>
        <v>25</v>
      </c>
      <c r="U102" s="37">
        <f t="shared" si="5"/>
        <v>8</v>
      </c>
      <c r="V102" s="37">
        <f t="shared" si="6"/>
        <v>21</v>
      </c>
      <c r="W102" s="37">
        <f t="shared" si="7"/>
        <v>21</v>
      </c>
      <c r="X102" s="37">
        <f t="shared" si="8"/>
        <v>11</v>
      </c>
      <c r="Y102" s="37">
        <f t="shared" si="9"/>
        <v>8</v>
      </c>
      <c r="Z102" s="38">
        <f t="shared" si="10"/>
        <v>3</v>
      </c>
      <c r="AA102" s="39" t="str">
        <f t="shared" si="11"/>
        <v>-20 años</v>
      </c>
    </row>
    <row r="103" ht="15.75" customHeight="1">
      <c r="A103" s="26" t="s">
        <v>313</v>
      </c>
      <c r="B103" s="27" t="s">
        <v>56</v>
      </c>
      <c r="C103" s="28" t="s">
        <v>34</v>
      </c>
      <c r="D103" s="29">
        <v>44659.0</v>
      </c>
      <c r="E103" s="30" t="s">
        <v>314</v>
      </c>
      <c r="F103" s="46">
        <v>52820.9</v>
      </c>
      <c r="G103" s="27" t="s">
        <v>36</v>
      </c>
      <c r="H103" s="30" t="s">
        <v>58</v>
      </c>
      <c r="I103" s="32">
        <v>44588.0</v>
      </c>
      <c r="J103" s="5"/>
      <c r="K103" s="27" t="s">
        <v>110</v>
      </c>
      <c r="L103" s="45" t="s">
        <v>41</v>
      </c>
      <c r="M103" s="45" t="s">
        <v>42</v>
      </c>
      <c r="N103" s="33" t="s">
        <v>315</v>
      </c>
      <c r="O103" s="30">
        <v>3.328011841E9</v>
      </c>
      <c r="P103" s="34" t="str">
        <f t="shared" si="1"/>
        <v>DARINKA UREÑA CASILLAS</v>
      </c>
      <c r="Q103" s="35" t="str">
        <f>IF(D103="","",VLOOKUP(MONTH(D103),Listas!$C$2:$D$14,2,0))</f>
        <v>Abril</v>
      </c>
      <c r="R103" s="36">
        <f t="shared" si="2"/>
        <v>2022</v>
      </c>
      <c r="S103" s="37">
        <f t="shared" si="3"/>
        <v>8</v>
      </c>
      <c r="T103" s="37">
        <f t="shared" si="4"/>
        <v>8</v>
      </c>
      <c r="U103" s="37">
        <f t="shared" si="5"/>
        <v>4</v>
      </c>
      <c r="V103" s="37">
        <f t="shared" si="6"/>
        <v>27</v>
      </c>
      <c r="W103" s="37">
        <f t="shared" si="7"/>
        <v>27</v>
      </c>
      <c r="X103" s="37">
        <f t="shared" si="8"/>
        <v>1</v>
      </c>
      <c r="Y103" s="37">
        <f t="shared" si="9"/>
        <v>4</v>
      </c>
      <c r="Z103" s="38">
        <f t="shared" si="10"/>
        <v>4</v>
      </c>
      <c r="AA103" s="39" t="str">
        <f t="shared" si="11"/>
        <v>-20 años</v>
      </c>
    </row>
    <row r="104" ht="15.75" customHeight="1">
      <c r="A104" s="26" t="s">
        <v>316</v>
      </c>
      <c r="B104" s="27" t="s">
        <v>33</v>
      </c>
      <c r="C104" s="28" t="s">
        <v>34</v>
      </c>
      <c r="D104" s="29">
        <v>44469.0</v>
      </c>
      <c r="E104" s="30" t="s">
        <v>317</v>
      </c>
      <c r="F104" s="31">
        <f>3620*7.118</f>
        <v>25767.16</v>
      </c>
      <c r="G104" s="30" t="s">
        <v>45</v>
      </c>
      <c r="H104" s="30" t="s">
        <v>58</v>
      </c>
      <c r="I104" s="32">
        <v>44692.0</v>
      </c>
      <c r="J104" s="5"/>
      <c r="K104" s="30" t="s">
        <v>40</v>
      </c>
      <c r="L104" s="30" t="s">
        <v>46</v>
      </c>
      <c r="M104" s="30" t="s">
        <v>47</v>
      </c>
      <c r="N104" s="33" t="s">
        <v>318</v>
      </c>
      <c r="O104" s="30">
        <v>3.318332966E9</v>
      </c>
      <c r="P104" s="34" t="str">
        <f t="shared" si="1"/>
        <v>DARINKA UREÑA CASILLAS</v>
      </c>
      <c r="Q104" s="35" t="str">
        <f>IF(D104="","",VLOOKUP(MONTH(D104),Listas!$C$2:$D$14,2,0))</f>
        <v>Septiembre</v>
      </c>
      <c r="R104" s="36">
        <f t="shared" si="2"/>
        <v>2021</v>
      </c>
      <c r="S104" s="37">
        <f t="shared" si="3"/>
        <v>30</v>
      </c>
      <c r="T104" s="37">
        <f t="shared" si="4"/>
        <v>30</v>
      </c>
      <c r="U104" s="37">
        <f t="shared" si="5"/>
        <v>9</v>
      </c>
      <c r="V104" s="37">
        <f t="shared" si="6"/>
        <v>11</v>
      </c>
      <c r="W104" s="37">
        <f t="shared" si="7"/>
        <v>11</v>
      </c>
      <c r="X104" s="37">
        <f t="shared" si="8"/>
        <v>5</v>
      </c>
      <c r="Y104" s="37">
        <f t="shared" si="9"/>
        <v>9</v>
      </c>
      <c r="Z104" s="38">
        <f t="shared" si="10"/>
        <v>4</v>
      </c>
      <c r="AA104" s="39" t="str">
        <f t="shared" si="11"/>
        <v>-20 años</v>
      </c>
    </row>
    <row r="105" ht="15.75" customHeight="1">
      <c r="A105" s="26" t="s">
        <v>319</v>
      </c>
      <c r="B105" s="27" t="s">
        <v>56</v>
      </c>
      <c r="C105" s="28" t="s">
        <v>34</v>
      </c>
      <c r="D105" s="29">
        <v>44042.0</v>
      </c>
      <c r="E105" s="30" t="s">
        <v>320</v>
      </c>
      <c r="F105" s="31">
        <f>1900.11*2*7.118</f>
        <v>27049.96596</v>
      </c>
      <c r="G105" s="30" t="s">
        <v>45</v>
      </c>
      <c r="H105" s="30" t="s">
        <v>94</v>
      </c>
      <c r="I105" s="32">
        <v>44644.0</v>
      </c>
      <c r="J105" s="5"/>
      <c r="K105" s="30" t="s">
        <v>54</v>
      </c>
      <c r="L105" s="30" t="s">
        <v>46</v>
      </c>
      <c r="M105" s="30" t="s">
        <v>47</v>
      </c>
      <c r="N105" s="33" t="s">
        <v>321</v>
      </c>
      <c r="O105" s="30">
        <v>3.311105873E9</v>
      </c>
      <c r="P105" s="34" t="str">
        <f t="shared" si="1"/>
        <v>DARINKA UREÑA CASILLAS</v>
      </c>
      <c r="Q105" s="35" t="str">
        <f>IF(D105="","",VLOOKUP(MONTH(D105),Listas!$C$2:$D$14,2,0))</f>
        <v>Julio</v>
      </c>
      <c r="R105" s="36">
        <f t="shared" si="2"/>
        <v>2020</v>
      </c>
      <c r="S105" s="37">
        <f t="shared" si="3"/>
        <v>30</v>
      </c>
      <c r="T105" s="37">
        <f t="shared" si="4"/>
        <v>30</v>
      </c>
      <c r="U105" s="37">
        <f t="shared" si="5"/>
        <v>7</v>
      </c>
      <c r="V105" s="37">
        <f t="shared" si="6"/>
        <v>24</v>
      </c>
      <c r="W105" s="37">
        <f t="shared" si="7"/>
        <v>24</v>
      </c>
      <c r="X105" s="37">
        <f t="shared" si="8"/>
        <v>3</v>
      </c>
      <c r="Y105" s="37">
        <f t="shared" si="9"/>
        <v>7</v>
      </c>
      <c r="Z105" s="38">
        <f t="shared" si="10"/>
        <v>4</v>
      </c>
      <c r="AA105" s="39" t="str">
        <f t="shared" si="11"/>
        <v>-20 años</v>
      </c>
    </row>
    <row r="106" ht="15.75" customHeight="1">
      <c r="A106" s="26" t="s">
        <v>322</v>
      </c>
      <c r="B106" s="27" t="s">
        <v>56</v>
      </c>
      <c r="C106" s="28" t="s">
        <v>34</v>
      </c>
      <c r="D106" s="29">
        <v>44071.0</v>
      </c>
      <c r="E106" s="30" t="s">
        <v>323</v>
      </c>
      <c r="F106" s="31">
        <f>5516.09*7.118</f>
        <v>39263.52862</v>
      </c>
      <c r="G106" s="30" t="s">
        <v>45</v>
      </c>
      <c r="H106" s="30" t="s">
        <v>37</v>
      </c>
      <c r="I106" s="32">
        <v>44620.0</v>
      </c>
      <c r="J106" s="5"/>
      <c r="K106" s="30" t="s">
        <v>54</v>
      </c>
      <c r="L106" s="30" t="s">
        <v>46</v>
      </c>
      <c r="M106" s="30" t="s">
        <v>101</v>
      </c>
      <c r="N106" s="33" t="s">
        <v>324</v>
      </c>
      <c r="O106" s="30">
        <v>3.310432712E9</v>
      </c>
      <c r="P106" s="34" t="str">
        <f t="shared" si="1"/>
        <v>DARINKA UREÑA CASILLAS</v>
      </c>
      <c r="Q106" s="35" t="str">
        <f>IF(D106="","",VLOOKUP(MONTH(D106),Listas!$C$2:$D$14,2,0))</f>
        <v>Agosto</v>
      </c>
      <c r="R106" s="36">
        <f t="shared" si="2"/>
        <v>2020</v>
      </c>
      <c r="S106" s="37">
        <f t="shared" si="3"/>
        <v>28</v>
      </c>
      <c r="T106" s="37">
        <f t="shared" si="4"/>
        <v>28</v>
      </c>
      <c r="U106" s="37">
        <f t="shared" si="5"/>
        <v>8</v>
      </c>
      <c r="V106" s="37">
        <f t="shared" si="6"/>
        <v>28</v>
      </c>
      <c r="W106" s="37">
        <f t="shared" si="7"/>
        <v>28</v>
      </c>
      <c r="X106" s="37">
        <f t="shared" si="8"/>
        <v>2</v>
      </c>
      <c r="Y106" s="37">
        <f t="shared" si="9"/>
        <v>8</v>
      </c>
      <c r="Z106" s="38">
        <f t="shared" si="10"/>
        <v>4</v>
      </c>
      <c r="AA106" s="39" t="str">
        <f t="shared" si="11"/>
        <v>-20 años</v>
      </c>
    </row>
    <row r="107" ht="15.75" customHeight="1">
      <c r="A107" s="26" t="s">
        <v>325</v>
      </c>
      <c r="B107" s="27" t="s">
        <v>56</v>
      </c>
      <c r="C107" s="28" t="s">
        <v>34</v>
      </c>
      <c r="D107" s="29">
        <v>44503.0</v>
      </c>
      <c r="E107" s="30" t="s">
        <v>326</v>
      </c>
      <c r="F107" s="44">
        <v>17438.77</v>
      </c>
      <c r="G107" s="30" t="s">
        <v>36</v>
      </c>
      <c r="H107" s="30" t="s">
        <v>58</v>
      </c>
      <c r="I107" s="32">
        <v>44691.0</v>
      </c>
      <c r="J107" s="5"/>
      <c r="K107" s="30" t="s">
        <v>54</v>
      </c>
      <c r="L107" s="30" t="s">
        <v>41</v>
      </c>
      <c r="M107" s="30" t="s">
        <v>51</v>
      </c>
      <c r="N107" s="33" t="s">
        <v>327</v>
      </c>
      <c r="O107" s="30">
        <v>3.314669672E9</v>
      </c>
      <c r="P107" s="34" t="str">
        <f t="shared" si="1"/>
        <v>DARINKA UREÑA CASILLAS</v>
      </c>
      <c r="Q107" s="35" t="str">
        <f>IF(D107="","",VLOOKUP(MONTH(D107),Listas!$C$2:$D$14,2,0))</f>
        <v>Noviembre</v>
      </c>
      <c r="R107" s="36">
        <f t="shared" si="2"/>
        <v>2021</v>
      </c>
      <c r="S107" s="37">
        <f t="shared" si="3"/>
        <v>3</v>
      </c>
      <c r="T107" s="37">
        <f t="shared" si="4"/>
        <v>3</v>
      </c>
      <c r="U107" s="37">
        <f t="shared" si="5"/>
        <v>11</v>
      </c>
      <c r="V107" s="37">
        <f t="shared" si="6"/>
        <v>10</v>
      </c>
      <c r="W107" s="37">
        <f t="shared" si="7"/>
        <v>10</v>
      </c>
      <c r="X107" s="37">
        <f t="shared" si="8"/>
        <v>5</v>
      </c>
      <c r="Y107" s="37">
        <f t="shared" si="9"/>
        <v>11</v>
      </c>
      <c r="Z107" s="38">
        <f t="shared" si="10"/>
        <v>4</v>
      </c>
      <c r="AA107" s="39" t="str">
        <f t="shared" si="11"/>
        <v>-20 años</v>
      </c>
    </row>
    <row r="108" ht="15.75" customHeight="1">
      <c r="A108" s="26" t="s">
        <v>325</v>
      </c>
      <c r="B108" s="27" t="s">
        <v>56</v>
      </c>
      <c r="C108" s="28" t="s">
        <v>34</v>
      </c>
      <c r="D108" s="29">
        <v>44503.0</v>
      </c>
      <c r="E108" s="30" t="s">
        <v>328</v>
      </c>
      <c r="F108" s="31">
        <f>7199.53*7.118</f>
        <v>51246.25454</v>
      </c>
      <c r="G108" s="30" t="s">
        <v>45</v>
      </c>
      <c r="H108" s="30" t="s">
        <v>58</v>
      </c>
      <c r="I108" s="32">
        <v>44691.0</v>
      </c>
      <c r="J108" s="5"/>
      <c r="K108" s="30" t="s">
        <v>54</v>
      </c>
      <c r="L108" s="30" t="s">
        <v>46</v>
      </c>
      <c r="M108" s="30" t="s">
        <v>47</v>
      </c>
      <c r="N108" s="33" t="s">
        <v>327</v>
      </c>
      <c r="O108" s="30">
        <v>3.314669672E9</v>
      </c>
      <c r="P108" s="34" t="str">
        <f t="shared" si="1"/>
        <v>DARINKA UREÑA CASILLAS</v>
      </c>
      <c r="Q108" s="35" t="str">
        <f>IF(D108="","",VLOOKUP(MONTH(D108),Listas!$C$2:$D$14,2,0))</f>
        <v>Noviembre</v>
      </c>
      <c r="R108" s="36">
        <f t="shared" si="2"/>
        <v>2021</v>
      </c>
      <c r="S108" s="37">
        <f t="shared" si="3"/>
        <v>3</v>
      </c>
      <c r="T108" s="37">
        <f t="shared" si="4"/>
        <v>3</v>
      </c>
      <c r="U108" s="37">
        <f t="shared" si="5"/>
        <v>11</v>
      </c>
      <c r="V108" s="37">
        <f t="shared" si="6"/>
        <v>10</v>
      </c>
      <c r="W108" s="37">
        <f t="shared" si="7"/>
        <v>10</v>
      </c>
      <c r="X108" s="37">
        <f t="shared" si="8"/>
        <v>5</v>
      </c>
      <c r="Y108" s="37">
        <f t="shared" si="9"/>
        <v>11</v>
      </c>
      <c r="Z108" s="38">
        <f t="shared" si="10"/>
        <v>4</v>
      </c>
      <c r="AA108" s="39" t="str">
        <f t="shared" si="11"/>
        <v>-20 años</v>
      </c>
    </row>
    <row r="109" ht="15.75" customHeight="1">
      <c r="A109" s="26" t="s">
        <v>329</v>
      </c>
      <c r="B109" s="27" t="s">
        <v>33</v>
      </c>
      <c r="C109" s="28" t="s">
        <v>34</v>
      </c>
      <c r="D109" s="29">
        <v>44496.0</v>
      </c>
      <c r="E109" s="30" t="s">
        <v>330</v>
      </c>
      <c r="F109" s="44">
        <v>10470.68</v>
      </c>
      <c r="G109" s="30" t="s">
        <v>36</v>
      </c>
      <c r="H109" s="30" t="s">
        <v>58</v>
      </c>
      <c r="I109" s="32">
        <v>44601.0</v>
      </c>
      <c r="J109" s="5"/>
      <c r="K109" s="30" t="s">
        <v>54</v>
      </c>
      <c r="L109" s="30" t="s">
        <v>41</v>
      </c>
      <c r="M109" s="30" t="s">
        <v>331</v>
      </c>
      <c r="N109" s="33" t="s">
        <v>332</v>
      </c>
      <c r="O109" s="30">
        <v>3.312871031E9</v>
      </c>
      <c r="P109" s="34" t="str">
        <f t="shared" si="1"/>
        <v>DARINKA UREÑA CASILLAS</v>
      </c>
      <c r="Q109" s="35" t="str">
        <f>IF(D109="","",VLOOKUP(MONTH(D109),Listas!$C$2:$D$14,2,0))</f>
        <v>Octubre</v>
      </c>
      <c r="R109" s="36">
        <f t="shared" si="2"/>
        <v>2021</v>
      </c>
      <c r="S109" s="37">
        <f t="shared" si="3"/>
        <v>27</v>
      </c>
      <c r="T109" s="37">
        <f t="shared" si="4"/>
        <v>27</v>
      </c>
      <c r="U109" s="37">
        <f t="shared" si="5"/>
        <v>10</v>
      </c>
      <c r="V109" s="37">
        <f t="shared" si="6"/>
        <v>9</v>
      </c>
      <c r="W109" s="37">
        <f t="shared" si="7"/>
        <v>9</v>
      </c>
      <c r="X109" s="37">
        <f t="shared" si="8"/>
        <v>2</v>
      </c>
      <c r="Y109" s="37">
        <f t="shared" si="9"/>
        <v>10</v>
      </c>
      <c r="Z109" s="38">
        <f t="shared" si="10"/>
        <v>4</v>
      </c>
      <c r="AA109" s="39" t="str">
        <f t="shared" si="11"/>
        <v>-20 años</v>
      </c>
    </row>
    <row r="110" ht="15.75" customHeight="1">
      <c r="A110" s="26" t="s">
        <v>333</v>
      </c>
      <c r="B110" s="27" t="s">
        <v>33</v>
      </c>
      <c r="C110" s="28" t="s">
        <v>34</v>
      </c>
      <c r="D110" s="29">
        <v>44771.0</v>
      </c>
      <c r="E110" s="30" t="s">
        <v>334</v>
      </c>
      <c r="F110" s="31">
        <f>6761.74*7.65</f>
        <v>51727.311</v>
      </c>
      <c r="G110" s="30" t="s">
        <v>45</v>
      </c>
      <c r="H110" s="30" t="s">
        <v>58</v>
      </c>
      <c r="I110" s="32">
        <v>45254.0</v>
      </c>
      <c r="J110" s="5"/>
      <c r="K110" s="30" t="s">
        <v>160</v>
      </c>
      <c r="L110" s="30" t="s">
        <v>46</v>
      </c>
      <c r="M110" s="30" t="s">
        <v>47</v>
      </c>
      <c r="N110" s="33" t="s">
        <v>335</v>
      </c>
      <c r="O110" s="30">
        <v>3.322570451E9</v>
      </c>
      <c r="P110" s="34" t="str">
        <f t="shared" si="1"/>
        <v>DARINKA UREÑA CASILLAS</v>
      </c>
      <c r="Q110" s="35" t="str">
        <f>IF(D110="","",VLOOKUP(MONTH(D110),Listas!$C$2:$D$14,2,0))</f>
        <v>Julio</v>
      </c>
      <c r="R110" s="36">
        <f t="shared" si="2"/>
        <v>2022</v>
      </c>
      <c r="S110" s="37">
        <f t="shared" si="3"/>
        <v>29</v>
      </c>
      <c r="T110" s="37">
        <f t="shared" si="4"/>
        <v>29</v>
      </c>
      <c r="U110" s="37">
        <f t="shared" si="5"/>
        <v>7</v>
      </c>
      <c r="V110" s="37">
        <f t="shared" si="6"/>
        <v>24</v>
      </c>
      <c r="W110" s="37">
        <f t="shared" si="7"/>
        <v>24</v>
      </c>
      <c r="X110" s="37">
        <f t="shared" si="8"/>
        <v>11</v>
      </c>
      <c r="Y110" s="37">
        <f t="shared" si="9"/>
        <v>7</v>
      </c>
      <c r="Z110" s="38">
        <f t="shared" si="10"/>
        <v>2</v>
      </c>
      <c r="AA110" s="39" t="str">
        <f t="shared" si="11"/>
        <v>-20 años</v>
      </c>
    </row>
    <row r="111" ht="15.75" customHeight="1">
      <c r="A111" s="26" t="s">
        <v>333</v>
      </c>
      <c r="B111" s="27" t="s">
        <v>33</v>
      </c>
      <c r="C111" s="28" t="s">
        <v>34</v>
      </c>
      <c r="D111" s="29">
        <v>44851.0</v>
      </c>
      <c r="E111" s="30" t="s">
        <v>336</v>
      </c>
      <c r="F111" s="44">
        <v>10727.04</v>
      </c>
      <c r="G111" s="30" t="s">
        <v>36</v>
      </c>
      <c r="H111" s="30" t="s">
        <v>58</v>
      </c>
      <c r="I111" s="32">
        <v>45207.0</v>
      </c>
      <c r="J111" s="5"/>
      <c r="K111" s="30" t="s">
        <v>40</v>
      </c>
      <c r="L111" s="30" t="s">
        <v>41</v>
      </c>
      <c r="M111" s="30" t="s">
        <v>331</v>
      </c>
      <c r="N111" s="33" t="s">
        <v>335</v>
      </c>
      <c r="O111" s="30">
        <v>3.322570451E9</v>
      </c>
      <c r="P111" s="34" t="str">
        <f t="shared" si="1"/>
        <v>DARINKA UREÑA CASILLAS</v>
      </c>
      <c r="Q111" s="35" t="str">
        <f>IF(D111="","",VLOOKUP(MONTH(D111),Listas!$C$2:$D$14,2,0))</f>
        <v>Octubre</v>
      </c>
      <c r="R111" s="36">
        <f t="shared" si="2"/>
        <v>2022</v>
      </c>
      <c r="S111" s="37">
        <f t="shared" si="3"/>
        <v>17</v>
      </c>
      <c r="T111" s="37">
        <f t="shared" si="4"/>
        <v>17</v>
      </c>
      <c r="U111" s="37">
        <f t="shared" si="5"/>
        <v>10</v>
      </c>
      <c r="V111" s="37">
        <f t="shared" si="6"/>
        <v>8</v>
      </c>
      <c r="W111" s="37">
        <f t="shared" si="7"/>
        <v>8</v>
      </c>
      <c r="X111" s="37">
        <f t="shared" si="8"/>
        <v>10</v>
      </c>
      <c r="Y111" s="37">
        <f t="shared" si="9"/>
        <v>10</v>
      </c>
      <c r="Z111" s="38">
        <f t="shared" si="10"/>
        <v>2</v>
      </c>
      <c r="AA111" s="39" t="str">
        <f t="shared" si="11"/>
        <v>-20 años</v>
      </c>
    </row>
    <row r="112" ht="15.75" customHeight="1">
      <c r="A112" s="26" t="s">
        <v>337</v>
      </c>
      <c r="B112" s="27" t="s">
        <v>56</v>
      </c>
      <c r="C112" s="28" t="s">
        <v>34</v>
      </c>
      <c r="D112" s="29">
        <v>44456.0</v>
      </c>
      <c r="E112" s="30" t="s">
        <v>338</v>
      </c>
      <c r="F112" s="31">
        <f>2629.72*12</f>
        <v>31556.64</v>
      </c>
      <c r="G112" s="30" t="s">
        <v>36</v>
      </c>
      <c r="H112" s="30" t="s">
        <v>37</v>
      </c>
      <c r="I112" s="32">
        <v>44981.0</v>
      </c>
      <c r="J112" s="5"/>
      <c r="K112" s="30" t="s">
        <v>40</v>
      </c>
      <c r="L112" s="30" t="s">
        <v>41</v>
      </c>
      <c r="M112" s="30" t="s">
        <v>339</v>
      </c>
      <c r="N112" s="33" t="s">
        <v>340</v>
      </c>
      <c r="O112" s="30">
        <v>3.313568539E9</v>
      </c>
      <c r="P112" s="34" t="str">
        <f t="shared" si="1"/>
        <v>DARINKA UREÑA CASILLAS</v>
      </c>
      <c r="Q112" s="35" t="str">
        <f>IF(D112="","",VLOOKUP(MONTH(D112),Listas!$C$2:$D$14,2,0))</f>
        <v>Septiembre</v>
      </c>
      <c r="R112" s="36">
        <f t="shared" si="2"/>
        <v>2021</v>
      </c>
      <c r="S112" s="37">
        <f t="shared" si="3"/>
        <v>17</v>
      </c>
      <c r="T112" s="37">
        <f t="shared" si="4"/>
        <v>17</v>
      </c>
      <c r="U112" s="37">
        <f t="shared" si="5"/>
        <v>9</v>
      </c>
      <c r="V112" s="37">
        <f t="shared" si="6"/>
        <v>24</v>
      </c>
      <c r="W112" s="37">
        <f t="shared" si="7"/>
        <v>24</v>
      </c>
      <c r="X112" s="37">
        <f t="shared" si="8"/>
        <v>2</v>
      </c>
      <c r="Y112" s="37">
        <f t="shared" si="9"/>
        <v>9</v>
      </c>
      <c r="Z112" s="38">
        <f t="shared" si="10"/>
        <v>3</v>
      </c>
      <c r="AA112" s="39" t="str">
        <f t="shared" si="11"/>
        <v>-20 años</v>
      </c>
    </row>
    <row r="113" ht="15.75" customHeight="1">
      <c r="A113" s="26" t="s">
        <v>341</v>
      </c>
      <c r="B113" s="27" t="s">
        <v>33</v>
      </c>
      <c r="C113" s="28" t="s">
        <v>34</v>
      </c>
      <c r="D113" s="29">
        <v>44372.0</v>
      </c>
      <c r="E113" s="30" t="s">
        <v>342</v>
      </c>
      <c r="F113" s="31">
        <f>5399.51*7.118</f>
        <v>38433.71218</v>
      </c>
      <c r="G113" s="30" t="s">
        <v>45</v>
      </c>
      <c r="H113" s="30" t="s">
        <v>58</v>
      </c>
      <c r="I113" s="32">
        <v>44779.0</v>
      </c>
      <c r="J113" s="5"/>
      <c r="K113" s="30" t="s">
        <v>54</v>
      </c>
      <c r="L113" s="30" t="s">
        <v>46</v>
      </c>
      <c r="M113" s="30" t="s">
        <v>47</v>
      </c>
      <c r="N113" s="33" t="s">
        <v>343</v>
      </c>
      <c r="O113" s="30">
        <v>3.321832449E9</v>
      </c>
      <c r="P113" s="34" t="str">
        <f t="shared" si="1"/>
        <v>DARINKA UREÑA CASILLAS</v>
      </c>
      <c r="Q113" s="35" t="str">
        <f>IF(D113="","",VLOOKUP(MONTH(D113),Listas!$C$2:$D$14,2,0))</f>
        <v>Junio</v>
      </c>
      <c r="R113" s="36">
        <f t="shared" si="2"/>
        <v>2021</v>
      </c>
      <c r="S113" s="37">
        <f t="shared" si="3"/>
        <v>25</v>
      </c>
      <c r="T113" s="37">
        <f t="shared" si="4"/>
        <v>25</v>
      </c>
      <c r="U113" s="37">
        <f t="shared" si="5"/>
        <v>6</v>
      </c>
      <c r="V113" s="37">
        <f t="shared" si="6"/>
        <v>6</v>
      </c>
      <c r="W113" s="37">
        <f t="shared" si="7"/>
        <v>6</v>
      </c>
      <c r="X113" s="37">
        <f t="shared" si="8"/>
        <v>8</v>
      </c>
      <c r="Y113" s="37">
        <f t="shared" si="9"/>
        <v>6</v>
      </c>
      <c r="Z113" s="38">
        <f t="shared" si="10"/>
        <v>3</v>
      </c>
      <c r="AA113" s="39" t="str">
        <f t="shared" si="11"/>
        <v>-20 años</v>
      </c>
    </row>
    <row r="114" ht="15.75" customHeight="1">
      <c r="A114" s="26" t="s">
        <v>344</v>
      </c>
      <c r="B114" s="27" t="s">
        <v>33</v>
      </c>
      <c r="C114" s="28" t="s">
        <v>34</v>
      </c>
      <c r="D114" s="29">
        <v>44157.0</v>
      </c>
      <c r="E114" s="30" t="s">
        <v>345</v>
      </c>
      <c r="F114" s="44">
        <v>13611.33</v>
      </c>
      <c r="G114" s="30" t="s">
        <v>36</v>
      </c>
      <c r="H114" s="30" t="s">
        <v>58</v>
      </c>
      <c r="I114" s="32">
        <v>44923.0</v>
      </c>
      <c r="J114" s="5"/>
      <c r="K114" s="30" t="s">
        <v>54</v>
      </c>
      <c r="L114" s="30" t="s">
        <v>41</v>
      </c>
      <c r="M114" s="30" t="s">
        <v>51</v>
      </c>
      <c r="N114" s="33" t="s">
        <v>346</v>
      </c>
      <c r="O114" s="30">
        <v>3.321832449E9</v>
      </c>
      <c r="P114" s="34" t="str">
        <f t="shared" si="1"/>
        <v>DARINKA UREÑA CASILLAS</v>
      </c>
      <c r="Q114" s="35" t="str">
        <f>IF(D114="","",VLOOKUP(MONTH(D114),Listas!$C$2:$D$14,2,0))</f>
        <v>Noviembre</v>
      </c>
      <c r="R114" s="36">
        <f t="shared" si="2"/>
        <v>2020</v>
      </c>
      <c r="S114" s="37">
        <f t="shared" si="3"/>
        <v>22</v>
      </c>
      <c r="T114" s="37">
        <f t="shared" si="4"/>
        <v>22</v>
      </c>
      <c r="U114" s="37">
        <f t="shared" si="5"/>
        <v>11</v>
      </c>
      <c r="V114" s="37">
        <f t="shared" si="6"/>
        <v>28</v>
      </c>
      <c r="W114" s="37">
        <f t="shared" si="7"/>
        <v>28</v>
      </c>
      <c r="X114" s="37">
        <f t="shared" si="8"/>
        <v>12</v>
      </c>
      <c r="Y114" s="37">
        <f t="shared" si="9"/>
        <v>11</v>
      </c>
      <c r="Z114" s="38">
        <f t="shared" si="10"/>
        <v>3</v>
      </c>
      <c r="AA114" s="39" t="str">
        <f t="shared" si="11"/>
        <v>-20 años</v>
      </c>
    </row>
    <row r="115" ht="15.75" customHeight="1">
      <c r="A115" s="26" t="s">
        <v>347</v>
      </c>
      <c r="B115" s="27" t="s">
        <v>56</v>
      </c>
      <c r="C115" s="28" t="s">
        <v>34</v>
      </c>
      <c r="D115" s="29">
        <v>44711.0</v>
      </c>
      <c r="E115" s="30" t="s">
        <v>348</v>
      </c>
      <c r="F115" s="31">
        <f>6317.93*7.33</f>
        <v>46310.4269</v>
      </c>
      <c r="G115" s="27" t="s">
        <v>45</v>
      </c>
      <c r="H115" s="30" t="s">
        <v>58</v>
      </c>
      <c r="I115" s="32">
        <v>45116.0</v>
      </c>
      <c r="J115" s="5"/>
      <c r="K115" s="27" t="s">
        <v>54</v>
      </c>
      <c r="L115" s="45" t="s">
        <v>46</v>
      </c>
      <c r="M115" s="45" t="s">
        <v>47</v>
      </c>
      <c r="N115" s="33" t="s">
        <v>349</v>
      </c>
      <c r="O115" s="30">
        <v>3.310654457E9</v>
      </c>
      <c r="P115" s="34" t="str">
        <f>IF(D118="","", "DARINKA UREÑA CASILLAS")</f>
        <v>DARINKA UREÑA CASILLAS</v>
      </c>
      <c r="Q115" s="35" t="str">
        <f>IF(D115="","",VLOOKUP(MONTH(D115),Listas!$C$2:$D$14,2,0))</f>
        <v>Mayo</v>
      </c>
      <c r="R115" s="36">
        <f t="shared" si="2"/>
        <v>2022</v>
      </c>
      <c r="S115" s="37">
        <f t="shared" si="3"/>
        <v>30</v>
      </c>
      <c r="T115" s="37">
        <f t="shared" si="4"/>
        <v>30</v>
      </c>
      <c r="U115" s="37">
        <f t="shared" si="5"/>
        <v>5</v>
      </c>
      <c r="V115" s="37">
        <f t="shared" si="6"/>
        <v>9</v>
      </c>
      <c r="W115" s="37">
        <f t="shared" si="7"/>
        <v>9</v>
      </c>
      <c r="X115" s="37">
        <f t="shared" si="8"/>
        <v>7</v>
      </c>
      <c r="Y115" s="37">
        <f t="shared" si="9"/>
        <v>5</v>
      </c>
      <c r="Z115" s="38">
        <f t="shared" si="10"/>
        <v>2</v>
      </c>
      <c r="AA115" s="39" t="str">
        <f t="shared" si="11"/>
        <v>-20 años</v>
      </c>
    </row>
    <row r="116" ht="15.75" customHeight="1">
      <c r="A116" s="26" t="s">
        <v>350</v>
      </c>
      <c r="B116" s="27" t="s">
        <v>56</v>
      </c>
      <c r="C116" s="28" t="s">
        <v>34</v>
      </c>
      <c r="D116" s="29">
        <v>44357.0</v>
      </c>
      <c r="E116" s="30" t="s">
        <v>351</v>
      </c>
      <c r="F116" s="31">
        <f>7.118*4433.54</f>
        <v>31557.93772</v>
      </c>
      <c r="G116" s="30" t="s">
        <v>45</v>
      </c>
      <c r="H116" s="30" t="s">
        <v>58</v>
      </c>
      <c r="I116" s="32">
        <v>44915.0</v>
      </c>
      <c r="J116" s="5"/>
      <c r="K116" s="30" t="s">
        <v>40</v>
      </c>
      <c r="L116" s="30" t="s">
        <v>46</v>
      </c>
      <c r="M116" s="30" t="s">
        <v>47</v>
      </c>
      <c r="N116" s="33" t="s">
        <v>352</v>
      </c>
      <c r="O116" s="30">
        <v>3.310244685E9</v>
      </c>
      <c r="P116" s="34" t="str">
        <f t="shared" ref="P116:P162" si="13">IF(A116="","", "DARINKA UREÑA CASILLAS")</f>
        <v>DARINKA UREÑA CASILLAS</v>
      </c>
      <c r="Q116" s="35" t="str">
        <f>IF(D116="","",VLOOKUP(MONTH(D116),Listas!$C$2:$D$14,2,0))</f>
        <v>Junio</v>
      </c>
      <c r="R116" s="36">
        <f t="shared" si="2"/>
        <v>2021</v>
      </c>
      <c r="S116" s="37">
        <f t="shared" si="3"/>
        <v>10</v>
      </c>
      <c r="T116" s="37">
        <f t="shared" si="4"/>
        <v>10</v>
      </c>
      <c r="U116" s="37">
        <f t="shared" si="5"/>
        <v>6</v>
      </c>
      <c r="V116" s="37">
        <f t="shared" si="6"/>
        <v>20</v>
      </c>
      <c r="W116" s="37">
        <f t="shared" si="7"/>
        <v>20</v>
      </c>
      <c r="X116" s="37">
        <f t="shared" si="8"/>
        <v>12</v>
      </c>
      <c r="Y116" s="37">
        <f t="shared" si="9"/>
        <v>6</v>
      </c>
      <c r="Z116" s="38">
        <f t="shared" si="10"/>
        <v>3</v>
      </c>
      <c r="AA116" s="39" t="str">
        <f t="shared" si="11"/>
        <v>-20 años</v>
      </c>
    </row>
    <row r="117" ht="15.75" customHeight="1">
      <c r="A117" s="26" t="s">
        <v>353</v>
      </c>
      <c r="B117" s="27" t="s">
        <v>33</v>
      </c>
      <c r="C117" s="28" t="s">
        <v>34</v>
      </c>
      <c r="D117" s="29">
        <v>44342.0</v>
      </c>
      <c r="E117" s="30" t="s">
        <v>354</v>
      </c>
      <c r="F117" s="31">
        <f>10109.58*19.88</f>
        <v>200978.4504</v>
      </c>
      <c r="G117" s="30" t="s">
        <v>355</v>
      </c>
      <c r="H117" s="30" t="s">
        <v>50</v>
      </c>
      <c r="I117" s="32">
        <v>44671.0</v>
      </c>
      <c r="J117" s="5"/>
      <c r="K117" s="30" t="s">
        <v>160</v>
      </c>
      <c r="L117" s="30" t="s">
        <v>46</v>
      </c>
      <c r="M117" s="30" t="s">
        <v>101</v>
      </c>
      <c r="N117" s="33" t="s">
        <v>214</v>
      </c>
      <c r="O117" s="30">
        <v>3.316119244E9</v>
      </c>
      <c r="P117" s="34" t="str">
        <f t="shared" si="13"/>
        <v>DARINKA UREÑA CASILLAS</v>
      </c>
      <c r="Q117" s="35" t="str">
        <f>IF(D117="","",VLOOKUP(MONTH(D117),Listas!$C$2:$D$14,2,0))</f>
        <v>Mayo</v>
      </c>
      <c r="R117" s="36">
        <f t="shared" si="2"/>
        <v>2021</v>
      </c>
      <c r="S117" s="37">
        <f t="shared" si="3"/>
        <v>26</v>
      </c>
      <c r="T117" s="37">
        <f t="shared" si="4"/>
        <v>26</v>
      </c>
      <c r="U117" s="37">
        <f t="shared" si="5"/>
        <v>5</v>
      </c>
      <c r="V117" s="37">
        <f t="shared" si="6"/>
        <v>20</v>
      </c>
      <c r="W117" s="37">
        <f t="shared" si="7"/>
        <v>20</v>
      </c>
      <c r="X117" s="37">
        <f t="shared" si="8"/>
        <v>4</v>
      </c>
      <c r="Y117" s="37">
        <f t="shared" si="9"/>
        <v>5</v>
      </c>
      <c r="Z117" s="38">
        <f t="shared" si="10"/>
        <v>4</v>
      </c>
      <c r="AA117" s="39" t="str">
        <f t="shared" si="11"/>
        <v>-20 años</v>
      </c>
    </row>
    <row r="118" ht="15.75" customHeight="1">
      <c r="A118" s="26" t="s">
        <v>356</v>
      </c>
      <c r="B118" s="27" t="s">
        <v>33</v>
      </c>
      <c r="C118" s="28" t="s">
        <v>34</v>
      </c>
      <c r="D118" s="29">
        <v>44314.0</v>
      </c>
      <c r="E118" s="30" t="s">
        <v>357</v>
      </c>
      <c r="F118" s="31">
        <f>2*7.118*4538.25</f>
        <v>64606.527</v>
      </c>
      <c r="G118" s="30" t="s">
        <v>45</v>
      </c>
      <c r="H118" s="30" t="s">
        <v>50</v>
      </c>
      <c r="I118" s="32">
        <v>44794.0</v>
      </c>
      <c r="J118" s="5"/>
      <c r="K118" s="30" t="s">
        <v>40</v>
      </c>
      <c r="L118" s="30" t="s">
        <v>46</v>
      </c>
      <c r="M118" s="30" t="s">
        <v>47</v>
      </c>
      <c r="N118" s="33" t="s">
        <v>358</v>
      </c>
      <c r="O118" s="30">
        <v>3.316119244E9</v>
      </c>
      <c r="P118" s="34" t="str">
        <f t="shared" si="13"/>
        <v>DARINKA UREÑA CASILLAS</v>
      </c>
      <c r="Q118" s="35" t="str">
        <f>IF(D118="","",VLOOKUP(MONTH(D118),Listas!$C$2:$D$14,2,0))</f>
        <v>Abril</v>
      </c>
      <c r="R118" s="36">
        <f t="shared" si="2"/>
        <v>2021</v>
      </c>
      <c r="S118" s="37">
        <f t="shared" si="3"/>
        <v>28</v>
      </c>
      <c r="T118" s="37">
        <f t="shared" si="4"/>
        <v>28</v>
      </c>
      <c r="U118" s="37">
        <f t="shared" si="5"/>
        <v>4</v>
      </c>
      <c r="V118" s="37">
        <f t="shared" si="6"/>
        <v>21</v>
      </c>
      <c r="W118" s="37">
        <f t="shared" si="7"/>
        <v>21</v>
      </c>
      <c r="X118" s="37">
        <f t="shared" si="8"/>
        <v>8</v>
      </c>
      <c r="Y118" s="37">
        <f t="shared" si="9"/>
        <v>4</v>
      </c>
      <c r="Z118" s="38">
        <f t="shared" si="10"/>
        <v>3</v>
      </c>
      <c r="AA118" s="39" t="str">
        <f t="shared" si="11"/>
        <v>-20 años</v>
      </c>
    </row>
    <row r="119" ht="15.75" customHeight="1">
      <c r="A119" s="26" t="s">
        <v>359</v>
      </c>
      <c r="B119" s="27" t="s">
        <v>33</v>
      </c>
      <c r="C119" s="28" t="s">
        <v>34</v>
      </c>
      <c r="D119" s="29">
        <v>44435.0</v>
      </c>
      <c r="E119" s="30" t="s">
        <v>360</v>
      </c>
      <c r="F119" s="44">
        <v>10709.18</v>
      </c>
      <c r="G119" s="30" t="s">
        <v>36</v>
      </c>
      <c r="H119" s="30" t="s">
        <v>58</v>
      </c>
      <c r="I119" s="32">
        <v>44741.0</v>
      </c>
      <c r="J119" s="5"/>
      <c r="K119" s="30" t="s">
        <v>40</v>
      </c>
      <c r="L119" s="30" t="s">
        <v>41</v>
      </c>
      <c r="M119" s="30" t="s">
        <v>42</v>
      </c>
      <c r="N119" s="33" t="s">
        <v>361</v>
      </c>
      <c r="O119" s="30">
        <v>3.314651944E9</v>
      </c>
      <c r="P119" s="34" t="str">
        <f t="shared" si="13"/>
        <v>DARINKA UREÑA CASILLAS</v>
      </c>
      <c r="Q119" s="35" t="str">
        <f>IF(D119="","",VLOOKUP(MONTH(D119),Listas!$C$2:$D$14,2,0))</f>
        <v>Agosto</v>
      </c>
      <c r="R119" s="36">
        <f t="shared" si="2"/>
        <v>2021</v>
      </c>
      <c r="S119" s="37">
        <f t="shared" si="3"/>
        <v>27</v>
      </c>
      <c r="T119" s="37">
        <f t="shared" si="4"/>
        <v>27</v>
      </c>
      <c r="U119" s="37">
        <f t="shared" si="5"/>
        <v>8</v>
      </c>
      <c r="V119" s="37">
        <f t="shared" si="6"/>
        <v>29</v>
      </c>
      <c r="W119" s="37">
        <f t="shared" si="7"/>
        <v>29</v>
      </c>
      <c r="X119" s="37">
        <f t="shared" si="8"/>
        <v>6</v>
      </c>
      <c r="Y119" s="37">
        <f t="shared" si="9"/>
        <v>8</v>
      </c>
      <c r="Z119" s="38">
        <f t="shared" si="10"/>
        <v>3</v>
      </c>
      <c r="AA119" s="39" t="str">
        <f t="shared" si="11"/>
        <v>-20 años</v>
      </c>
    </row>
    <row r="120" ht="15.75" customHeight="1">
      <c r="A120" s="26" t="s">
        <v>362</v>
      </c>
      <c r="B120" s="27" t="s">
        <v>33</v>
      </c>
      <c r="C120" s="28" t="s">
        <v>34</v>
      </c>
      <c r="D120" s="29">
        <v>44658.0</v>
      </c>
      <c r="E120" s="30" t="s">
        <v>363</v>
      </c>
      <c r="F120" s="46">
        <f>15637.53*4</f>
        <v>62550.12</v>
      </c>
      <c r="G120" s="27" t="s">
        <v>45</v>
      </c>
      <c r="H120" s="30" t="s">
        <v>94</v>
      </c>
      <c r="I120" s="32">
        <v>44673.0</v>
      </c>
      <c r="J120" s="5"/>
      <c r="K120" s="27" t="s">
        <v>40</v>
      </c>
      <c r="L120" s="45" t="s">
        <v>46</v>
      </c>
      <c r="M120" s="45" t="s">
        <v>47</v>
      </c>
      <c r="N120" s="33" t="s">
        <v>364</v>
      </c>
      <c r="O120" s="30">
        <v>3.318264373E9</v>
      </c>
      <c r="P120" s="34" t="str">
        <f t="shared" si="13"/>
        <v>DARINKA UREÑA CASILLAS</v>
      </c>
      <c r="Q120" s="35" t="str">
        <f>IF(D120="","",VLOOKUP(MONTH(D120),Listas!$C$2:$D$14,2,0))</f>
        <v>Abril</v>
      </c>
      <c r="R120" s="36">
        <f t="shared" si="2"/>
        <v>2022</v>
      </c>
      <c r="S120" s="37">
        <f t="shared" si="3"/>
        <v>7</v>
      </c>
      <c r="T120" s="37">
        <f t="shared" si="4"/>
        <v>7</v>
      </c>
      <c r="U120" s="37">
        <f t="shared" si="5"/>
        <v>4</v>
      </c>
      <c r="V120" s="37">
        <f t="shared" si="6"/>
        <v>22</v>
      </c>
      <c r="W120" s="37">
        <f t="shared" si="7"/>
        <v>22</v>
      </c>
      <c r="X120" s="37">
        <f t="shared" si="8"/>
        <v>4</v>
      </c>
      <c r="Y120" s="37">
        <f t="shared" si="9"/>
        <v>4</v>
      </c>
      <c r="Z120" s="38">
        <f t="shared" si="10"/>
        <v>4</v>
      </c>
      <c r="AA120" s="39" t="str">
        <f t="shared" si="11"/>
        <v>-20 años</v>
      </c>
    </row>
    <row r="121" ht="15.75" customHeight="1">
      <c r="A121" s="26" t="s">
        <v>365</v>
      </c>
      <c r="B121" s="27" t="s">
        <v>33</v>
      </c>
      <c r="C121" s="28" t="s">
        <v>34</v>
      </c>
      <c r="D121" s="29">
        <v>44400.0</v>
      </c>
      <c r="E121" s="30" t="s">
        <v>366</v>
      </c>
      <c r="F121" s="44">
        <v>15927.34</v>
      </c>
      <c r="G121" s="30" t="s">
        <v>36</v>
      </c>
      <c r="H121" s="30" t="s">
        <v>58</v>
      </c>
      <c r="I121" s="32">
        <v>44672.0</v>
      </c>
      <c r="J121" s="5"/>
      <c r="K121" s="30" t="s">
        <v>40</v>
      </c>
      <c r="L121" s="30" t="s">
        <v>41</v>
      </c>
      <c r="M121" s="30" t="s">
        <v>42</v>
      </c>
      <c r="N121" s="33" t="s">
        <v>367</v>
      </c>
      <c r="O121" s="30">
        <v>3.314124438E9</v>
      </c>
      <c r="P121" s="34" t="str">
        <f t="shared" si="13"/>
        <v>DARINKA UREÑA CASILLAS</v>
      </c>
      <c r="Q121" s="35" t="str">
        <f>IF(D121="","",VLOOKUP(MONTH(D121),Listas!$C$2:$D$14,2,0))</f>
        <v>Julio</v>
      </c>
      <c r="R121" s="36">
        <f t="shared" si="2"/>
        <v>2021</v>
      </c>
      <c r="S121" s="37">
        <f t="shared" si="3"/>
        <v>23</v>
      </c>
      <c r="T121" s="37">
        <f t="shared" si="4"/>
        <v>23</v>
      </c>
      <c r="U121" s="37">
        <f t="shared" si="5"/>
        <v>7</v>
      </c>
      <c r="V121" s="37">
        <f t="shared" si="6"/>
        <v>21</v>
      </c>
      <c r="W121" s="37">
        <f t="shared" si="7"/>
        <v>21</v>
      </c>
      <c r="X121" s="37">
        <f t="shared" si="8"/>
        <v>4</v>
      </c>
      <c r="Y121" s="37">
        <f t="shared" si="9"/>
        <v>7</v>
      </c>
      <c r="Z121" s="38">
        <f t="shared" si="10"/>
        <v>4</v>
      </c>
      <c r="AA121" s="39" t="str">
        <f t="shared" si="11"/>
        <v>-20 años</v>
      </c>
    </row>
    <row r="122" ht="15.75" customHeight="1">
      <c r="A122" s="26" t="s">
        <v>368</v>
      </c>
      <c r="B122" s="27" t="s">
        <v>33</v>
      </c>
      <c r="C122" s="28" t="s">
        <v>34</v>
      </c>
      <c r="D122" s="29">
        <v>44147.0</v>
      </c>
      <c r="E122" s="30" t="s">
        <v>369</v>
      </c>
      <c r="F122" s="31">
        <f>673.13*7.118*12</f>
        <v>57496.07208</v>
      </c>
      <c r="G122" s="30" t="s">
        <v>45</v>
      </c>
      <c r="H122" s="30" t="s">
        <v>37</v>
      </c>
      <c r="I122" s="32">
        <v>44860.0</v>
      </c>
      <c r="J122" s="5"/>
      <c r="K122" s="30" t="s">
        <v>40</v>
      </c>
      <c r="L122" s="30" t="s">
        <v>46</v>
      </c>
      <c r="M122" s="30" t="s">
        <v>47</v>
      </c>
      <c r="N122" s="33" t="s">
        <v>370</v>
      </c>
      <c r="O122" s="30">
        <v>3.311788769E9</v>
      </c>
      <c r="P122" s="34" t="str">
        <f t="shared" si="13"/>
        <v>DARINKA UREÑA CASILLAS</v>
      </c>
      <c r="Q122" s="35" t="str">
        <f>IF(D122="","",VLOOKUP(MONTH(D122),Listas!$C$2:$D$14,2,0))</f>
        <v>Noviembre</v>
      </c>
      <c r="R122" s="36">
        <f t="shared" si="2"/>
        <v>2020</v>
      </c>
      <c r="S122" s="37">
        <f t="shared" si="3"/>
        <v>12</v>
      </c>
      <c r="T122" s="37">
        <f t="shared" si="4"/>
        <v>12</v>
      </c>
      <c r="U122" s="37">
        <f t="shared" si="5"/>
        <v>11</v>
      </c>
      <c r="V122" s="37">
        <f t="shared" si="6"/>
        <v>26</v>
      </c>
      <c r="W122" s="37">
        <f t="shared" si="7"/>
        <v>26</v>
      </c>
      <c r="X122" s="37">
        <f t="shared" si="8"/>
        <v>10</v>
      </c>
      <c r="Y122" s="37">
        <f t="shared" si="9"/>
        <v>11</v>
      </c>
      <c r="Z122" s="38">
        <f t="shared" si="10"/>
        <v>3</v>
      </c>
      <c r="AA122" s="39" t="str">
        <f t="shared" si="11"/>
        <v>-20 años</v>
      </c>
    </row>
    <row r="123" ht="15.75" customHeight="1">
      <c r="A123" s="26" t="s">
        <v>371</v>
      </c>
      <c r="B123" s="27" t="s">
        <v>33</v>
      </c>
      <c r="C123" s="28" t="s">
        <v>34</v>
      </c>
      <c r="D123" s="29">
        <v>43950.0</v>
      </c>
      <c r="E123" s="30" t="s">
        <v>372</v>
      </c>
      <c r="F123" s="31">
        <f>3718.11*7.118</f>
        <v>26465.50698</v>
      </c>
      <c r="G123" s="30" t="s">
        <v>45</v>
      </c>
      <c r="H123" s="30" t="s">
        <v>58</v>
      </c>
      <c r="I123" s="32">
        <v>44876.0</v>
      </c>
      <c r="J123" s="5"/>
      <c r="K123" s="30" t="s">
        <v>40</v>
      </c>
      <c r="L123" s="30" t="s">
        <v>46</v>
      </c>
      <c r="M123" s="30" t="s">
        <v>47</v>
      </c>
      <c r="N123" s="33" t="s">
        <v>373</v>
      </c>
      <c r="O123" s="30">
        <v>3.331483605E9</v>
      </c>
      <c r="P123" s="34" t="str">
        <f t="shared" si="13"/>
        <v>DARINKA UREÑA CASILLAS</v>
      </c>
      <c r="Q123" s="35" t="str">
        <f>IF(D123="","",VLOOKUP(MONTH(D123),Listas!$C$2:$D$14,2,0))</f>
        <v>Abril</v>
      </c>
      <c r="R123" s="36">
        <f t="shared" si="2"/>
        <v>2020</v>
      </c>
      <c r="S123" s="37">
        <f t="shared" si="3"/>
        <v>29</v>
      </c>
      <c r="T123" s="37">
        <f t="shared" si="4"/>
        <v>29</v>
      </c>
      <c r="U123" s="37">
        <f t="shared" si="5"/>
        <v>4</v>
      </c>
      <c r="V123" s="37">
        <f t="shared" si="6"/>
        <v>11</v>
      </c>
      <c r="W123" s="37">
        <f t="shared" si="7"/>
        <v>11</v>
      </c>
      <c r="X123" s="37">
        <f t="shared" si="8"/>
        <v>11</v>
      </c>
      <c r="Y123" s="37">
        <f t="shared" si="9"/>
        <v>4</v>
      </c>
      <c r="Z123" s="38">
        <f t="shared" si="10"/>
        <v>3</v>
      </c>
      <c r="AA123" s="39" t="str">
        <f t="shared" si="11"/>
        <v>-20 años</v>
      </c>
    </row>
    <row r="124" ht="15.75" customHeight="1">
      <c r="A124" s="26" t="s">
        <v>374</v>
      </c>
      <c r="B124" s="27" t="s">
        <v>56</v>
      </c>
      <c r="C124" s="28" t="s">
        <v>34</v>
      </c>
      <c r="D124" s="29">
        <v>44117.0</v>
      </c>
      <c r="E124" s="30" t="s">
        <v>375</v>
      </c>
      <c r="F124" s="31">
        <f>12*7.118*208.45</f>
        <v>17804.9652</v>
      </c>
      <c r="G124" s="30" t="s">
        <v>45</v>
      </c>
      <c r="H124" s="30" t="s">
        <v>37</v>
      </c>
      <c r="I124" s="32">
        <v>44677.0</v>
      </c>
      <c r="J124" s="5"/>
      <c r="K124" s="30" t="s">
        <v>54</v>
      </c>
      <c r="L124" s="30" t="s">
        <v>46</v>
      </c>
      <c r="M124" s="30" t="s">
        <v>47</v>
      </c>
      <c r="N124" s="33" t="s">
        <v>376</v>
      </c>
      <c r="O124" s="30">
        <v>3.323106934E9</v>
      </c>
      <c r="P124" s="34" t="str">
        <f t="shared" si="13"/>
        <v>DARINKA UREÑA CASILLAS</v>
      </c>
      <c r="Q124" s="35" t="str">
        <f>IF(D124="","",VLOOKUP(MONTH(D124),Listas!$C$2:$D$14,2,0))</f>
        <v>Octubre</v>
      </c>
      <c r="R124" s="36">
        <f t="shared" si="2"/>
        <v>2020</v>
      </c>
      <c r="S124" s="37">
        <f t="shared" si="3"/>
        <v>13</v>
      </c>
      <c r="T124" s="37">
        <f t="shared" si="4"/>
        <v>13</v>
      </c>
      <c r="U124" s="37">
        <f t="shared" si="5"/>
        <v>10</v>
      </c>
      <c r="V124" s="37">
        <f t="shared" si="6"/>
        <v>26</v>
      </c>
      <c r="W124" s="37">
        <f t="shared" si="7"/>
        <v>26</v>
      </c>
      <c r="X124" s="37">
        <f t="shared" si="8"/>
        <v>4</v>
      </c>
      <c r="Y124" s="37">
        <f t="shared" si="9"/>
        <v>10</v>
      </c>
      <c r="Z124" s="38">
        <f t="shared" si="10"/>
        <v>4</v>
      </c>
      <c r="AA124" s="39" t="str">
        <f t="shared" si="11"/>
        <v>-20 años</v>
      </c>
    </row>
    <row r="125" ht="15.75" customHeight="1">
      <c r="A125" s="26" t="s">
        <v>377</v>
      </c>
      <c r="B125" s="27" t="s">
        <v>56</v>
      </c>
      <c r="C125" s="28" t="s">
        <v>34</v>
      </c>
      <c r="D125" s="29">
        <v>44161.0</v>
      </c>
      <c r="E125" s="30" t="s">
        <v>378</v>
      </c>
      <c r="F125" s="31">
        <f>2*7.118*1864.06</f>
        <v>26536.75816</v>
      </c>
      <c r="G125" s="30" t="s">
        <v>45</v>
      </c>
      <c r="H125" s="30" t="s">
        <v>37</v>
      </c>
      <c r="I125" s="32">
        <v>44597.0</v>
      </c>
      <c r="J125" s="5"/>
      <c r="K125" s="30" t="s">
        <v>54</v>
      </c>
      <c r="L125" s="30" t="s">
        <v>46</v>
      </c>
      <c r="M125" s="30" t="s">
        <v>47</v>
      </c>
      <c r="N125" s="33" t="s">
        <v>379</v>
      </c>
      <c r="O125" s="30">
        <v>6.371150054E9</v>
      </c>
      <c r="P125" s="34" t="str">
        <f t="shared" si="13"/>
        <v>DARINKA UREÑA CASILLAS</v>
      </c>
      <c r="Q125" s="35" t="str">
        <f>IF(D125="","",VLOOKUP(MONTH(D125),Listas!$C$2:$D$14,2,0))</f>
        <v>Noviembre</v>
      </c>
      <c r="R125" s="36">
        <f t="shared" si="2"/>
        <v>2020</v>
      </c>
      <c r="S125" s="37">
        <f t="shared" si="3"/>
        <v>26</v>
      </c>
      <c r="T125" s="37">
        <f t="shared" si="4"/>
        <v>26</v>
      </c>
      <c r="U125" s="37">
        <f t="shared" si="5"/>
        <v>11</v>
      </c>
      <c r="V125" s="37">
        <f t="shared" si="6"/>
        <v>5</v>
      </c>
      <c r="W125" s="37">
        <f t="shared" si="7"/>
        <v>5</v>
      </c>
      <c r="X125" s="37">
        <f t="shared" si="8"/>
        <v>2</v>
      </c>
      <c r="Y125" s="37">
        <f t="shared" si="9"/>
        <v>11</v>
      </c>
      <c r="Z125" s="38">
        <f t="shared" si="10"/>
        <v>4</v>
      </c>
      <c r="AA125" s="39" t="str">
        <f t="shared" si="11"/>
        <v>-20 años</v>
      </c>
    </row>
    <row r="126" ht="15.75" customHeight="1">
      <c r="A126" s="26" t="s">
        <v>380</v>
      </c>
      <c r="B126" s="27" t="s">
        <v>56</v>
      </c>
      <c r="C126" s="28" t="s">
        <v>34</v>
      </c>
      <c r="D126" s="29">
        <v>44801.0</v>
      </c>
      <c r="E126" s="30" t="s">
        <v>381</v>
      </c>
      <c r="F126" s="31">
        <f>4150.79*7.65*2</f>
        <v>63507.087</v>
      </c>
      <c r="G126" s="30" t="s">
        <v>45</v>
      </c>
      <c r="H126" s="30" t="s">
        <v>50</v>
      </c>
      <c r="I126" s="48">
        <v>44946.0</v>
      </c>
      <c r="J126" s="5"/>
      <c r="K126" s="30" t="s">
        <v>160</v>
      </c>
      <c r="L126" s="30" t="s">
        <v>46</v>
      </c>
      <c r="M126" s="30" t="s">
        <v>47</v>
      </c>
      <c r="N126" s="33" t="s">
        <v>382</v>
      </c>
      <c r="O126" s="30">
        <v>6.69102773E9</v>
      </c>
      <c r="P126" s="34" t="str">
        <f t="shared" si="13"/>
        <v>DARINKA UREÑA CASILLAS</v>
      </c>
      <c r="Q126" s="35" t="str">
        <f>IF(D126="","",VLOOKUP(MONTH(D126),Listas!$C$2:$D$14,2,0))</f>
        <v>Agosto</v>
      </c>
      <c r="R126" s="36">
        <f t="shared" si="2"/>
        <v>2022</v>
      </c>
      <c r="S126" s="37">
        <f t="shared" si="3"/>
        <v>28</v>
      </c>
      <c r="T126" s="37">
        <f t="shared" si="4"/>
        <v>28</v>
      </c>
      <c r="U126" s="37">
        <f t="shared" si="5"/>
        <v>8</v>
      </c>
      <c r="V126" s="37">
        <f t="shared" si="6"/>
        <v>20</v>
      </c>
      <c r="W126" s="37">
        <f t="shared" si="7"/>
        <v>20</v>
      </c>
      <c r="X126" s="37">
        <f t="shared" si="8"/>
        <v>1</v>
      </c>
      <c r="Y126" s="37">
        <f t="shared" si="9"/>
        <v>8</v>
      </c>
      <c r="Z126" s="38">
        <f t="shared" si="10"/>
        <v>3</v>
      </c>
      <c r="AA126" s="39" t="str">
        <f t="shared" si="11"/>
        <v>-20 años</v>
      </c>
    </row>
    <row r="127" ht="15.75" customHeight="1">
      <c r="A127" s="26" t="s">
        <v>383</v>
      </c>
      <c r="B127" s="27" t="s">
        <v>56</v>
      </c>
      <c r="C127" s="28" t="s">
        <v>34</v>
      </c>
      <c r="D127" s="29">
        <v>44565.0</v>
      </c>
      <c r="E127" s="30" t="s">
        <v>384</v>
      </c>
      <c r="F127" s="31">
        <f>12*7.118*206.04</f>
        <v>17599.11264</v>
      </c>
      <c r="G127" s="27" t="s">
        <v>45</v>
      </c>
      <c r="H127" s="30" t="s">
        <v>37</v>
      </c>
      <c r="I127" s="30" t="s">
        <v>90</v>
      </c>
      <c r="J127" s="5"/>
      <c r="K127" s="30" t="s">
        <v>40</v>
      </c>
      <c r="L127" s="30" t="s">
        <v>46</v>
      </c>
      <c r="M127" s="30" t="s">
        <v>47</v>
      </c>
      <c r="N127" s="33" t="s">
        <v>385</v>
      </c>
      <c r="O127" s="30">
        <v>3.316031092E9</v>
      </c>
      <c r="P127" s="34" t="str">
        <f t="shared" si="13"/>
        <v>DARINKA UREÑA CASILLAS</v>
      </c>
      <c r="Q127" s="35" t="str">
        <f>IF(D127="","",VLOOKUP(MONTH(D127),Listas!$C$2:$D$14,2,0))</f>
        <v>Enero</v>
      </c>
      <c r="R127" s="36">
        <f t="shared" si="2"/>
        <v>2022</v>
      </c>
      <c r="S127" s="37">
        <f t="shared" si="3"/>
        <v>4</v>
      </c>
      <c r="T127" s="37">
        <f t="shared" si="4"/>
        <v>4</v>
      </c>
      <c r="U127" s="37">
        <f t="shared" si="5"/>
        <v>1</v>
      </c>
      <c r="V127" s="37">
        <f t="shared" si="6"/>
        <v>6</v>
      </c>
      <c r="W127" s="37">
        <f t="shared" si="7"/>
        <v>6</v>
      </c>
      <c r="X127" s="37">
        <f t="shared" si="8"/>
        <v>9</v>
      </c>
      <c r="Y127" s="37">
        <f t="shared" si="9"/>
        <v>1</v>
      </c>
      <c r="Z127" s="38">
        <f t="shared" si="10"/>
        <v>0</v>
      </c>
      <c r="AA127" s="39" t="str">
        <f t="shared" si="11"/>
        <v>-20 años</v>
      </c>
    </row>
    <row r="128" ht="15.75" customHeight="1">
      <c r="A128" s="26" t="s">
        <v>383</v>
      </c>
      <c r="B128" s="27" t="s">
        <v>56</v>
      </c>
      <c r="C128" s="28" t="s">
        <v>34</v>
      </c>
      <c r="D128" s="29">
        <v>44740.0</v>
      </c>
      <c r="E128" s="30" t="s">
        <v>386</v>
      </c>
      <c r="F128" s="31">
        <f>218.33*12*7.65</f>
        <v>20042.694</v>
      </c>
      <c r="G128" s="27" t="s">
        <v>45</v>
      </c>
      <c r="H128" s="30" t="s">
        <v>37</v>
      </c>
      <c r="I128" s="30" t="s">
        <v>90</v>
      </c>
      <c r="J128" s="5"/>
      <c r="K128" s="27" t="s">
        <v>40</v>
      </c>
      <c r="L128" s="45" t="s">
        <v>46</v>
      </c>
      <c r="M128" s="45" t="s">
        <v>117</v>
      </c>
      <c r="N128" s="33" t="s">
        <v>385</v>
      </c>
      <c r="O128" s="30">
        <v>3.316031092E9</v>
      </c>
      <c r="P128" s="34" t="str">
        <f t="shared" si="13"/>
        <v>DARINKA UREÑA CASILLAS</v>
      </c>
      <c r="Q128" s="35" t="str">
        <f>IF(D128="","",VLOOKUP(MONTH(D128),Listas!$C$2:$D$14,2,0))</f>
        <v>Junio</v>
      </c>
      <c r="R128" s="36">
        <f t="shared" si="2"/>
        <v>2022</v>
      </c>
      <c r="S128" s="37">
        <f t="shared" si="3"/>
        <v>28</v>
      </c>
      <c r="T128" s="37">
        <f t="shared" si="4"/>
        <v>28</v>
      </c>
      <c r="U128" s="37">
        <f t="shared" si="5"/>
        <v>6</v>
      </c>
      <c r="V128" s="37">
        <f t="shared" si="6"/>
        <v>6</v>
      </c>
      <c r="W128" s="37">
        <f t="shared" si="7"/>
        <v>6</v>
      </c>
      <c r="X128" s="37">
        <f t="shared" si="8"/>
        <v>9</v>
      </c>
      <c r="Y128" s="37">
        <f t="shared" si="9"/>
        <v>6</v>
      </c>
      <c r="Z128" s="38">
        <f t="shared" si="10"/>
        <v>0</v>
      </c>
      <c r="AA128" s="39" t="str">
        <f t="shared" si="11"/>
        <v>-20 años</v>
      </c>
    </row>
    <row r="129" ht="15.75" customHeight="1">
      <c r="A129" s="51" t="s">
        <v>387</v>
      </c>
      <c r="B129" s="27" t="s">
        <v>56</v>
      </c>
      <c r="C129" s="28" t="s">
        <v>34</v>
      </c>
      <c r="D129" s="29">
        <v>44355.0</v>
      </c>
      <c r="E129" s="30" t="s">
        <v>388</v>
      </c>
      <c r="F129" s="31">
        <f>4*7.118*1254.12</f>
        <v>35707.30464</v>
      </c>
      <c r="G129" s="27" t="s">
        <v>45</v>
      </c>
      <c r="H129" s="30" t="s">
        <v>94</v>
      </c>
      <c r="I129" s="30" t="s">
        <v>389</v>
      </c>
      <c r="J129" s="5"/>
      <c r="K129" s="30" t="s">
        <v>54</v>
      </c>
      <c r="L129" s="30" t="s">
        <v>46</v>
      </c>
      <c r="M129" s="30" t="s">
        <v>47</v>
      </c>
      <c r="N129" s="33" t="s">
        <v>390</v>
      </c>
      <c r="O129" s="30">
        <v>3.321553026E9</v>
      </c>
      <c r="P129" s="34" t="str">
        <f t="shared" si="13"/>
        <v>DARINKA UREÑA CASILLAS</v>
      </c>
      <c r="Q129" s="35" t="str">
        <f>IF(D129="","",VLOOKUP(MONTH(D129),Listas!$C$2:$D$14,2,0))</f>
        <v>Junio</v>
      </c>
      <c r="R129" s="36">
        <f t="shared" si="2"/>
        <v>2021</v>
      </c>
      <c r="S129" s="37">
        <f t="shared" si="3"/>
        <v>8</v>
      </c>
      <c r="T129" s="37">
        <f t="shared" si="4"/>
        <v>8</v>
      </c>
      <c r="U129" s="37">
        <f t="shared" si="5"/>
        <v>6</v>
      </c>
      <c r="V129" s="37">
        <f t="shared" si="6"/>
        <v>1</v>
      </c>
      <c r="W129" s="37">
        <f t="shared" si="7"/>
        <v>1</v>
      </c>
      <c r="X129" s="37">
        <f t="shared" si="8"/>
        <v>9</v>
      </c>
      <c r="Y129" s="37">
        <f t="shared" si="9"/>
        <v>6</v>
      </c>
      <c r="Z129" s="38">
        <f t="shared" si="10"/>
        <v>0</v>
      </c>
      <c r="AA129" s="39" t="str">
        <f t="shared" si="11"/>
        <v>-20 años</v>
      </c>
    </row>
    <row r="130" ht="15.75" customHeight="1">
      <c r="A130" s="51" t="s">
        <v>391</v>
      </c>
      <c r="B130" s="27" t="s">
        <v>56</v>
      </c>
      <c r="C130" s="28" t="s">
        <v>34</v>
      </c>
      <c r="D130" s="52">
        <v>44540.0</v>
      </c>
      <c r="E130" s="30" t="s">
        <v>392</v>
      </c>
      <c r="F130" s="31">
        <f>4*7277.49</f>
        <v>29109.96</v>
      </c>
      <c r="G130" s="30" t="s">
        <v>36</v>
      </c>
      <c r="H130" s="30" t="s">
        <v>94</v>
      </c>
      <c r="I130" s="32">
        <v>44800.0</v>
      </c>
      <c r="J130" s="5"/>
      <c r="K130" s="30" t="s">
        <v>40</v>
      </c>
      <c r="L130" s="30" t="s">
        <v>41</v>
      </c>
      <c r="M130" s="30" t="s">
        <v>42</v>
      </c>
      <c r="N130" s="33" t="s">
        <v>393</v>
      </c>
      <c r="O130" s="30"/>
      <c r="P130" s="34" t="str">
        <f t="shared" si="13"/>
        <v>DARINKA UREÑA CASILLAS</v>
      </c>
      <c r="Q130" s="35" t="str">
        <f>IF(D130="","",VLOOKUP(MONTH(D130),Listas!$C$2:$D$14,2,0))</f>
        <v>Diciembre</v>
      </c>
      <c r="R130" s="53">
        <f t="shared" si="2"/>
        <v>2021</v>
      </c>
      <c r="S130" s="3">
        <f t="shared" si="3"/>
        <v>10</v>
      </c>
      <c r="T130" s="3">
        <f>IF(D130="","",S130-$V$1)</f>
        <v>-9</v>
      </c>
      <c r="U130" s="3">
        <f>IF(D130="","",(MONTH(D130)))</f>
        <v>12</v>
      </c>
      <c r="V130" s="3">
        <f>IF(I134="","",(DAY(I134)))</f>
        <v>4</v>
      </c>
      <c r="W130" s="3">
        <f>IF(I134="","",V130-$V$1)</f>
        <v>-15</v>
      </c>
      <c r="X130" s="3">
        <f>IF(I134="","",(MONTH(I134)))</f>
        <v>7</v>
      </c>
      <c r="Z130" s="38">
        <f t="shared" si="10"/>
        <v>3</v>
      </c>
    </row>
    <row r="131" ht="15.75" customHeight="1">
      <c r="A131" s="26" t="s">
        <v>394</v>
      </c>
      <c r="B131" s="27" t="s">
        <v>33</v>
      </c>
      <c r="C131" s="28" t="s">
        <v>34</v>
      </c>
      <c r="D131" s="29">
        <v>44862.0</v>
      </c>
      <c r="E131" s="30" t="s">
        <v>395</v>
      </c>
      <c r="F131" s="31">
        <f>6014.32*12</f>
        <v>72171.84</v>
      </c>
      <c r="G131" s="30" t="s">
        <v>36</v>
      </c>
      <c r="H131" s="30" t="s">
        <v>37</v>
      </c>
      <c r="I131" s="32">
        <v>45215.0</v>
      </c>
      <c r="J131" s="5"/>
      <c r="K131" s="27" t="s">
        <v>40</v>
      </c>
      <c r="L131" s="45" t="s">
        <v>41</v>
      </c>
      <c r="M131" s="45" t="s">
        <v>51</v>
      </c>
      <c r="N131" s="33" t="s">
        <v>396</v>
      </c>
      <c r="O131" s="30">
        <v>3.335770232E9</v>
      </c>
      <c r="P131" s="34" t="str">
        <f t="shared" si="13"/>
        <v>DARINKA UREÑA CASILLAS</v>
      </c>
      <c r="Q131" s="35" t="str">
        <f>IF(D131="","",VLOOKUP(MONTH(D131),Listas!$C$2:$D$14,2,0))</f>
        <v>Octubre</v>
      </c>
      <c r="R131" s="36">
        <f t="shared" si="2"/>
        <v>2022</v>
      </c>
      <c r="S131" s="37">
        <f t="shared" si="3"/>
        <v>28</v>
      </c>
      <c r="T131" s="37">
        <f t="shared" ref="T131:T264" si="14">IF(D131="","",S131-$W$1)</f>
        <v>28</v>
      </c>
      <c r="U131" s="37">
        <f t="shared" ref="U131:U264" si="15">IF(D131="","",(MONTH(D131)))</f>
        <v>10</v>
      </c>
      <c r="V131" s="37">
        <f t="shared" ref="V131:V264" si="16">IF(I131="","",(DAY(I131)))</f>
        <v>16</v>
      </c>
      <c r="W131" s="37">
        <f t="shared" ref="W131:W264" si="17">IF(I131="","",V131-$W$1)</f>
        <v>16</v>
      </c>
      <c r="X131" s="37">
        <f t="shared" ref="X131:X264" si="18">IF(I131="","",(MONTH(I131)))</f>
        <v>10</v>
      </c>
      <c r="Y131" s="37">
        <f t="shared" ref="Y131:Y264" si="19">IF(D131="","",(MONTH(D131)))</f>
        <v>10</v>
      </c>
      <c r="Z131" s="38">
        <f t="shared" si="10"/>
        <v>2</v>
      </c>
      <c r="AA131" s="39" t="str">
        <f t="shared" ref="AA131:AA264" si="20">IF(Z131="","", IFS(Z131 &gt;= 61, "61+ años",
     Z131 &gt;= 51, "51-60 años",
     Z131 &gt;= 40, "40-50 años",
     Z131 &gt;= 20, "20-39 años",
     TRUE, "-20 años"))</f>
        <v>-20 años</v>
      </c>
    </row>
    <row r="132" ht="15.75" customHeight="1">
      <c r="A132" s="26" t="s">
        <v>394</v>
      </c>
      <c r="B132" s="27" t="s">
        <v>33</v>
      </c>
      <c r="C132" s="28" t="s">
        <v>34</v>
      </c>
      <c r="D132" s="29">
        <v>44862.0</v>
      </c>
      <c r="E132" s="30" t="s">
        <v>397</v>
      </c>
      <c r="F132" s="31">
        <f>333.14*7.65*12</f>
        <v>30582.252</v>
      </c>
      <c r="G132" s="30" t="s">
        <v>45</v>
      </c>
      <c r="H132" s="30" t="s">
        <v>37</v>
      </c>
      <c r="I132" s="32">
        <v>45215.0</v>
      </c>
      <c r="J132" s="5"/>
      <c r="K132" s="27" t="s">
        <v>40</v>
      </c>
      <c r="L132" s="45" t="s">
        <v>46</v>
      </c>
      <c r="M132" s="45" t="s">
        <v>47</v>
      </c>
      <c r="N132" s="33" t="s">
        <v>396</v>
      </c>
      <c r="O132" s="30">
        <v>3.335770232E9</v>
      </c>
      <c r="P132" s="34" t="str">
        <f t="shared" si="13"/>
        <v>DARINKA UREÑA CASILLAS</v>
      </c>
      <c r="Q132" s="35" t="str">
        <f>IF(D132="","",VLOOKUP(MONTH(D132),Listas!$C$2:$D$14,2,0))</f>
        <v>Octubre</v>
      </c>
      <c r="R132" s="36">
        <f t="shared" si="2"/>
        <v>2022</v>
      </c>
      <c r="S132" s="37">
        <f t="shared" si="3"/>
        <v>28</v>
      </c>
      <c r="T132" s="37">
        <f t="shared" si="14"/>
        <v>28</v>
      </c>
      <c r="U132" s="37">
        <f t="shared" si="15"/>
        <v>10</v>
      </c>
      <c r="V132" s="37">
        <f t="shared" si="16"/>
        <v>16</v>
      </c>
      <c r="W132" s="37">
        <f t="shared" si="17"/>
        <v>16</v>
      </c>
      <c r="X132" s="37">
        <f t="shared" si="18"/>
        <v>10</v>
      </c>
      <c r="Y132" s="37">
        <f t="shared" si="19"/>
        <v>10</v>
      </c>
      <c r="Z132" s="38">
        <f t="shared" si="10"/>
        <v>2</v>
      </c>
      <c r="AA132" s="39" t="str">
        <f t="shared" si="20"/>
        <v>-20 años</v>
      </c>
    </row>
    <row r="133" ht="15.75" customHeight="1">
      <c r="A133" s="26" t="s">
        <v>398</v>
      </c>
      <c r="B133" s="27" t="s">
        <v>56</v>
      </c>
      <c r="C133" s="28" t="s">
        <v>34</v>
      </c>
      <c r="D133" s="29">
        <v>44754.0</v>
      </c>
      <c r="E133" s="30" t="s">
        <v>399</v>
      </c>
      <c r="F133" s="31">
        <f>8930.69*2</f>
        <v>17861.38</v>
      </c>
      <c r="G133" s="30" t="s">
        <v>36</v>
      </c>
      <c r="H133" s="30" t="s">
        <v>50</v>
      </c>
      <c r="I133" s="32">
        <v>45281.0</v>
      </c>
      <c r="J133" s="5"/>
      <c r="K133" s="27" t="s">
        <v>40</v>
      </c>
      <c r="L133" s="45" t="s">
        <v>41</v>
      </c>
      <c r="M133" s="45" t="s">
        <v>42</v>
      </c>
      <c r="N133" s="33" t="s">
        <v>400</v>
      </c>
      <c r="O133" s="30">
        <v>3.310245076E9</v>
      </c>
      <c r="P133" s="34" t="str">
        <f t="shared" si="13"/>
        <v>DARINKA UREÑA CASILLAS</v>
      </c>
      <c r="Q133" s="35" t="str">
        <f>IF(D133="","",VLOOKUP(MONTH(D133),Listas!$C$2:$D$14,2,0))</f>
        <v>Julio</v>
      </c>
      <c r="R133" s="36">
        <f t="shared" si="2"/>
        <v>2022</v>
      </c>
      <c r="S133" s="37">
        <f t="shared" si="3"/>
        <v>12</v>
      </c>
      <c r="T133" s="37">
        <f t="shared" si="14"/>
        <v>12</v>
      </c>
      <c r="U133" s="37">
        <f t="shared" si="15"/>
        <v>7</v>
      </c>
      <c r="V133" s="37">
        <f t="shared" si="16"/>
        <v>21</v>
      </c>
      <c r="W133" s="37">
        <f t="shared" si="17"/>
        <v>21</v>
      </c>
      <c r="X133" s="37">
        <f t="shared" si="18"/>
        <v>12</v>
      </c>
      <c r="Y133" s="37">
        <f t="shared" si="19"/>
        <v>7</v>
      </c>
      <c r="Z133" s="38">
        <f t="shared" si="10"/>
        <v>2</v>
      </c>
      <c r="AA133" s="39" t="str">
        <f t="shared" si="20"/>
        <v>-20 años</v>
      </c>
    </row>
    <row r="134" ht="15.75" customHeight="1">
      <c r="A134" s="26" t="s">
        <v>401</v>
      </c>
      <c r="B134" s="13" t="s">
        <v>56</v>
      </c>
      <c r="C134" s="28" t="s">
        <v>34</v>
      </c>
      <c r="D134" s="54">
        <v>44312.0</v>
      </c>
      <c r="E134" s="30" t="s">
        <v>402</v>
      </c>
      <c r="F134" s="55">
        <f>2*7.118*2723.03</f>
        <v>38765.05508</v>
      </c>
      <c r="G134" s="27" t="s">
        <v>45</v>
      </c>
      <c r="H134" s="30" t="s">
        <v>50</v>
      </c>
      <c r="I134" s="56">
        <v>44746.0</v>
      </c>
      <c r="J134" s="57"/>
      <c r="K134" s="30" t="s">
        <v>40</v>
      </c>
      <c r="L134" s="58" t="s">
        <v>46</v>
      </c>
      <c r="M134" s="58" t="s">
        <v>47</v>
      </c>
      <c r="N134" s="33" t="s">
        <v>403</v>
      </c>
      <c r="O134" s="30">
        <v>3.316119244E9</v>
      </c>
      <c r="P134" s="34" t="str">
        <f t="shared" si="13"/>
        <v>DARINKA UREÑA CASILLAS</v>
      </c>
      <c r="Q134" s="35" t="str">
        <f>IF(D134="","",VLOOKUP(MONTH(D134),Listas!$C$2:$D$14,2,0))</f>
        <v>Abril</v>
      </c>
      <c r="R134" s="36">
        <f t="shared" si="2"/>
        <v>2021</v>
      </c>
      <c r="S134" s="37">
        <f t="shared" si="3"/>
        <v>26</v>
      </c>
      <c r="T134" s="37">
        <f t="shared" si="14"/>
        <v>26</v>
      </c>
      <c r="U134" s="37">
        <f t="shared" si="15"/>
        <v>4</v>
      </c>
      <c r="V134" s="37">
        <f t="shared" si="16"/>
        <v>4</v>
      </c>
      <c r="W134" s="37">
        <f t="shared" si="17"/>
        <v>4</v>
      </c>
      <c r="X134" s="37">
        <f t="shared" si="18"/>
        <v>7</v>
      </c>
      <c r="Y134" s="37">
        <f t="shared" si="19"/>
        <v>4</v>
      </c>
      <c r="Z134" s="38">
        <f t="shared" si="10"/>
        <v>3</v>
      </c>
      <c r="AA134" s="39" t="str">
        <f t="shared" si="20"/>
        <v>-20 años</v>
      </c>
    </row>
    <row r="135" ht="15.75" customHeight="1">
      <c r="A135" s="26" t="s">
        <v>404</v>
      </c>
      <c r="B135" s="13" t="s">
        <v>56</v>
      </c>
      <c r="C135" s="28" t="s">
        <v>34</v>
      </c>
      <c r="D135" s="54">
        <v>44955.0</v>
      </c>
      <c r="E135" s="30" t="s">
        <v>405</v>
      </c>
      <c r="F135" s="55">
        <f>4010.63*2*7.67</f>
        <v>61523.0642</v>
      </c>
      <c r="G135" s="27" t="s">
        <v>45</v>
      </c>
      <c r="H135" s="30" t="s">
        <v>50</v>
      </c>
      <c r="I135" s="56">
        <v>45122.0</v>
      </c>
      <c r="J135" s="4"/>
      <c r="K135" s="30" t="s">
        <v>54</v>
      </c>
      <c r="L135" s="58" t="s">
        <v>46</v>
      </c>
      <c r="M135" s="58" t="s">
        <v>47</v>
      </c>
      <c r="N135" s="33" t="s">
        <v>406</v>
      </c>
      <c r="O135" s="30">
        <v>3.311184857E9</v>
      </c>
      <c r="P135" s="34" t="str">
        <f t="shared" si="13"/>
        <v>DARINKA UREÑA CASILLAS</v>
      </c>
      <c r="Q135" s="35" t="str">
        <f>IF(D135="","",VLOOKUP(MONTH(D135),Listas!$C$2:$D$14,2,0))</f>
        <v>Enero</v>
      </c>
      <c r="R135" s="36">
        <f t="shared" si="2"/>
        <v>2023</v>
      </c>
      <c r="S135" s="37">
        <f t="shared" si="3"/>
        <v>29</v>
      </c>
      <c r="T135" s="37">
        <f t="shared" si="14"/>
        <v>29</v>
      </c>
      <c r="U135" s="37">
        <f t="shared" si="15"/>
        <v>1</v>
      </c>
      <c r="V135" s="37">
        <f t="shared" si="16"/>
        <v>15</v>
      </c>
      <c r="W135" s="37">
        <f t="shared" si="17"/>
        <v>15</v>
      </c>
      <c r="X135" s="37">
        <f t="shared" si="18"/>
        <v>7</v>
      </c>
      <c r="Y135" s="37">
        <f t="shared" si="19"/>
        <v>1</v>
      </c>
      <c r="Z135" s="38">
        <f t="shared" si="10"/>
        <v>2</v>
      </c>
      <c r="AA135" s="39" t="str">
        <f t="shared" si="20"/>
        <v>-20 años</v>
      </c>
    </row>
    <row r="136" ht="15.75" customHeight="1">
      <c r="A136" s="26" t="s">
        <v>407</v>
      </c>
      <c r="B136" s="27" t="s">
        <v>56</v>
      </c>
      <c r="C136" s="28" t="s">
        <v>34</v>
      </c>
      <c r="D136" s="29">
        <v>44966.0</v>
      </c>
      <c r="E136" s="30" t="s">
        <v>408</v>
      </c>
      <c r="F136" s="59">
        <v>36665.09</v>
      </c>
      <c r="G136" s="27" t="s">
        <v>45</v>
      </c>
      <c r="H136" s="30" t="s">
        <v>58</v>
      </c>
      <c r="I136" s="56">
        <v>45180.0</v>
      </c>
      <c r="J136" s="4"/>
      <c r="K136" s="27" t="s">
        <v>54</v>
      </c>
      <c r="L136" s="45" t="s">
        <v>46</v>
      </c>
      <c r="M136" s="45" t="s">
        <v>117</v>
      </c>
      <c r="N136" s="33" t="s">
        <v>409</v>
      </c>
      <c r="O136" s="45">
        <v>3.315409829E9</v>
      </c>
      <c r="P136" s="34" t="str">
        <f t="shared" si="13"/>
        <v>DARINKA UREÑA CASILLAS</v>
      </c>
      <c r="Q136" s="35" t="str">
        <f>IF(D136="","",VLOOKUP(MONTH(D136),Listas!$C$2:$D$14,2,0))</f>
        <v>Febrero</v>
      </c>
      <c r="R136" s="36">
        <f t="shared" si="2"/>
        <v>2023</v>
      </c>
      <c r="S136" s="37">
        <f t="shared" si="3"/>
        <v>9</v>
      </c>
      <c r="T136" s="37">
        <f t="shared" si="14"/>
        <v>9</v>
      </c>
      <c r="U136" s="37">
        <f t="shared" si="15"/>
        <v>2</v>
      </c>
      <c r="V136" s="37">
        <f t="shared" si="16"/>
        <v>11</v>
      </c>
      <c r="W136" s="37">
        <f t="shared" si="17"/>
        <v>11</v>
      </c>
      <c r="X136" s="37">
        <f t="shared" si="18"/>
        <v>9</v>
      </c>
      <c r="Y136" s="37">
        <f t="shared" si="19"/>
        <v>2</v>
      </c>
      <c r="Z136" s="38">
        <f t="shared" si="10"/>
        <v>2</v>
      </c>
      <c r="AA136" s="39" t="str">
        <f t="shared" si="20"/>
        <v>-20 años</v>
      </c>
    </row>
    <row r="137" ht="15.75" customHeight="1">
      <c r="A137" s="26" t="s">
        <v>356</v>
      </c>
      <c r="B137" s="27" t="s">
        <v>33</v>
      </c>
      <c r="C137" s="28" t="s">
        <v>34</v>
      </c>
      <c r="D137" s="29">
        <v>44973.0</v>
      </c>
      <c r="E137" s="30" t="s">
        <v>410</v>
      </c>
      <c r="F137" s="44">
        <v>15849.76</v>
      </c>
      <c r="G137" s="30" t="s">
        <v>36</v>
      </c>
      <c r="H137" s="30" t="s">
        <v>58</v>
      </c>
      <c r="I137" s="32">
        <v>44794.0</v>
      </c>
      <c r="J137" s="5"/>
      <c r="K137" s="30" t="s">
        <v>160</v>
      </c>
      <c r="L137" s="30" t="s">
        <v>41</v>
      </c>
      <c r="M137" s="30" t="s">
        <v>42</v>
      </c>
      <c r="N137" s="33" t="s">
        <v>358</v>
      </c>
      <c r="O137" s="30">
        <v>3.316119244E9</v>
      </c>
      <c r="P137" s="34" t="str">
        <f t="shared" si="13"/>
        <v>DARINKA UREÑA CASILLAS</v>
      </c>
      <c r="Q137" s="35" t="str">
        <f>IF(D137="","",VLOOKUP(MONTH(D137),Listas!$C$2:$D$14,2,0))</f>
        <v>Febrero</v>
      </c>
      <c r="R137" s="36">
        <f t="shared" si="2"/>
        <v>2023</v>
      </c>
      <c r="S137" s="37">
        <f t="shared" si="3"/>
        <v>16</v>
      </c>
      <c r="T137" s="37">
        <f t="shared" si="14"/>
        <v>16</v>
      </c>
      <c r="U137" s="37">
        <f t="shared" si="15"/>
        <v>2</v>
      </c>
      <c r="V137" s="37">
        <f t="shared" si="16"/>
        <v>21</v>
      </c>
      <c r="W137" s="37">
        <f t="shared" si="17"/>
        <v>21</v>
      </c>
      <c r="X137" s="37">
        <f t="shared" si="18"/>
        <v>8</v>
      </c>
      <c r="Y137" s="37">
        <f t="shared" si="19"/>
        <v>2</v>
      </c>
      <c r="Z137" s="38">
        <f t="shared" si="10"/>
        <v>3</v>
      </c>
      <c r="AA137" s="39" t="str">
        <f t="shared" si="20"/>
        <v>-20 años</v>
      </c>
    </row>
    <row r="138" ht="15.75" customHeight="1">
      <c r="A138" s="60" t="s">
        <v>411</v>
      </c>
      <c r="B138" s="27" t="s">
        <v>33</v>
      </c>
      <c r="C138" s="28" t="s">
        <v>34</v>
      </c>
      <c r="D138" s="61">
        <v>44980.0</v>
      </c>
      <c r="E138" s="30" t="s">
        <v>412</v>
      </c>
      <c r="F138" s="59">
        <v>17776.7</v>
      </c>
      <c r="G138" s="27" t="s">
        <v>36</v>
      </c>
      <c r="H138" s="30" t="s">
        <v>58</v>
      </c>
      <c r="I138" s="32">
        <v>44587.0</v>
      </c>
      <c r="J138" s="4"/>
      <c r="K138" s="30" t="s">
        <v>160</v>
      </c>
      <c r="L138" s="30" t="s">
        <v>41</v>
      </c>
      <c r="M138" s="45" t="s">
        <v>42</v>
      </c>
      <c r="N138" s="33" t="s">
        <v>413</v>
      </c>
      <c r="O138" s="45">
        <v>3.316014747E9</v>
      </c>
      <c r="P138" s="34" t="str">
        <f t="shared" si="13"/>
        <v>DARINKA UREÑA CASILLAS</v>
      </c>
      <c r="Q138" s="35" t="str">
        <f>IF(D138="","",VLOOKUP(MONTH(D138),Listas!$C$2:$D$14,2,0))</f>
        <v>Febrero</v>
      </c>
      <c r="R138" s="36">
        <f t="shared" si="2"/>
        <v>2023</v>
      </c>
      <c r="S138" s="37">
        <f t="shared" si="3"/>
        <v>23</v>
      </c>
      <c r="T138" s="37">
        <f t="shared" si="14"/>
        <v>23</v>
      </c>
      <c r="U138" s="37">
        <f t="shared" si="15"/>
        <v>2</v>
      </c>
      <c r="V138" s="37">
        <f t="shared" si="16"/>
        <v>26</v>
      </c>
      <c r="W138" s="37">
        <f t="shared" si="17"/>
        <v>26</v>
      </c>
      <c r="X138" s="37">
        <f t="shared" si="18"/>
        <v>1</v>
      </c>
      <c r="Y138" s="37">
        <f t="shared" si="19"/>
        <v>2</v>
      </c>
      <c r="Z138" s="38">
        <f t="shared" si="10"/>
        <v>4</v>
      </c>
      <c r="AA138" s="39" t="str">
        <f t="shared" si="20"/>
        <v>-20 años</v>
      </c>
    </row>
    <row r="139" ht="15.75" customHeight="1">
      <c r="A139" s="60" t="s">
        <v>414</v>
      </c>
      <c r="B139" s="27" t="s">
        <v>56</v>
      </c>
      <c r="C139" s="28" t="s">
        <v>34</v>
      </c>
      <c r="D139" s="61">
        <v>44980.0</v>
      </c>
      <c r="E139" s="30" t="s">
        <v>415</v>
      </c>
      <c r="F139" s="9">
        <f>2420.82*7.72</f>
        <v>18688.7304</v>
      </c>
      <c r="G139" s="27" t="s">
        <v>45</v>
      </c>
      <c r="H139" s="30" t="s">
        <v>58</v>
      </c>
      <c r="I139" s="32">
        <v>44738.0</v>
      </c>
      <c r="J139" s="4"/>
      <c r="K139" s="27" t="s">
        <v>54</v>
      </c>
      <c r="L139" s="45" t="s">
        <v>46</v>
      </c>
      <c r="M139" s="45" t="s">
        <v>47</v>
      </c>
      <c r="N139" s="33" t="s">
        <v>416</v>
      </c>
      <c r="O139" s="45">
        <v>3.32201571E9</v>
      </c>
      <c r="P139" s="34" t="str">
        <f t="shared" si="13"/>
        <v>DARINKA UREÑA CASILLAS</v>
      </c>
      <c r="Q139" s="35" t="str">
        <f>IF(D139="","",VLOOKUP(MONTH(D139),Listas!$C$2:$D$14,2,0))</f>
        <v>Febrero</v>
      </c>
      <c r="R139" s="36">
        <f t="shared" si="2"/>
        <v>2023</v>
      </c>
      <c r="S139" s="37">
        <f t="shared" si="3"/>
        <v>23</v>
      </c>
      <c r="T139" s="37">
        <f t="shared" si="14"/>
        <v>23</v>
      </c>
      <c r="U139" s="37">
        <f t="shared" si="15"/>
        <v>2</v>
      </c>
      <c r="V139" s="37">
        <f t="shared" si="16"/>
        <v>26</v>
      </c>
      <c r="W139" s="37">
        <f t="shared" si="17"/>
        <v>26</v>
      </c>
      <c r="X139" s="37">
        <f t="shared" si="18"/>
        <v>6</v>
      </c>
      <c r="Y139" s="37">
        <f t="shared" si="19"/>
        <v>2</v>
      </c>
      <c r="Z139" s="38">
        <f t="shared" si="10"/>
        <v>3</v>
      </c>
      <c r="AA139" s="39" t="str">
        <f t="shared" si="20"/>
        <v>-20 años</v>
      </c>
    </row>
    <row r="140" ht="15.75" customHeight="1">
      <c r="A140" s="60" t="s">
        <v>417</v>
      </c>
      <c r="B140" s="27" t="s">
        <v>33</v>
      </c>
      <c r="C140" s="28" t="s">
        <v>34</v>
      </c>
      <c r="D140" s="61">
        <v>44980.0</v>
      </c>
      <c r="E140" s="30" t="s">
        <v>418</v>
      </c>
      <c r="F140" s="9">
        <f>6576.68*7.73</f>
        <v>50837.7364</v>
      </c>
      <c r="G140" s="27" t="s">
        <v>45</v>
      </c>
      <c r="H140" s="30" t="s">
        <v>58</v>
      </c>
      <c r="I140" s="32">
        <v>44812.0</v>
      </c>
      <c r="J140" s="4"/>
      <c r="K140" s="27" t="s">
        <v>54</v>
      </c>
      <c r="L140" s="45" t="s">
        <v>46</v>
      </c>
      <c r="M140" s="45" t="s">
        <v>101</v>
      </c>
      <c r="N140" s="33" t="s">
        <v>419</v>
      </c>
      <c r="O140" s="45">
        <v>3.315127357E9</v>
      </c>
      <c r="P140" s="34" t="str">
        <f t="shared" si="13"/>
        <v>DARINKA UREÑA CASILLAS</v>
      </c>
      <c r="Q140" s="35" t="str">
        <f>IF(D140="","",VLOOKUP(MONTH(D140),Listas!$C$2:$D$14,2,0))</f>
        <v>Febrero</v>
      </c>
      <c r="R140" s="36">
        <f t="shared" si="2"/>
        <v>2023</v>
      </c>
      <c r="S140" s="37">
        <f t="shared" si="3"/>
        <v>23</v>
      </c>
      <c r="T140" s="37">
        <f t="shared" si="14"/>
        <v>23</v>
      </c>
      <c r="U140" s="37">
        <f t="shared" si="15"/>
        <v>2</v>
      </c>
      <c r="V140" s="37">
        <f t="shared" si="16"/>
        <v>8</v>
      </c>
      <c r="W140" s="37">
        <f t="shared" si="17"/>
        <v>8</v>
      </c>
      <c r="X140" s="37">
        <f t="shared" si="18"/>
        <v>9</v>
      </c>
      <c r="Y140" s="37">
        <f t="shared" si="19"/>
        <v>2</v>
      </c>
      <c r="Z140" s="38">
        <f t="shared" si="10"/>
        <v>3</v>
      </c>
      <c r="AA140" s="39" t="str">
        <f t="shared" si="20"/>
        <v>-20 años</v>
      </c>
    </row>
    <row r="141" ht="15.75" customHeight="1">
      <c r="A141" s="60" t="s">
        <v>420</v>
      </c>
      <c r="B141" s="27" t="s">
        <v>56</v>
      </c>
      <c r="C141" s="28" t="s">
        <v>34</v>
      </c>
      <c r="D141" s="61">
        <v>45000.0</v>
      </c>
      <c r="E141" s="30" t="s">
        <v>421</v>
      </c>
      <c r="F141" s="9">
        <f>3132.97*7.76</f>
        <v>24311.8472</v>
      </c>
      <c r="G141" s="27" t="s">
        <v>45</v>
      </c>
      <c r="H141" s="30" t="s">
        <v>58</v>
      </c>
      <c r="I141" s="32">
        <v>44758.0</v>
      </c>
      <c r="J141" s="4"/>
      <c r="K141" s="27" t="s">
        <v>54</v>
      </c>
      <c r="L141" s="45" t="s">
        <v>46</v>
      </c>
      <c r="M141" s="45" t="s">
        <v>47</v>
      </c>
      <c r="N141" s="33" t="s">
        <v>422</v>
      </c>
      <c r="O141" s="45">
        <v>3.314652257E9</v>
      </c>
      <c r="P141" s="34" t="str">
        <f t="shared" si="13"/>
        <v>DARINKA UREÑA CASILLAS</v>
      </c>
      <c r="Q141" s="35" t="str">
        <f>IF(D141="","",VLOOKUP(MONTH(D141),Listas!$C$2:$D$14,2,0))</f>
        <v>Marzo</v>
      </c>
      <c r="R141" s="36">
        <f t="shared" si="2"/>
        <v>2023</v>
      </c>
      <c r="S141" s="37">
        <f t="shared" si="3"/>
        <v>15</v>
      </c>
      <c r="T141" s="37">
        <f t="shared" si="14"/>
        <v>15</v>
      </c>
      <c r="U141" s="37">
        <f t="shared" si="15"/>
        <v>3</v>
      </c>
      <c r="V141" s="37">
        <f t="shared" si="16"/>
        <v>16</v>
      </c>
      <c r="W141" s="37">
        <f t="shared" si="17"/>
        <v>16</v>
      </c>
      <c r="X141" s="37">
        <f t="shared" si="18"/>
        <v>7</v>
      </c>
      <c r="Y141" s="37">
        <f t="shared" si="19"/>
        <v>3</v>
      </c>
      <c r="Z141" s="38">
        <f t="shared" si="10"/>
        <v>3</v>
      </c>
      <c r="AA141" s="39" t="str">
        <f t="shared" si="20"/>
        <v>-20 años</v>
      </c>
    </row>
    <row r="142" ht="15.75" customHeight="1">
      <c r="A142" s="60" t="s">
        <v>423</v>
      </c>
      <c r="B142" s="27" t="s">
        <v>56</v>
      </c>
      <c r="C142" s="28" t="s">
        <v>34</v>
      </c>
      <c r="D142" s="61">
        <v>45008.0</v>
      </c>
      <c r="E142" s="30" t="s">
        <v>424</v>
      </c>
      <c r="F142" s="62">
        <v>20990.62</v>
      </c>
      <c r="G142" s="27" t="s">
        <v>36</v>
      </c>
      <c r="H142" s="30" t="s">
        <v>94</v>
      </c>
      <c r="I142" s="32">
        <v>44618.0</v>
      </c>
      <c r="J142" s="4"/>
      <c r="K142" s="27" t="s">
        <v>40</v>
      </c>
      <c r="L142" s="45" t="s">
        <v>41</v>
      </c>
      <c r="M142" s="45" t="s">
        <v>425</v>
      </c>
      <c r="N142" s="33" t="s">
        <v>426</v>
      </c>
      <c r="O142" s="45">
        <v>9.841689199E9</v>
      </c>
      <c r="P142" s="34" t="str">
        <f t="shared" si="13"/>
        <v>DARINKA UREÑA CASILLAS</v>
      </c>
      <c r="Q142" s="35" t="str">
        <f>IF(D142="","",VLOOKUP(MONTH(D142),Listas!$C$2:$D$14,2,0))</f>
        <v>Marzo</v>
      </c>
      <c r="R142" s="36">
        <f t="shared" si="2"/>
        <v>2023</v>
      </c>
      <c r="S142" s="37">
        <f t="shared" si="3"/>
        <v>23</v>
      </c>
      <c r="T142" s="37">
        <f t="shared" si="14"/>
        <v>23</v>
      </c>
      <c r="U142" s="37">
        <f t="shared" si="15"/>
        <v>3</v>
      </c>
      <c r="V142" s="37">
        <f t="shared" si="16"/>
        <v>26</v>
      </c>
      <c r="W142" s="37">
        <f t="shared" si="17"/>
        <v>26</v>
      </c>
      <c r="X142" s="37">
        <f t="shared" si="18"/>
        <v>2</v>
      </c>
      <c r="Y142" s="37">
        <f t="shared" si="19"/>
        <v>3</v>
      </c>
      <c r="Z142" s="38">
        <f t="shared" si="10"/>
        <v>4</v>
      </c>
      <c r="AA142" s="39" t="str">
        <f t="shared" si="20"/>
        <v>-20 años</v>
      </c>
    </row>
    <row r="143" ht="15.75" customHeight="1">
      <c r="A143" s="26" t="s">
        <v>427</v>
      </c>
      <c r="B143" s="27" t="s">
        <v>56</v>
      </c>
      <c r="C143" s="28" t="s">
        <v>34</v>
      </c>
      <c r="D143" s="61">
        <v>45026.0</v>
      </c>
      <c r="E143" s="30" t="s">
        <v>428</v>
      </c>
      <c r="F143" s="59">
        <v>15326.6</v>
      </c>
      <c r="G143" s="27" t="s">
        <v>36</v>
      </c>
      <c r="H143" s="30" t="s">
        <v>58</v>
      </c>
      <c r="I143" s="32">
        <v>44670.0</v>
      </c>
      <c r="J143" s="4"/>
      <c r="K143" s="27" t="s">
        <v>54</v>
      </c>
      <c r="L143" s="45" t="s">
        <v>41</v>
      </c>
      <c r="M143" s="45" t="s">
        <v>51</v>
      </c>
      <c r="N143" s="63" t="s">
        <v>429</v>
      </c>
      <c r="O143" s="45">
        <v>3.311100069E9</v>
      </c>
      <c r="P143" s="34" t="str">
        <f t="shared" si="13"/>
        <v>DARINKA UREÑA CASILLAS</v>
      </c>
      <c r="Q143" s="35" t="str">
        <f>IF(D143="","",VLOOKUP(MONTH(D143),Listas!$C$2:$D$14,2,0))</f>
        <v>Abril</v>
      </c>
      <c r="R143" s="36">
        <f t="shared" si="2"/>
        <v>2023</v>
      </c>
      <c r="S143" s="37">
        <f t="shared" si="3"/>
        <v>10</v>
      </c>
      <c r="T143" s="37">
        <f t="shared" si="14"/>
        <v>10</v>
      </c>
      <c r="U143" s="37">
        <f t="shared" si="15"/>
        <v>4</v>
      </c>
      <c r="V143" s="37">
        <f t="shared" si="16"/>
        <v>19</v>
      </c>
      <c r="W143" s="37">
        <f t="shared" si="17"/>
        <v>19</v>
      </c>
      <c r="X143" s="37">
        <f t="shared" si="18"/>
        <v>4</v>
      </c>
      <c r="Y143" s="37">
        <f t="shared" si="19"/>
        <v>4</v>
      </c>
      <c r="Z143" s="38">
        <f t="shared" si="10"/>
        <v>4</v>
      </c>
      <c r="AA143" s="39" t="str">
        <f t="shared" si="20"/>
        <v>-20 años</v>
      </c>
    </row>
    <row r="144" ht="15.75" customHeight="1">
      <c r="A144" s="60" t="s">
        <v>430</v>
      </c>
      <c r="B144" s="27" t="s">
        <v>33</v>
      </c>
      <c r="C144" s="28" t="s">
        <v>34</v>
      </c>
      <c r="D144" s="61">
        <v>45028.0</v>
      </c>
      <c r="E144" s="30" t="s">
        <v>431</v>
      </c>
      <c r="F144" s="59">
        <v>39395.31</v>
      </c>
      <c r="G144" s="27" t="s">
        <v>36</v>
      </c>
      <c r="H144" s="30" t="s">
        <v>58</v>
      </c>
      <c r="I144" s="32">
        <v>44747.0</v>
      </c>
      <c r="J144" s="4"/>
      <c r="K144" s="27" t="s">
        <v>54</v>
      </c>
      <c r="L144" s="45" t="s">
        <v>41</v>
      </c>
      <c r="M144" s="45" t="s">
        <v>42</v>
      </c>
      <c r="N144" s="63" t="s">
        <v>432</v>
      </c>
      <c r="O144" s="45">
        <v>3.325135897E9</v>
      </c>
      <c r="P144" s="34" t="str">
        <f t="shared" si="13"/>
        <v>DARINKA UREÑA CASILLAS</v>
      </c>
      <c r="Q144" s="35" t="str">
        <f>IF(D144="","",VLOOKUP(MONTH(D144),Listas!$C$2:$D$14,2,0))</f>
        <v>Abril</v>
      </c>
      <c r="R144" s="36">
        <f t="shared" si="2"/>
        <v>2023</v>
      </c>
      <c r="S144" s="37">
        <f t="shared" si="3"/>
        <v>12</v>
      </c>
      <c r="T144" s="37">
        <f t="shared" si="14"/>
        <v>12</v>
      </c>
      <c r="U144" s="37">
        <f t="shared" si="15"/>
        <v>4</v>
      </c>
      <c r="V144" s="37">
        <f t="shared" si="16"/>
        <v>5</v>
      </c>
      <c r="W144" s="37">
        <f t="shared" si="17"/>
        <v>5</v>
      </c>
      <c r="X144" s="37">
        <f t="shared" si="18"/>
        <v>7</v>
      </c>
      <c r="Y144" s="37">
        <f t="shared" si="19"/>
        <v>4</v>
      </c>
      <c r="Z144" s="38">
        <f t="shared" si="10"/>
        <v>3</v>
      </c>
      <c r="AA144" s="39" t="str">
        <f t="shared" si="20"/>
        <v>-20 años</v>
      </c>
    </row>
    <row r="145" ht="15.75" customHeight="1">
      <c r="A145" s="60" t="s">
        <v>433</v>
      </c>
      <c r="B145" s="27" t="s">
        <v>56</v>
      </c>
      <c r="C145" s="28" t="s">
        <v>34</v>
      </c>
      <c r="D145" s="61">
        <v>45028.0</v>
      </c>
      <c r="E145" s="30" t="s">
        <v>434</v>
      </c>
      <c r="F145" s="59">
        <v>24922.4</v>
      </c>
      <c r="G145" s="27" t="s">
        <v>36</v>
      </c>
      <c r="H145" s="30" t="s">
        <v>58</v>
      </c>
      <c r="I145" s="32">
        <v>44760.0</v>
      </c>
      <c r="J145" s="4"/>
      <c r="K145" s="27" t="s">
        <v>54</v>
      </c>
      <c r="L145" s="45" t="s">
        <v>41</v>
      </c>
      <c r="M145" s="45" t="s">
        <v>42</v>
      </c>
      <c r="N145" s="63" t="s">
        <v>435</v>
      </c>
      <c r="O145" s="45">
        <v>3.313877809E9</v>
      </c>
      <c r="P145" s="34" t="str">
        <f t="shared" si="13"/>
        <v>DARINKA UREÑA CASILLAS</v>
      </c>
      <c r="Q145" s="35" t="str">
        <f>IF(D145="","",VLOOKUP(MONTH(D145),Listas!$C$2:$D$14,2,0))</f>
        <v>Abril</v>
      </c>
      <c r="R145" s="36">
        <f t="shared" si="2"/>
        <v>2023</v>
      </c>
      <c r="S145" s="37">
        <f t="shared" si="3"/>
        <v>12</v>
      </c>
      <c r="T145" s="37">
        <f t="shared" si="14"/>
        <v>12</v>
      </c>
      <c r="U145" s="37">
        <f t="shared" si="15"/>
        <v>4</v>
      </c>
      <c r="V145" s="37">
        <f t="shared" si="16"/>
        <v>18</v>
      </c>
      <c r="W145" s="37">
        <f t="shared" si="17"/>
        <v>18</v>
      </c>
      <c r="X145" s="37">
        <f t="shared" si="18"/>
        <v>7</v>
      </c>
      <c r="Y145" s="37">
        <f t="shared" si="19"/>
        <v>4</v>
      </c>
      <c r="Z145" s="38">
        <f t="shared" si="10"/>
        <v>3</v>
      </c>
      <c r="AA145" s="39" t="str">
        <f t="shared" si="20"/>
        <v>-20 años</v>
      </c>
    </row>
    <row r="146" ht="15.75" customHeight="1">
      <c r="A146" s="60" t="s">
        <v>353</v>
      </c>
      <c r="B146" s="27" t="s">
        <v>33</v>
      </c>
      <c r="C146" s="28" t="s">
        <v>34</v>
      </c>
      <c r="D146" s="61">
        <v>45036.0</v>
      </c>
      <c r="E146" s="30" t="s">
        <v>436</v>
      </c>
      <c r="F146" s="59">
        <v>67837.94</v>
      </c>
      <c r="G146" s="27" t="s">
        <v>36</v>
      </c>
      <c r="H146" s="30" t="s">
        <v>58</v>
      </c>
      <c r="I146" s="32">
        <v>44671.0</v>
      </c>
      <c r="J146" s="4"/>
      <c r="K146" s="27" t="s">
        <v>40</v>
      </c>
      <c r="L146" s="45" t="s">
        <v>41</v>
      </c>
      <c r="M146" s="45" t="s">
        <v>42</v>
      </c>
      <c r="N146" s="63" t="s">
        <v>437</v>
      </c>
      <c r="O146" s="45">
        <v>3.316149646E9</v>
      </c>
      <c r="P146" s="34" t="str">
        <f t="shared" si="13"/>
        <v>DARINKA UREÑA CASILLAS</v>
      </c>
      <c r="Q146" s="35" t="str">
        <f>IF(D146="","",VLOOKUP(MONTH(D146),Listas!$C$2:$D$14,2,0))</f>
        <v>Abril</v>
      </c>
      <c r="R146" s="36">
        <f t="shared" si="2"/>
        <v>2023</v>
      </c>
      <c r="S146" s="37">
        <f t="shared" si="3"/>
        <v>20</v>
      </c>
      <c r="T146" s="37">
        <f t="shared" si="14"/>
        <v>20</v>
      </c>
      <c r="U146" s="37">
        <f t="shared" si="15"/>
        <v>4</v>
      </c>
      <c r="V146" s="37">
        <f t="shared" si="16"/>
        <v>20</v>
      </c>
      <c r="W146" s="37">
        <f t="shared" si="17"/>
        <v>20</v>
      </c>
      <c r="X146" s="37">
        <f t="shared" si="18"/>
        <v>4</v>
      </c>
      <c r="Y146" s="37">
        <f t="shared" si="19"/>
        <v>4</v>
      </c>
      <c r="Z146" s="38">
        <f t="shared" si="10"/>
        <v>4</v>
      </c>
      <c r="AA146" s="39" t="str">
        <f t="shared" si="20"/>
        <v>-20 años</v>
      </c>
    </row>
    <row r="147" ht="15.75" customHeight="1">
      <c r="A147" s="60" t="s">
        <v>438</v>
      </c>
      <c r="B147" s="27" t="s">
        <v>56</v>
      </c>
      <c r="C147" s="28" t="s">
        <v>34</v>
      </c>
      <c r="D147" s="61">
        <v>45044.0</v>
      </c>
      <c r="E147" s="30" t="s">
        <v>439</v>
      </c>
      <c r="F147" s="9">
        <f>1949.2*2*7.8</f>
        <v>30407.52</v>
      </c>
      <c r="G147" s="27" t="s">
        <v>45</v>
      </c>
      <c r="H147" s="30" t="s">
        <v>50</v>
      </c>
      <c r="I147" s="32">
        <v>44873.0</v>
      </c>
      <c r="J147" s="4"/>
      <c r="K147" s="27" t="s">
        <v>110</v>
      </c>
      <c r="L147" s="45" t="s">
        <v>46</v>
      </c>
      <c r="M147" s="45" t="s">
        <v>47</v>
      </c>
      <c r="N147" s="63" t="s">
        <v>440</v>
      </c>
      <c r="O147" s="45">
        <v>3.318608259E9</v>
      </c>
      <c r="P147" s="34" t="str">
        <f t="shared" si="13"/>
        <v>DARINKA UREÑA CASILLAS</v>
      </c>
      <c r="Q147" s="35" t="str">
        <f>IF(D147="","",VLOOKUP(MONTH(D147),Listas!$C$2:$D$14,2,0))</f>
        <v>Abril</v>
      </c>
      <c r="R147" s="36">
        <f t="shared" si="2"/>
        <v>2023</v>
      </c>
      <c r="S147" s="37">
        <f t="shared" si="3"/>
        <v>28</v>
      </c>
      <c r="T147" s="37">
        <f t="shared" si="14"/>
        <v>28</v>
      </c>
      <c r="U147" s="37">
        <f t="shared" si="15"/>
        <v>4</v>
      </c>
      <c r="V147" s="37">
        <f t="shared" si="16"/>
        <v>8</v>
      </c>
      <c r="W147" s="37">
        <f t="shared" si="17"/>
        <v>8</v>
      </c>
      <c r="X147" s="37">
        <f t="shared" si="18"/>
        <v>11</v>
      </c>
      <c r="Y147" s="37">
        <f t="shared" si="19"/>
        <v>4</v>
      </c>
      <c r="Z147" s="38">
        <f t="shared" si="10"/>
        <v>3</v>
      </c>
      <c r="AA147" s="39" t="str">
        <f t="shared" si="20"/>
        <v>-20 años</v>
      </c>
    </row>
    <row r="148" ht="15.75" customHeight="1">
      <c r="A148" s="64" t="s">
        <v>441</v>
      </c>
      <c r="B148" s="27" t="s">
        <v>56</v>
      </c>
      <c r="C148" s="28" t="s">
        <v>34</v>
      </c>
      <c r="D148" s="61">
        <v>45056.0</v>
      </c>
      <c r="E148" s="30" t="s">
        <v>442</v>
      </c>
      <c r="F148" s="9">
        <f>3159.86*7.8       </f>
        <v>24646.908</v>
      </c>
      <c r="G148" s="27" t="s">
        <v>45</v>
      </c>
      <c r="H148" s="30" t="s">
        <v>58</v>
      </c>
      <c r="I148" s="32">
        <v>44683.0</v>
      </c>
      <c r="J148" s="4"/>
      <c r="K148" s="27" t="s">
        <v>110</v>
      </c>
      <c r="L148" s="45" t="s">
        <v>46</v>
      </c>
      <c r="M148" s="45" t="s">
        <v>47</v>
      </c>
      <c r="N148" s="63" t="s">
        <v>443</v>
      </c>
      <c r="O148" s="45">
        <v>3.313139505E9</v>
      </c>
      <c r="P148" s="34" t="str">
        <f t="shared" si="13"/>
        <v>DARINKA UREÑA CASILLAS</v>
      </c>
      <c r="Q148" s="35" t="str">
        <f>IF(D148="","",VLOOKUP(MONTH(D148),Listas!$C$2:$D$14,2,0))</f>
        <v>Mayo</v>
      </c>
      <c r="R148" s="36">
        <f t="shared" si="2"/>
        <v>2023</v>
      </c>
      <c r="S148" s="37">
        <f t="shared" si="3"/>
        <v>10</v>
      </c>
      <c r="T148" s="37">
        <f t="shared" si="14"/>
        <v>10</v>
      </c>
      <c r="U148" s="37">
        <f t="shared" si="15"/>
        <v>5</v>
      </c>
      <c r="V148" s="37">
        <f t="shared" si="16"/>
        <v>2</v>
      </c>
      <c r="W148" s="37">
        <f t="shared" si="17"/>
        <v>2</v>
      </c>
      <c r="X148" s="37">
        <f t="shared" si="18"/>
        <v>5</v>
      </c>
      <c r="Y148" s="37">
        <f t="shared" si="19"/>
        <v>5</v>
      </c>
      <c r="Z148" s="38">
        <f t="shared" si="10"/>
        <v>4</v>
      </c>
      <c r="AA148" s="39" t="str">
        <f t="shared" si="20"/>
        <v>-20 años</v>
      </c>
    </row>
    <row r="149" ht="15.75" customHeight="1">
      <c r="A149" s="26" t="s">
        <v>444</v>
      </c>
      <c r="B149" s="27" t="s">
        <v>56</v>
      </c>
      <c r="C149" s="28" t="s">
        <v>34</v>
      </c>
      <c r="D149" s="29">
        <v>45071.0</v>
      </c>
      <c r="E149" s="30" t="s">
        <v>445</v>
      </c>
      <c r="F149" s="9">
        <f>179.98*12*7.79</f>
        <v>16824.5304</v>
      </c>
      <c r="G149" s="27" t="s">
        <v>45</v>
      </c>
      <c r="H149" s="30" t="s">
        <v>37</v>
      </c>
      <c r="I149" s="32">
        <v>44603.0</v>
      </c>
      <c r="J149" s="4"/>
      <c r="K149" s="27" t="s">
        <v>40</v>
      </c>
      <c r="L149" s="45" t="s">
        <v>46</v>
      </c>
      <c r="M149" s="45" t="s">
        <v>47</v>
      </c>
      <c r="N149" s="63" t="s">
        <v>446</v>
      </c>
      <c r="O149" s="45">
        <v>3.412052997E9</v>
      </c>
      <c r="P149" s="34" t="str">
        <f t="shared" si="13"/>
        <v>DARINKA UREÑA CASILLAS</v>
      </c>
      <c r="Q149" s="35" t="str">
        <f>IF(D149="","",VLOOKUP(MONTH(D149),Listas!$C$2:$D$14,2,0))</f>
        <v>Mayo</v>
      </c>
      <c r="R149" s="36">
        <f t="shared" si="2"/>
        <v>2023</v>
      </c>
      <c r="S149" s="37">
        <f t="shared" si="3"/>
        <v>25</v>
      </c>
      <c r="T149" s="37">
        <f t="shared" si="14"/>
        <v>25</v>
      </c>
      <c r="U149" s="37">
        <f t="shared" si="15"/>
        <v>5</v>
      </c>
      <c r="V149" s="37">
        <f t="shared" si="16"/>
        <v>11</v>
      </c>
      <c r="W149" s="37">
        <f t="shared" si="17"/>
        <v>11</v>
      </c>
      <c r="X149" s="37">
        <f t="shared" si="18"/>
        <v>2</v>
      </c>
      <c r="Y149" s="37">
        <f t="shared" si="19"/>
        <v>5</v>
      </c>
      <c r="Z149" s="38">
        <f t="shared" si="10"/>
        <v>4</v>
      </c>
      <c r="AA149" s="39" t="str">
        <f t="shared" si="20"/>
        <v>-20 años</v>
      </c>
    </row>
    <row r="150" ht="15.75" customHeight="1">
      <c r="A150" s="26" t="s">
        <v>269</v>
      </c>
      <c r="B150" s="27" t="s">
        <v>33</v>
      </c>
      <c r="C150" s="28" t="s">
        <v>34</v>
      </c>
      <c r="D150" s="29">
        <v>45076.0</v>
      </c>
      <c r="E150" s="30" t="s">
        <v>447</v>
      </c>
      <c r="F150" s="9">
        <f>3319.73*2*7.8</f>
        <v>51787.788</v>
      </c>
      <c r="G150" s="27" t="s">
        <v>45</v>
      </c>
      <c r="H150" s="30" t="s">
        <v>50</v>
      </c>
      <c r="I150" s="65">
        <v>44908.0</v>
      </c>
      <c r="K150" s="66" t="s">
        <v>54</v>
      </c>
      <c r="L150" s="45" t="s">
        <v>46</v>
      </c>
      <c r="M150" s="45" t="s">
        <v>47</v>
      </c>
      <c r="N150" s="67" t="s">
        <v>271</v>
      </c>
      <c r="O150" s="68">
        <v>3.32536443E9</v>
      </c>
      <c r="P150" s="34" t="str">
        <f t="shared" si="13"/>
        <v>DARINKA UREÑA CASILLAS</v>
      </c>
      <c r="Q150" s="35" t="str">
        <f>IF(D150="","",VLOOKUP(MONTH(D150),Listas!$C$2:$D$14,2,0))</f>
        <v>Mayo</v>
      </c>
      <c r="R150" s="36">
        <f t="shared" si="2"/>
        <v>2023</v>
      </c>
      <c r="S150" s="37">
        <f t="shared" si="3"/>
        <v>30</v>
      </c>
      <c r="T150" s="37">
        <f t="shared" si="14"/>
        <v>30</v>
      </c>
      <c r="U150" s="37">
        <f t="shared" si="15"/>
        <v>5</v>
      </c>
      <c r="V150" s="37">
        <f t="shared" si="16"/>
        <v>13</v>
      </c>
      <c r="W150" s="37">
        <f t="shared" si="17"/>
        <v>13</v>
      </c>
      <c r="X150" s="37">
        <f t="shared" si="18"/>
        <v>12</v>
      </c>
      <c r="Y150" s="37">
        <f t="shared" si="19"/>
        <v>5</v>
      </c>
      <c r="Z150" s="38">
        <f t="shared" si="10"/>
        <v>3</v>
      </c>
      <c r="AA150" s="39" t="str">
        <f t="shared" si="20"/>
        <v>-20 años</v>
      </c>
    </row>
    <row r="151" ht="15.75" customHeight="1">
      <c r="A151" s="60" t="s">
        <v>448</v>
      </c>
      <c r="B151" s="27" t="s">
        <v>56</v>
      </c>
      <c r="C151" s="28" t="s">
        <v>34</v>
      </c>
      <c r="D151" s="61">
        <v>45103.0</v>
      </c>
      <c r="E151" s="30" t="s">
        <v>449</v>
      </c>
      <c r="F151" s="9">
        <f>217.35*12*7.8</f>
        <v>20343.96</v>
      </c>
      <c r="G151" s="27" t="s">
        <v>45</v>
      </c>
      <c r="H151" s="30" t="s">
        <v>37</v>
      </c>
      <c r="I151" s="65">
        <v>45104.0</v>
      </c>
      <c r="J151" s="4"/>
      <c r="K151" s="27" t="s">
        <v>110</v>
      </c>
      <c r="L151" s="45" t="s">
        <v>46</v>
      </c>
      <c r="M151" s="45" t="s">
        <v>47</v>
      </c>
      <c r="N151" s="67" t="s">
        <v>450</v>
      </c>
      <c r="O151" s="45">
        <v>3.322412519E9</v>
      </c>
      <c r="P151" s="34" t="str">
        <f t="shared" si="13"/>
        <v>DARINKA UREÑA CASILLAS</v>
      </c>
      <c r="Q151" s="35" t="str">
        <f>IF(D151="","",VLOOKUP(MONTH(D151),Listas!$C$2:$D$14,2,0))</f>
        <v>Junio</v>
      </c>
      <c r="R151" s="36">
        <f t="shared" si="2"/>
        <v>2023</v>
      </c>
      <c r="S151" s="37">
        <f t="shared" si="3"/>
        <v>26</v>
      </c>
      <c r="T151" s="37">
        <f t="shared" si="14"/>
        <v>26</v>
      </c>
      <c r="U151" s="37">
        <f t="shared" si="15"/>
        <v>6</v>
      </c>
      <c r="V151" s="37">
        <f t="shared" si="16"/>
        <v>27</v>
      </c>
      <c r="W151" s="37">
        <f t="shared" si="17"/>
        <v>27</v>
      </c>
      <c r="X151" s="37">
        <f t="shared" si="18"/>
        <v>6</v>
      </c>
      <c r="Y151" s="37">
        <f t="shared" si="19"/>
        <v>6</v>
      </c>
      <c r="Z151" s="38">
        <f t="shared" si="10"/>
        <v>2</v>
      </c>
      <c r="AA151" s="39" t="str">
        <f t="shared" si="20"/>
        <v>-20 años</v>
      </c>
    </row>
    <row r="152" ht="15.75" customHeight="1">
      <c r="A152" s="60" t="s">
        <v>451</v>
      </c>
      <c r="B152" s="27" t="s">
        <v>33</v>
      </c>
      <c r="C152" s="28" t="s">
        <v>34</v>
      </c>
      <c r="D152" s="61">
        <v>45105.0</v>
      </c>
      <c r="E152" s="30" t="s">
        <v>452</v>
      </c>
      <c r="F152" s="9">
        <f>7947.91*2*7.8</f>
        <v>123987.396</v>
      </c>
      <c r="G152" s="27" t="s">
        <v>45</v>
      </c>
      <c r="H152" s="30" t="s">
        <v>50</v>
      </c>
      <c r="I152" s="65">
        <v>45069.0</v>
      </c>
      <c r="J152" s="4"/>
      <c r="K152" s="27" t="s">
        <v>54</v>
      </c>
      <c r="L152" s="45" t="s">
        <v>46</v>
      </c>
      <c r="M152" s="45" t="s">
        <v>47</v>
      </c>
      <c r="N152" s="67" t="s">
        <v>453</v>
      </c>
      <c r="O152" s="45">
        <v>9.981062449E9</v>
      </c>
      <c r="P152" s="34" t="str">
        <f t="shared" si="13"/>
        <v>DARINKA UREÑA CASILLAS</v>
      </c>
      <c r="Q152" s="35" t="str">
        <f>IF(D152="","",VLOOKUP(MONTH(D152),Listas!$C$2:$D$14,2,0))</f>
        <v>Junio</v>
      </c>
      <c r="R152" s="36">
        <f t="shared" si="2"/>
        <v>2023</v>
      </c>
      <c r="S152" s="37">
        <f t="shared" si="3"/>
        <v>28</v>
      </c>
      <c r="T152" s="37">
        <f t="shared" si="14"/>
        <v>28</v>
      </c>
      <c r="U152" s="37">
        <f t="shared" si="15"/>
        <v>6</v>
      </c>
      <c r="V152" s="37">
        <f t="shared" si="16"/>
        <v>23</v>
      </c>
      <c r="W152" s="37">
        <f t="shared" si="17"/>
        <v>23</v>
      </c>
      <c r="X152" s="37">
        <f t="shared" si="18"/>
        <v>5</v>
      </c>
      <c r="Y152" s="37">
        <f t="shared" si="19"/>
        <v>6</v>
      </c>
      <c r="Z152" s="38">
        <f t="shared" si="10"/>
        <v>2</v>
      </c>
      <c r="AA152" s="39" t="str">
        <f t="shared" si="20"/>
        <v>-20 años</v>
      </c>
    </row>
    <row r="153" ht="15.75" customHeight="1">
      <c r="A153" s="26" t="s">
        <v>454</v>
      </c>
      <c r="B153" s="27" t="s">
        <v>56</v>
      </c>
      <c r="C153" s="28" t="s">
        <v>34</v>
      </c>
      <c r="D153" s="61">
        <v>45119.0</v>
      </c>
      <c r="E153" s="30" t="s">
        <v>455</v>
      </c>
      <c r="F153" s="9">
        <f>4563.41*4</f>
        <v>18253.64</v>
      </c>
      <c r="G153" s="27" t="s">
        <v>36</v>
      </c>
      <c r="H153" s="30" t="s">
        <v>94</v>
      </c>
      <c r="I153" s="69">
        <v>45006.0</v>
      </c>
      <c r="J153" s="4"/>
      <c r="K153" s="27" t="s">
        <v>40</v>
      </c>
      <c r="L153" s="45" t="s">
        <v>41</v>
      </c>
      <c r="M153" s="45" t="s">
        <v>51</v>
      </c>
      <c r="N153" s="63" t="s">
        <v>456</v>
      </c>
      <c r="O153" s="45">
        <v>3.331960365E9</v>
      </c>
      <c r="P153" s="34" t="str">
        <f t="shared" si="13"/>
        <v>DARINKA UREÑA CASILLAS</v>
      </c>
      <c r="Q153" s="35" t="str">
        <f>IF(D153="","",VLOOKUP(MONTH(D153),Listas!$C$2:$D$14,2,0))</f>
        <v>Julio</v>
      </c>
      <c r="R153" s="36">
        <f t="shared" si="2"/>
        <v>2023</v>
      </c>
      <c r="S153" s="37">
        <f t="shared" si="3"/>
        <v>12</v>
      </c>
      <c r="T153" s="37">
        <f t="shared" si="14"/>
        <v>12</v>
      </c>
      <c r="U153" s="37">
        <f t="shared" si="15"/>
        <v>7</v>
      </c>
      <c r="V153" s="37">
        <f t="shared" si="16"/>
        <v>21</v>
      </c>
      <c r="W153" s="37">
        <f t="shared" si="17"/>
        <v>21</v>
      </c>
      <c r="X153" s="37">
        <f t="shared" si="18"/>
        <v>3</v>
      </c>
      <c r="Y153" s="37">
        <f t="shared" si="19"/>
        <v>7</v>
      </c>
      <c r="Z153" s="38">
        <f t="shared" si="10"/>
        <v>3</v>
      </c>
      <c r="AA153" s="39" t="str">
        <f t="shared" si="20"/>
        <v>-20 años</v>
      </c>
    </row>
    <row r="154" ht="15.75" customHeight="1">
      <c r="A154" s="60" t="s">
        <v>457</v>
      </c>
      <c r="B154" s="27" t="s">
        <v>33</v>
      </c>
      <c r="C154" s="28" t="s">
        <v>34</v>
      </c>
      <c r="D154" s="61">
        <v>45125.0</v>
      </c>
      <c r="E154" s="30" t="s">
        <v>458</v>
      </c>
      <c r="F154" s="59">
        <v>15482.64</v>
      </c>
      <c r="G154" s="27" t="s">
        <v>36</v>
      </c>
      <c r="H154" s="30" t="s">
        <v>58</v>
      </c>
      <c r="I154" s="69">
        <v>45155.0</v>
      </c>
      <c r="J154" s="4"/>
      <c r="K154" s="27" t="s">
        <v>110</v>
      </c>
      <c r="L154" s="45" t="s">
        <v>41</v>
      </c>
      <c r="M154" s="45" t="s">
        <v>42</v>
      </c>
      <c r="N154" s="63" t="s">
        <v>459</v>
      </c>
      <c r="O154" s="45">
        <v>3.312221777E9</v>
      </c>
      <c r="P154" s="34" t="str">
        <f t="shared" si="13"/>
        <v>DARINKA UREÑA CASILLAS</v>
      </c>
      <c r="Q154" s="35" t="str">
        <f>IF(D154="","",VLOOKUP(MONTH(D154),Listas!$C$2:$D$14,2,0))</f>
        <v>Julio</v>
      </c>
      <c r="R154" s="36">
        <f t="shared" si="2"/>
        <v>2023</v>
      </c>
      <c r="S154" s="37">
        <f t="shared" si="3"/>
        <v>18</v>
      </c>
      <c r="T154" s="37">
        <f t="shared" si="14"/>
        <v>18</v>
      </c>
      <c r="U154" s="37">
        <f t="shared" si="15"/>
        <v>7</v>
      </c>
      <c r="V154" s="37">
        <f t="shared" si="16"/>
        <v>17</v>
      </c>
      <c r="W154" s="37">
        <f t="shared" si="17"/>
        <v>17</v>
      </c>
      <c r="X154" s="37">
        <f t="shared" si="18"/>
        <v>8</v>
      </c>
      <c r="Y154" s="37">
        <f t="shared" si="19"/>
        <v>7</v>
      </c>
      <c r="Z154" s="38">
        <f t="shared" si="10"/>
        <v>2</v>
      </c>
      <c r="AA154" s="39" t="str">
        <f t="shared" si="20"/>
        <v>-20 años</v>
      </c>
    </row>
    <row r="155" ht="15.75" customHeight="1">
      <c r="A155" s="60" t="s">
        <v>460</v>
      </c>
      <c r="B155" s="27" t="s">
        <v>33</v>
      </c>
      <c r="C155" s="28" t="s">
        <v>34</v>
      </c>
      <c r="D155" s="61">
        <v>45132.0</v>
      </c>
      <c r="E155" s="30" t="s">
        <v>461</v>
      </c>
      <c r="F155" s="59">
        <v>60397.95</v>
      </c>
      <c r="G155" s="27" t="s">
        <v>36</v>
      </c>
      <c r="H155" s="30" t="s">
        <v>58</v>
      </c>
      <c r="I155" s="69">
        <v>45133.0</v>
      </c>
      <c r="J155" s="4"/>
      <c r="K155" s="27" t="s">
        <v>40</v>
      </c>
      <c r="L155" s="45" t="s">
        <v>41</v>
      </c>
      <c r="M155" s="45" t="s">
        <v>51</v>
      </c>
      <c r="N155" s="63" t="s">
        <v>462</v>
      </c>
      <c r="O155" s="45">
        <v>3.33598829E9</v>
      </c>
      <c r="P155" s="34" t="str">
        <f t="shared" si="13"/>
        <v>DARINKA UREÑA CASILLAS</v>
      </c>
      <c r="Q155" s="35" t="str">
        <f>IF(D155="","",VLOOKUP(MONTH(D155),Listas!$C$2:$D$14,2,0))</f>
        <v>Julio</v>
      </c>
      <c r="R155" s="36">
        <f t="shared" si="2"/>
        <v>2023</v>
      </c>
      <c r="S155" s="37">
        <f t="shared" si="3"/>
        <v>25</v>
      </c>
      <c r="T155" s="37">
        <f t="shared" si="14"/>
        <v>25</v>
      </c>
      <c r="U155" s="37">
        <f t="shared" si="15"/>
        <v>7</v>
      </c>
      <c r="V155" s="37">
        <f t="shared" si="16"/>
        <v>26</v>
      </c>
      <c r="W155" s="37">
        <f t="shared" si="17"/>
        <v>26</v>
      </c>
      <c r="X155" s="37">
        <f t="shared" si="18"/>
        <v>7</v>
      </c>
      <c r="Y155" s="37">
        <f t="shared" si="19"/>
        <v>7</v>
      </c>
      <c r="Z155" s="38">
        <f t="shared" si="10"/>
        <v>2</v>
      </c>
      <c r="AA155" s="39" t="str">
        <f t="shared" si="20"/>
        <v>-20 años</v>
      </c>
    </row>
    <row r="156" ht="15.75" customHeight="1">
      <c r="A156" s="60" t="s">
        <v>463</v>
      </c>
      <c r="B156" s="27" t="s">
        <v>33</v>
      </c>
      <c r="C156" s="28" t="s">
        <v>34</v>
      </c>
      <c r="D156" s="61">
        <v>45132.0</v>
      </c>
      <c r="E156" s="30" t="s">
        <v>464</v>
      </c>
      <c r="F156" s="9">
        <f>3917.2*2*7.8</f>
        <v>61108.32</v>
      </c>
      <c r="G156" s="27" t="s">
        <v>45</v>
      </c>
      <c r="H156" s="30" t="s">
        <v>50</v>
      </c>
      <c r="I156" s="69">
        <v>45128.0</v>
      </c>
      <c r="J156" s="4"/>
      <c r="K156" s="27" t="s">
        <v>40</v>
      </c>
      <c r="L156" s="45" t="s">
        <v>46</v>
      </c>
      <c r="M156" s="45" t="s">
        <v>47</v>
      </c>
      <c r="N156" s="63" t="s">
        <v>465</v>
      </c>
      <c r="O156" s="45">
        <v>3.312689115E9</v>
      </c>
      <c r="P156" s="34" t="str">
        <f t="shared" si="13"/>
        <v>DARINKA UREÑA CASILLAS</v>
      </c>
      <c r="Q156" s="35" t="str">
        <f>IF(D156="","",VLOOKUP(MONTH(D156),Listas!$C$2:$D$14,2,0))</f>
        <v>Julio</v>
      </c>
      <c r="R156" s="36">
        <f t="shared" si="2"/>
        <v>2023</v>
      </c>
      <c r="S156" s="37">
        <f t="shared" si="3"/>
        <v>25</v>
      </c>
      <c r="T156" s="37">
        <f t="shared" si="14"/>
        <v>25</v>
      </c>
      <c r="U156" s="37">
        <f t="shared" si="15"/>
        <v>7</v>
      </c>
      <c r="V156" s="37">
        <f t="shared" si="16"/>
        <v>21</v>
      </c>
      <c r="W156" s="37">
        <f t="shared" si="17"/>
        <v>21</v>
      </c>
      <c r="X156" s="37">
        <f t="shared" si="18"/>
        <v>7</v>
      </c>
      <c r="Y156" s="37">
        <f t="shared" si="19"/>
        <v>7</v>
      </c>
      <c r="Z156" s="38">
        <f t="shared" si="10"/>
        <v>2</v>
      </c>
      <c r="AA156" s="39" t="str">
        <f t="shared" si="20"/>
        <v>-20 años</v>
      </c>
    </row>
    <row r="157" ht="15.75" customHeight="1">
      <c r="A157" s="60" t="s">
        <v>466</v>
      </c>
      <c r="B157" s="27" t="s">
        <v>33</v>
      </c>
      <c r="C157" s="28" t="s">
        <v>34</v>
      </c>
      <c r="D157" s="61">
        <v>45139.0</v>
      </c>
      <c r="E157" s="30" t="s">
        <v>467</v>
      </c>
      <c r="F157" s="59">
        <v>20624.94</v>
      </c>
      <c r="G157" s="44" t="s">
        <v>36</v>
      </c>
      <c r="H157" s="30" t="s">
        <v>58</v>
      </c>
      <c r="I157" s="69">
        <v>45269.0</v>
      </c>
      <c r="J157" s="4"/>
      <c r="K157" s="27" t="s">
        <v>54</v>
      </c>
      <c r="L157" s="45" t="s">
        <v>41</v>
      </c>
      <c r="M157" s="45" t="s">
        <v>42</v>
      </c>
      <c r="N157" s="63" t="s">
        <v>468</v>
      </c>
      <c r="O157" s="45">
        <v>3.313337798E9</v>
      </c>
      <c r="P157" s="34" t="str">
        <f t="shared" si="13"/>
        <v>DARINKA UREÑA CASILLAS</v>
      </c>
      <c r="Q157" s="35" t="str">
        <f>IF(D157="","",VLOOKUP(MONTH(D157),Listas!$C$2:$D$14,2,0))</f>
        <v>Agosto</v>
      </c>
      <c r="R157" s="36">
        <f t="shared" si="2"/>
        <v>2023</v>
      </c>
      <c r="S157" s="37">
        <f t="shared" si="3"/>
        <v>1</v>
      </c>
      <c r="T157" s="37">
        <f t="shared" si="14"/>
        <v>1</v>
      </c>
      <c r="U157" s="37">
        <f t="shared" si="15"/>
        <v>8</v>
      </c>
      <c r="V157" s="37">
        <f t="shared" si="16"/>
        <v>9</v>
      </c>
      <c r="W157" s="37">
        <f t="shared" si="17"/>
        <v>9</v>
      </c>
      <c r="X157" s="37">
        <f t="shared" si="18"/>
        <v>12</v>
      </c>
      <c r="Y157" s="37">
        <f t="shared" si="19"/>
        <v>8</v>
      </c>
      <c r="Z157" s="38">
        <f t="shared" si="10"/>
        <v>2</v>
      </c>
      <c r="AA157" s="39" t="str">
        <f t="shared" si="20"/>
        <v>-20 años</v>
      </c>
    </row>
    <row r="158" ht="15.75" customHeight="1">
      <c r="A158" s="60" t="s">
        <v>469</v>
      </c>
      <c r="B158" s="27" t="s">
        <v>56</v>
      </c>
      <c r="C158" s="28" t="s">
        <v>34</v>
      </c>
      <c r="D158" s="61">
        <v>45141.0</v>
      </c>
      <c r="E158" s="30" t="s">
        <v>470</v>
      </c>
      <c r="F158" s="59">
        <v>17090.42</v>
      </c>
      <c r="G158" s="27" t="s">
        <v>36</v>
      </c>
      <c r="H158" s="30" t="s">
        <v>58</v>
      </c>
      <c r="I158" s="69">
        <v>45118.0</v>
      </c>
      <c r="J158" s="4"/>
      <c r="K158" s="27" t="s">
        <v>54</v>
      </c>
      <c r="L158" s="45" t="s">
        <v>41</v>
      </c>
      <c r="M158" s="45" t="s">
        <v>42</v>
      </c>
      <c r="N158" s="63" t="s">
        <v>254</v>
      </c>
      <c r="O158" s="45">
        <v>3.310813799E9</v>
      </c>
      <c r="P158" s="34" t="str">
        <f t="shared" si="13"/>
        <v>DARINKA UREÑA CASILLAS</v>
      </c>
      <c r="Q158" s="35" t="str">
        <f>IF(D158="","",VLOOKUP(MONTH(D158),Listas!$C$2:$D$14,2,0))</f>
        <v>Agosto</v>
      </c>
      <c r="R158" s="36">
        <f t="shared" si="2"/>
        <v>2023</v>
      </c>
      <c r="S158" s="37">
        <f t="shared" si="3"/>
        <v>3</v>
      </c>
      <c r="T158" s="37">
        <f t="shared" si="14"/>
        <v>3</v>
      </c>
      <c r="U158" s="37">
        <f t="shared" si="15"/>
        <v>8</v>
      </c>
      <c r="V158" s="37">
        <f t="shared" si="16"/>
        <v>11</v>
      </c>
      <c r="W158" s="37">
        <f t="shared" si="17"/>
        <v>11</v>
      </c>
      <c r="X158" s="37">
        <f t="shared" si="18"/>
        <v>7</v>
      </c>
      <c r="Y158" s="37">
        <f t="shared" si="19"/>
        <v>8</v>
      </c>
      <c r="Z158" s="38">
        <f t="shared" si="10"/>
        <v>2</v>
      </c>
      <c r="AA158" s="39" t="str">
        <f t="shared" si="20"/>
        <v>-20 años</v>
      </c>
    </row>
    <row r="159" ht="15.75" customHeight="1">
      <c r="A159" s="60" t="s">
        <v>471</v>
      </c>
      <c r="B159" s="27" t="s">
        <v>56</v>
      </c>
      <c r="C159" s="28" t="s">
        <v>34</v>
      </c>
      <c r="D159" s="61">
        <v>45149.0</v>
      </c>
      <c r="E159" s="30" t="s">
        <v>472</v>
      </c>
      <c r="F159" s="59">
        <v>41364.64</v>
      </c>
      <c r="G159" s="27" t="s">
        <v>36</v>
      </c>
      <c r="H159" s="30" t="s">
        <v>58</v>
      </c>
      <c r="I159" s="69">
        <v>45127.0</v>
      </c>
      <c r="J159" s="4"/>
      <c r="K159" s="27" t="s">
        <v>110</v>
      </c>
      <c r="L159" s="45" t="s">
        <v>41</v>
      </c>
      <c r="M159" s="45" t="s">
        <v>42</v>
      </c>
      <c r="N159" s="63" t="s">
        <v>473</v>
      </c>
      <c r="O159" s="45">
        <v>3.319183306E9</v>
      </c>
      <c r="P159" s="34" t="str">
        <f t="shared" si="13"/>
        <v>DARINKA UREÑA CASILLAS</v>
      </c>
      <c r="Q159" s="35" t="str">
        <f>IF(D159="","",VLOOKUP(MONTH(D159),Listas!$C$2:$D$14,2,0))</f>
        <v>Agosto</v>
      </c>
      <c r="R159" s="36">
        <f t="shared" si="2"/>
        <v>2023</v>
      </c>
      <c r="S159" s="37">
        <f t="shared" si="3"/>
        <v>11</v>
      </c>
      <c r="T159" s="37">
        <f t="shared" si="14"/>
        <v>11</v>
      </c>
      <c r="U159" s="37">
        <f t="shared" si="15"/>
        <v>8</v>
      </c>
      <c r="V159" s="37">
        <f t="shared" si="16"/>
        <v>20</v>
      </c>
      <c r="W159" s="37">
        <f t="shared" si="17"/>
        <v>20</v>
      </c>
      <c r="X159" s="37">
        <f t="shared" si="18"/>
        <v>7</v>
      </c>
      <c r="Y159" s="37">
        <f t="shared" si="19"/>
        <v>8</v>
      </c>
      <c r="Z159" s="38">
        <f t="shared" si="10"/>
        <v>2</v>
      </c>
      <c r="AA159" s="39" t="str">
        <f t="shared" si="20"/>
        <v>-20 años</v>
      </c>
    </row>
    <row r="160" ht="15.75" customHeight="1">
      <c r="A160" s="60" t="s">
        <v>474</v>
      </c>
      <c r="B160" s="27" t="s">
        <v>56</v>
      </c>
      <c r="C160" s="28" t="s">
        <v>34</v>
      </c>
      <c r="D160" s="61">
        <v>45152.0</v>
      </c>
      <c r="E160" s="30" t="s">
        <v>475</v>
      </c>
      <c r="F160" s="59">
        <v>17394.01</v>
      </c>
      <c r="G160" s="27" t="s">
        <v>36</v>
      </c>
      <c r="H160" s="30" t="s">
        <v>58</v>
      </c>
      <c r="I160" s="69">
        <v>45173.0</v>
      </c>
      <c r="J160" s="4"/>
      <c r="K160" s="27" t="s">
        <v>110</v>
      </c>
      <c r="L160" s="45" t="s">
        <v>41</v>
      </c>
      <c r="M160" s="45" t="s">
        <v>425</v>
      </c>
      <c r="N160" s="63" t="s">
        <v>476</v>
      </c>
      <c r="O160" s="45">
        <v>9.982423189E9</v>
      </c>
      <c r="P160" s="34" t="str">
        <f t="shared" si="13"/>
        <v>DARINKA UREÑA CASILLAS</v>
      </c>
      <c r="Q160" s="35" t="str">
        <f>IF(D160="","",VLOOKUP(MONTH(D160),Listas!$C$2:$D$14,2,0))</f>
        <v>Agosto</v>
      </c>
      <c r="R160" s="36">
        <f t="shared" si="2"/>
        <v>2023</v>
      </c>
      <c r="S160" s="37">
        <f t="shared" si="3"/>
        <v>14</v>
      </c>
      <c r="T160" s="37">
        <f t="shared" si="14"/>
        <v>14</v>
      </c>
      <c r="U160" s="37">
        <f t="shared" si="15"/>
        <v>8</v>
      </c>
      <c r="V160" s="37">
        <f t="shared" si="16"/>
        <v>4</v>
      </c>
      <c r="W160" s="37">
        <f t="shared" si="17"/>
        <v>4</v>
      </c>
      <c r="X160" s="37">
        <f t="shared" si="18"/>
        <v>9</v>
      </c>
      <c r="Y160" s="37">
        <f t="shared" si="19"/>
        <v>8</v>
      </c>
      <c r="Z160" s="38">
        <f t="shared" si="10"/>
        <v>2</v>
      </c>
      <c r="AA160" s="39" t="str">
        <f t="shared" si="20"/>
        <v>-20 años</v>
      </c>
    </row>
    <row r="161" ht="15.75" customHeight="1">
      <c r="A161" s="60" t="s">
        <v>477</v>
      </c>
      <c r="B161" s="27" t="s">
        <v>33</v>
      </c>
      <c r="C161" s="28" t="s">
        <v>34</v>
      </c>
      <c r="D161" s="61">
        <v>45161.0</v>
      </c>
      <c r="E161" s="30" t="s">
        <v>478</v>
      </c>
      <c r="F161" s="59">
        <v>38718.03</v>
      </c>
      <c r="G161" s="27" t="s">
        <v>36</v>
      </c>
      <c r="H161" s="30" t="s">
        <v>58</v>
      </c>
      <c r="I161" s="69">
        <v>45083.0</v>
      </c>
      <c r="J161" s="4"/>
      <c r="K161" s="27" t="s">
        <v>54</v>
      </c>
      <c r="L161" s="45" t="s">
        <v>41</v>
      </c>
      <c r="M161" s="45" t="s">
        <v>42</v>
      </c>
      <c r="N161" s="63" t="s">
        <v>479</v>
      </c>
      <c r="O161" s="45">
        <v>3.312306159E9</v>
      </c>
      <c r="P161" s="34" t="str">
        <f t="shared" si="13"/>
        <v>DARINKA UREÑA CASILLAS</v>
      </c>
      <c r="Q161" s="35" t="str">
        <f>IF(D161="","",VLOOKUP(MONTH(D161),Listas!$C$2:$D$14,2,0))</f>
        <v>Agosto</v>
      </c>
      <c r="R161" s="36">
        <f t="shared" si="2"/>
        <v>2023</v>
      </c>
      <c r="S161" s="37">
        <f t="shared" si="3"/>
        <v>23</v>
      </c>
      <c r="T161" s="37">
        <f t="shared" si="14"/>
        <v>23</v>
      </c>
      <c r="U161" s="37">
        <f t="shared" si="15"/>
        <v>8</v>
      </c>
      <c r="V161" s="37">
        <f t="shared" si="16"/>
        <v>6</v>
      </c>
      <c r="W161" s="37">
        <f t="shared" si="17"/>
        <v>6</v>
      </c>
      <c r="X161" s="37">
        <f t="shared" si="18"/>
        <v>6</v>
      </c>
      <c r="Y161" s="37">
        <f t="shared" si="19"/>
        <v>8</v>
      </c>
      <c r="Z161" s="38">
        <f t="shared" si="10"/>
        <v>2</v>
      </c>
      <c r="AA161" s="39" t="str">
        <f t="shared" si="20"/>
        <v>-20 años</v>
      </c>
    </row>
    <row r="162" ht="15.75" customHeight="1">
      <c r="A162" s="60" t="s">
        <v>480</v>
      </c>
      <c r="B162" s="27" t="s">
        <v>56</v>
      </c>
      <c r="C162" s="28" t="s">
        <v>34</v>
      </c>
      <c r="D162" s="61">
        <v>45168.0</v>
      </c>
      <c r="E162" s="30" t="s">
        <v>481</v>
      </c>
      <c r="F162" s="9">
        <f>(2330.89+257)*7.8</f>
        <v>20185.542</v>
      </c>
      <c r="G162" s="27" t="s">
        <v>45</v>
      </c>
      <c r="H162" s="30" t="s">
        <v>58</v>
      </c>
      <c r="I162" s="69">
        <v>44989.0</v>
      </c>
      <c r="J162" s="4"/>
      <c r="K162" s="27" t="s">
        <v>54</v>
      </c>
      <c r="L162" s="45" t="s">
        <v>46</v>
      </c>
      <c r="M162" s="45" t="s">
        <v>101</v>
      </c>
      <c r="N162" s="63" t="s">
        <v>482</v>
      </c>
      <c r="O162" s="45">
        <v>3.311862243E9</v>
      </c>
      <c r="P162" s="34" t="str">
        <f t="shared" si="13"/>
        <v>DARINKA UREÑA CASILLAS</v>
      </c>
      <c r="Q162" s="35" t="str">
        <f>IF(D162="","",VLOOKUP(MONTH(D162),Listas!$C$2:$D$14,2,0))</f>
        <v>Agosto</v>
      </c>
      <c r="R162" s="36">
        <f t="shared" si="2"/>
        <v>2023</v>
      </c>
      <c r="S162" s="37">
        <f t="shared" si="3"/>
        <v>30</v>
      </c>
      <c r="T162" s="37">
        <f t="shared" si="14"/>
        <v>30</v>
      </c>
      <c r="U162" s="37">
        <f t="shared" si="15"/>
        <v>8</v>
      </c>
      <c r="V162" s="37">
        <f t="shared" si="16"/>
        <v>4</v>
      </c>
      <c r="W162" s="37">
        <f t="shared" si="17"/>
        <v>4</v>
      </c>
      <c r="X162" s="37">
        <f t="shared" si="18"/>
        <v>3</v>
      </c>
      <c r="Y162" s="37">
        <f t="shared" si="19"/>
        <v>8</v>
      </c>
      <c r="Z162" s="38">
        <f t="shared" si="10"/>
        <v>3</v>
      </c>
      <c r="AA162" s="39" t="str">
        <f t="shared" si="20"/>
        <v>-20 años</v>
      </c>
    </row>
    <row r="163" ht="15.75" customHeight="1">
      <c r="A163" s="60" t="s">
        <v>483</v>
      </c>
      <c r="B163" s="27" t="s">
        <v>33</v>
      </c>
      <c r="C163" s="28" t="s">
        <v>34</v>
      </c>
      <c r="D163" s="61">
        <v>45170.0</v>
      </c>
      <c r="E163" s="30" t="s">
        <v>484</v>
      </c>
      <c r="F163" s="9">
        <f>(3099.44+260)*7.8</f>
        <v>26203.632</v>
      </c>
      <c r="G163" s="27" t="s">
        <v>45</v>
      </c>
      <c r="H163" s="30" t="s">
        <v>58</v>
      </c>
      <c r="I163" s="69">
        <v>45149.0</v>
      </c>
      <c r="J163" s="4"/>
      <c r="K163" s="27" t="s">
        <v>54</v>
      </c>
      <c r="L163" s="45" t="s">
        <v>46</v>
      </c>
      <c r="M163" s="45" t="s">
        <v>101</v>
      </c>
      <c r="N163" s="63" t="s">
        <v>485</v>
      </c>
      <c r="O163" s="45">
        <v>3.312707907E9</v>
      </c>
      <c r="P163" s="70" t="s">
        <v>173</v>
      </c>
      <c r="Q163" s="35" t="str">
        <f>IF(D163="","",VLOOKUP(MONTH(D163),Listas!$C$2:$D$14,2,0))</f>
        <v>Septiembre</v>
      </c>
      <c r="R163" s="36">
        <f t="shared" si="2"/>
        <v>2023</v>
      </c>
      <c r="S163" s="37">
        <f t="shared" si="3"/>
        <v>1</v>
      </c>
      <c r="T163" s="37">
        <f t="shared" si="14"/>
        <v>1</v>
      </c>
      <c r="U163" s="37">
        <f t="shared" si="15"/>
        <v>9</v>
      </c>
      <c r="V163" s="37">
        <f t="shared" si="16"/>
        <v>11</v>
      </c>
      <c r="W163" s="37">
        <f t="shared" si="17"/>
        <v>11</v>
      </c>
      <c r="X163" s="37">
        <f t="shared" si="18"/>
        <v>8</v>
      </c>
      <c r="Y163" s="37">
        <f t="shared" si="19"/>
        <v>9</v>
      </c>
      <c r="Z163" s="38">
        <f t="shared" si="10"/>
        <v>2</v>
      </c>
      <c r="AA163" s="39" t="str">
        <f t="shared" si="20"/>
        <v>-20 años</v>
      </c>
    </row>
    <row r="164" ht="15.75" customHeight="1">
      <c r="A164" s="60" t="s">
        <v>486</v>
      </c>
      <c r="B164" s="27" t="s">
        <v>33</v>
      </c>
      <c r="C164" s="28" t="s">
        <v>34</v>
      </c>
      <c r="D164" s="61">
        <v>45181.0</v>
      </c>
      <c r="E164" s="30" t="s">
        <v>487</v>
      </c>
      <c r="F164" s="9">
        <f>4528.17*7.85</f>
        <v>35546.1345</v>
      </c>
      <c r="G164" s="27" t="s">
        <v>45</v>
      </c>
      <c r="H164" s="30" t="s">
        <v>58</v>
      </c>
      <c r="I164" s="69">
        <v>45000.0</v>
      </c>
      <c r="J164" s="4"/>
      <c r="K164" s="27" t="s">
        <v>54</v>
      </c>
      <c r="L164" s="45" t="s">
        <v>46</v>
      </c>
      <c r="M164" s="45" t="s">
        <v>101</v>
      </c>
      <c r="N164" s="63" t="s">
        <v>488</v>
      </c>
      <c r="O164" s="45">
        <v>3.315497145E9</v>
      </c>
      <c r="P164" s="34" t="str">
        <f t="shared" ref="P164:P269" si="21">IF(A164="","", "DARINKA UREÑA CASILLAS")</f>
        <v>DARINKA UREÑA CASILLAS</v>
      </c>
      <c r="Q164" s="35" t="str">
        <f>IF(D164="","",VLOOKUP(MONTH(D164),Listas!$C$2:$D$14,2,0))</f>
        <v>Septiembre</v>
      </c>
      <c r="R164" s="36">
        <f t="shared" si="2"/>
        <v>2023</v>
      </c>
      <c r="S164" s="37">
        <f t="shared" si="3"/>
        <v>12</v>
      </c>
      <c r="T164" s="37">
        <f t="shared" si="14"/>
        <v>12</v>
      </c>
      <c r="U164" s="37">
        <f t="shared" si="15"/>
        <v>9</v>
      </c>
      <c r="V164" s="37">
        <f t="shared" si="16"/>
        <v>15</v>
      </c>
      <c r="W164" s="37">
        <f t="shared" si="17"/>
        <v>15</v>
      </c>
      <c r="X164" s="37">
        <f t="shared" si="18"/>
        <v>3</v>
      </c>
      <c r="Y164" s="37">
        <f t="shared" si="19"/>
        <v>9</v>
      </c>
      <c r="Z164" s="38">
        <f t="shared" si="10"/>
        <v>3</v>
      </c>
      <c r="AA164" s="39" t="str">
        <f t="shared" si="20"/>
        <v>-20 años</v>
      </c>
    </row>
    <row r="165" ht="15.75" customHeight="1">
      <c r="A165" s="26" t="s">
        <v>99</v>
      </c>
      <c r="B165" s="27" t="s">
        <v>33</v>
      </c>
      <c r="C165" s="28" t="s">
        <v>34</v>
      </c>
      <c r="D165" s="29">
        <v>45180.0</v>
      </c>
      <c r="E165" s="30" t="s">
        <v>489</v>
      </c>
      <c r="F165" s="44">
        <v>20624.94</v>
      </c>
      <c r="G165" s="30" t="s">
        <v>36</v>
      </c>
      <c r="H165" s="30" t="s">
        <v>58</v>
      </c>
      <c r="I165" s="32">
        <v>45225.0</v>
      </c>
      <c r="J165" s="5"/>
      <c r="K165" s="30" t="s">
        <v>54</v>
      </c>
      <c r="L165" s="30" t="s">
        <v>490</v>
      </c>
      <c r="M165" s="30" t="s">
        <v>42</v>
      </c>
      <c r="N165" s="33" t="s">
        <v>102</v>
      </c>
      <c r="O165" s="30">
        <v>3.317070106E9</v>
      </c>
      <c r="P165" s="34" t="str">
        <f t="shared" si="21"/>
        <v>DARINKA UREÑA CASILLAS</v>
      </c>
      <c r="Q165" s="35" t="str">
        <f>IF(D165="","",VLOOKUP(MONTH(D165),Listas!$C$2:$D$14,2,0))</f>
        <v>Septiembre</v>
      </c>
      <c r="R165" s="36">
        <f t="shared" si="2"/>
        <v>2023</v>
      </c>
      <c r="S165" s="37">
        <f t="shared" si="3"/>
        <v>11</v>
      </c>
      <c r="T165" s="37">
        <f t="shared" si="14"/>
        <v>11</v>
      </c>
      <c r="U165" s="37">
        <f t="shared" si="15"/>
        <v>9</v>
      </c>
      <c r="V165" s="37">
        <f t="shared" si="16"/>
        <v>26</v>
      </c>
      <c r="W165" s="37">
        <f t="shared" si="17"/>
        <v>26</v>
      </c>
      <c r="X165" s="37">
        <f t="shared" si="18"/>
        <v>10</v>
      </c>
      <c r="Y165" s="37">
        <f t="shared" si="19"/>
        <v>9</v>
      </c>
      <c r="Z165" s="38">
        <f t="shared" si="10"/>
        <v>2</v>
      </c>
      <c r="AA165" s="39" t="str">
        <f t="shared" si="20"/>
        <v>-20 años</v>
      </c>
      <c r="AB165" s="43"/>
    </row>
    <row r="166" ht="15.75" customHeight="1">
      <c r="A166" s="26" t="s">
        <v>491</v>
      </c>
      <c r="B166" s="27" t="s">
        <v>56</v>
      </c>
      <c r="C166" s="28" t="s">
        <v>34</v>
      </c>
      <c r="D166" s="61">
        <v>45216.0</v>
      </c>
      <c r="E166" s="30" t="s">
        <v>492</v>
      </c>
      <c r="F166" s="59">
        <v>17807.18</v>
      </c>
      <c r="G166" s="27" t="s">
        <v>36</v>
      </c>
      <c r="H166" s="30" t="s">
        <v>58</v>
      </c>
      <c r="I166" s="32">
        <v>45248.0</v>
      </c>
      <c r="J166" s="4"/>
      <c r="K166" s="27" t="s">
        <v>54</v>
      </c>
      <c r="L166" s="45" t="s">
        <v>41</v>
      </c>
      <c r="M166" s="45" t="s">
        <v>42</v>
      </c>
      <c r="N166" s="63" t="s">
        <v>493</v>
      </c>
      <c r="O166" s="45">
        <v>5.55101737E9</v>
      </c>
      <c r="P166" s="34" t="str">
        <f t="shared" si="21"/>
        <v>DARINKA UREÑA CASILLAS</v>
      </c>
      <c r="Q166" s="35" t="str">
        <f>IF(D166="","",VLOOKUP(MONTH(D166),Listas!$C$2:$D$14,2,0))</f>
        <v>Octubre</v>
      </c>
      <c r="R166" s="36">
        <f t="shared" si="2"/>
        <v>2023</v>
      </c>
      <c r="S166" s="37">
        <f t="shared" si="3"/>
        <v>17</v>
      </c>
      <c r="T166" s="37">
        <f t="shared" si="14"/>
        <v>17</v>
      </c>
      <c r="U166" s="37">
        <f t="shared" si="15"/>
        <v>10</v>
      </c>
      <c r="V166" s="37">
        <f t="shared" si="16"/>
        <v>18</v>
      </c>
      <c r="W166" s="37">
        <f t="shared" si="17"/>
        <v>18</v>
      </c>
      <c r="X166" s="37">
        <f t="shared" si="18"/>
        <v>11</v>
      </c>
      <c r="Y166" s="37">
        <f t="shared" si="19"/>
        <v>10</v>
      </c>
      <c r="Z166" s="38">
        <f t="shared" si="10"/>
        <v>2</v>
      </c>
      <c r="AA166" s="39" t="str">
        <f t="shared" si="20"/>
        <v>-20 años</v>
      </c>
    </row>
    <row r="167" ht="15.75" customHeight="1">
      <c r="A167" s="60" t="s">
        <v>494</v>
      </c>
      <c r="B167" s="27" t="s">
        <v>56</v>
      </c>
      <c r="C167" s="28" t="s">
        <v>34</v>
      </c>
      <c r="D167" s="61">
        <v>45226.0</v>
      </c>
      <c r="E167" s="30" t="s">
        <v>495</v>
      </c>
      <c r="F167" s="59">
        <v>10389.52</v>
      </c>
      <c r="G167" s="27" t="s">
        <v>36</v>
      </c>
      <c r="H167" s="30" t="s">
        <v>58</v>
      </c>
      <c r="I167" s="32">
        <v>45242.0</v>
      </c>
      <c r="J167" s="4"/>
      <c r="K167" s="27" t="s">
        <v>110</v>
      </c>
      <c r="L167" s="45" t="s">
        <v>41</v>
      </c>
      <c r="M167" s="45" t="s">
        <v>51</v>
      </c>
      <c r="N167" s="63" t="s">
        <v>496</v>
      </c>
      <c r="O167" s="45">
        <v>3.323856131E9</v>
      </c>
      <c r="P167" s="34" t="str">
        <f t="shared" si="21"/>
        <v>DARINKA UREÑA CASILLAS</v>
      </c>
      <c r="Q167" s="35" t="str">
        <f>IF(D167="","",VLOOKUP(MONTH(D167),Listas!$C$2:$D$14,2,0))</f>
        <v>Octubre</v>
      </c>
      <c r="R167" s="36">
        <f t="shared" si="2"/>
        <v>2023</v>
      </c>
      <c r="S167" s="37">
        <f t="shared" si="3"/>
        <v>27</v>
      </c>
      <c r="T167" s="37">
        <f t="shared" si="14"/>
        <v>27</v>
      </c>
      <c r="U167" s="37">
        <f t="shared" si="15"/>
        <v>10</v>
      </c>
      <c r="V167" s="37">
        <f t="shared" si="16"/>
        <v>12</v>
      </c>
      <c r="W167" s="37">
        <f t="shared" si="17"/>
        <v>12</v>
      </c>
      <c r="X167" s="37">
        <f t="shared" si="18"/>
        <v>11</v>
      </c>
      <c r="Y167" s="37">
        <f t="shared" si="19"/>
        <v>10</v>
      </c>
      <c r="Z167" s="38">
        <f t="shared" si="10"/>
        <v>2</v>
      </c>
      <c r="AA167" s="39" t="str">
        <f t="shared" si="20"/>
        <v>-20 años</v>
      </c>
    </row>
    <row r="168" ht="15.75" customHeight="1">
      <c r="A168" s="60" t="s">
        <v>497</v>
      </c>
      <c r="B168" s="27" t="s">
        <v>33</v>
      </c>
      <c r="C168" s="28" t="s">
        <v>34</v>
      </c>
      <c r="D168" s="61">
        <v>45240.0</v>
      </c>
      <c r="E168" s="30" t="s">
        <v>498</v>
      </c>
      <c r="F168" s="59">
        <v>42609.0</v>
      </c>
      <c r="G168" s="27" t="s">
        <v>36</v>
      </c>
      <c r="H168" s="30" t="s">
        <v>58</v>
      </c>
      <c r="I168" s="32">
        <v>45067.0</v>
      </c>
      <c r="J168" s="4"/>
      <c r="K168" s="27" t="s">
        <v>54</v>
      </c>
      <c r="L168" s="45" t="s">
        <v>41</v>
      </c>
      <c r="M168" s="45" t="s">
        <v>51</v>
      </c>
      <c r="N168" s="63" t="s">
        <v>499</v>
      </c>
      <c r="O168" s="45">
        <v>3.338152956E9</v>
      </c>
      <c r="P168" s="34" t="str">
        <f t="shared" si="21"/>
        <v>DARINKA UREÑA CASILLAS</v>
      </c>
      <c r="Q168" s="35" t="str">
        <f>IF(D168="","",VLOOKUP(MONTH(D168),Listas!$C$2:$D$14,2,0))</f>
        <v>Noviembre</v>
      </c>
      <c r="R168" s="36">
        <f t="shared" si="2"/>
        <v>2023</v>
      </c>
      <c r="S168" s="37">
        <f t="shared" si="3"/>
        <v>10</v>
      </c>
      <c r="T168" s="37">
        <f t="shared" si="14"/>
        <v>10</v>
      </c>
      <c r="U168" s="37">
        <f t="shared" si="15"/>
        <v>11</v>
      </c>
      <c r="V168" s="37">
        <f t="shared" si="16"/>
        <v>21</v>
      </c>
      <c r="W168" s="37">
        <f t="shared" si="17"/>
        <v>21</v>
      </c>
      <c r="X168" s="37">
        <f t="shared" si="18"/>
        <v>5</v>
      </c>
      <c r="Y168" s="37">
        <f t="shared" si="19"/>
        <v>11</v>
      </c>
      <c r="Z168" s="38">
        <f t="shared" si="10"/>
        <v>2</v>
      </c>
      <c r="AA168" s="39" t="str">
        <f t="shared" si="20"/>
        <v>-20 años</v>
      </c>
    </row>
    <row r="169" ht="15.75" customHeight="1">
      <c r="A169" s="60" t="s">
        <v>500</v>
      </c>
      <c r="B169" s="27" t="s">
        <v>33</v>
      </c>
      <c r="C169" s="28" t="s">
        <v>34</v>
      </c>
      <c r="D169" s="61">
        <v>45243.0</v>
      </c>
      <c r="E169" s="30" t="s">
        <v>501</v>
      </c>
      <c r="F169" s="9">
        <f>173.54*12*7.91</f>
        <v>16472.4168</v>
      </c>
      <c r="G169" s="27" t="s">
        <v>45</v>
      </c>
      <c r="H169" s="30" t="s">
        <v>37</v>
      </c>
      <c r="I169" s="32">
        <v>45175.0</v>
      </c>
      <c r="J169" s="4"/>
      <c r="K169" s="27" t="s">
        <v>54</v>
      </c>
      <c r="L169" s="45" t="s">
        <v>46</v>
      </c>
      <c r="M169" s="45" t="s">
        <v>47</v>
      </c>
      <c r="N169" s="63" t="s">
        <v>502</v>
      </c>
      <c r="O169" s="45">
        <v>3.328395992E9</v>
      </c>
      <c r="P169" s="34" t="str">
        <f t="shared" si="21"/>
        <v>DARINKA UREÑA CASILLAS</v>
      </c>
      <c r="Q169" s="35" t="str">
        <f>IF(D169="","",VLOOKUP(MONTH(D169),Listas!$C$2:$D$14,2,0))</f>
        <v>Noviembre</v>
      </c>
      <c r="R169" s="36">
        <f t="shared" si="2"/>
        <v>2023</v>
      </c>
      <c r="S169" s="37">
        <f t="shared" si="3"/>
        <v>13</v>
      </c>
      <c r="T169" s="37">
        <f t="shared" si="14"/>
        <v>13</v>
      </c>
      <c r="U169" s="37">
        <f t="shared" si="15"/>
        <v>11</v>
      </c>
      <c r="V169" s="37">
        <f t="shared" si="16"/>
        <v>6</v>
      </c>
      <c r="W169" s="37">
        <f t="shared" si="17"/>
        <v>6</v>
      </c>
      <c r="X169" s="37">
        <f t="shared" si="18"/>
        <v>9</v>
      </c>
      <c r="Y169" s="37">
        <f t="shared" si="19"/>
        <v>11</v>
      </c>
      <c r="Z169" s="38">
        <f t="shared" si="10"/>
        <v>2</v>
      </c>
      <c r="AA169" s="39" t="str">
        <f t="shared" si="20"/>
        <v>-20 años</v>
      </c>
    </row>
    <row r="170" ht="15.75" customHeight="1">
      <c r="A170" s="60" t="s">
        <v>503</v>
      </c>
      <c r="B170" s="27" t="s">
        <v>33</v>
      </c>
      <c r="C170" s="28" t="s">
        <v>34</v>
      </c>
      <c r="D170" s="61">
        <v>45244.0</v>
      </c>
      <c r="E170" s="30" t="s">
        <v>504</v>
      </c>
      <c r="F170" s="59">
        <v>22205.1</v>
      </c>
      <c r="G170" s="27" t="s">
        <v>36</v>
      </c>
      <c r="H170" s="30" t="s">
        <v>58</v>
      </c>
      <c r="I170" s="32">
        <v>44969.0</v>
      </c>
      <c r="J170" s="4"/>
      <c r="K170" s="27" t="s">
        <v>54</v>
      </c>
      <c r="L170" s="45" t="s">
        <v>41</v>
      </c>
      <c r="M170" s="45" t="s">
        <v>42</v>
      </c>
      <c r="N170" s="63" t="s">
        <v>505</v>
      </c>
      <c r="O170" s="45">
        <v>3.339526404E9</v>
      </c>
      <c r="P170" s="34" t="str">
        <f t="shared" si="21"/>
        <v>DARINKA UREÑA CASILLAS</v>
      </c>
      <c r="Q170" s="35" t="str">
        <f>IF(D170="","",VLOOKUP(MONTH(D170),Listas!$C$2:$D$14,2,0))</f>
        <v>Noviembre</v>
      </c>
      <c r="R170" s="36">
        <f t="shared" si="2"/>
        <v>2023</v>
      </c>
      <c r="S170" s="37">
        <f t="shared" si="3"/>
        <v>14</v>
      </c>
      <c r="T170" s="37">
        <f t="shared" si="14"/>
        <v>14</v>
      </c>
      <c r="U170" s="37">
        <f t="shared" si="15"/>
        <v>11</v>
      </c>
      <c r="V170" s="37">
        <f t="shared" si="16"/>
        <v>12</v>
      </c>
      <c r="W170" s="37">
        <f t="shared" si="17"/>
        <v>12</v>
      </c>
      <c r="X170" s="37">
        <f t="shared" si="18"/>
        <v>2</v>
      </c>
      <c r="Y170" s="37">
        <f t="shared" si="19"/>
        <v>11</v>
      </c>
      <c r="Z170" s="38">
        <f t="shared" si="10"/>
        <v>3</v>
      </c>
      <c r="AA170" s="39" t="str">
        <f t="shared" si="20"/>
        <v>-20 años</v>
      </c>
    </row>
    <row r="171" ht="15.75" customHeight="1">
      <c r="A171" s="60" t="s">
        <v>503</v>
      </c>
      <c r="B171" s="27" t="s">
        <v>33</v>
      </c>
      <c r="C171" s="28" t="s">
        <v>34</v>
      </c>
      <c r="D171" s="61">
        <v>45243.0</v>
      </c>
      <c r="E171" s="30" t="s">
        <v>506</v>
      </c>
      <c r="F171" s="9">
        <f>15236.75*7.91</f>
        <v>120522.6925</v>
      </c>
      <c r="G171" s="27" t="s">
        <v>45</v>
      </c>
      <c r="H171" s="30" t="s">
        <v>58</v>
      </c>
      <c r="I171" s="32">
        <v>44969.0</v>
      </c>
      <c r="J171" s="4"/>
      <c r="K171" s="27" t="s">
        <v>54</v>
      </c>
      <c r="L171" s="45" t="s">
        <v>46</v>
      </c>
      <c r="M171" s="45" t="s">
        <v>47</v>
      </c>
      <c r="N171" s="63" t="s">
        <v>505</v>
      </c>
      <c r="O171" s="45">
        <v>3.339526404E9</v>
      </c>
      <c r="P171" s="34" t="str">
        <f t="shared" si="21"/>
        <v>DARINKA UREÑA CASILLAS</v>
      </c>
      <c r="Q171" s="35" t="str">
        <f>IF(D171="","",VLOOKUP(MONTH(D171),Listas!$C$2:$D$14,2,0))</f>
        <v>Noviembre</v>
      </c>
      <c r="R171" s="36">
        <f t="shared" si="2"/>
        <v>2023</v>
      </c>
      <c r="S171" s="37">
        <f t="shared" si="3"/>
        <v>13</v>
      </c>
      <c r="T171" s="37">
        <f t="shared" si="14"/>
        <v>13</v>
      </c>
      <c r="U171" s="37">
        <f t="shared" si="15"/>
        <v>11</v>
      </c>
      <c r="V171" s="37">
        <f t="shared" si="16"/>
        <v>12</v>
      </c>
      <c r="W171" s="37">
        <f t="shared" si="17"/>
        <v>12</v>
      </c>
      <c r="X171" s="37">
        <f t="shared" si="18"/>
        <v>2</v>
      </c>
      <c r="Y171" s="37">
        <f t="shared" si="19"/>
        <v>11</v>
      </c>
      <c r="Z171" s="38">
        <f t="shared" si="10"/>
        <v>3</v>
      </c>
      <c r="AA171" s="39" t="str">
        <f t="shared" si="20"/>
        <v>-20 años</v>
      </c>
    </row>
    <row r="172" ht="15.75" customHeight="1">
      <c r="A172" s="60" t="s">
        <v>507</v>
      </c>
      <c r="B172" s="27" t="s">
        <v>56</v>
      </c>
      <c r="C172" s="28" t="s">
        <v>34</v>
      </c>
      <c r="D172" s="61">
        <v>45246.0</v>
      </c>
      <c r="E172" s="30" t="s">
        <v>508</v>
      </c>
      <c r="F172" s="9">
        <f>1976.63*7.91</f>
        <v>15635.1433</v>
      </c>
      <c r="G172" s="27" t="s">
        <v>45</v>
      </c>
      <c r="H172" s="30" t="s">
        <v>58</v>
      </c>
      <c r="I172" s="32">
        <v>44968.0</v>
      </c>
      <c r="J172" s="4"/>
      <c r="K172" s="27" t="s">
        <v>54</v>
      </c>
      <c r="L172" s="45" t="s">
        <v>46</v>
      </c>
      <c r="M172" s="45" t="s">
        <v>47</v>
      </c>
      <c r="N172" s="63" t="s">
        <v>509</v>
      </c>
      <c r="O172" s="45">
        <v>3.335774167E9</v>
      </c>
      <c r="P172" s="34" t="str">
        <f t="shared" si="21"/>
        <v>DARINKA UREÑA CASILLAS</v>
      </c>
      <c r="Q172" s="35" t="str">
        <f>IF(D172="","",VLOOKUP(MONTH(D172),Listas!$C$2:$D$14,2,0))</f>
        <v>Noviembre</v>
      </c>
      <c r="R172" s="36">
        <f t="shared" si="2"/>
        <v>2023</v>
      </c>
      <c r="S172" s="37">
        <f t="shared" si="3"/>
        <v>16</v>
      </c>
      <c r="T172" s="37">
        <f t="shared" si="14"/>
        <v>16</v>
      </c>
      <c r="U172" s="37">
        <f t="shared" si="15"/>
        <v>11</v>
      </c>
      <c r="V172" s="37">
        <f t="shared" si="16"/>
        <v>11</v>
      </c>
      <c r="W172" s="37">
        <f t="shared" si="17"/>
        <v>11</v>
      </c>
      <c r="X172" s="37">
        <f t="shared" si="18"/>
        <v>2</v>
      </c>
      <c r="Y172" s="37">
        <f t="shared" si="19"/>
        <v>11</v>
      </c>
      <c r="Z172" s="38">
        <f t="shared" si="10"/>
        <v>3</v>
      </c>
      <c r="AA172" s="39" t="str">
        <f t="shared" si="20"/>
        <v>-20 años</v>
      </c>
    </row>
    <row r="173" ht="15.75" customHeight="1">
      <c r="A173" s="60" t="s">
        <v>507</v>
      </c>
      <c r="B173" s="27" t="s">
        <v>56</v>
      </c>
      <c r="C173" s="28" t="s">
        <v>34</v>
      </c>
      <c r="D173" s="61">
        <v>45246.0</v>
      </c>
      <c r="E173" s="30" t="s">
        <v>510</v>
      </c>
      <c r="F173" s="59">
        <v>18354.91</v>
      </c>
      <c r="G173" s="27" t="s">
        <v>36</v>
      </c>
      <c r="H173" s="30" t="s">
        <v>58</v>
      </c>
      <c r="I173" s="32">
        <v>44968.0</v>
      </c>
      <c r="J173" s="4"/>
      <c r="K173" s="27" t="s">
        <v>54</v>
      </c>
      <c r="L173" s="45" t="s">
        <v>41</v>
      </c>
      <c r="M173" s="45" t="s">
        <v>42</v>
      </c>
      <c r="N173" s="63" t="s">
        <v>509</v>
      </c>
      <c r="O173" s="45">
        <v>3.335774167E9</v>
      </c>
      <c r="P173" s="34" t="str">
        <f t="shared" si="21"/>
        <v>DARINKA UREÑA CASILLAS</v>
      </c>
      <c r="Q173" s="35" t="str">
        <f>IF(D173="","",VLOOKUP(MONTH(D173),Listas!$C$2:$D$14,2,0))</f>
        <v>Noviembre</v>
      </c>
      <c r="R173" s="36">
        <f t="shared" si="2"/>
        <v>2023</v>
      </c>
      <c r="S173" s="37">
        <f t="shared" si="3"/>
        <v>16</v>
      </c>
      <c r="T173" s="37">
        <f t="shared" si="14"/>
        <v>16</v>
      </c>
      <c r="U173" s="37">
        <f t="shared" si="15"/>
        <v>11</v>
      </c>
      <c r="V173" s="37">
        <f t="shared" si="16"/>
        <v>11</v>
      </c>
      <c r="W173" s="37">
        <f t="shared" si="17"/>
        <v>11</v>
      </c>
      <c r="X173" s="37">
        <f t="shared" si="18"/>
        <v>2</v>
      </c>
      <c r="Y173" s="37">
        <f t="shared" si="19"/>
        <v>11</v>
      </c>
      <c r="Z173" s="38">
        <f t="shared" si="10"/>
        <v>3</v>
      </c>
      <c r="AA173" s="39" t="str">
        <f t="shared" si="20"/>
        <v>-20 años</v>
      </c>
    </row>
    <row r="174" ht="15.75" customHeight="1">
      <c r="A174" s="26" t="s">
        <v>511</v>
      </c>
      <c r="B174" s="27" t="s">
        <v>56</v>
      </c>
      <c r="C174" s="28" t="s">
        <v>34</v>
      </c>
      <c r="D174" s="29">
        <v>45256.0</v>
      </c>
      <c r="E174" s="30" t="s">
        <v>512</v>
      </c>
      <c r="F174" s="59">
        <v>18970.47</v>
      </c>
      <c r="G174" s="27" t="s">
        <v>36</v>
      </c>
      <c r="H174" s="30" t="s">
        <v>58</v>
      </c>
      <c r="I174" s="32">
        <v>44989.0</v>
      </c>
      <c r="J174" s="4"/>
      <c r="K174" s="27" t="s">
        <v>54</v>
      </c>
      <c r="L174" s="45" t="s">
        <v>41</v>
      </c>
      <c r="M174" s="45" t="s">
        <v>51</v>
      </c>
      <c r="N174" s="63" t="s">
        <v>513</v>
      </c>
      <c r="O174" s="45">
        <v>3.339560027E9</v>
      </c>
      <c r="P174" s="34" t="str">
        <f t="shared" si="21"/>
        <v>DARINKA UREÑA CASILLAS</v>
      </c>
      <c r="Q174" s="35" t="str">
        <f>IF(D174="","",VLOOKUP(MONTH(D174),Listas!$C$2:$D$14,2,0))</f>
        <v>Noviembre</v>
      </c>
      <c r="R174" s="36">
        <f t="shared" si="2"/>
        <v>2023</v>
      </c>
      <c r="S174" s="37">
        <f t="shared" si="3"/>
        <v>26</v>
      </c>
      <c r="T174" s="37">
        <f t="shared" si="14"/>
        <v>26</v>
      </c>
      <c r="U174" s="37">
        <f t="shared" si="15"/>
        <v>11</v>
      </c>
      <c r="V174" s="37">
        <f t="shared" si="16"/>
        <v>4</v>
      </c>
      <c r="W174" s="37">
        <f t="shared" si="17"/>
        <v>4</v>
      </c>
      <c r="X174" s="37">
        <f t="shared" si="18"/>
        <v>3</v>
      </c>
      <c r="Y174" s="37">
        <f t="shared" si="19"/>
        <v>11</v>
      </c>
      <c r="Z174" s="38">
        <f t="shared" si="10"/>
        <v>3</v>
      </c>
      <c r="AA174" s="39" t="str">
        <f t="shared" si="20"/>
        <v>-20 años</v>
      </c>
    </row>
    <row r="175" ht="15.75" customHeight="1">
      <c r="A175" s="60" t="s">
        <v>514</v>
      </c>
      <c r="B175" s="27" t="s">
        <v>33</v>
      </c>
      <c r="C175" s="28" t="s">
        <v>34</v>
      </c>
      <c r="D175" s="61">
        <v>45275.0</v>
      </c>
      <c r="E175" s="30" t="s">
        <v>515</v>
      </c>
      <c r="F175" s="59">
        <v>13940.68</v>
      </c>
      <c r="G175" s="27" t="s">
        <v>36</v>
      </c>
      <c r="H175" s="30" t="s">
        <v>58</v>
      </c>
      <c r="I175" s="32">
        <v>45262.0</v>
      </c>
      <c r="J175" s="4"/>
      <c r="K175" s="27" t="s">
        <v>110</v>
      </c>
      <c r="L175" s="45" t="s">
        <v>41</v>
      </c>
      <c r="M175" s="45" t="s">
        <v>42</v>
      </c>
      <c r="N175" s="63" t="s">
        <v>505</v>
      </c>
      <c r="O175" s="45">
        <v>3.339526404E9</v>
      </c>
      <c r="P175" s="34" t="str">
        <f t="shared" si="21"/>
        <v>DARINKA UREÑA CASILLAS</v>
      </c>
      <c r="Q175" s="35" t="str">
        <f>IF(D175="","",VLOOKUP(MONTH(D175),Listas!$C$2:$D$14,2,0))</f>
        <v>Diciembre</v>
      </c>
      <c r="R175" s="36">
        <f t="shared" si="2"/>
        <v>2023</v>
      </c>
      <c r="S175" s="37">
        <f t="shared" si="3"/>
        <v>15</v>
      </c>
      <c r="T175" s="37">
        <f t="shared" si="14"/>
        <v>15</v>
      </c>
      <c r="U175" s="37">
        <f t="shared" si="15"/>
        <v>12</v>
      </c>
      <c r="V175" s="37">
        <f t="shared" si="16"/>
        <v>2</v>
      </c>
      <c r="W175" s="37">
        <f t="shared" si="17"/>
        <v>2</v>
      </c>
      <c r="X175" s="37">
        <f t="shared" si="18"/>
        <v>12</v>
      </c>
      <c r="Y175" s="37">
        <f t="shared" si="19"/>
        <v>12</v>
      </c>
      <c r="Z175" s="38">
        <f t="shared" si="10"/>
        <v>2</v>
      </c>
      <c r="AA175" s="39" t="str">
        <f t="shared" si="20"/>
        <v>-20 años</v>
      </c>
    </row>
    <row r="176" ht="15.75" customHeight="1">
      <c r="A176" s="60" t="s">
        <v>516</v>
      </c>
      <c r="B176" s="27" t="s">
        <v>33</v>
      </c>
      <c r="C176" s="28" t="s">
        <v>34</v>
      </c>
      <c r="D176" s="61">
        <v>45281.0</v>
      </c>
      <c r="E176" s="30" t="s">
        <v>517</v>
      </c>
      <c r="F176" s="9">
        <f>2270.31*7.98</f>
        <v>18117.0738</v>
      </c>
      <c r="G176" s="27" t="s">
        <v>45</v>
      </c>
      <c r="H176" s="30" t="s">
        <v>58</v>
      </c>
      <c r="I176" s="71">
        <v>44934.0</v>
      </c>
      <c r="J176" s="4"/>
      <c r="K176" s="27" t="s">
        <v>54</v>
      </c>
      <c r="L176" s="45" t="s">
        <v>46</v>
      </c>
      <c r="M176" s="45" t="s">
        <v>47</v>
      </c>
      <c r="N176" s="63" t="s">
        <v>518</v>
      </c>
      <c r="O176" s="45">
        <v>3.310715478E9</v>
      </c>
      <c r="P176" s="34" t="str">
        <f t="shared" si="21"/>
        <v>DARINKA UREÑA CASILLAS</v>
      </c>
      <c r="Q176" s="35" t="str">
        <f>IF(D176="","",VLOOKUP(MONTH(D176),Listas!$C$2:$D$14,2,0))</f>
        <v>Diciembre</v>
      </c>
      <c r="R176" s="36">
        <f t="shared" si="2"/>
        <v>2023</v>
      </c>
      <c r="S176" s="37">
        <f t="shared" si="3"/>
        <v>21</v>
      </c>
      <c r="T176" s="37">
        <f t="shared" si="14"/>
        <v>21</v>
      </c>
      <c r="U176" s="37">
        <f t="shared" si="15"/>
        <v>12</v>
      </c>
      <c r="V176" s="37">
        <f t="shared" si="16"/>
        <v>8</v>
      </c>
      <c r="W176" s="37">
        <f t="shared" si="17"/>
        <v>8</v>
      </c>
      <c r="X176" s="37">
        <f t="shared" si="18"/>
        <v>1</v>
      </c>
      <c r="Y176" s="37">
        <f t="shared" si="19"/>
        <v>12</v>
      </c>
      <c r="Z176" s="38">
        <f t="shared" si="10"/>
        <v>3</v>
      </c>
      <c r="AA176" s="39" t="str">
        <f t="shared" si="20"/>
        <v>-20 años</v>
      </c>
    </row>
    <row r="177" ht="15.75" customHeight="1">
      <c r="A177" s="60" t="s">
        <v>519</v>
      </c>
      <c r="B177" s="27" t="s">
        <v>33</v>
      </c>
      <c r="C177" s="28" t="s">
        <v>34</v>
      </c>
      <c r="D177" s="61">
        <v>45286.0</v>
      </c>
      <c r="E177" s="30" t="s">
        <v>520</v>
      </c>
      <c r="F177" s="9">
        <f>2364.31*7.98</f>
        <v>18867.1938</v>
      </c>
      <c r="G177" s="27" t="s">
        <v>45</v>
      </c>
      <c r="H177" s="30" t="s">
        <v>58</v>
      </c>
      <c r="I177" s="71">
        <v>45251.0</v>
      </c>
      <c r="J177" s="4"/>
      <c r="K177" s="27" t="s">
        <v>54</v>
      </c>
      <c r="L177" s="45" t="s">
        <v>46</v>
      </c>
      <c r="M177" s="45" t="s">
        <v>47</v>
      </c>
      <c r="N177" s="63" t="s">
        <v>521</v>
      </c>
      <c r="O177" s="45">
        <v>3.3110948E9</v>
      </c>
      <c r="P177" s="34" t="str">
        <f t="shared" si="21"/>
        <v>DARINKA UREÑA CASILLAS</v>
      </c>
      <c r="Q177" s="35" t="str">
        <f>IF(D177="","",VLOOKUP(MONTH(D177),Listas!$C$2:$D$14,2,0))</f>
        <v>Diciembre</v>
      </c>
      <c r="R177" s="36">
        <f t="shared" si="2"/>
        <v>2023</v>
      </c>
      <c r="S177" s="37">
        <f t="shared" si="3"/>
        <v>26</v>
      </c>
      <c r="T177" s="37">
        <f t="shared" si="14"/>
        <v>26</v>
      </c>
      <c r="U177" s="37">
        <f t="shared" si="15"/>
        <v>12</v>
      </c>
      <c r="V177" s="37">
        <f t="shared" si="16"/>
        <v>21</v>
      </c>
      <c r="W177" s="37">
        <f t="shared" si="17"/>
        <v>21</v>
      </c>
      <c r="X177" s="37">
        <f t="shared" si="18"/>
        <v>11</v>
      </c>
      <c r="Y177" s="37">
        <f t="shared" si="19"/>
        <v>12</v>
      </c>
      <c r="Z177" s="38">
        <f t="shared" si="10"/>
        <v>2</v>
      </c>
      <c r="AA177" s="39" t="str">
        <f t="shared" si="20"/>
        <v>-20 años</v>
      </c>
    </row>
    <row r="178" ht="15.75" customHeight="1">
      <c r="A178" s="26" t="s">
        <v>522</v>
      </c>
      <c r="B178" s="27" t="s">
        <v>56</v>
      </c>
      <c r="C178" s="28" t="s">
        <v>34</v>
      </c>
      <c r="D178" s="61">
        <v>45306.0</v>
      </c>
      <c r="E178" s="30" t="s">
        <v>523</v>
      </c>
      <c r="F178" s="9">
        <f>3053.68*8.1</f>
        <v>24734.808</v>
      </c>
      <c r="G178" s="27" t="s">
        <v>45</v>
      </c>
      <c r="H178" s="30" t="s">
        <v>58</v>
      </c>
      <c r="I178" s="71">
        <v>45090.0</v>
      </c>
      <c r="J178" s="4"/>
      <c r="K178" s="27" t="s">
        <v>40</v>
      </c>
      <c r="L178" s="45" t="s">
        <v>46</v>
      </c>
      <c r="M178" s="45" t="s">
        <v>47</v>
      </c>
      <c r="N178" s="63" t="s">
        <v>524</v>
      </c>
      <c r="O178" s="45">
        <v>3.314186581E9</v>
      </c>
      <c r="P178" s="34" t="str">
        <f t="shared" si="21"/>
        <v>DARINKA UREÑA CASILLAS</v>
      </c>
      <c r="Q178" s="35" t="str">
        <f>IF(D178="","",VLOOKUP(MONTH(D178),Listas!$C$2:$D$14,2,0))</f>
        <v>Enero</v>
      </c>
      <c r="R178" s="36">
        <f t="shared" si="2"/>
        <v>2024</v>
      </c>
      <c r="S178" s="37">
        <f t="shared" si="3"/>
        <v>15</v>
      </c>
      <c r="T178" s="37">
        <f t="shared" si="14"/>
        <v>15</v>
      </c>
      <c r="U178" s="37">
        <f t="shared" si="15"/>
        <v>1</v>
      </c>
      <c r="V178" s="37">
        <f t="shared" si="16"/>
        <v>13</v>
      </c>
      <c r="W178" s="37">
        <f t="shared" si="17"/>
        <v>13</v>
      </c>
      <c r="X178" s="37">
        <f t="shared" si="18"/>
        <v>6</v>
      </c>
      <c r="Y178" s="37">
        <f t="shared" si="19"/>
        <v>1</v>
      </c>
      <c r="Z178" s="38">
        <f t="shared" si="10"/>
        <v>2</v>
      </c>
      <c r="AA178" s="39" t="str">
        <f t="shared" si="20"/>
        <v>-20 años</v>
      </c>
    </row>
    <row r="179" ht="15.75" customHeight="1">
      <c r="A179" s="60" t="s">
        <v>525</v>
      </c>
      <c r="B179" s="27" t="s">
        <v>56</v>
      </c>
      <c r="C179" s="28" t="s">
        <v>34</v>
      </c>
      <c r="D179" s="61">
        <v>45315.0</v>
      </c>
      <c r="E179" s="30" t="s">
        <v>526</v>
      </c>
      <c r="F179" s="9">
        <f>196.51*12*8.1</f>
        <v>19100.772</v>
      </c>
      <c r="G179" s="27" t="s">
        <v>45</v>
      </c>
      <c r="H179" s="30" t="s">
        <v>37</v>
      </c>
      <c r="I179" s="71">
        <v>45130.0</v>
      </c>
      <c r="J179" s="4"/>
      <c r="K179" s="27" t="s">
        <v>40</v>
      </c>
      <c r="L179" s="45" t="s">
        <v>46</v>
      </c>
      <c r="M179" s="45" t="s">
        <v>47</v>
      </c>
      <c r="N179" s="63" t="s">
        <v>527</v>
      </c>
      <c r="O179" s="45">
        <v>3.333520616E9</v>
      </c>
      <c r="P179" s="34" t="str">
        <f t="shared" si="21"/>
        <v>DARINKA UREÑA CASILLAS</v>
      </c>
      <c r="Q179" s="35" t="str">
        <f>IF(D179="","",VLOOKUP(MONTH(D179),Listas!$C$2:$D$14,2,0))</f>
        <v>Enero</v>
      </c>
      <c r="R179" s="36">
        <f t="shared" si="2"/>
        <v>2024</v>
      </c>
      <c r="S179" s="37">
        <f t="shared" si="3"/>
        <v>24</v>
      </c>
      <c r="T179" s="37">
        <f t="shared" si="14"/>
        <v>24</v>
      </c>
      <c r="U179" s="37">
        <f t="shared" si="15"/>
        <v>1</v>
      </c>
      <c r="V179" s="37">
        <f t="shared" si="16"/>
        <v>23</v>
      </c>
      <c r="W179" s="37">
        <f t="shared" si="17"/>
        <v>23</v>
      </c>
      <c r="X179" s="37">
        <f t="shared" si="18"/>
        <v>7</v>
      </c>
      <c r="Y179" s="37">
        <f t="shared" si="19"/>
        <v>1</v>
      </c>
      <c r="Z179" s="38">
        <f t="shared" si="10"/>
        <v>2</v>
      </c>
      <c r="AA179" s="39" t="str">
        <f t="shared" si="20"/>
        <v>-20 años</v>
      </c>
    </row>
    <row r="180" ht="15.75" customHeight="1">
      <c r="A180" s="60" t="s">
        <v>525</v>
      </c>
      <c r="B180" s="27" t="s">
        <v>56</v>
      </c>
      <c r="C180" s="28" t="s">
        <v>34</v>
      </c>
      <c r="D180" s="61">
        <v>45316.0</v>
      </c>
      <c r="E180" s="30" t="s">
        <v>528</v>
      </c>
      <c r="F180" s="9">
        <f>1423.42*12</f>
        <v>17081.04</v>
      </c>
      <c r="G180" s="27" t="s">
        <v>36</v>
      </c>
      <c r="H180" s="30" t="s">
        <v>37</v>
      </c>
      <c r="I180" s="71">
        <v>45130.0</v>
      </c>
      <c r="J180" s="4"/>
      <c r="K180" s="27" t="s">
        <v>40</v>
      </c>
      <c r="L180" s="45" t="s">
        <v>41</v>
      </c>
      <c r="M180" s="45" t="s">
        <v>51</v>
      </c>
      <c r="N180" s="63" t="s">
        <v>527</v>
      </c>
      <c r="O180" s="45">
        <v>3.333520616E9</v>
      </c>
      <c r="P180" s="34" t="str">
        <f t="shared" si="21"/>
        <v>DARINKA UREÑA CASILLAS</v>
      </c>
      <c r="Q180" s="35" t="str">
        <f>IF(D180="","",VLOOKUP(MONTH(D180),Listas!$C$2:$D$14,2,0))</f>
        <v>Enero</v>
      </c>
      <c r="R180" s="36">
        <f t="shared" si="2"/>
        <v>2024</v>
      </c>
      <c r="S180" s="37">
        <f t="shared" si="3"/>
        <v>25</v>
      </c>
      <c r="T180" s="37">
        <f t="shared" si="14"/>
        <v>25</v>
      </c>
      <c r="U180" s="37">
        <f t="shared" si="15"/>
        <v>1</v>
      </c>
      <c r="V180" s="37">
        <f t="shared" si="16"/>
        <v>23</v>
      </c>
      <c r="W180" s="37">
        <f t="shared" si="17"/>
        <v>23</v>
      </c>
      <c r="X180" s="37">
        <f t="shared" si="18"/>
        <v>7</v>
      </c>
      <c r="Y180" s="37">
        <f t="shared" si="19"/>
        <v>1</v>
      </c>
      <c r="Z180" s="38">
        <f t="shared" si="10"/>
        <v>2</v>
      </c>
      <c r="AA180" s="39" t="str">
        <f t="shared" si="20"/>
        <v>-20 años</v>
      </c>
    </row>
    <row r="181" ht="15.75" customHeight="1">
      <c r="A181" s="26" t="s">
        <v>529</v>
      </c>
      <c r="B181" s="27" t="s">
        <v>56</v>
      </c>
      <c r="C181" s="28" t="s">
        <v>34</v>
      </c>
      <c r="D181" s="61">
        <v>45324.0</v>
      </c>
      <c r="E181" s="30" t="s">
        <v>530</v>
      </c>
      <c r="F181" s="9">
        <f>14912.55*8.1</f>
        <v>120791.655</v>
      </c>
      <c r="G181" s="27" t="s">
        <v>45</v>
      </c>
      <c r="H181" s="30" t="s">
        <v>58</v>
      </c>
      <c r="I181" s="71">
        <v>45109.0</v>
      </c>
      <c r="J181" s="4"/>
      <c r="K181" s="27" t="s">
        <v>160</v>
      </c>
      <c r="L181" s="45" t="s">
        <v>46</v>
      </c>
      <c r="M181" s="45" t="s">
        <v>47</v>
      </c>
      <c r="N181" s="63" t="s">
        <v>531</v>
      </c>
      <c r="O181" s="45">
        <v>6.959512989E9</v>
      </c>
      <c r="P181" s="34" t="str">
        <f t="shared" si="21"/>
        <v>DARINKA UREÑA CASILLAS</v>
      </c>
      <c r="Q181" s="35" t="str">
        <f>IF(D181="","",VLOOKUP(MONTH(D181),Listas!$C$2:$D$14,2,0))</f>
        <v>Febrero</v>
      </c>
      <c r="R181" s="36">
        <f t="shared" si="2"/>
        <v>2024</v>
      </c>
      <c r="S181" s="37">
        <f t="shared" si="3"/>
        <v>2</v>
      </c>
      <c r="T181" s="37">
        <f t="shared" si="14"/>
        <v>2</v>
      </c>
      <c r="U181" s="37">
        <f t="shared" si="15"/>
        <v>2</v>
      </c>
      <c r="V181" s="37">
        <f t="shared" si="16"/>
        <v>2</v>
      </c>
      <c r="W181" s="37">
        <f t="shared" si="17"/>
        <v>2</v>
      </c>
      <c r="X181" s="37">
        <f t="shared" si="18"/>
        <v>7</v>
      </c>
      <c r="Y181" s="37">
        <f t="shared" si="19"/>
        <v>2</v>
      </c>
      <c r="Z181" s="38">
        <f t="shared" si="10"/>
        <v>2</v>
      </c>
      <c r="AA181" s="39" t="str">
        <f t="shared" si="20"/>
        <v>-20 años</v>
      </c>
    </row>
    <row r="182" ht="15.75" customHeight="1">
      <c r="A182" s="60" t="s">
        <v>532</v>
      </c>
      <c r="B182" s="27" t="s">
        <v>56</v>
      </c>
      <c r="C182" s="28" t="s">
        <v>34</v>
      </c>
      <c r="D182" s="61">
        <v>45324.0</v>
      </c>
      <c r="E182" s="30" t="s">
        <v>533</v>
      </c>
      <c r="F182" s="59">
        <v>19833.81</v>
      </c>
      <c r="G182" s="27" t="s">
        <v>36</v>
      </c>
      <c r="H182" s="30" t="s">
        <v>58</v>
      </c>
      <c r="I182" s="71">
        <v>44931.0</v>
      </c>
      <c r="J182" s="4"/>
      <c r="K182" s="27" t="s">
        <v>54</v>
      </c>
      <c r="L182" s="45" t="s">
        <v>41</v>
      </c>
      <c r="M182" s="45" t="s">
        <v>51</v>
      </c>
      <c r="N182" s="45" t="s">
        <v>534</v>
      </c>
      <c r="O182" s="45">
        <v>3.313195934E9</v>
      </c>
      <c r="P182" s="34" t="str">
        <f t="shared" si="21"/>
        <v>DARINKA UREÑA CASILLAS</v>
      </c>
      <c r="Q182" s="35" t="str">
        <f>IF(D182="","",VLOOKUP(MONTH(D182),Listas!$C$2:$D$14,2,0))</f>
        <v>Febrero</v>
      </c>
      <c r="R182" s="36">
        <f t="shared" si="2"/>
        <v>2024</v>
      </c>
      <c r="S182" s="37">
        <f t="shared" si="3"/>
        <v>2</v>
      </c>
      <c r="T182" s="37">
        <f t="shared" si="14"/>
        <v>2</v>
      </c>
      <c r="U182" s="37">
        <f t="shared" si="15"/>
        <v>2</v>
      </c>
      <c r="V182" s="37">
        <f t="shared" si="16"/>
        <v>5</v>
      </c>
      <c r="W182" s="37">
        <f t="shared" si="17"/>
        <v>5</v>
      </c>
      <c r="X182" s="37">
        <f t="shared" si="18"/>
        <v>1</v>
      </c>
      <c r="Y182" s="37">
        <f t="shared" si="19"/>
        <v>2</v>
      </c>
      <c r="Z182" s="38">
        <f t="shared" si="10"/>
        <v>3</v>
      </c>
      <c r="AA182" s="39" t="str">
        <f t="shared" si="20"/>
        <v>-20 años</v>
      </c>
    </row>
    <row r="183" ht="15.75" customHeight="1">
      <c r="A183" s="60" t="s">
        <v>535</v>
      </c>
      <c r="B183" s="27" t="s">
        <v>56</v>
      </c>
      <c r="C183" s="28" t="s">
        <v>34</v>
      </c>
      <c r="D183" s="61">
        <v>45329.0</v>
      </c>
      <c r="E183" s="30" t="s">
        <v>536</v>
      </c>
      <c r="F183" s="59">
        <v>15476.98</v>
      </c>
      <c r="G183" s="27" t="s">
        <v>36</v>
      </c>
      <c r="H183" s="30" t="s">
        <v>58</v>
      </c>
      <c r="I183" s="71">
        <v>45277.0</v>
      </c>
      <c r="J183" s="4"/>
      <c r="K183" s="27" t="s">
        <v>54</v>
      </c>
      <c r="L183" s="45" t="s">
        <v>41</v>
      </c>
      <c r="M183" s="45" t="s">
        <v>51</v>
      </c>
      <c r="N183" s="63" t="s">
        <v>537</v>
      </c>
      <c r="O183" s="45">
        <v>3.317986895E9</v>
      </c>
      <c r="P183" s="34" t="str">
        <f t="shared" si="21"/>
        <v>DARINKA UREÑA CASILLAS</v>
      </c>
      <c r="Q183" s="35" t="str">
        <f>IF(D183="","",VLOOKUP(MONTH(D183),Listas!$C$2:$D$14,2,0))</f>
        <v>Febrero</v>
      </c>
      <c r="R183" s="36">
        <f t="shared" si="2"/>
        <v>2024</v>
      </c>
      <c r="S183" s="37">
        <f t="shared" si="3"/>
        <v>7</v>
      </c>
      <c r="T183" s="37">
        <f t="shared" si="14"/>
        <v>7</v>
      </c>
      <c r="U183" s="37">
        <f t="shared" si="15"/>
        <v>2</v>
      </c>
      <c r="V183" s="37">
        <f t="shared" si="16"/>
        <v>17</v>
      </c>
      <c r="W183" s="37">
        <f t="shared" si="17"/>
        <v>17</v>
      </c>
      <c r="X183" s="37">
        <f t="shared" si="18"/>
        <v>12</v>
      </c>
      <c r="Y183" s="37">
        <f t="shared" si="19"/>
        <v>2</v>
      </c>
      <c r="Z183" s="38">
        <f t="shared" si="10"/>
        <v>2</v>
      </c>
      <c r="AA183" s="39" t="str">
        <f t="shared" si="20"/>
        <v>-20 años</v>
      </c>
    </row>
    <row r="184" ht="15.75" customHeight="1">
      <c r="A184" s="60" t="s">
        <v>538</v>
      </c>
      <c r="B184" s="27" t="s">
        <v>56</v>
      </c>
      <c r="C184" s="28" t="s">
        <v>34</v>
      </c>
      <c r="D184" s="61">
        <v>45329.0</v>
      </c>
      <c r="E184" s="30" t="s">
        <v>539</v>
      </c>
      <c r="F184" s="59">
        <v>26730.72</v>
      </c>
      <c r="G184" s="27" t="s">
        <v>36</v>
      </c>
      <c r="H184" s="30" t="s">
        <v>58</v>
      </c>
      <c r="I184" s="71">
        <v>45258.0</v>
      </c>
      <c r="J184" s="4"/>
      <c r="K184" s="27" t="s">
        <v>54</v>
      </c>
      <c r="L184" s="45" t="s">
        <v>41</v>
      </c>
      <c r="M184" s="45" t="s">
        <v>42</v>
      </c>
      <c r="N184" s="45" t="s">
        <v>540</v>
      </c>
      <c r="O184" s="45">
        <v>3.314458615E9</v>
      </c>
      <c r="P184" s="34" t="str">
        <f t="shared" si="21"/>
        <v>DARINKA UREÑA CASILLAS</v>
      </c>
      <c r="Q184" s="35" t="str">
        <f>IF(D184="","",VLOOKUP(MONTH(D184),Listas!$C$2:$D$14,2,0))</f>
        <v>Febrero</v>
      </c>
      <c r="R184" s="36">
        <f t="shared" si="2"/>
        <v>2024</v>
      </c>
      <c r="S184" s="37">
        <f t="shared" si="3"/>
        <v>7</v>
      </c>
      <c r="T184" s="37">
        <f t="shared" si="14"/>
        <v>7</v>
      </c>
      <c r="U184" s="37">
        <f t="shared" si="15"/>
        <v>2</v>
      </c>
      <c r="V184" s="37">
        <f t="shared" si="16"/>
        <v>28</v>
      </c>
      <c r="W184" s="37">
        <f t="shared" si="17"/>
        <v>28</v>
      </c>
      <c r="X184" s="37">
        <f t="shared" si="18"/>
        <v>11</v>
      </c>
      <c r="Y184" s="37">
        <f t="shared" si="19"/>
        <v>2</v>
      </c>
      <c r="Z184" s="38">
        <f t="shared" si="10"/>
        <v>2</v>
      </c>
      <c r="AA184" s="39" t="str">
        <f t="shared" si="20"/>
        <v>-20 años</v>
      </c>
    </row>
    <row r="185" ht="15.75" customHeight="1">
      <c r="A185" s="60" t="s">
        <v>541</v>
      </c>
      <c r="B185" s="27" t="s">
        <v>56</v>
      </c>
      <c r="C185" s="28" t="s">
        <v>34</v>
      </c>
      <c r="D185" s="61">
        <v>45339.0</v>
      </c>
      <c r="E185" s="30" t="s">
        <v>542</v>
      </c>
      <c r="F185" s="9">
        <f>197.45*12*8.05</f>
        <v>19073.67</v>
      </c>
      <c r="G185" s="27" t="s">
        <v>45</v>
      </c>
      <c r="H185" s="30" t="s">
        <v>37</v>
      </c>
      <c r="I185" s="71">
        <v>45196.0</v>
      </c>
      <c r="J185" s="4"/>
      <c r="K185" s="27" t="s">
        <v>40</v>
      </c>
      <c r="L185" s="45" t="s">
        <v>46</v>
      </c>
      <c r="M185" s="45" t="s">
        <v>47</v>
      </c>
      <c r="N185" s="63" t="s">
        <v>543</v>
      </c>
      <c r="O185" s="45">
        <v>3.312256678E9</v>
      </c>
      <c r="P185" s="34" t="str">
        <f t="shared" si="21"/>
        <v>DARINKA UREÑA CASILLAS</v>
      </c>
      <c r="Q185" s="35" t="str">
        <f>IF(D185="","",VLOOKUP(MONTH(D185),Listas!$C$2:$D$14,2,0))</f>
        <v>Febrero</v>
      </c>
      <c r="R185" s="36">
        <f t="shared" si="2"/>
        <v>2024</v>
      </c>
      <c r="S185" s="37">
        <f t="shared" si="3"/>
        <v>17</v>
      </c>
      <c r="T185" s="37">
        <f t="shared" si="14"/>
        <v>17</v>
      </c>
      <c r="U185" s="37">
        <f t="shared" si="15"/>
        <v>2</v>
      </c>
      <c r="V185" s="37">
        <f t="shared" si="16"/>
        <v>27</v>
      </c>
      <c r="W185" s="37">
        <f t="shared" si="17"/>
        <v>27</v>
      </c>
      <c r="X185" s="37">
        <f t="shared" si="18"/>
        <v>9</v>
      </c>
      <c r="Y185" s="37">
        <f t="shared" si="19"/>
        <v>2</v>
      </c>
      <c r="Z185" s="38">
        <f t="shared" si="10"/>
        <v>2</v>
      </c>
      <c r="AA185" s="39" t="str">
        <f t="shared" si="20"/>
        <v>-20 años</v>
      </c>
    </row>
    <row r="186" ht="15.75" customHeight="1">
      <c r="A186" s="60" t="s">
        <v>544</v>
      </c>
      <c r="B186" s="27" t="s">
        <v>56</v>
      </c>
      <c r="C186" s="28" t="s">
        <v>34</v>
      </c>
      <c r="D186" s="61">
        <v>45349.0</v>
      </c>
      <c r="E186" s="30" t="s">
        <v>545</v>
      </c>
      <c r="F186" s="9">
        <f>7419.49*8.1</f>
        <v>60097.869</v>
      </c>
      <c r="G186" s="27" t="s">
        <v>45</v>
      </c>
      <c r="H186" s="30" t="s">
        <v>58</v>
      </c>
      <c r="I186" s="71">
        <v>45000.0</v>
      </c>
      <c r="J186" s="4"/>
      <c r="K186" s="27" t="s">
        <v>54</v>
      </c>
      <c r="L186" s="45" t="s">
        <v>46</v>
      </c>
      <c r="M186" s="45" t="s">
        <v>47</v>
      </c>
      <c r="N186" s="63" t="s">
        <v>546</v>
      </c>
      <c r="O186" s="45">
        <v>6.641571064E9</v>
      </c>
      <c r="P186" s="34" t="str">
        <f t="shared" si="21"/>
        <v>DARINKA UREÑA CASILLAS</v>
      </c>
      <c r="Q186" s="35" t="str">
        <f>IF(D186="","",VLOOKUP(MONTH(D186),Listas!$C$2:$D$14,2,0))</f>
        <v>Febrero</v>
      </c>
      <c r="R186" s="36">
        <f t="shared" si="2"/>
        <v>2024</v>
      </c>
      <c r="S186" s="37">
        <f t="shared" si="3"/>
        <v>27</v>
      </c>
      <c r="T186" s="37">
        <f t="shared" si="14"/>
        <v>27</v>
      </c>
      <c r="U186" s="37">
        <f t="shared" si="15"/>
        <v>2</v>
      </c>
      <c r="V186" s="37">
        <f t="shared" si="16"/>
        <v>15</v>
      </c>
      <c r="W186" s="37">
        <f t="shared" si="17"/>
        <v>15</v>
      </c>
      <c r="X186" s="37">
        <f t="shared" si="18"/>
        <v>3</v>
      </c>
      <c r="Y186" s="37">
        <f t="shared" si="19"/>
        <v>2</v>
      </c>
      <c r="Z186" s="38">
        <f t="shared" si="10"/>
        <v>3</v>
      </c>
      <c r="AA186" s="39" t="str">
        <f t="shared" si="20"/>
        <v>-20 años</v>
      </c>
    </row>
    <row r="187" ht="15.75" customHeight="1">
      <c r="A187" s="60" t="s">
        <v>544</v>
      </c>
      <c r="B187" s="27" t="s">
        <v>56</v>
      </c>
      <c r="C187" s="28" t="s">
        <v>34</v>
      </c>
      <c r="D187" s="61">
        <v>45349.0</v>
      </c>
      <c r="E187" s="30" t="s">
        <v>547</v>
      </c>
      <c r="F187" s="9">
        <f>(6980.32+420)*8.1</f>
        <v>59942.592</v>
      </c>
      <c r="G187" s="27" t="s">
        <v>45</v>
      </c>
      <c r="H187" s="30" t="s">
        <v>58</v>
      </c>
      <c r="I187" s="71">
        <v>45000.0</v>
      </c>
      <c r="J187" s="4"/>
      <c r="K187" s="27" t="s">
        <v>54</v>
      </c>
      <c r="L187" s="45" t="s">
        <v>46</v>
      </c>
      <c r="M187" s="45" t="s">
        <v>548</v>
      </c>
      <c r="N187" s="63" t="s">
        <v>546</v>
      </c>
      <c r="O187" s="45">
        <v>6.641571064E9</v>
      </c>
      <c r="P187" s="34" t="str">
        <f t="shared" si="21"/>
        <v>DARINKA UREÑA CASILLAS</v>
      </c>
      <c r="Q187" s="35" t="str">
        <f>IF(D187="","",VLOOKUP(MONTH(D187),Listas!$C$2:$D$14,2,0))</f>
        <v>Febrero</v>
      </c>
      <c r="R187" s="36">
        <f t="shared" si="2"/>
        <v>2024</v>
      </c>
      <c r="S187" s="37">
        <f t="shared" si="3"/>
        <v>27</v>
      </c>
      <c r="T187" s="37">
        <f t="shared" si="14"/>
        <v>27</v>
      </c>
      <c r="U187" s="37">
        <f t="shared" si="15"/>
        <v>2</v>
      </c>
      <c r="V187" s="37">
        <f t="shared" si="16"/>
        <v>15</v>
      </c>
      <c r="W187" s="37">
        <f t="shared" si="17"/>
        <v>15</v>
      </c>
      <c r="X187" s="37">
        <f t="shared" si="18"/>
        <v>3</v>
      </c>
      <c r="Y187" s="37">
        <f t="shared" si="19"/>
        <v>2</v>
      </c>
      <c r="Z187" s="38">
        <f t="shared" si="10"/>
        <v>3</v>
      </c>
      <c r="AA187" s="39" t="str">
        <f t="shared" si="20"/>
        <v>-20 años</v>
      </c>
    </row>
    <row r="188" ht="15.75" customHeight="1">
      <c r="A188" s="60" t="s">
        <v>549</v>
      </c>
      <c r="B188" s="27" t="s">
        <v>56</v>
      </c>
      <c r="C188" s="28" t="s">
        <v>34</v>
      </c>
      <c r="D188" s="61">
        <v>45371.0</v>
      </c>
      <c r="E188" s="30" t="s">
        <v>550</v>
      </c>
      <c r="F188" s="9">
        <f>1638.01*2*8.1</f>
        <v>26535.762</v>
      </c>
      <c r="G188" s="27" t="s">
        <v>45</v>
      </c>
      <c r="H188" s="30" t="s">
        <v>50</v>
      </c>
      <c r="I188" s="71">
        <v>45019.0</v>
      </c>
      <c r="J188" s="4"/>
      <c r="K188" s="27" t="s">
        <v>54</v>
      </c>
      <c r="L188" s="45" t="s">
        <v>46</v>
      </c>
      <c r="M188" s="45" t="s">
        <v>47</v>
      </c>
      <c r="N188" s="63" t="s">
        <v>551</v>
      </c>
      <c r="O188" s="45">
        <v>3.312948594E9</v>
      </c>
      <c r="P188" s="34" t="str">
        <f t="shared" si="21"/>
        <v>DARINKA UREÑA CASILLAS</v>
      </c>
      <c r="Q188" s="35" t="str">
        <f>IF(D188="","",VLOOKUP(MONTH(D188),Listas!$C$2:$D$14,2,0))</f>
        <v>Marzo</v>
      </c>
      <c r="R188" s="36">
        <f t="shared" si="2"/>
        <v>2024</v>
      </c>
      <c r="S188" s="37">
        <f t="shared" si="3"/>
        <v>20</v>
      </c>
      <c r="T188" s="37">
        <f t="shared" si="14"/>
        <v>20</v>
      </c>
      <c r="U188" s="37">
        <f t="shared" si="15"/>
        <v>3</v>
      </c>
      <c r="V188" s="37">
        <f t="shared" si="16"/>
        <v>3</v>
      </c>
      <c r="W188" s="37">
        <f t="shared" si="17"/>
        <v>3</v>
      </c>
      <c r="X188" s="37">
        <f t="shared" si="18"/>
        <v>4</v>
      </c>
      <c r="Y188" s="37">
        <f t="shared" si="19"/>
        <v>3</v>
      </c>
      <c r="Z188" s="38">
        <f t="shared" si="10"/>
        <v>3</v>
      </c>
      <c r="AA188" s="39" t="str">
        <f t="shared" si="20"/>
        <v>-20 años</v>
      </c>
    </row>
    <row r="189" ht="15.75" customHeight="1">
      <c r="A189" s="60" t="s">
        <v>552</v>
      </c>
      <c r="B189" s="27" t="s">
        <v>56</v>
      </c>
      <c r="C189" s="28" t="s">
        <v>34</v>
      </c>
      <c r="D189" s="61">
        <v>45383.0</v>
      </c>
      <c r="E189" s="30" t="s">
        <v>553</v>
      </c>
      <c r="F189" s="9">
        <f>4839.91*8.1</f>
        <v>39203.271</v>
      </c>
      <c r="G189" s="27" t="s">
        <v>45</v>
      </c>
      <c r="H189" s="30" t="s">
        <v>37</v>
      </c>
      <c r="I189" s="71">
        <v>45502.0</v>
      </c>
      <c r="J189" s="4"/>
      <c r="K189" s="27" t="s">
        <v>54</v>
      </c>
      <c r="L189" s="45" t="s">
        <v>46</v>
      </c>
      <c r="M189" s="45" t="s">
        <v>548</v>
      </c>
      <c r="N189" s="63" t="s">
        <v>554</v>
      </c>
      <c r="O189" s="45">
        <v>3.313015603E9</v>
      </c>
      <c r="P189" s="34" t="str">
        <f t="shared" si="21"/>
        <v>DARINKA UREÑA CASILLAS</v>
      </c>
      <c r="Q189" s="35" t="str">
        <f>IF(D189="","",VLOOKUP(MONTH(D189),Listas!$C$2:$D$14,2,0))</f>
        <v>Abril</v>
      </c>
      <c r="R189" s="36">
        <f t="shared" si="2"/>
        <v>2024</v>
      </c>
      <c r="S189" s="37">
        <f t="shared" si="3"/>
        <v>1</v>
      </c>
      <c r="T189" s="37">
        <f t="shared" si="14"/>
        <v>1</v>
      </c>
      <c r="U189" s="37">
        <f t="shared" si="15"/>
        <v>4</v>
      </c>
      <c r="V189" s="37">
        <f t="shared" si="16"/>
        <v>29</v>
      </c>
      <c r="W189" s="37">
        <f t="shared" si="17"/>
        <v>29</v>
      </c>
      <c r="X189" s="37">
        <f t="shared" si="18"/>
        <v>7</v>
      </c>
      <c r="Y189" s="37">
        <f t="shared" si="19"/>
        <v>4</v>
      </c>
      <c r="Z189" s="38">
        <f t="shared" si="10"/>
        <v>1</v>
      </c>
      <c r="AA189" s="39" t="str">
        <f t="shared" si="20"/>
        <v>-20 años</v>
      </c>
    </row>
    <row r="190" ht="15.75" customHeight="1">
      <c r="A190" s="60" t="s">
        <v>555</v>
      </c>
      <c r="B190" s="27" t="s">
        <v>33</v>
      </c>
      <c r="C190" s="28" t="s">
        <v>34</v>
      </c>
      <c r="D190" s="61">
        <v>45390.0</v>
      </c>
      <c r="E190" s="30" t="s">
        <v>556</v>
      </c>
      <c r="F190" s="59">
        <v>20137.02</v>
      </c>
      <c r="G190" s="27" t="s">
        <v>36</v>
      </c>
      <c r="H190" s="30" t="s">
        <v>58</v>
      </c>
      <c r="I190" s="71">
        <v>45496.0</v>
      </c>
      <c r="J190" s="4"/>
      <c r="K190" s="27" t="s">
        <v>160</v>
      </c>
      <c r="L190" s="45" t="s">
        <v>41</v>
      </c>
      <c r="M190" s="45" t="s">
        <v>42</v>
      </c>
      <c r="N190" s="63" t="s">
        <v>435</v>
      </c>
      <c r="O190" s="45">
        <v>3.313877809E9</v>
      </c>
      <c r="P190" s="34" t="str">
        <f t="shared" si="21"/>
        <v>DARINKA UREÑA CASILLAS</v>
      </c>
      <c r="Q190" s="35" t="str">
        <f>IF(D190="","",VLOOKUP(MONTH(D190),Listas!$C$2:$D$14,2,0))</f>
        <v>Abril</v>
      </c>
      <c r="R190" s="36">
        <f t="shared" si="2"/>
        <v>2024</v>
      </c>
      <c r="S190" s="37">
        <f t="shared" si="3"/>
        <v>8</v>
      </c>
      <c r="T190" s="37">
        <f t="shared" si="14"/>
        <v>8</v>
      </c>
      <c r="U190" s="37">
        <f t="shared" si="15"/>
        <v>4</v>
      </c>
      <c r="V190" s="37">
        <f t="shared" si="16"/>
        <v>23</v>
      </c>
      <c r="W190" s="37">
        <f t="shared" si="17"/>
        <v>23</v>
      </c>
      <c r="X190" s="37">
        <f t="shared" si="18"/>
        <v>7</v>
      </c>
      <c r="Y190" s="37">
        <f t="shared" si="19"/>
        <v>4</v>
      </c>
      <c r="Z190" s="38">
        <f t="shared" si="10"/>
        <v>1</v>
      </c>
      <c r="AA190" s="39" t="str">
        <f t="shared" si="20"/>
        <v>-20 años</v>
      </c>
    </row>
    <row r="191" ht="15.75" customHeight="1">
      <c r="A191" s="60" t="s">
        <v>557</v>
      </c>
      <c r="B191" s="27" t="s">
        <v>56</v>
      </c>
      <c r="C191" s="28" t="s">
        <v>34</v>
      </c>
      <c r="D191" s="61">
        <v>45400.0</v>
      </c>
      <c r="E191" s="30" t="s">
        <v>558</v>
      </c>
      <c r="F191" s="9">
        <f>3142.25*8.13</f>
        <v>25546.4925</v>
      </c>
      <c r="G191" s="27" t="s">
        <v>45</v>
      </c>
      <c r="H191" s="30" t="s">
        <v>37</v>
      </c>
      <c r="I191" s="71">
        <v>45607.0</v>
      </c>
      <c r="J191" s="4"/>
      <c r="K191" s="27" t="s">
        <v>40</v>
      </c>
      <c r="L191" s="45" t="s">
        <v>46</v>
      </c>
      <c r="M191" s="45" t="s">
        <v>548</v>
      </c>
      <c r="N191" s="45" t="s">
        <v>559</v>
      </c>
      <c r="O191" s="45">
        <v>3.313359709E9</v>
      </c>
      <c r="P191" s="34" t="str">
        <f t="shared" si="21"/>
        <v>DARINKA UREÑA CASILLAS</v>
      </c>
      <c r="Q191" s="35" t="str">
        <f>IF(D191="","",VLOOKUP(MONTH(D191),Listas!$C$2:$D$14,2,0))</f>
        <v>Abril</v>
      </c>
      <c r="R191" s="36">
        <f t="shared" si="2"/>
        <v>2024</v>
      </c>
      <c r="S191" s="37">
        <f t="shared" si="3"/>
        <v>18</v>
      </c>
      <c r="T191" s="37">
        <f t="shared" si="14"/>
        <v>18</v>
      </c>
      <c r="U191" s="37">
        <f t="shared" si="15"/>
        <v>4</v>
      </c>
      <c r="V191" s="37">
        <f t="shared" si="16"/>
        <v>11</v>
      </c>
      <c r="W191" s="37">
        <f t="shared" si="17"/>
        <v>11</v>
      </c>
      <c r="X191" s="37">
        <f t="shared" si="18"/>
        <v>11</v>
      </c>
      <c r="Y191" s="37">
        <f t="shared" si="19"/>
        <v>4</v>
      </c>
      <c r="Z191" s="38">
        <f t="shared" si="10"/>
        <v>1</v>
      </c>
      <c r="AA191" s="39" t="str">
        <f t="shared" si="20"/>
        <v>-20 años</v>
      </c>
    </row>
    <row r="192" ht="15.75" customHeight="1">
      <c r="A192" s="60" t="s">
        <v>560</v>
      </c>
      <c r="B192" s="27" t="s">
        <v>56</v>
      </c>
      <c r="C192" s="28" t="s">
        <v>34</v>
      </c>
      <c r="D192" s="61">
        <v>45408.0</v>
      </c>
      <c r="E192" s="30" t="s">
        <v>561</v>
      </c>
      <c r="F192" s="9">
        <f>1548.61*2*8.13</f>
        <v>25180.3986</v>
      </c>
      <c r="G192" s="27" t="s">
        <v>45</v>
      </c>
      <c r="H192" s="30" t="s">
        <v>50</v>
      </c>
      <c r="I192" s="71">
        <v>45418.0</v>
      </c>
      <c r="J192" s="4"/>
      <c r="K192" s="27" t="s">
        <v>54</v>
      </c>
      <c r="L192" s="45" t="s">
        <v>46</v>
      </c>
      <c r="M192" s="45" t="s">
        <v>257</v>
      </c>
      <c r="N192" s="63" t="s">
        <v>562</v>
      </c>
      <c r="O192" s="45">
        <v>3.314578905E9</v>
      </c>
      <c r="P192" s="34" t="str">
        <f t="shared" si="21"/>
        <v>DARINKA UREÑA CASILLAS</v>
      </c>
      <c r="Q192" s="35" t="str">
        <f>IF(D192="","",VLOOKUP(MONTH(D192),Listas!$C$2:$D$14,2,0))</f>
        <v>Abril</v>
      </c>
      <c r="R192" s="36">
        <f t="shared" si="2"/>
        <v>2024</v>
      </c>
      <c r="S192" s="37">
        <f t="shared" si="3"/>
        <v>26</v>
      </c>
      <c r="T192" s="37">
        <f t="shared" si="14"/>
        <v>26</v>
      </c>
      <c r="U192" s="37">
        <f t="shared" si="15"/>
        <v>4</v>
      </c>
      <c r="V192" s="37">
        <f t="shared" si="16"/>
        <v>6</v>
      </c>
      <c r="W192" s="37">
        <f t="shared" si="17"/>
        <v>6</v>
      </c>
      <c r="X192" s="37">
        <f t="shared" si="18"/>
        <v>5</v>
      </c>
      <c r="Y192" s="37">
        <f t="shared" si="19"/>
        <v>4</v>
      </c>
      <c r="Z192" s="38">
        <f t="shared" si="10"/>
        <v>2</v>
      </c>
      <c r="AA192" s="39" t="str">
        <f t="shared" si="20"/>
        <v>-20 años</v>
      </c>
    </row>
    <row r="193" ht="15.75" customHeight="1">
      <c r="A193" s="60" t="s">
        <v>563</v>
      </c>
      <c r="B193" s="27" t="s">
        <v>56</v>
      </c>
      <c r="C193" s="28" t="s">
        <v>34</v>
      </c>
      <c r="D193" s="61">
        <v>45411.0</v>
      </c>
      <c r="E193" s="30" t="s">
        <v>564</v>
      </c>
      <c r="F193" s="9">
        <f>1739.96*4*8.13</f>
        <v>56583.4992</v>
      </c>
      <c r="G193" s="27" t="s">
        <v>45</v>
      </c>
      <c r="H193" s="30" t="s">
        <v>94</v>
      </c>
      <c r="I193" s="71">
        <v>45538.0</v>
      </c>
      <c r="J193" s="4"/>
      <c r="K193" s="27" t="s">
        <v>54</v>
      </c>
      <c r="L193" s="45" t="s">
        <v>46</v>
      </c>
      <c r="M193" s="45" t="s">
        <v>154</v>
      </c>
      <c r="N193" s="45" t="s">
        <v>565</v>
      </c>
      <c r="O193" s="45">
        <v>3.314456062E9</v>
      </c>
      <c r="P193" s="34" t="str">
        <f t="shared" si="21"/>
        <v>DARINKA UREÑA CASILLAS</v>
      </c>
      <c r="Q193" s="35" t="str">
        <f>IF(D193="","",VLOOKUP(MONTH(D193),Listas!$C$2:$D$14,2,0))</f>
        <v>Abril</v>
      </c>
      <c r="R193" s="36">
        <f t="shared" si="2"/>
        <v>2024</v>
      </c>
      <c r="S193" s="37">
        <f t="shared" si="3"/>
        <v>29</v>
      </c>
      <c r="T193" s="37">
        <f t="shared" si="14"/>
        <v>29</v>
      </c>
      <c r="U193" s="37">
        <f t="shared" si="15"/>
        <v>4</v>
      </c>
      <c r="V193" s="37">
        <f t="shared" si="16"/>
        <v>3</v>
      </c>
      <c r="W193" s="37">
        <f t="shared" si="17"/>
        <v>3</v>
      </c>
      <c r="X193" s="37">
        <f t="shared" si="18"/>
        <v>9</v>
      </c>
      <c r="Y193" s="37">
        <f t="shared" si="19"/>
        <v>4</v>
      </c>
      <c r="Z193" s="38">
        <f t="shared" si="10"/>
        <v>1</v>
      </c>
      <c r="AA193" s="39" t="str">
        <f t="shared" si="20"/>
        <v>-20 años</v>
      </c>
    </row>
    <row r="194" ht="15.75" customHeight="1">
      <c r="A194" s="60" t="s">
        <v>566</v>
      </c>
      <c r="B194" s="27" t="s">
        <v>33</v>
      </c>
      <c r="C194" s="28" t="s">
        <v>34</v>
      </c>
      <c r="D194" s="61">
        <v>45412.0</v>
      </c>
      <c r="E194" s="30" t="s">
        <v>567</v>
      </c>
      <c r="F194" s="9">
        <f>6170.67*8.13</f>
        <v>50167.5471</v>
      </c>
      <c r="G194" s="27" t="s">
        <v>45</v>
      </c>
      <c r="H194" s="30" t="s">
        <v>58</v>
      </c>
      <c r="I194" s="71">
        <v>45456.0</v>
      </c>
      <c r="J194" s="4"/>
      <c r="K194" s="27" t="s">
        <v>40</v>
      </c>
      <c r="L194" s="45" t="s">
        <v>46</v>
      </c>
      <c r="M194" s="45" t="s">
        <v>47</v>
      </c>
      <c r="N194" s="63" t="s">
        <v>568</v>
      </c>
      <c r="O194" s="45">
        <v>3.333629109E9</v>
      </c>
      <c r="P194" s="34" t="str">
        <f t="shared" si="21"/>
        <v>DARINKA UREÑA CASILLAS</v>
      </c>
      <c r="Q194" s="35" t="str">
        <f>IF(D194="","",VLOOKUP(MONTH(D194),Listas!$C$2:$D$14,2,0))</f>
        <v>Abril</v>
      </c>
      <c r="R194" s="36">
        <f t="shared" si="2"/>
        <v>2024</v>
      </c>
      <c r="S194" s="37">
        <f t="shared" si="3"/>
        <v>30</v>
      </c>
      <c r="T194" s="37">
        <f t="shared" si="14"/>
        <v>30</v>
      </c>
      <c r="U194" s="37">
        <f t="shared" si="15"/>
        <v>4</v>
      </c>
      <c r="V194" s="37">
        <f t="shared" si="16"/>
        <v>13</v>
      </c>
      <c r="W194" s="37">
        <f t="shared" si="17"/>
        <v>13</v>
      </c>
      <c r="X194" s="37">
        <f t="shared" si="18"/>
        <v>6</v>
      </c>
      <c r="Y194" s="37">
        <f t="shared" si="19"/>
        <v>4</v>
      </c>
      <c r="Z194" s="38">
        <f t="shared" si="10"/>
        <v>1</v>
      </c>
      <c r="AA194" s="39" t="str">
        <f t="shared" si="20"/>
        <v>-20 años</v>
      </c>
    </row>
    <row r="195" ht="15.75" customHeight="1">
      <c r="A195" s="60" t="s">
        <v>569</v>
      </c>
      <c r="B195" s="27" t="s">
        <v>56</v>
      </c>
      <c r="C195" s="28" t="s">
        <v>34</v>
      </c>
      <c r="D195" s="61">
        <v>45425.0</v>
      </c>
      <c r="E195" s="30" t="s">
        <v>570</v>
      </c>
      <c r="F195" s="9">
        <f>2296.7*8.13</f>
        <v>18672.171</v>
      </c>
      <c r="G195" s="27" t="s">
        <v>45</v>
      </c>
      <c r="H195" s="30" t="s">
        <v>58</v>
      </c>
      <c r="I195" s="71">
        <v>45542.0</v>
      </c>
      <c r="J195" s="4"/>
      <c r="K195" s="27" t="s">
        <v>160</v>
      </c>
      <c r="L195" s="45" t="s">
        <v>46</v>
      </c>
      <c r="M195" s="45" t="s">
        <v>47</v>
      </c>
      <c r="N195" s="45" t="s">
        <v>571</v>
      </c>
      <c r="O195" s="45">
        <v>3.37215962E8</v>
      </c>
      <c r="P195" s="34" t="str">
        <f t="shared" si="21"/>
        <v>DARINKA UREÑA CASILLAS</v>
      </c>
      <c r="Q195" s="35" t="str">
        <f>IF(D195="","",VLOOKUP(MONTH(D195),Listas!$C$2:$D$14,2,0))</f>
        <v>Mayo</v>
      </c>
      <c r="R195" s="36">
        <f t="shared" si="2"/>
        <v>2024</v>
      </c>
      <c r="S195" s="37">
        <f t="shared" si="3"/>
        <v>13</v>
      </c>
      <c r="T195" s="37">
        <f t="shared" si="14"/>
        <v>13</v>
      </c>
      <c r="U195" s="37">
        <f t="shared" si="15"/>
        <v>5</v>
      </c>
      <c r="V195" s="37">
        <f t="shared" si="16"/>
        <v>7</v>
      </c>
      <c r="W195" s="37">
        <f t="shared" si="17"/>
        <v>7</v>
      </c>
      <c r="X195" s="37">
        <f t="shared" si="18"/>
        <v>9</v>
      </c>
      <c r="Y195" s="37">
        <f t="shared" si="19"/>
        <v>5</v>
      </c>
      <c r="Z195" s="38">
        <f t="shared" si="10"/>
        <v>1</v>
      </c>
      <c r="AA195" s="39" t="str">
        <f t="shared" si="20"/>
        <v>-20 años</v>
      </c>
    </row>
    <row r="196" ht="15.75" customHeight="1">
      <c r="A196" s="60" t="s">
        <v>572</v>
      </c>
      <c r="B196" s="27" t="s">
        <v>56</v>
      </c>
      <c r="C196" s="28" t="s">
        <v>34</v>
      </c>
      <c r="D196" s="61">
        <v>45428.0</v>
      </c>
      <c r="E196" s="30" t="s">
        <v>573</v>
      </c>
      <c r="F196" s="9">
        <f>4312.08*8.13</f>
        <v>35057.2104</v>
      </c>
      <c r="G196" s="27" t="s">
        <v>45</v>
      </c>
      <c r="H196" s="27" t="s">
        <v>58</v>
      </c>
      <c r="I196" s="71">
        <v>45319.0</v>
      </c>
      <c r="J196" s="4"/>
      <c r="K196" s="27" t="s">
        <v>54</v>
      </c>
      <c r="L196" s="45" t="s">
        <v>46</v>
      </c>
      <c r="M196" s="45" t="s">
        <v>574</v>
      </c>
      <c r="N196" s="63" t="s">
        <v>575</v>
      </c>
      <c r="O196" s="45">
        <v>3.319713487E9</v>
      </c>
      <c r="P196" s="34" t="str">
        <f t="shared" si="21"/>
        <v>DARINKA UREÑA CASILLAS</v>
      </c>
      <c r="Q196" s="35" t="str">
        <f>IF(D196="","",VLOOKUP(MONTH(D196),Listas!$C$2:$D$14,2,0))</f>
        <v>Mayo</v>
      </c>
      <c r="R196" s="36">
        <f t="shared" si="2"/>
        <v>2024</v>
      </c>
      <c r="S196" s="37">
        <f t="shared" si="3"/>
        <v>16</v>
      </c>
      <c r="T196" s="37">
        <f t="shared" si="14"/>
        <v>16</v>
      </c>
      <c r="U196" s="37">
        <f t="shared" si="15"/>
        <v>5</v>
      </c>
      <c r="V196" s="37">
        <f t="shared" si="16"/>
        <v>28</v>
      </c>
      <c r="W196" s="37">
        <f t="shared" si="17"/>
        <v>28</v>
      </c>
      <c r="X196" s="37">
        <f t="shared" si="18"/>
        <v>1</v>
      </c>
      <c r="Y196" s="37">
        <f t="shared" si="19"/>
        <v>5</v>
      </c>
      <c r="Z196" s="38">
        <f t="shared" si="10"/>
        <v>2</v>
      </c>
      <c r="AA196" s="39" t="str">
        <f t="shared" si="20"/>
        <v>-20 años</v>
      </c>
    </row>
    <row r="197" ht="15.75" customHeight="1">
      <c r="A197" s="60" t="s">
        <v>576</v>
      </c>
      <c r="B197" s="27" t="s">
        <v>56</v>
      </c>
      <c r="C197" s="28" t="s">
        <v>34</v>
      </c>
      <c r="D197" s="61">
        <v>45435.0</v>
      </c>
      <c r="E197" s="30" t="s">
        <v>577</v>
      </c>
      <c r="F197" s="9">
        <f>2963.28*8.13</f>
        <v>24091.4664</v>
      </c>
      <c r="G197" s="27" t="s">
        <v>45</v>
      </c>
      <c r="H197" s="27" t="s">
        <v>58</v>
      </c>
      <c r="I197" s="71">
        <v>30972.0</v>
      </c>
      <c r="J197" s="4"/>
      <c r="K197" s="27" t="s">
        <v>54</v>
      </c>
      <c r="L197" s="45" t="s">
        <v>46</v>
      </c>
      <c r="M197" s="45" t="s">
        <v>574</v>
      </c>
      <c r="N197" s="45" t="s">
        <v>578</v>
      </c>
      <c r="O197" s="45">
        <v>3.334068796E9</v>
      </c>
      <c r="P197" s="34" t="str">
        <f t="shared" si="21"/>
        <v>DARINKA UREÑA CASILLAS</v>
      </c>
      <c r="Q197" s="35" t="str">
        <f>IF(D197="","",VLOOKUP(MONTH(D197),Listas!$C$2:$D$14,2,0))</f>
        <v>Mayo</v>
      </c>
      <c r="R197" s="36">
        <f t="shared" si="2"/>
        <v>2024</v>
      </c>
      <c r="S197" s="37">
        <f t="shared" si="3"/>
        <v>23</v>
      </c>
      <c r="T197" s="37">
        <f t="shared" si="14"/>
        <v>23</v>
      </c>
      <c r="U197" s="37">
        <f t="shared" si="15"/>
        <v>5</v>
      </c>
      <c r="V197" s="37">
        <f t="shared" si="16"/>
        <v>17</v>
      </c>
      <c r="W197" s="37">
        <f t="shared" si="17"/>
        <v>17</v>
      </c>
      <c r="X197" s="37">
        <f t="shared" si="18"/>
        <v>10</v>
      </c>
      <c r="Y197" s="37">
        <f t="shared" si="19"/>
        <v>5</v>
      </c>
      <c r="Z197" s="38">
        <f t="shared" si="10"/>
        <v>41</v>
      </c>
      <c r="AA197" s="39" t="str">
        <f t="shared" si="20"/>
        <v>40-50 años</v>
      </c>
    </row>
    <row r="198" ht="15.75" customHeight="1">
      <c r="A198" s="60" t="s">
        <v>579</v>
      </c>
      <c r="B198" s="27" t="s">
        <v>56</v>
      </c>
      <c r="C198" s="28" t="s">
        <v>34</v>
      </c>
      <c r="D198" s="61">
        <v>45436.0</v>
      </c>
      <c r="E198" s="30" t="s">
        <v>580</v>
      </c>
      <c r="F198" s="9">
        <f>11249.85*2</f>
        <v>22499.7</v>
      </c>
      <c r="G198" s="27" t="s">
        <v>36</v>
      </c>
      <c r="H198" s="27" t="s">
        <v>50</v>
      </c>
      <c r="I198" s="71">
        <v>35853.0</v>
      </c>
      <c r="J198" s="4"/>
      <c r="K198" s="27" t="s">
        <v>40</v>
      </c>
      <c r="L198" s="45" t="s">
        <v>41</v>
      </c>
      <c r="M198" s="45" t="s">
        <v>42</v>
      </c>
      <c r="N198" s="45" t="s">
        <v>581</v>
      </c>
      <c r="O198" s="45">
        <v>3.333524742E9</v>
      </c>
      <c r="P198" s="34" t="str">
        <f t="shared" si="21"/>
        <v>DARINKA UREÑA CASILLAS</v>
      </c>
      <c r="Q198" s="35" t="str">
        <f>IF(D198="","",VLOOKUP(MONTH(D198),Listas!$C$2:$D$14,2,0))</f>
        <v>Mayo</v>
      </c>
      <c r="R198" s="36">
        <f t="shared" si="2"/>
        <v>2024</v>
      </c>
      <c r="S198" s="37">
        <f t="shared" si="3"/>
        <v>24</v>
      </c>
      <c r="T198" s="37">
        <f t="shared" si="14"/>
        <v>24</v>
      </c>
      <c r="U198" s="37">
        <f t="shared" si="15"/>
        <v>5</v>
      </c>
      <c r="V198" s="37">
        <f t="shared" si="16"/>
        <v>27</v>
      </c>
      <c r="W198" s="37">
        <f t="shared" si="17"/>
        <v>27</v>
      </c>
      <c r="X198" s="37">
        <f t="shared" si="18"/>
        <v>2</v>
      </c>
      <c r="Y198" s="37">
        <f t="shared" si="19"/>
        <v>5</v>
      </c>
      <c r="Z198" s="38">
        <f t="shared" si="10"/>
        <v>28</v>
      </c>
      <c r="AA198" s="39" t="str">
        <f t="shared" si="20"/>
        <v>20-39 años</v>
      </c>
    </row>
    <row r="199" ht="15.75" customHeight="1">
      <c r="A199" s="60" t="s">
        <v>582</v>
      </c>
      <c r="B199" s="27" t="s">
        <v>56</v>
      </c>
      <c r="C199" s="28" t="s">
        <v>34</v>
      </c>
      <c r="D199" s="61">
        <v>45443.0</v>
      </c>
      <c r="E199" s="30" t="s">
        <v>583</v>
      </c>
      <c r="F199" s="59">
        <v>24624.14</v>
      </c>
      <c r="G199" s="27" t="s">
        <v>36</v>
      </c>
      <c r="H199" s="27" t="s">
        <v>58</v>
      </c>
      <c r="I199" s="71">
        <v>26683.0</v>
      </c>
      <c r="J199" s="4"/>
      <c r="K199" s="27" t="s">
        <v>40</v>
      </c>
      <c r="L199" s="45" t="s">
        <v>41</v>
      </c>
      <c r="M199" s="45" t="s">
        <v>42</v>
      </c>
      <c r="N199" s="63" t="s">
        <v>584</v>
      </c>
      <c r="O199" s="45">
        <v>3.321320967E9</v>
      </c>
      <c r="P199" s="34" t="str">
        <f t="shared" si="21"/>
        <v>DARINKA UREÑA CASILLAS</v>
      </c>
      <c r="Q199" s="35" t="str">
        <f>IF(D199="","",VLOOKUP(MONTH(D199),Listas!$C$2:$D$14,2,0))</f>
        <v>Mayo</v>
      </c>
      <c r="R199" s="36">
        <f t="shared" si="2"/>
        <v>2024</v>
      </c>
      <c r="S199" s="37">
        <f t="shared" si="3"/>
        <v>31</v>
      </c>
      <c r="T199" s="37">
        <f t="shared" si="14"/>
        <v>31</v>
      </c>
      <c r="U199" s="37">
        <f t="shared" si="15"/>
        <v>5</v>
      </c>
      <c r="V199" s="37">
        <f t="shared" si="16"/>
        <v>19</v>
      </c>
      <c r="W199" s="37">
        <f t="shared" si="17"/>
        <v>19</v>
      </c>
      <c r="X199" s="37">
        <f t="shared" si="18"/>
        <v>1</v>
      </c>
      <c r="Y199" s="37">
        <f t="shared" si="19"/>
        <v>5</v>
      </c>
      <c r="Z199" s="38">
        <f t="shared" si="10"/>
        <v>53</v>
      </c>
      <c r="AA199" s="39" t="str">
        <f t="shared" si="20"/>
        <v>51-60 años</v>
      </c>
    </row>
    <row r="200" ht="15.75" customHeight="1">
      <c r="A200" s="60" t="s">
        <v>585</v>
      </c>
      <c r="B200" s="27" t="s">
        <v>33</v>
      </c>
      <c r="C200" s="28" t="s">
        <v>34</v>
      </c>
      <c r="D200" s="61">
        <v>45457.0</v>
      </c>
      <c r="E200" s="30" t="s">
        <v>586</v>
      </c>
      <c r="F200" s="9">
        <f>297.67*12*18.78</f>
        <v>67082.9112</v>
      </c>
      <c r="G200" s="27" t="s">
        <v>355</v>
      </c>
      <c r="H200" s="27" t="s">
        <v>37</v>
      </c>
      <c r="I200" s="71">
        <v>31861.0</v>
      </c>
      <c r="J200" s="4"/>
      <c r="K200" s="27" t="s">
        <v>40</v>
      </c>
      <c r="L200" s="45" t="s">
        <v>46</v>
      </c>
      <c r="M200" s="45" t="s">
        <v>47</v>
      </c>
      <c r="N200" s="45" t="s">
        <v>587</v>
      </c>
      <c r="O200" s="45">
        <v>3.311939793E9</v>
      </c>
      <c r="P200" s="34" t="str">
        <f t="shared" si="21"/>
        <v>DARINKA UREÑA CASILLAS</v>
      </c>
      <c r="Q200" s="35" t="str">
        <f>IF(D200="","",VLOOKUP(MONTH(D200),Listas!$C$2:$D$14,2,0))</f>
        <v>Junio</v>
      </c>
      <c r="R200" s="36">
        <f t="shared" si="2"/>
        <v>2024</v>
      </c>
      <c r="S200" s="37">
        <f t="shared" si="3"/>
        <v>14</v>
      </c>
      <c r="T200" s="37">
        <f t="shared" si="14"/>
        <v>14</v>
      </c>
      <c r="U200" s="37">
        <f t="shared" si="15"/>
        <v>6</v>
      </c>
      <c r="V200" s="37">
        <f t="shared" si="16"/>
        <v>25</v>
      </c>
      <c r="W200" s="37">
        <f t="shared" si="17"/>
        <v>25</v>
      </c>
      <c r="X200" s="37">
        <f t="shared" si="18"/>
        <v>3</v>
      </c>
      <c r="Y200" s="37">
        <f t="shared" si="19"/>
        <v>6</v>
      </c>
      <c r="Z200" s="38">
        <f t="shared" si="10"/>
        <v>39</v>
      </c>
      <c r="AA200" s="39" t="str">
        <f t="shared" si="20"/>
        <v>20-39 años</v>
      </c>
    </row>
    <row r="201" ht="15.75" customHeight="1">
      <c r="A201" s="60" t="s">
        <v>420</v>
      </c>
      <c r="B201" s="27" t="s">
        <v>56</v>
      </c>
      <c r="C201" s="28" t="s">
        <v>34</v>
      </c>
      <c r="D201" s="61">
        <v>45467.0</v>
      </c>
      <c r="E201" s="30" t="s">
        <v>588</v>
      </c>
      <c r="F201" s="9">
        <f>2537.81*8.15</f>
        <v>20683.1515</v>
      </c>
      <c r="G201" s="27" t="s">
        <v>45</v>
      </c>
      <c r="H201" s="27" t="s">
        <v>58</v>
      </c>
      <c r="I201" s="71">
        <v>34531.0</v>
      </c>
      <c r="J201" s="4"/>
      <c r="K201" s="27" t="s">
        <v>54</v>
      </c>
      <c r="L201" s="45" t="s">
        <v>46</v>
      </c>
      <c r="M201" s="45" t="s">
        <v>117</v>
      </c>
      <c r="N201" s="33" t="s">
        <v>589</v>
      </c>
      <c r="O201" s="45">
        <v>3.314652257E9</v>
      </c>
      <c r="P201" s="34" t="str">
        <f t="shared" si="21"/>
        <v>DARINKA UREÑA CASILLAS</v>
      </c>
      <c r="Q201" s="35" t="str">
        <f>IF(D201="","",VLOOKUP(MONTH(D201),Listas!$C$2:$D$14,2,0))</f>
        <v>Junio</v>
      </c>
      <c r="R201" s="36">
        <f t="shared" si="2"/>
        <v>2024</v>
      </c>
      <c r="S201" s="37">
        <f t="shared" si="3"/>
        <v>24</v>
      </c>
      <c r="T201" s="37">
        <f t="shared" si="14"/>
        <v>24</v>
      </c>
      <c r="U201" s="37">
        <f t="shared" si="15"/>
        <v>6</v>
      </c>
      <c r="V201" s="37">
        <f t="shared" si="16"/>
        <v>16</v>
      </c>
      <c r="W201" s="37">
        <f t="shared" si="17"/>
        <v>16</v>
      </c>
      <c r="X201" s="37">
        <f t="shared" si="18"/>
        <v>7</v>
      </c>
      <c r="Y201" s="37">
        <f t="shared" si="19"/>
        <v>6</v>
      </c>
      <c r="Z201" s="38">
        <f t="shared" si="10"/>
        <v>31</v>
      </c>
      <c r="AA201" s="39" t="str">
        <f t="shared" si="20"/>
        <v>20-39 años</v>
      </c>
    </row>
    <row r="202" ht="15.75" customHeight="1">
      <c r="A202" s="60" t="s">
        <v>590</v>
      </c>
      <c r="B202" s="27" t="s">
        <v>56</v>
      </c>
      <c r="C202" s="28" t="s">
        <v>34</v>
      </c>
      <c r="D202" s="61">
        <v>45481.0</v>
      </c>
      <c r="E202" s="30" t="s">
        <v>591</v>
      </c>
      <c r="F202" s="9">
        <f>2292.34*8.15</f>
        <v>18682.571</v>
      </c>
      <c r="G202" s="27" t="s">
        <v>45</v>
      </c>
      <c r="H202" s="27" t="s">
        <v>58</v>
      </c>
      <c r="I202" s="71">
        <v>31060.0</v>
      </c>
      <c r="J202" s="4"/>
      <c r="K202" s="27" t="s">
        <v>54</v>
      </c>
      <c r="L202" s="45" t="s">
        <v>46</v>
      </c>
      <c r="M202" s="45" t="s">
        <v>592</v>
      </c>
      <c r="N202" s="45" t="s">
        <v>593</v>
      </c>
      <c r="O202" s="45">
        <v>3.323847939E9</v>
      </c>
      <c r="P202" s="34" t="str">
        <f t="shared" si="21"/>
        <v>DARINKA UREÑA CASILLAS</v>
      </c>
      <c r="Q202" s="35" t="str">
        <f>IF(D202="","",VLOOKUP(MONTH(D202),Listas!$C$2:$D$14,2,0))</f>
        <v>Julio</v>
      </c>
      <c r="R202" s="36">
        <f t="shared" si="2"/>
        <v>2024</v>
      </c>
      <c r="S202" s="37">
        <f t="shared" si="3"/>
        <v>8</v>
      </c>
      <c r="T202" s="37">
        <f t="shared" si="14"/>
        <v>8</v>
      </c>
      <c r="U202" s="37">
        <f t="shared" si="15"/>
        <v>7</v>
      </c>
      <c r="V202" s="37">
        <f t="shared" si="16"/>
        <v>13</v>
      </c>
      <c r="W202" s="37">
        <f t="shared" si="17"/>
        <v>13</v>
      </c>
      <c r="X202" s="37">
        <f t="shared" si="18"/>
        <v>1</v>
      </c>
      <c r="Y202" s="37">
        <f t="shared" si="19"/>
        <v>7</v>
      </c>
      <c r="Z202" s="38">
        <f t="shared" si="10"/>
        <v>41</v>
      </c>
      <c r="AA202" s="39" t="str">
        <f t="shared" si="20"/>
        <v>40-50 años</v>
      </c>
    </row>
    <row r="203" ht="15.75" customHeight="1">
      <c r="A203" s="60" t="s">
        <v>594</v>
      </c>
      <c r="B203" s="27" t="s">
        <v>56</v>
      </c>
      <c r="C203" s="28" t="s">
        <v>34</v>
      </c>
      <c r="D203" s="61">
        <v>45506.0</v>
      </c>
      <c r="E203" s="30" t="s">
        <v>595</v>
      </c>
      <c r="F203" s="59">
        <v>18671.92</v>
      </c>
      <c r="G203" s="27" t="s">
        <v>36</v>
      </c>
      <c r="H203" s="27" t="s">
        <v>58</v>
      </c>
      <c r="I203" s="71">
        <v>38345.0</v>
      </c>
      <c r="J203" s="4"/>
      <c r="K203" s="27" t="s">
        <v>160</v>
      </c>
      <c r="L203" s="45" t="s">
        <v>41</v>
      </c>
      <c r="M203" s="45" t="s">
        <v>42</v>
      </c>
      <c r="N203" s="45" t="s">
        <v>596</v>
      </c>
      <c r="O203" s="45">
        <v>3.32918321E9</v>
      </c>
      <c r="P203" s="34" t="str">
        <f t="shared" si="21"/>
        <v>DARINKA UREÑA CASILLAS</v>
      </c>
      <c r="Q203" s="35" t="str">
        <f>IF(D203="","",VLOOKUP(MONTH(D203),Listas!$C$2:$D$14,2,0))</f>
        <v>Agosto</v>
      </c>
      <c r="R203" s="36">
        <f t="shared" si="2"/>
        <v>2024</v>
      </c>
      <c r="S203" s="37">
        <f t="shared" si="3"/>
        <v>2</v>
      </c>
      <c r="T203" s="37">
        <f t="shared" si="14"/>
        <v>2</v>
      </c>
      <c r="U203" s="37">
        <f t="shared" si="15"/>
        <v>8</v>
      </c>
      <c r="V203" s="37">
        <f t="shared" si="16"/>
        <v>24</v>
      </c>
      <c r="W203" s="37">
        <f t="shared" si="17"/>
        <v>24</v>
      </c>
      <c r="X203" s="37">
        <f t="shared" si="18"/>
        <v>12</v>
      </c>
      <c r="Y203" s="37">
        <f t="shared" si="19"/>
        <v>8</v>
      </c>
      <c r="Z203" s="38">
        <f t="shared" si="10"/>
        <v>21</v>
      </c>
      <c r="AA203" s="39" t="str">
        <f t="shared" si="20"/>
        <v>20-39 años</v>
      </c>
    </row>
    <row r="204" ht="15.75" customHeight="1">
      <c r="A204" s="26" t="s">
        <v>597</v>
      </c>
      <c r="B204" s="27" t="s">
        <v>56</v>
      </c>
      <c r="C204" s="28" t="s">
        <v>34</v>
      </c>
      <c r="D204" s="29">
        <v>45528.0</v>
      </c>
      <c r="E204" s="30" t="s">
        <v>598</v>
      </c>
      <c r="F204" s="9">
        <f>9724.85*8.25</f>
        <v>80230.0125</v>
      </c>
      <c r="G204" s="27" t="s">
        <v>45</v>
      </c>
      <c r="H204" s="27" t="s">
        <v>50</v>
      </c>
      <c r="I204" s="71">
        <v>22848.0</v>
      </c>
      <c r="J204" s="4"/>
      <c r="K204" s="27" t="s">
        <v>54</v>
      </c>
      <c r="L204" s="45" t="s">
        <v>46</v>
      </c>
      <c r="M204" s="45" t="s">
        <v>592</v>
      </c>
      <c r="N204" s="63" t="s">
        <v>599</v>
      </c>
      <c r="O204" s="45">
        <v>3.313583637E9</v>
      </c>
      <c r="P204" s="34" t="str">
        <f t="shared" si="21"/>
        <v>DARINKA UREÑA CASILLAS</v>
      </c>
      <c r="Q204" s="35" t="str">
        <f>IF(D204="","",VLOOKUP(MONTH(D204),Listas!$C$2:$D$14,2,0))</f>
        <v>Agosto</v>
      </c>
      <c r="R204" s="36">
        <f t="shared" si="2"/>
        <v>2024</v>
      </c>
      <c r="S204" s="37">
        <f t="shared" si="3"/>
        <v>24</v>
      </c>
      <c r="T204" s="37">
        <f t="shared" si="14"/>
        <v>24</v>
      </c>
      <c r="U204" s="37">
        <f t="shared" si="15"/>
        <v>8</v>
      </c>
      <c r="V204" s="37">
        <f t="shared" si="16"/>
        <v>21</v>
      </c>
      <c r="W204" s="37">
        <f t="shared" si="17"/>
        <v>21</v>
      </c>
      <c r="X204" s="37">
        <f t="shared" si="18"/>
        <v>7</v>
      </c>
      <c r="Y204" s="37">
        <f t="shared" si="19"/>
        <v>8</v>
      </c>
      <c r="Z204" s="38">
        <f t="shared" si="10"/>
        <v>63</v>
      </c>
      <c r="AA204" s="39" t="str">
        <f t="shared" si="20"/>
        <v>61+ años</v>
      </c>
    </row>
    <row r="205" ht="15.75" customHeight="1">
      <c r="A205" s="60" t="s">
        <v>600</v>
      </c>
      <c r="B205" s="27" t="s">
        <v>56</v>
      </c>
      <c r="C205" s="28" t="s">
        <v>34</v>
      </c>
      <c r="D205" s="61">
        <v>45530.0</v>
      </c>
      <c r="E205" s="30" t="s">
        <v>601</v>
      </c>
      <c r="F205" s="9">
        <f>2453.33*8.25</f>
        <v>20239.9725</v>
      </c>
      <c r="G205" s="27" t="s">
        <v>45</v>
      </c>
      <c r="H205" s="27" t="s">
        <v>58</v>
      </c>
      <c r="I205" s="71">
        <v>45398.0</v>
      </c>
      <c r="J205" s="4"/>
      <c r="K205" s="27" t="s">
        <v>54</v>
      </c>
      <c r="L205" s="45" t="s">
        <v>46</v>
      </c>
      <c r="M205" s="45" t="s">
        <v>101</v>
      </c>
      <c r="N205" s="45" t="s">
        <v>602</v>
      </c>
      <c r="O205" s="45">
        <v>2.292468186E9</v>
      </c>
      <c r="P205" s="34" t="str">
        <f t="shared" si="21"/>
        <v>DARINKA UREÑA CASILLAS</v>
      </c>
      <c r="Q205" s="35" t="str">
        <f>IF(D205="","",VLOOKUP(MONTH(D205),Listas!$C$2:$D$14,2,0))</f>
        <v>Agosto</v>
      </c>
      <c r="R205" s="36">
        <f t="shared" si="2"/>
        <v>2024</v>
      </c>
      <c r="S205" s="37">
        <f t="shared" si="3"/>
        <v>26</v>
      </c>
      <c r="T205" s="37">
        <f t="shared" si="14"/>
        <v>26</v>
      </c>
      <c r="U205" s="37">
        <f t="shared" si="15"/>
        <v>8</v>
      </c>
      <c r="V205" s="37">
        <f t="shared" si="16"/>
        <v>16</v>
      </c>
      <c r="W205" s="37">
        <f t="shared" si="17"/>
        <v>16</v>
      </c>
      <c r="X205" s="37">
        <f t="shared" si="18"/>
        <v>4</v>
      </c>
      <c r="Y205" s="37">
        <f t="shared" si="19"/>
        <v>8</v>
      </c>
      <c r="Z205" s="38">
        <f t="shared" si="10"/>
        <v>2</v>
      </c>
      <c r="AA205" s="39" t="str">
        <f t="shared" si="20"/>
        <v>-20 años</v>
      </c>
    </row>
    <row r="206" ht="15.75" customHeight="1">
      <c r="A206" s="51" t="s">
        <v>603</v>
      </c>
      <c r="B206" s="27" t="s">
        <v>56</v>
      </c>
      <c r="C206" s="28" t="s">
        <v>34</v>
      </c>
      <c r="D206" s="61">
        <v>45538.0</v>
      </c>
      <c r="E206" s="30" t="s">
        <v>604</v>
      </c>
      <c r="F206" s="59">
        <v>19334.56</v>
      </c>
      <c r="G206" s="27" t="s">
        <v>36</v>
      </c>
      <c r="H206" s="27" t="s">
        <v>58</v>
      </c>
      <c r="I206" s="71">
        <v>36332.0</v>
      </c>
      <c r="J206" s="4"/>
      <c r="K206" s="27" t="s">
        <v>54</v>
      </c>
      <c r="L206" s="45" t="s">
        <v>41</v>
      </c>
      <c r="M206" s="45" t="s">
        <v>51</v>
      </c>
      <c r="N206" s="45" t="s">
        <v>605</v>
      </c>
      <c r="O206" s="45">
        <v>3.481056576E9</v>
      </c>
      <c r="P206" s="34" t="str">
        <f t="shared" si="21"/>
        <v>DARINKA UREÑA CASILLAS</v>
      </c>
      <c r="Q206" s="35" t="str">
        <f>IF(D206="","",VLOOKUP(MONTH(D206),Listas!$C$2:$D$14,2,0))</f>
        <v>Septiembre</v>
      </c>
      <c r="R206" s="36">
        <f t="shared" si="2"/>
        <v>2024</v>
      </c>
      <c r="S206" s="37">
        <f t="shared" si="3"/>
        <v>3</v>
      </c>
      <c r="T206" s="37">
        <f t="shared" si="14"/>
        <v>3</v>
      </c>
      <c r="U206" s="37">
        <f t="shared" si="15"/>
        <v>9</v>
      </c>
      <c r="V206" s="37">
        <f t="shared" si="16"/>
        <v>21</v>
      </c>
      <c r="W206" s="37">
        <f t="shared" si="17"/>
        <v>21</v>
      </c>
      <c r="X206" s="37">
        <f t="shared" si="18"/>
        <v>6</v>
      </c>
      <c r="Y206" s="37">
        <f t="shared" si="19"/>
        <v>9</v>
      </c>
      <c r="Z206" s="38">
        <f t="shared" si="10"/>
        <v>26</v>
      </c>
      <c r="AA206" s="39" t="str">
        <f t="shared" si="20"/>
        <v>20-39 años</v>
      </c>
    </row>
    <row r="207" ht="15.75" customHeight="1">
      <c r="A207" s="26" t="s">
        <v>606</v>
      </c>
      <c r="B207" s="27" t="s">
        <v>607</v>
      </c>
      <c r="C207" s="28" t="s">
        <v>34</v>
      </c>
      <c r="D207" s="61">
        <v>45553.0</v>
      </c>
      <c r="E207" s="30" t="s">
        <v>608</v>
      </c>
      <c r="F207" s="9">
        <f>769.54*4*8.24</f>
        <v>25364.0384</v>
      </c>
      <c r="G207" s="27" t="s">
        <v>45</v>
      </c>
      <c r="H207" s="27" t="s">
        <v>94</v>
      </c>
      <c r="I207" s="71">
        <v>36194.0</v>
      </c>
      <c r="J207" s="4"/>
      <c r="K207" s="27" t="s">
        <v>54</v>
      </c>
      <c r="L207" s="45" t="s">
        <v>46</v>
      </c>
      <c r="M207" s="45" t="s">
        <v>47</v>
      </c>
      <c r="N207" s="45" t="s">
        <v>609</v>
      </c>
      <c r="O207" s="45">
        <v>3.329670346E9</v>
      </c>
      <c r="P207" s="34" t="str">
        <f t="shared" si="21"/>
        <v>DARINKA UREÑA CASILLAS</v>
      </c>
      <c r="Q207" s="35" t="str">
        <f>IF(D207="","",VLOOKUP(MONTH(D207),Listas!$C$2:$D$14,2,0))</f>
        <v>Septiembre</v>
      </c>
      <c r="R207" s="36">
        <f t="shared" si="2"/>
        <v>2024</v>
      </c>
      <c r="S207" s="37">
        <f t="shared" si="3"/>
        <v>18</v>
      </c>
      <c r="T207" s="37">
        <f t="shared" si="14"/>
        <v>18</v>
      </c>
      <c r="U207" s="37">
        <f t="shared" si="15"/>
        <v>9</v>
      </c>
      <c r="V207" s="37">
        <f t="shared" si="16"/>
        <v>3</v>
      </c>
      <c r="W207" s="37">
        <f t="shared" si="17"/>
        <v>3</v>
      </c>
      <c r="X207" s="37">
        <f t="shared" si="18"/>
        <v>2</v>
      </c>
      <c r="Y207" s="37">
        <f t="shared" si="19"/>
        <v>9</v>
      </c>
      <c r="Z207" s="38">
        <f t="shared" si="10"/>
        <v>27</v>
      </c>
      <c r="AA207" s="39" t="str">
        <f t="shared" si="20"/>
        <v>20-39 años</v>
      </c>
    </row>
    <row r="208" ht="15.75" customHeight="1">
      <c r="A208" s="26" t="s">
        <v>205</v>
      </c>
      <c r="B208" s="27" t="s">
        <v>33</v>
      </c>
      <c r="C208" s="28" t="s">
        <v>34</v>
      </c>
      <c r="D208" s="29">
        <v>45573.0</v>
      </c>
      <c r="E208" s="30" t="s">
        <v>610</v>
      </c>
      <c r="F208" s="44">
        <v>20384.47</v>
      </c>
      <c r="G208" s="30" t="s">
        <v>36</v>
      </c>
      <c r="H208" s="30" t="s">
        <v>58</v>
      </c>
      <c r="I208" s="30" t="s">
        <v>207</v>
      </c>
      <c r="J208" s="5"/>
      <c r="K208" s="30" t="s">
        <v>54</v>
      </c>
      <c r="L208" s="30" t="s">
        <v>41</v>
      </c>
      <c r="M208" s="30" t="s">
        <v>42</v>
      </c>
      <c r="N208" s="33" t="s">
        <v>208</v>
      </c>
      <c r="O208" s="30">
        <v>3.316119244E9</v>
      </c>
      <c r="P208" s="34" t="str">
        <f t="shared" si="21"/>
        <v>DARINKA UREÑA CASILLAS</v>
      </c>
      <c r="Q208" s="35" t="str">
        <f>IF(D208="","",VLOOKUP(MONTH(D208),Listas!$C$2:$D$14,2,0))</f>
        <v>Octubre</v>
      </c>
      <c r="R208" s="36">
        <f t="shared" si="2"/>
        <v>2024</v>
      </c>
      <c r="S208" s="37">
        <f t="shared" si="3"/>
        <v>8</v>
      </c>
      <c r="T208" s="37">
        <f t="shared" si="14"/>
        <v>8</v>
      </c>
      <c r="U208" s="37">
        <f t="shared" si="15"/>
        <v>10</v>
      </c>
      <c r="V208" s="37">
        <f t="shared" si="16"/>
        <v>5</v>
      </c>
      <c r="W208" s="37">
        <f t="shared" si="17"/>
        <v>5</v>
      </c>
      <c r="X208" s="37">
        <f t="shared" si="18"/>
        <v>9</v>
      </c>
      <c r="Y208" s="37">
        <f t="shared" si="19"/>
        <v>10</v>
      </c>
      <c r="Z208" s="38">
        <f t="shared" si="10"/>
        <v>0</v>
      </c>
      <c r="AA208" s="39" t="str">
        <f t="shared" si="20"/>
        <v>-20 años</v>
      </c>
    </row>
    <row r="209" ht="15.75" customHeight="1">
      <c r="A209" s="60" t="s">
        <v>611</v>
      </c>
      <c r="B209" s="27" t="s">
        <v>607</v>
      </c>
      <c r="C209" s="28" t="s">
        <v>34</v>
      </c>
      <c r="D209" s="72" t="s">
        <v>612</v>
      </c>
      <c r="E209" s="30" t="s">
        <v>613</v>
      </c>
      <c r="F209" s="9">
        <f>7516.06*8.25</f>
        <v>62007.495</v>
      </c>
      <c r="G209" s="27" t="s">
        <v>45</v>
      </c>
      <c r="H209" s="27" t="s">
        <v>58</v>
      </c>
      <c r="I209" s="71">
        <v>30718.0</v>
      </c>
      <c r="J209" s="4"/>
      <c r="K209" s="27" t="s">
        <v>54</v>
      </c>
      <c r="L209" s="45" t="s">
        <v>46</v>
      </c>
      <c r="M209" s="45" t="s">
        <v>117</v>
      </c>
      <c r="N209" s="45" t="s">
        <v>614</v>
      </c>
      <c r="O209" s="45">
        <v>3.315344817E9</v>
      </c>
      <c r="P209" s="34" t="str">
        <f t="shared" si="21"/>
        <v>DARINKA UREÑA CASILLAS</v>
      </c>
      <c r="Q209" s="35" t="str">
        <f>IF(D209="","",VLOOKUP(MONTH(D209),Listas!$C$2:$D$14,2,0))</f>
        <v>#VALUE!</v>
      </c>
      <c r="R209" s="36" t="str">
        <f t="shared" si="2"/>
        <v>#VALUE!</v>
      </c>
      <c r="S209" s="37" t="str">
        <f t="shared" si="3"/>
        <v>#VALUE!</v>
      </c>
      <c r="T209" s="37" t="str">
        <f t="shared" si="14"/>
        <v>#VALUE!</v>
      </c>
      <c r="U209" s="37" t="str">
        <f t="shared" si="15"/>
        <v>#VALUE!</v>
      </c>
      <c r="V209" s="37">
        <f t="shared" si="16"/>
        <v>6</v>
      </c>
      <c r="W209" s="37">
        <f t="shared" si="17"/>
        <v>6</v>
      </c>
      <c r="X209" s="37">
        <f t="shared" si="18"/>
        <v>2</v>
      </c>
      <c r="Y209" s="37" t="str">
        <f t="shared" si="19"/>
        <v>#VALUE!</v>
      </c>
      <c r="Z209" s="38">
        <f t="shared" si="10"/>
        <v>42</v>
      </c>
      <c r="AA209" s="39" t="str">
        <f t="shared" si="20"/>
        <v>40-50 años</v>
      </c>
    </row>
    <row r="210" ht="15.75" customHeight="1">
      <c r="A210" s="60" t="s">
        <v>611</v>
      </c>
      <c r="B210" s="27" t="s">
        <v>607</v>
      </c>
      <c r="C210" s="28" t="s">
        <v>34</v>
      </c>
      <c r="D210" s="72" t="s">
        <v>612</v>
      </c>
      <c r="E210" s="30" t="s">
        <v>615</v>
      </c>
      <c r="F210" s="9">
        <f>4438.04*8.25</f>
        <v>36613.83</v>
      </c>
      <c r="G210" s="27" t="s">
        <v>45</v>
      </c>
      <c r="H210" s="27" t="s">
        <v>58</v>
      </c>
      <c r="I210" s="71">
        <v>30718.0</v>
      </c>
      <c r="J210" s="4"/>
      <c r="K210" s="27" t="s">
        <v>54</v>
      </c>
      <c r="L210" s="45" t="s">
        <v>46</v>
      </c>
      <c r="M210" s="45" t="s">
        <v>47</v>
      </c>
      <c r="N210" s="45" t="s">
        <v>614</v>
      </c>
      <c r="O210" s="45">
        <v>3.315344817E9</v>
      </c>
      <c r="P210" s="34" t="str">
        <f t="shared" si="21"/>
        <v>DARINKA UREÑA CASILLAS</v>
      </c>
      <c r="Q210" s="35" t="str">
        <f>IF(D210="","",VLOOKUP(MONTH(D210),Listas!$C$2:$D$14,2,0))</f>
        <v>#VALUE!</v>
      </c>
      <c r="R210" s="36" t="str">
        <f t="shared" si="2"/>
        <v>#VALUE!</v>
      </c>
      <c r="S210" s="37" t="str">
        <f t="shared" si="3"/>
        <v>#VALUE!</v>
      </c>
      <c r="T210" s="37" t="str">
        <f t="shared" si="14"/>
        <v>#VALUE!</v>
      </c>
      <c r="U210" s="37" t="str">
        <f t="shared" si="15"/>
        <v>#VALUE!</v>
      </c>
      <c r="V210" s="37">
        <f t="shared" si="16"/>
        <v>6</v>
      </c>
      <c r="W210" s="37">
        <f t="shared" si="17"/>
        <v>6</v>
      </c>
      <c r="X210" s="37">
        <f t="shared" si="18"/>
        <v>2</v>
      </c>
      <c r="Y210" s="37" t="str">
        <f t="shared" si="19"/>
        <v>#VALUE!</v>
      </c>
      <c r="Z210" s="38">
        <f t="shared" si="10"/>
        <v>42</v>
      </c>
      <c r="AA210" s="39" t="str">
        <f t="shared" si="20"/>
        <v>40-50 años</v>
      </c>
    </row>
    <row r="211" ht="15.75" customHeight="1">
      <c r="A211" s="60" t="s">
        <v>616</v>
      </c>
      <c r="B211" s="27" t="s">
        <v>607</v>
      </c>
      <c r="C211" s="28" t="s">
        <v>34</v>
      </c>
      <c r="D211" s="61">
        <v>45593.0</v>
      </c>
      <c r="E211" s="30" t="s">
        <v>617</v>
      </c>
      <c r="F211" s="9">
        <f>2185.92*8.25</f>
        <v>18033.84</v>
      </c>
      <c r="G211" s="27" t="s">
        <v>45</v>
      </c>
      <c r="H211" s="27" t="s">
        <v>58</v>
      </c>
      <c r="I211" s="71">
        <v>35271.0</v>
      </c>
      <c r="J211" s="4"/>
      <c r="K211" s="27" t="s">
        <v>54</v>
      </c>
      <c r="L211" s="45" t="s">
        <v>46</v>
      </c>
      <c r="M211" s="45" t="s">
        <v>101</v>
      </c>
      <c r="N211" s="45" t="s">
        <v>618</v>
      </c>
      <c r="O211" s="45">
        <v>3.317712571E9</v>
      </c>
      <c r="P211" s="34" t="str">
        <f t="shared" si="21"/>
        <v>DARINKA UREÑA CASILLAS</v>
      </c>
      <c r="Q211" s="35" t="str">
        <f>IF(D211="","",VLOOKUP(MONTH(D211),Listas!$C$2:$D$14,2,0))</f>
        <v>Octubre</v>
      </c>
      <c r="R211" s="36">
        <f t="shared" si="2"/>
        <v>2024</v>
      </c>
      <c r="S211" s="37">
        <f t="shared" si="3"/>
        <v>28</v>
      </c>
      <c r="T211" s="37">
        <f t="shared" si="14"/>
        <v>28</v>
      </c>
      <c r="U211" s="37">
        <f t="shared" si="15"/>
        <v>10</v>
      </c>
      <c r="V211" s="37">
        <f t="shared" si="16"/>
        <v>25</v>
      </c>
      <c r="W211" s="37">
        <f t="shared" si="17"/>
        <v>25</v>
      </c>
      <c r="X211" s="37">
        <f t="shared" si="18"/>
        <v>7</v>
      </c>
      <c r="Y211" s="37">
        <f t="shared" si="19"/>
        <v>10</v>
      </c>
      <c r="Z211" s="38">
        <f t="shared" si="10"/>
        <v>29</v>
      </c>
      <c r="AA211" s="39" t="str">
        <f t="shared" si="20"/>
        <v>20-39 años</v>
      </c>
    </row>
    <row r="212" ht="15.75" customHeight="1">
      <c r="A212" s="60" t="s">
        <v>619</v>
      </c>
      <c r="B212" s="27" t="s">
        <v>56</v>
      </c>
      <c r="C212" s="28" t="s">
        <v>34</v>
      </c>
      <c r="D212" s="61">
        <v>45595.0</v>
      </c>
      <c r="E212" s="30" t="s">
        <v>620</v>
      </c>
      <c r="F212" s="9">
        <f>2255.39*8.25</f>
        <v>18606.9675</v>
      </c>
      <c r="G212" s="27" t="s">
        <v>45</v>
      </c>
      <c r="H212" s="27" t="s">
        <v>58</v>
      </c>
      <c r="I212" s="71">
        <v>34569.0</v>
      </c>
      <c r="J212" s="4"/>
      <c r="K212" s="27" t="s">
        <v>160</v>
      </c>
      <c r="L212" s="45" t="s">
        <v>46</v>
      </c>
      <c r="M212" s="45" t="s">
        <v>101</v>
      </c>
      <c r="N212" s="63" t="s">
        <v>621</v>
      </c>
      <c r="O212" s="45">
        <v>3.313202593E9</v>
      </c>
      <c r="P212" s="34" t="str">
        <f t="shared" si="21"/>
        <v>DARINKA UREÑA CASILLAS</v>
      </c>
      <c r="Q212" s="35" t="str">
        <f>IF(D212="","",VLOOKUP(MONTH(D212),Listas!$C$2:$D$14,2,0))</f>
        <v>Octubre</v>
      </c>
      <c r="R212" s="36">
        <f t="shared" si="2"/>
        <v>2024</v>
      </c>
      <c r="S212" s="37">
        <f t="shared" si="3"/>
        <v>30</v>
      </c>
      <c r="T212" s="37">
        <f t="shared" si="14"/>
        <v>30</v>
      </c>
      <c r="U212" s="37">
        <f t="shared" si="15"/>
        <v>10</v>
      </c>
      <c r="V212" s="37">
        <f t="shared" si="16"/>
        <v>23</v>
      </c>
      <c r="W212" s="37">
        <f t="shared" si="17"/>
        <v>23</v>
      </c>
      <c r="X212" s="37">
        <f t="shared" si="18"/>
        <v>8</v>
      </c>
      <c r="Y212" s="37">
        <f t="shared" si="19"/>
        <v>10</v>
      </c>
      <c r="Z212" s="38">
        <f t="shared" si="10"/>
        <v>31</v>
      </c>
      <c r="AA212" s="39" t="str">
        <f t="shared" si="20"/>
        <v>20-39 años</v>
      </c>
    </row>
    <row r="213" ht="15.75" customHeight="1">
      <c r="A213" s="60" t="s">
        <v>622</v>
      </c>
      <c r="B213" s="27" t="s">
        <v>56</v>
      </c>
      <c r="C213" s="28" t="s">
        <v>34</v>
      </c>
      <c r="D213" s="61">
        <v>45605.0</v>
      </c>
      <c r="E213" s="30" t="s">
        <v>623</v>
      </c>
      <c r="F213" s="9">
        <v>23031.73</v>
      </c>
      <c r="G213" s="27" t="s">
        <v>36</v>
      </c>
      <c r="H213" s="27" t="s">
        <v>58</v>
      </c>
      <c r="I213" s="71">
        <v>32660.0</v>
      </c>
      <c r="J213" s="4"/>
      <c r="K213" s="27" t="s">
        <v>54</v>
      </c>
      <c r="L213" s="45" t="s">
        <v>41</v>
      </c>
      <c r="M213" s="45" t="s">
        <v>425</v>
      </c>
      <c r="N213" s="45" t="s">
        <v>624</v>
      </c>
      <c r="O213" s="45">
        <v>9.983925177E9</v>
      </c>
      <c r="P213" s="34" t="str">
        <f t="shared" si="21"/>
        <v>DARINKA UREÑA CASILLAS</v>
      </c>
      <c r="Q213" s="35" t="str">
        <f>IF(D213="","",VLOOKUP(MONTH(D213),Listas!$C$2:$D$14,2,0))</f>
        <v>Noviembre</v>
      </c>
      <c r="R213" s="36">
        <f t="shared" si="2"/>
        <v>2024</v>
      </c>
      <c r="S213" s="37">
        <f t="shared" si="3"/>
        <v>9</v>
      </c>
      <c r="T213" s="37">
        <f t="shared" si="14"/>
        <v>9</v>
      </c>
      <c r="U213" s="37">
        <f t="shared" si="15"/>
        <v>11</v>
      </c>
      <c r="V213" s="37">
        <f t="shared" si="16"/>
        <v>1</v>
      </c>
      <c r="W213" s="37">
        <f t="shared" si="17"/>
        <v>1</v>
      </c>
      <c r="X213" s="37">
        <f t="shared" si="18"/>
        <v>6</v>
      </c>
      <c r="Y213" s="37">
        <f t="shared" si="19"/>
        <v>11</v>
      </c>
      <c r="Z213" s="38">
        <f t="shared" si="10"/>
        <v>36</v>
      </c>
      <c r="AA213" s="39" t="str">
        <f t="shared" si="20"/>
        <v>20-39 años</v>
      </c>
    </row>
    <row r="214" ht="15.75" customHeight="1">
      <c r="A214" s="60" t="s">
        <v>625</v>
      </c>
      <c r="B214" s="27" t="s">
        <v>607</v>
      </c>
      <c r="C214" s="28" t="s">
        <v>34</v>
      </c>
      <c r="D214" s="61">
        <v>45607.0</v>
      </c>
      <c r="E214" s="27" t="s">
        <v>626</v>
      </c>
      <c r="F214" s="9">
        <f>2909.98*8.29</f>
        <v>24123.7342</v>
      </c>
      <c r="G214" s="27" t="s">
        <v>45</v>
      </c>
      <c r="H214" s="27" t="s">
        <v>58</v>
      </c>
      <c r="I214" s="71">
        <v>36393.0</v>
      </c>
      <c r="J214" s="4"/>
      <c r="K214" s="27" t="s">
        <v>54</v>
      </c>
      <c r="L214" s="45" t="s">
        <v>46</v>
      </c>
      <c r="M214" s="45" t="s">
        <v>101</v>
      </c>
      <c r="N214" s="45" t="s">
        <v>627</v>
      </c>
      <c r="O214" s="45">
        <v>3.781030438E9</v>
      </c>
      <c r="P214" s="34" t="str">
        <f t="shared" si="21"/>
        <v>DARINKA UREÑA CASILLAS</v>
      </c>
      <c r="Q214" s="35" t="str">
        <f>IF(D214="","",VLOOKUP(MONTH(D214),Listas!$C$2:$D$14,2,0))</f>
        <v>Noviembre</v>
      </c>
      <c r="R214" s="36">
        <f t="shared" si="2"/>
        <v>2024</v>
      </c>
      <c r="S214" s="37">
        <f t="shared" si="3"/>
        <v>11</v>
      </c>
      <c r="T214" s="37">
        <f t="shared" si="14"/>
        <v>11</v>
      </c>
      <c r="U214" s="37">
        <f t="shared" si="15"/>
        <v>11</v>
      </c>
      <c r="V214" s="37">
        <f t="shared" si="16"/>
        <v>21</v>
      </c>
      <c r="W214" s="37">
        <f t="shared" si="17"/>
        <v>21</v>
      </c>
      <c r="X214" s="37">
        <f t="shared" si="18"/>
        <v>8</v>
      </c>
      <c r="Y214" s="37">
        <f t="shared" si="19"/>
        <v>11</v>
      </c>
      <c r="Z214" s="38">
        <f t="shared" si="10"/>
        <v>26</v>
      </c>
      <c r="AA214" s="39" t="str">
        <f t="shared" si="20"/>
        <v>20-39 años</v>
      </c>
    </row>
    <row r="215" ht="15.75" customHeight="1">
      <c r="A215" s="60" t="s">
        <v>108</v>
      </c>
      <c r="B215" s="27" t="s">
        <v>607</v>
      </c>
      <c r="C215" s="28" t="s">
        <v>34</v>
      </c>
      <c r="D215" s="61">
        <v>43262.0</v>
      </c>
      <c r="E215" s="27" t="s">
        <v>628</v>
      </c>
      <c r="F215" s="9">
        <f>735.65*12*8.29</f>
        <v>73182.462</v>
      </c>
      <c r="G215" s="27" t="s">
        <v>45</v>
      </c>
      <c r="H215" s="27" t="s">
        <v>37</v>
      </c>
      <c r="I215" s="71">
        <v>34539.0</v>
      </c>
      <c r="J215" s="4"/>
      <c r="K215" s="27" t="s">
        <v>160</v>
      </c>
      <c r="L215" s="45" t="s">
        <v>46</v>
      </c>
      <c r="M215" s="45" t="s">
        <v>117</v>
      </c>
      <c r="N215" s="33" t="s">
        <v>111</v>
      </c>
      <c r="O215" s="30">
        <v>3.314239602E9</v>
      </c>
      <c r="P215" s="34" t="str">
        <f t="shared" si="21"/>
        <v>DARINKA UREÑA CASILLAS</v>
      </c>
      <c r="Q215" s="35" t="str">
        <f>IF(D215="","",VLOOKUP(MONTH(D215),Listas!$C$2:$D$14,2,0))</f>
        <v>Junio</v>
      </c>
      <c r="R215" s="36">
        <f t="shared" si="2"/>
        <v>2018</v>
      </c>
      <c r="S215" s="37">
        <f t="shared" si="3"/>
        <v>11</v>
      </c>
      <c r="T215" s="37">
        <f t="shared" si="14"/>
        <v>11</v>
      </c>
      <c r="U215" s="37">
        <f t="shared" si="15"/>
        <v>6</v>
      </c>
      <c r="V215" s="37">
        <f t="shared" si="16"/>
        <v>24</v>
      </c>
      <c r="W215" s="37">
        <f t="shared" si="17"/>
        <v>24</v>
      </c>
      <c r="X215" s="37">
        <f t="shared" si="18"/>
        <v>7</v>
      </c>
      <c r="Y215" s="37">
        <f t="shared" si="19"/>
        <v>6</v>
      </c>
      <c r="Z215" s="38">
        <f t="shared" si="10"/>
        <v>31</v>
      </c>
      <c r="AA215" s="39" t="str">
        <f t="shared" si="20"/>
        <v>20-39 años</v>
      </c>
    </row>
    <row r="216" ht="15.75" customHeight="1">
      <c r="A216" s="60" t="s">
        <v>629</v>
      </c>
      <c r="B216" s="27" t="s">
        <v>56</v>
      </c>
      <c r="C216" s="28" t="s">
        <v>34</v>
      </c>
      <c r="D216" s="61">
        <v>45610.0</v>
      </c>
      <c r="E216" s="27" t="s">
        <v>630</v>
      </c>
      <c r="F216" s="9">
        <f>2899.25*8.28</f>
        <v>24005.79</v>
      </c>
      <c r="G216" s="27" t="s">
        <v>45</v>
      </c>
      <c r="H216" s="27" t="s">
        <v>58</v>
      </c>
      <c r="I216" s="71">
        <v>37107.0</v>
      </c>
      <c r="J216" s="4"/>
      <c r="K216" s="27" t="s">
        <v>54</v>
      </c>
      <c r="L216" s="45" t="s">
        <v>46</v>
      </c>
      <c r="M216" s="45" t="s">
        <v>101</v>
      </c>
      <c r="N216" s="45" t="s">
        <v>631</v>
      </c>
      <c r="O216" s="45">
        <v>3.331305033E9</v>
      </c>
      <c r="P216" s="34" t="str">
        <f t="shared" si="21"/>
        <v>DARINKA UREÑA CASILLAS</v>
      </c>
      <c r="Q216" s="35" t="str">
        <f>IF(D216="","",VLOOKUP(MONTH(D216),Listas!$C$2:$D$14,2,0))</f>
        <v>Noviembre</v>
      </c>
      <c r="R216" s="36">
        <f t="shared" si="2"/>
        <v>2024</v>
      </c>
      <c r="S216" s="37">
        <f t="shared" si="3"/>
        <v>14</v>
      </c>
      <c r="T216" s="37">
        <f t="shared" si="14"/>
        <v>14</v>
      </c>
      <c r="U216" s="37">
        <f t="shared" si="15"/>
        <v>11</v>
      </c>
      <c r="V216" s="37">
        <f t="shared" si="16"/>
        <v>4</v>
      </c>
      <c r="W216" s="37">
        <f t="shared" si="17"/>
        <v>4</v>
      </c>
      <c r="X216" s="37">
        <f t="shared" si="18"/>
        <v>8</v>
      </c>
      <c r="Y216" s="37">
        <f t="shared" si="19"/>
        <v>11</v>
      </c>
      <c r="Z216" s="38">
        <f t="shared" si="10"/>
        <v>24</v>
      </c>
      <c r="AA216" s="39" t="str">
        <f t="shared" si="20"/>
        <v>20-39 años</v>
      </c>
    </row>
    <row r="217" ht="15.75" customHeight="1">
      <c r="A217" s="60" t="s">
        <v>632</v>
      </c>
      <c r="B217" s="27" t="s">
        <v>56</v>
      </c>
      <c r="C217" s="28" t="s">
        <v>34</v>
      </c>
      <c r="D217" s="61">
        <v>45610.0</v>
      </c>
      <c r="E217" s="27" t="s">
        <v>633</v>
      </c>
      <c r="F217" s="9">
        <f>2929.45*8.28</f>
        <v>24255.846</v>
      </c>
      <c r="G217" s="27" t="s">
        <v>45</v>
      </c>
      <c r="H217" s="27" t="s">
        <v>58</v>
      </c>
      <c r="I217" s="71">
        <v>37570.0</v>
      </c>
      <c r="J217" s="4"/>
      <c r="K217" s="27" t="s">
        <v>54</v>
      </c>
      <c r="L217" s="45" t="s">
        <v>46</v>
      </c>
      <c r="M217" s="45" t="s">
        <v>101</v>
      </c>
      <c r="N217" s="45" t="s">
        <v>634</v>
      </c>
      <c r="O217" s="45">
        <v>3.312981328E9</v>
      </c>
      <c r="P217" s="34" t="str">
        <f t="shared" si="21"/>
        <v>DARINKA UREÑA CASILLAS</v>
      </c>
      <c r="Q217" s="35" t="str">
        <f>IF(D217="","",VLOOKUP(MONTH(D217),Listas!$C$2:$D$14,2,0))</f>
        <v>Noviembre</v>
      </c>
      <c r="R217" s="36">
        <f t="shared" si="2"/>
        <v>2024</v>
      </c>
      <c r="S217" s="37">
        <f t="shared" si="3"/>
        <v>14</v>
      </c>
      <c r="T217" s="37">
        <f t="shared" si="14"/>
        <v>14</v>
      </c>
      <c r="U217" s="37">
        <f t="shared" si="15"/>
        <v>11</v>
      </c>
      <c r="V217" s="37">
        <f t="shared" si="16"/>
        <v>10</v>
      </c>
      <c r="W217" s="37">
        <f t="shared" si="17"/>
        <v>10</v>
      </c>
      <c r="X217" s="37">
        <f t="shared" si="18"/>
        <v>11</v>
      </c>
      <c r="Y217" s="37">
        <f t="shared" si="19"/>
        <v>11</v>
      </c>
      <c r="Z217" s="38">
        <f t="shared" si="10"/>
        <v>23</v>
      </c>
      <c r="AA217" s="39" t="str">
        <f t="shared" si="20"/>
        <v>20-39 años</v>
      </c>
    </row>
    <row r="218" ht="15.75" customHeight="1">
      <c r="A218" s="60" t="s">
        <v>635</v>
      </c>
      <c r="B218" s="27" t="s">
        <v>607</v>
      </c>
      <c r="C218" s="28" t="s">
        <v>34</v>
      </c>
      <c r="D218" s="61">
        <v>45610.0</v>
      </c>
      <c r="E218" s="27" t="s">
        <v>636</v>
      </c>
      <c r="F218" s="9">
        <f>6096.51*8.28</f>
        <v>50479.1028</v>
      </c>
      <c r="G218" s="27" t="s">
        <v>45</v>
      </c>
      <c r="H218" s="27" t="s">
        <v>58</v>
      </c>
      <c r="I218" s="71">
        <v>29026.0</v>
      </c>
      <c r="J218" s="4"/>
      <c r="K218" s="27" t="s">
        <v>54</v>
      </c>
      <c r="L218" s="45" t="s">
        <v>46</v>
      </c>
      <c r="M218" s="45" t="s">
        <v>101</v>
      </c>
      <c r="N218" s="45" t="s">
        <v>637</v>
      </c>
      <c r="O218" s="45">
        <v>3.314310877E9</v>
      </c>
      <c r="P218" s="34" t="str">
        <f t="shared" si="21"/>
        <v>DARINKA UREÑA CASILLAS</v>
      </c>
      <c r="Q218" s="35" t="str">
        <f>IF(D218="","",VLOOKUP(MONTH(D218),Listas!$C$2:$D$14,2,0))</f>
        <v>Noviembre</v>
      </c>
      <c r="R218" s="36">
        <f t="shared" si="2"/>
        <v>2024</v>
      </c>
      <c r="S218" s="37">
        <f t="shared" si="3"/>
        <v>14</v>
      </c>
      <c r="T218" s="37">
        <f t="shared" si="14"/>
        <v>14</v>
      </c>
      <c r="U218" s="37">
        <f t="shared" si="15"/>
        <v>11</v>
      </c>
      <c r="V218" s="37">
        <f t="shared" si="16"/>
        <v>20</v>
      </c>
      <c r="W218" s="37">
        <f t="shared" si="17"/>
        <v>20</v>
      </c>
      <c r="X218" s="37">
        <f t="shared" si="18"/>
        <v>6</v>
      </c>
      <c r="Y218" s="37">
        <f t="shared" si="19"/>
        <v>11</v>
      </c>
      <c r="Z218" s="38">
        <f t="shared" si="10"/>
        <v>46</v>
      </c>
      <c r="AA218" s="39" t="str">
        <f t="shared" si="20"/>
        <v>40-50 años</v>
      </c>
    </row>
    <row r="219" ht="15.75" customHeight="1">
      <c r="A219" s="60" t="s">
        <v>638</v>
      </c>
      <c r="B219" s="27" t="s">
        <v>56</v>
      </c>
      <c r="C219" s="28" t="s">
        <v>34</v>
      </c>
      <c r="D219" s="61">
        <v>45615.0</v>
      </c>
      <c r="E219" s="27" t="s">
        <v>639</v>
      </c>
      <c r="F219" s="9">
        <f>14552.4*8.28</f>
        <v>120493.872</v>
      </c>
      <c r="G219" s="27" t="s">
        <v>45</v>
      </c>
      <c r="H219" s="27" t="s">
        <v>37</v>
      </c>
      <c r="I219" s="71">
        <v>27532.0</v>
      </c>
      <c r="J219" s="4"/>
      <c r="K219" s="27" t="s">
        <v>40</v>
      </c>
      <c r="L219" s="45" t="s">
        <v>46</v>
      </c>
      <c r="M219" s="45" t="s">
        <v>101</v>
      </c>
      <c r="N219" s="45" t="s">
        <v>640</v>
      </c>
      <c r="O219" s="45">
        <v>3.312809227E9</v>
      </c>
      <c r="P219" s="34" t="str">
        <f t="shared" si="21"/>
        <v>DARINKA UREÑA CASILLAS</v>
      </c>
      <c r="Q219" s="35" t="str">
        <f>IF(D219="","",VLOOKUP(MONTH(D219),Listas!$C$2:$D$14,2,0))</f>
        <v>Noviembre</v>
      </c>
      <c r="R219" s="36">
        <f t="shared" si="2"/>
        <v>2024</v>
      </c>
      <c r="S219" s="37">
        <f t="shared" si="3"/>
        <v>19</v>
      </c>
      <c r="T219" s="37">
        <f t="shared" si="14"/>
        <v>19</v>
      </c>
      <c r="U219" s="37">
        <f t="shared" si="15"/>
        <v>11</v>
      </c>
      <c r="V219" s="37">
        <f t="shared" si="16"/>
        <v>18</v>
      </c>
      <c r="W219" s="37">
        <f t="shared" si="17"/>
        <v>18</v>
      </c>
      <c r="X219" s="37">
        <f t="shared" si="18"/>
        <v>5</v>
      </c>
      <c r="Y219" s="37">
        <f t="shared" si="19"/>
        <v>11</v>
      </c>
      <c r="Z219" s="38">
        <f t="shared" si="10"/>
        <v>51</v>
      </c>
      <c r="AA219" s="39" t="str">
        <f t="shared" si="20"/>
        <v>51-60 años</v>
      </c>
    </row>
    <row r="220" ht="15.75" customHeight="1">
      <c r="A220" s="26" t="s">
        <v>356</v>
      </c>
      <c r="B220" s="27" t="s">
        <v>33</v>
      </c>
      <c r="C220" s="28" t="s">
        <v>34</v>
      </c>
      <c r="D220" s="29">
        <v>45622.0</v>
      </c>
      <c r="E220" s="30" t="s">
        <v>641</v>
      </c>
      <c r="F220" s="31">
        <f>2210.41*8.3</f>
        <v>18346.403</v>
      </c>
      <c r="G220" s="30" t="s">
        <v>45</v>
      </c>
      <c r="H220" s="30" t="s">
        <v>58</v>
      </c>
      <c r="I220" s="32">
        <v>44794.0</v>
      </c>
      <c r="J220" s="5"/>
      <c r="K220" s="30" t="s">
        <v>160</v>
      </c>
      <c r="L220" s="30" t="s">
        <v>46</v>
      </c>
      <c r="M220" s="45" t="s">
        <v>101</v>
      </c>
      <c r="N220" s="30" t="s">
        <v>596</v>
      </c>
      <c r="O220" s="30">
        <v>3.316119244E9</v>
      </c>
      <c r="P220" s="34" t="str">
        <f t="shared" si="21"/>
        <v>DARINKA UREÑA CASILLAS</v>
      </c>
      <c r="Q220" s="35" t="str">
        <f>IF(D220="","",VLOOKUP(MONTH(D220),Listas!$C$2:$D$14,2,0))</f>
        <v>Noviembre</v>
      </c>
      <c r="R220" s="36">
        <f t="shared" si="2"/>
        <v>2024</v>
      </c>
      <c r="S220" s="37">
        <f t="shared" si="3"/>
        <v>26</v>
      </c>
      <c r="T220" s="37">
        <f t="shared" si="14"/>
        <v>26</v>
      </c>
      <c r="U220" s="37">
        <f t="shared" si="15"/>
        <v>11</v>
      </c>
      <c r="V220" s="37">
        <f t="shared" si="16"/>
        <v>21</v>
      </c>
      <c r="W220" s="37">
        <f t="shared" si="17"/>
        <v>21</v>
      </c>
      <c r="X220" s="37">
        <f t="shared" si="18"/>
        <v>8</v>
      </c>
      <c r="Y220" s="37">
        <f t="shared" si="19"/>
        <v>11</v>
      </c>
      <c r="Z220" s="38">
        <f t="shared" si="10"/>
        <v>3</v>
      </c>
      <c r="AA220" s="39" t="str">
        <f t="shared" si="20"/>
        <v>-20 años</v>
      </c>
    </row>
    <row r="221" ht="15.75" customHeight="1">
      <c r="A221" s="60" t="s">
        <v>642</v>
      </c>
      <c r="B221" s="27" t="s">
        <v>607</v>
      </c>
      <c r="C221" s="28" t="s">
        <v>34</v>
      </c>
      <c r="D221" s="61">
        <v>45637.0</v>
      </c>
      <c r="E221" s="27" t="s">
        <v>643</v>
      </c>
      <c r="F221" s="9">
        <f>14631.71*8.33</f>
        <v>121882.1443</v>
      </c>
      <c r="G221" s="27" t="s">
        <v>45</v>
      </c>
      <c r="H221" s="27" t="s">
        <v>37</v>
      </c>
      <c r="I221" s="32">
        <v>25334.0</v>
      </c>
      <c r="J221" s="4"/>
      <c r="K221" s="27" t="s">
        <v>644</v>
      </c>
      <c r="L221" s="45" t="s">
        <v>46</v>
      </c>
      <c r="M221" s="45" t="s">
        <v>101</v>
      </c>
      <c r="N221" s="45" t="s">
        <v>645</v>
      </c>
      <c r="O221" s="45">
        <v>3.322447207E9</v>
      </c>
      <c r="P221" s="34" t="str">
        <f t="shared" si="21"/>
        <v>DARINKA UREÑA CASILLAS</v>
      </c>
      <c r="Q221" s="35" t="str">
        <f>IF(D221="","",VLOOKUP(MONTH(D221),Listas!$C$2:$D$14,2,0))</f>
        <v>Diciembre</v>
      </c>
      <c r="R221" s="36">
        <f t="shared" si="2"/>
        <v>2024</v>
      </c>
      <c r="S221" s="37">
        <f t="shared" si="3"/>
        <v>11</v>
      </c>
      <c r="T221" s="37">
        <f t="shared" si="14"/>
        <v>11</v>
      </c>
      <c r="U221" s="37">
        <f t="shared" si="15"/>
        <v>12</v>
      </c>
      <c r="V221" s="37">
        <f t="shared" si="16"/>
        <v>11</v>
      </c>
      <c r="W221" s="37">
        <f t="shared" si="17"/>
        <v>11</v>
      </c>
      <c r="X221" s="37">
        <f t="shared" si="18"/>
        <v>5</v>
      </c>
      <c r="Y221" s="37">
        <f t="shared" si="19"/>
        <v>12</v>
      </c>
      <c r="Z221" s="38">
        <f t="shared" si="10"/>
        <v>57</v>
      </c>
      <c r="AA221" s="39" t="str">
        <f t="shared" si="20"/>
        <v>51-60 años</v>
      </c>
    </row>
    <row r="222" ht="15.75" customHeight="1">
      <c r="A222" s="60" t="s">
        <v>646</v>
      </c>
      <c r="B222" s="27" t="s">
        <v>607</v>
      </c>
      <c r="C222" s="28" t="s">
        <v>34</v>
      </c>
      <c r="D222" s="61">
        <v>45650.0</v>
      </c>
      <c r="E222" s="27" t="s">
        <v>647</v>
      </c>
      <c r="F222" s="9">
        <f>6364.96*8.33</f>
        <v>53020.1168</v>
      </c>
      <c r="G222" s="27" t="s">
        <v>45</v>
      </c>
      <c r="H222" s="27" t="s">
        <v>37</v>
      </c>
      <c r="I222" s="32">
        <v>45507.0</v>
      </c>
      <c r="J222" s="4"/>
      <c r="K222" s="27" t="s">
        <v>54</v>
      </c>
      <c r="L222" s="45" t="s">
        <v>46</v>
      </c>
      <c r="M222" s="45" t="s">
        <v>101</v>
      </c>
      <c r="N222" s="45" t="s">
        <v>648</v>
      </c>
      <c r="O222" s="45">
        <v>3.312309278E9</v>
      </c>
      <c r="P222" s="34" t="str">
        <f t="shared" si="21"/>
        <v>DARINKA UREÑA CASILLAS</v>
      </c>
      <c r="Q222" s="35" t="str">
        <f>IF(D222="","",VLOOKUP(MONTH(D222),Listas!$C$2:$D$14,2,0))</f>
        <v>Diciembre</v>
      </c>
      <c r="R222" s="36">
        <f t="shared" si="2"/>
        <v>2024</v>
      </c>
      <c r="S222" s="37">
        <f t="shared" si="3"/>
        <v>24</v>
      </c>
      <c r="T222" s="37">
        <f t="shared" si="14"/>
        <v>24</v>
      </c>
      <c r="U222" s="37">
        <f t="shared" si="15"/>
        <v>12</v>
      </c>
      <c r="V222" s="37">
        <f t="shared" si="16"/>
        <v>3</v>
      </c>
      <c r="W222" s="37">
        <f t="shared" si="17"/>
        <v>3</v>
      </c>
      <c r="X222" s="37">
        <f t="shared" si="18"/>
        <v>8</v>
      </c>
      <c r="Y222" s="37">
        <f t="shared" si="19"/>
        <v>12</v>
      </c>
      <c r="Z222" s="38">
        <f t="shared" si="10"/>
        <v>1</v>
      </c>
      <c r="AA222" s="39" t="str">
        <f t="shared" si="20"/>
        <v>-20 años</v>
      </c>
    </row>
    <row r="223" ht="15.75" customHeight="1">
      <c r="A223" s="60" t="s">
        <v>649</v>
      </c>
      <c r="B223" s="27" t="s">
        <v>56</v>
      </c>
      <c r="C223" s="28" t="s">
        <v>34</v>
      </c>
      <c r="D223" s="61">
        <v>45666.0</v>
      </c>
      <c r="E223" s="27" t="s">
        <v>650</v>
      </c>
      <c r="F223" s="9">
        <f>6118.54*8.35</f>
        <v>51089.809</v>
      </c>
      <c r="G223" s="27" t="s">
        <v>45</v>
      </c>
      <c r="H223" s="27" t="s">
        <v>94</v>
      </c>
      <c r="I223" s="32">
        <v>45699.0</v>
      </c>
      <c r="J223" s="4"/>
      <c r="K223" s="27" t="s">
        <v>644</v>
      </c>
      <c r="L223" s="45" t="s">
        <v>46</v>
      </c>
      <c r="M223" s="45" t="s">
        <v>101</v>
      </c>
      <c r="N223" s="45" t="s">
        <v>648</v>
      </c>
      <c r="O223" s="45">
        <v>3.322022696E10</v>
      </c>
      <c r="P223" s="34" t="str">
        <f t="shared" si="21"/>
        <v>DARINKA UREÑA CASILLAS</v>
      </c>
      <c r="Q223" s="35" t="str">
        <f>IF(D223="","",VLOOKUP(MONTH(D223),Listas!$C$2:$D$14,2,0))</f>
        <v>Enero</v>
      </c>
      <c r="R223" s="36">
        <f t="shared" si="2"/>
        <v>2025</v>
      </c>
      <c r="S223" s="37">
        <f t="shared" si="3"/>
        <v>9</v>
      </c>
      <c r="T223" s="37">
        <f t="shared" si="14"/>
        <v>9</v>
      </c>
      <c r="U223" s="37">
        <f t="shared" si="15"/>
        <v>1</v>
      </c>
      <c r="V223" s="37">
        <f t="shared" si="16"/>
        <v>11</v>
      </c>
      <c r="W223" s="37">
        <f t="shared" si="17"/>
        <v>11</v>
      </c>
      <c r="X223" s="37">
        <f t="shared" si="18"/>
        <v>2</v>
      </c>
      <c r="Y223" s="37">
        <f t="shared" si="19"/>
        <v>1</v>
      </c>
      <c r="Z223" s="38">
        <f t="shared" si="10"/>
        <v>1</v>
      </c>
      <c r="AA223" s="39" t="str">
        <f t="shared" si="20"/>
        <v>-20 años</v>
      </c>
    </row>
    <row r="224" ht="15.75" customHeight="1">
      <c r="A224" s="60" t="s">
        <v>651</v>
      </c>
      <c r="B224" s="27" t="s">
        <v>56</v>
      </c>
      <c r="C224" s="28" t="s">
        <v>34</v>
      </c>
      <c r="D224" s="61">
        <v>45667.0</v>
      </c>
      <c r="E224" s="27" t="s">
        <v>652</v>
      </c>
      <c r="F224" s="9">
        <f>8667.63*8.38</f>
        <v>72634.7394</v>
      </c>
      <c r="G224" s="27" t="s">
        <v>45</v>
      </c>
      <c r="H224" s="27" t="s">
        <v>58</v>
      </c>
      <c r="I224" s="32">
        <v>45942.0</v>
      </c>
      <c r="J224" s="4"/>
      <c r="K224" s="27" t="s">
        <v>54</v>
      </c>
      <c r="L224" s="45" t="s">
        <v>46</v>
      </c>
      <c r="M224" s="45" t="s">
        <v>101</v>
      </c>
      <c r="N224" s="45" t="s">
        <v>653</v>
      </c>
      <c r="O224" s="45">
        <v>3.312547502E9</v>
      </c>
      <c r="P224" s="34" t="str">
        <f t="shared" si="21"/>
        <v>DARINKA UREÑA CASILLAS</v>
      </c>
      <c r="Q224" s="35" t="str">
        <f>IF(D224="","",VLOOKUP(MONTH(D224),Listas!$C$2:$D$14,2,0))</f>
        <v>Enero</v>
      </c>
      <c r="R224" s="36">
        <f t="shared" si="2"/>
        <v>2025</v>
      </c>
      <c r="S224" s="37">
        <f t="shared" si="3"/>
        <v>10</v>
      </c>
      <c r="T224" s="37">
        <f t="shared" si="14"/>
        <v>10</v>
      </c>
      <c r="U224" s="37">
        <f t="shared" si="15"/>
        <v>1</v>
      </c>
      <c r="V224" s="37">
        <f t="shared" si="16"/>
        <v>12</v>
      </c>
      <c r="W224" s="37">
        <f t="shared" si="17"/>
        <v>12</v>
      </c>
      <c r="X224" s="37">
        <f t="shared" si="18"/>
        <v>10</v>
      </c>
      <c r="Y224" s="37">
        <f t="shared" si="19"/>
        <v>1</v>
      </c>
      <c r="Z224" s="38">
        <f t="shared" si="10"/>
        <v>0</v>
      </c>
      <c r="AA224" s="39" t="str">
        <f t="shared" si="20"/>
        <v>-20 años</v>
      </c>
    </row>
    <row r="225" ht="15.75" customHeight="1">
      <c r="A225" s="60" t="s">
        <v>654</v>
      </c>
      <c r="B225" s="27" t="s">
        <v>607</v>
      </c>
      <c r="C225" s="28" t="s">
        <v>34</v>
      </c>
      <c r="D225" s="61">
        <v>45672.0</v>
      </c>
      <c r="E225" s="27" t="s">
        <v>655</v>
      </c>
      <c r="F225" s="9">
        <f>3754.31*8.37</f>
        <v>31423.5747</v>
      </c>
      <c r="G225" s="27" t="s">
        <v>45</v>
      </c>
      <c r="H225" s="27" t="s">
        <v>58</v>
      </c>
      <c r="I225" s="32">
        <v>45998.0</v>
      </c>
      <c r="J225" s="4"/>
      <c r="K225" s="27" t="s">
        <v>54</v>
      </c>
      <c r="L225" s="45" t="s">
        <v>46</v>
      </c>
      <c r="M225" s="45" t="s">
        <v>101</v>
      </c>
      <c r="N225" s="45" t="s">
        <v>656</v>
      </c>
      <c r="O225" s="45">
        <v>3.332709475E9</v>
      </c>
      <c r="P225" s="34" t="str">
        <f t="shared" si="21"/>
        <v>DARINKA UREÑA CASILLAS</v>
      </c>
      <c r="Q225" s="35" t="str">
        <f>IF(D225="","",VLOOKUP(MONTH(D225),Listas!$C$2:$D$14,2,0))</f>
        <v>Enero</v>
      </c>
      <c r="R225" s="36">
        <f t="shared" si="2"/>
        <v>2025</v>
      </c>
      <c r="S225" s="37">
        <f t="shared" si="3"/>
        <v>15</v>
      </c>
      <c r="T225" s="37">
        <f t="shared" si="14"/>
        <v>15</v>
      </c>
      <c r="U225" s="37">
        <f t="shared" si="15"/>
        <v>1</v>
      </c>
      <c r="V225" s="37">
        <f t="shared" si="16"/>
        <v>7</v>
      </c>
      <c r="W225" s="37">
        <f t="shared" si="17"/>
        <v>7</v>
      </c>
      <c r="X225" s="37">
        <f t="shared" si="18"/>
        <v>12</v>
      </c>
      <c r="Y225" s="37">
        <f t="shared" si="19"/>
        <v>1</v>
      </c>
      <c r="Z225" s="38">
        <f t="shared" si="10"/>
        <v>0</v>
      </c>
      <c r="AA225" s="39" t="str">
        <f t="shared" si="20"/>
        <v>-20 años</v>
      </c>
    </row>
    <row r="226" ht="15.75" customHeight="1">
      <c r="A226" s="60" t="s">
        <v>657</v>
      </c>
      <c r="B226" s="27" t="s">
        <v>56</v>
      </c>
      <c r="C226" s="28" t="s">
        <v>34</v>
      </c>
      <c r="D226" s="61">
        <v>45683.0</v>
      </c>
      <c r="E226" s="27" t="s">
        <v>658</v>
      </c>
      <c r="F226" s="9">
        <f>190.81*12*20.5</f>
        <v>46939.26</v>
      </c>
      <c r="G226" s="27" t="s">
        <v>355</v>
      </c>
      <c r="H226" s="27" t="s">
        <v>37</v>
      </c>
      <c r="I226" s="32">
        <v>45981.0</v>
      </c>
      <c r="J226" s="4"/>
      <c r="K226" s="27" t="s">
        <v>40</v>
      </c>
      <c r="L226" s="45" t="s">
        <v>46</v>
      </c>
      <c r="M226" s="45" t="s">
        <v>47</v>
      </c>
      <c r="N226" s="45" t="s">
        <v>659</v>
      </c>
      <c r="O226" s="45"/>
      <c r="P226" s="34" t="str">
        <f t="shared" si="21"/>
        <v>DARINKA UREÑA CASILLAS</v>
      </c>
      <c r="Q226" s="35" t="str">
        <f>IF(D226="","",VLOOKUP(MONTH(D226),Listas!$C$2:$D$14,2,0))</f>
        <v>Enero</v>
      </c>
      <c r="R226" s="36">
        <f t="shared" si="2"/>
        <v>2025</v>
      </c>
      <c r="S226" s="37">
        <f t="shared" si="3"/>
        <v>26</v>
      </c>
      <c r="T226" s="37">
        <f t="shared" si="14"/>
        <v>26</v>
      </c>
      <c r="U226" s="37">
        <f t="shared" si="15"/>
        <v>1</v>
      </c>
      <c r="V226" s="37">
        <f t="shared" si="16"/>
        <v>20</v>
      </c>
      <c r="W226" s="37">
        <f t="shared" si="17"/>
        <v>20</v>
      </c>
      <c r="X226" s="37">
        <f t="shared" si="18"/>
        <v>11</v>
      </c>
      <c r="Y226" s="37">
        <f t="shared" si="19"/>
        <v>1</v>
      </c>
      <c r="Z226" s="38">
        <f t="shared" si="10"/>
        <v>0</v>
      </c>
      <c r="AA226" s="39" t="str">
        <f t="shared" si="20"/>
        <v>-20 años</v>
      </c>
    </row>
    <row r="227" ht="15.75" customHeight="1">
      <c r="A227" s="26" t="s">
        <v>660</v>
      </c>
      <c r="B227" s="27" t="s">
        <v>56</v>
      </c>
      <c r="C227" s="28" t="s">
        <v>34</v>
      </c>
      <c r="D227" s="61">
        <v>45468.0</v>
      </c>
      <c r="E227" s="27" t="s">
        <v>661</v>
      </c>
      <c r="F227" s="9"/>
      <c r="G227" s="27" t="s">
        <v>45</v>
      </c>
      <c r="H227" s="27" t="s">
        <v>58</v>
      </c>
      <c r="I227" s="32">
        <v>45818.0</v>
      </c>
      <c r="J227" s="4"/>
      <c r="K227" s="27" t="s">
        <v>644</v>
      </c>
      <c r="L227" s="45" t="s">
        <v>46</v>
      </c>
      <c r="M227" s="45" t="s">
        <v>117</v>
      </c>
      <c r="N227" s="45" t="s">
        <v>662</v>
      </c>
      <c r="O227" s="45"/>
      <c r="P227" s="34" t="str">
        <f t="shared" si="21"/>
        <v>DARINKA UREÑA CASILLAS</v>
      </c>
      <c r="Q227" s="35" t="str">
        <f>IF(D227="","",VLOOKUP(MONTH(D227),Listas!$C$2:$D$14,2,0))</f>
        <v>Junio</v>
      </c>
      <c r="R227" s="36">
        <f t="shared" si="2"/>
        <v>2024</v>
      </c>
      <c r="S227" s="37">
        <f t="shared" si="3"/>
        <v>25</v>
      </c>
      <c r="T227" s="37">
        <f t="shared" si="14"/>
        <v>25</v>
      </c>
      <c r="U227" s="37">
        <f t="shared" si="15"/>
        <v>6</v>
      </c>
      <c r="V227" s="37">
        <f t="shared" si="16"/>
        <v>10</v>
      </c>
      <c r="W227" s="37">
        <f t="shared" si="17"/>
        <v>10</v>
      </c>
      <c r="X227" s="37">
        <f t="shared" si="18"/>
        <v>6</v>
      </c>
      <c r="Y227" s="37">
        <f t="shared" si="19"/>
        <v>6</v>
      </c>
      <c r="Z227" s="38">
        <f t="shared" si="10"/>
        <v>0</v>
      </c>
      <c r="AA227" s="39" t="str">
        <f t="shared" si="20"/>
        <v>-20 años</v>
      </c>
    </row>
    <row r="228" ht="15.75" customHeight="1">
      <c r="A228" s="60" t="s">
        <v>663</v>
      </c>
      <c r="B228" s="27" t="s">
        <v>56</v>
      </c>
      <c r="C228" s="28" t="s">
        <v>34</v>
      </c>
      <c r="D228" s="61">
        <v>45687.0</v>
      </c>
      <c r="E228" s="27" t="s">
        <v>664</v>
      </c>
      <c r="F228" s="9">
        <f>3597.16*8.37</f>
        <v>30108.2292</v>
      </c>
      <c r="G228" s="27" t="s">
        <v>45</v>
      </c>
      <c r="H228" s="27" t="s">
        <v>94</v>
      </c>
      <c r="I228" s="32">
        <v>45990.0</v>
      </c>
      <c r="J228" s="4"/>
      <c r="K228" s="27" t="s">
        <v>54</v>
      </c>
      <c r="L228" s="45" t="s">
        <v>46</v>
      </c>
      <c r="M228" s="45" t="s">
        <v>101</v>
      </c>
      <c r="N228" s="45" t="s">
        <v>665</v>
      </c>
      <c r="O228" s="45">
        <v>3.312183225E9</v>
      </c>
      <c r="P228" s="34" t="str">
        <f t="shared" si="21"/>
        <v>DARINKA UREÑA CASILLAS</v>
      </c>
      <c r="Q228" s="35" t="str">
        <f>IF(D228="","",VLOOKUP(MONTH(D228),Listas!$C$2:$D$14,2,0))</f>
        <v>Enero</v>
      </c>
      <c r="R228" s="36">
        <f t="shared" si="2"/>
        <v>2025</v>
      </c>
      <c r="S228" s="37">
        <f t="shared" si="3"/>
        <v>30</v>
      </c>
      <c r="T228" s="37">
        <f t="shared" si="14"/>
        <v>30</v>
      </c>
      <c r="U228" s="37">
        <f t="shared" si="15"/>
        <v>1</v>
      </c>
      <c r="V228" s="37">
        <f t="shared" si="16"/>
        <v>29</v>
      </c>
      <c r="W228" s="37">
        <f t="shared" si="17"/>
        <v>29</v>
      </c>
      <c r="X228" s="37">
        <f t="shared" si="18"/>
        <v>11</v>
      </c>
      <c r="Y228" s="37">
        <f t="shared" si="19"/>
        <v>1</v>
      </c>
      <c r="Z228" s="38">
        <f t="shared" si="10"/>
        <v>0</v>
      </c>
      <c r="AA228" s="39" t="str">
        <f t="shared" si="20"/>
        <v>-20 años</v>
      </c>
    </row>
    <row r="229" ht="15.75" customHeight="1">
      <c r="A229" s="60" t="s">
        <v>666</v>
      </c>
      <c r="B229" s="27" t="s">
        <v>56</v>
      </c>
      <c r="C229" s="28" t="s">
        <v>34</v>
      </c>
      <c r="D229" s="61">
        <v>45698.0</v>
      </c>
      <c r="E229" s="27" t="s">
        <v>667</v>
      </c>
      <c r="F229" s="9">
        <f>2450.38*8.38</f>
        <v>20534.1844</v>
      </c>
      <c r="G229" s="27" t="s">
        <v>45</v>
      </c>
      <c r="H229" s="27" t="s">
        <v>58</v>
      </c>
      <c r="I229" s="32">
        <v>46021.0</v>
      </c>
      <c r="J229" s="4"/>
      <c r="K229" s="27" t="s">
        <v>160</v>
      </c>
      <c r="L229" s="45" t="s">
        <v>46</v>
      </c>
      <c r="M229" s="45" t="s">
        <v>101</v>
      </c>
      <c r="N229" s="63" t="s">
        <v>668</v>
      </c>
      <c r="O229" s="45">
        <v>3.317393218E9</v>
      </c>
      <c r="P229" s="34" t="str">
        <f t="shared" si="21"/>
        <v>DARINKA UREÑA CASILLAS</v>
      </c>
      <c r="Q229" s="35" t="str">
        <f>IF(D229="","",VLOOKUP(MONTH(D229),Listas!$C$2:$D$14,2,0))</f>
        <v>Febrero</v>
      </c>
      <c r="R229" s="36">
        <f t="shared" si="2"/>
        <v>2025</v>
      </c>
      <c r="S229" s="37">
        <f t="shared" si="3"/>
        <v>10</v>
      </c>
      <c r="T229" s="37">
        <f t="shared" si="14"/>
        <v>10</v>
      </c>
      <c r="U229" s="37">
        <f t="shared" si="15"/>
        <v>2</v>
      </c>
      <c r="V229" s="37">
        <f t="shared" si="16"/>
        <v>30</v>
      </c>
      <c r="W229" s="37">
        <f t="shared" si="17"/>
        <v>30</v>
      </c>
      <c r="X229" s="37">
        <f t="shared" si="18"/>
        <v>12</v>
      </c>
      <c r="Y229" s="37">
        <f t="shared" si="19"/>
        <v>2</v>
      </c>
      <c r="Z229" s="38">
        <f t="shared" si="10"/>
        <v>0</v>
      </c>
      <c r="AA229" s="39" t="str">
        <f t="shared" si="20"/>
        <v>-20 años</v>
      </c>
    </row>
    <row r="230" ht="15.75" customHeight="1">
      <c r="A230" s="60" t="s">
        <v>669</v>
      </c>
      <c r="B230" s="27" t="s">
        <v>56</v>
      </c>
      <c r="C230" s="28" t="s">
        <v>34</v>
      </c>
      <c r="D230" s="61">
        <v>45700.0</v>
      </c>
      <c r="E230" s="27" t="s">
        <v>670</v>
      </c>
      <c r="F230" s="59">
        <v>19060.26</v>
      </c>
      <c r="G230" s="27" t="s">
        <v>36</v>
      </c>
      <c r="H230" s="27" t="s">
        <v>58</v>
      </c>
      <c r="I230" s="32">
        <v>45966.0</v>
      </c>
      <c r="J230" s="4"/>
      <c r="K230" s="27" t="s">
        <v>160</v>
      </c>
      <c r="L230" s="45" t="s">
        <v>41</v>
      </c>
      <c r="M230" s="45" t="s">
        <v>425</v>
      </c>
      <c r="N230" s="63" t="s">
        <v>671</v>
      </c>
      <c r="O230" s="45">
        <v>3.315196442E9</v>
      </c>
      <c r="P230" s="34" t="str">
        <f t="shared" si="21"/>
        <v>DARINKA UREÑA CASILLAS</v>
      </c>
      <c r="Q230" s="35" t="str">
        <f>IF(D230="","",VLOOKUP(MONTH(D230),Listas!$C$2:$D$14,2,0))</f>
        <v>Febrero</v>
      </c>
      <c r="R230" s="36">
        <f t="shared" si="2"/>
        <v>2025</v>
      </c>
      <c r="S230" s="37">
        <f t="shared" si="3"/>
        <v>12</v>
      </c>
      <c r="T230" s="37">
        <f t="shared" si="14"/>
        <v>12</v>
      </c>
      <c r="U230" s="37">
        <f t="shared" si="15"/>
        <v>2</v>
      </c>
      <c r="V230" s="37">
        <f t="shared" si="16"/>
        <v>5</v>
      </c>
      <c r="W230" s="37">
        <f t="shared" si="17"/>
        <v>5</v>
      </c>
      <c r="X230" s="37">
        <f t="shared" si="18"/>
        <v>11</v>
      </c>
      <c r="Y230" s="37">
        <f t="shared" si="19"/>
        <v>2</v>
      </c>
      <c r="Z230" s="38">
        <f t="shared" si="10"/>
        <v>0</v>
      </c>
      <c r="AA230" s="39" t="str">
        <f t="shared" si="20"/>
        <v>-20 años</v>
      </c>
    </row>
    <row r="231" ht="15.75" customHeight="1">
      <c r="A231" s="60" t="s">
        <v>672</v>
      </c>
      <c r="B231" s="27" t="s">
        <v>56</v>
      </c>
      <c r="C231" s="28" t="s">
        <v>34</v>
      </c>
      <c r="D231" s="61">
        <v>45701.0</v>
      </c>
      <c r="E231" s="27" t="s">
        <v>673</v>
      </c>
      <c r="F231" s="9">
        <f>40462.83</f>
        <v>40462.83</v>
      </c>
      <c r="G231" s="27" t="s">
        <v>674</v>
      </c>
      <c r="H231" s="27" t="s">
        <v>58</v>
      </c>
      <c r="I231" s="32">
        <v>45773.0</v>
      </c>
      <c r="J231" s="4"/>
      <c r="K231" s="27" t="s">
        <v>675</v>
      </c>
      <c r="L231" s="45" t="s">
        <v>41</v>
      </c>
      <c r="M231" s="45" t="s">
        <v>42</v>
      </c>
      <c r="N231" s="45" t="s">
        <v>676</v>
      </c>
      <c r="O231" s="45">
        <v>3.331902987E9</v>
      </c>
      <c r="P231" s="34" t="str">
        <f t="shared" si="21"/>
        <v>DARINKA UREÑA CASILLAS</v>
      </c>
      <c r="Q231" s="35" t="str">
        <f>IF(D231="","",VLOOKUP(MONTH(D231),Listas!$C$2:$D$14,2,0))</f>
        <v>Febrero</v>
      </c>
      <c r="R231" s="36">
        <f t="shared" si="2"/>
        <v>2025</v>
      </c>
      <c r="S231" s="37">
        <f t="shared" si="3"/>
        <v>13</v>
      </c>
      <c r="T231" s="37">
        <f t="shared" si="14"/>
        <v>13</v>
      </c>
      <c r="U231" s="37">
        <f t="shared" si="15"/>
        <v>2</v>
      </c>
      <c r="V231" s="37">
        <f t="shared" si="16"/>
        <v>26</v>
      </c>
      <c r="W231" s="37">
        <f t="shared" si="17"/>
        <v>26</v>
      </c>
      <c r="X231" s="37">
        <f t="shared" si="18"/>
        <v>4</v>
      </c>
      <c r="Y231" s="37">
        <f t="shared" si="19"/>
        <v>2</v>
      </c>
      <c r="Z231" s="38">
        <f t="shared" si="10"/>
        <v>1</v>
      </c>
      <c r="AA231" s="39" t="str">
        <f t="shared" si="20"/>
        <v>-20 años</v>
      </c>
    </row>
    <row r="232" ht="15.75" customHeight="1">
      <c r="A232" s="26" t="s">
        <v>677</v>
      </c>
      <c r="B232" s="27" t="s">
        <v>607</v>
      </c>
      <c r="C232" s="28" t="s">
        <v>34</v>
      </c>
      <c r="D232" s="61">
        <v>45708.0</v>
      </c>
      <c r="E232" s="30" t="s">
        <v>678</v>
      </c>
      <c r="F232" s="9">
        <f>1927.83*12</f>
        <v>23133.96</v>
      </c>
      <c r="G232" s="27" t="s">
        <v>674</v>
      </c>
      <c r="H232" s="27" t="s">
        <v>37</v>
      </c>
      <c r="I232" s="32">
        <v>45834.0</v>
      </c>
      <c r="J232" s="4"/>
      <c r="K232" s="27" t="s">
        <v>675</v>
      </c>
      <c r="L232" s="45" t="s">
        <v>41</v>
      </c>
      <c r="M232" s="45" t="s">
        <v>51</v>
      </c>
      <c r="N232" s="45" t="s">
        <v>679</v>
      </c>
      <c r="O232" s="45">
        <v>3.326692247E9</v>
      </c>
      <c r="P232" s="34" t="str">
        <f t="shared" si="21"/>
        <v>DARINKA UREÑA CASILLAS</v>
      </c>
      <c r="Q232" s="35" t="str">
        <f>IF(D232="","",VLOOKUP(MONTH(D232),Listas!$C$2:$D$14,2,0))</f>
        <v>Febrero</v>
      </c>
      <c r="R232" s="36">
        <f t="shared" si="2"/>
        <v>2025</v>
      </c>
      <c r="S232" s="37">
        <f t="shared" si="3"/>
        <v>20</v>
      </c>
      <c r="T232" s="37">
        <f t="shared" si="14"/>
        <v>20</v>
      </c>
      <c r="U232" s="37">
        <f t="shared" si="15"/>
        <v>2</v>
      </c>
      <c r="V232" s="37">
        <f t="shared" si="16"/>
        <v>26</v>
      </c>
      <c r="W232" s="37">
        <f t="shared" si="17"/>
        <v>26</v>
      </c>
      <c r="X232" s="37">
        <f t="shared" si="18"/>
        <v>6</v>
      </c>
      <c r="Y232" s="37">
        <f t="shared" si="19"/>
        <v>2</v>
      </c>
      <c r="Z232" s="38">
        <f t="shared" si="10"/>
        <v>0</v>
      </c>
      <c r="AA232" s="39" t="str">
        <f t="shared" si="20"/>
        <v>-20 años</v>
      </c>
    </row>
    <row r="233" ht="15.75" customHeight="1">
      <c r="A233" s="60" t="s">
        <v>377</v>
      </c>
      <c r="B233" s="27" t="s">
        <v>607</v>
      </c>
      <c r="C233" s="28" t="s">
        <v>34</v>
      </c>
      <c r="D233" s="61">
        <v>45714.0</v>
      </c>
      <c r="E233" s="27" t="s">
        <v>680</v>
      </c>
      <c r="F233" s="9">
        <f>4304.75*8.4</f>
        <v>36159.9</v>
      </c>
      <c r="G233" s="27" t="s">
        <v>45</v>
      </c>
      <c r="H233" s="27" t="s">
        <v>50</v>
      </c>
      <c r="I233" s="32">
        <v>44597.0</v>
      </c>
      <c r="J233" s="5"/>
      <c r="K233" s="30" t="s">
        <v>675</v>
      </c>
      <c r="L233" s="30" t="s">
        <v>46</v>
      </c>
      <c r="M233" s="30" t="s">
        <v>101</v>
      </c>
      <c r="N233" s="33" t="s">
        <v>379</v>
      </c>
      <c r="O233" s="30">
        <v>6.371150054E9</v>
      </c>
      <c r="P233" s="34" t="str">
        <f t="shared" si="21"/>
        <v>DARINKA UREÑA CASILLAS</v>
      </c>
      <c r="Q233" s="35" t="str">
        <f>IF(D233="","",VLOOKUP(MONTH(D233),Listas!$C$2:$D$14,2,0))</f>
        <v>Febrero</v>
      </c>
      <c r="R233" s="36">
        <f t="shared" si="2"/>
        <v>2025</v>
      </c>
      <c r="S233" s="37">
        <f t="shared" si="3"/>
        <v>26</v>
      </c>
      <c r="T233" s="37">
        <f t="shared" si="14"/>
        <v>26</v>
      </c>
      <c r="U233" s="37">
        <f t="shared" si="15"/>
        <v>2</v>
      </c>
      <c r="V233" s="37">
        <f t="shared" si="16"/>
        <v>5</v>
      </c>
      <c r="W233" s="37">
        <f t="shared" si="17"/>
        <v>5</v>
      </c>
      <c r="X233" s="37">
        <f t="shared" si="18"/>
        <v>2</v>
      </c>
      <c r="Y233" s="37">
        <f t="shared" si="19"/>
        <v>2</v>
      </c>
      <c r="Z233" s="38">
        <f t="shared" si="10"/>
        <v>4</v>
      </c>
      <c r="AA233" s="39" t="str">
        <f t="shared" si="20"/>
        <v>-20 años</v>
      </c>
    </row>
    <row r="234" ht="15.75" customHeight="1">
      <c r="A234" s="26" t="s">
        <v>104</v>
      </c>
      <c r="B234" s="27" t="s">
        <v>56</v>
      </c>
      <c r="C234" s="28" t="s">
        <v>34</v>
      </c>
      <c r="D234" s="61">
        <v>45714.0</v>
      </c>
      <c r="E234" s="30" t="s">
        <v>681</v>
      </c>
      <c r="F234" s="44">
        <v>22216.27</v>
      </c>
      <c r="G234" s="30" t="s">
        <v>36</v>
      </c>
      <c r="H234" s="30" t="s">
        <v>58</v>
      </c>
      <c r="I234" s="30" t="s">
        <v>106</v>
      </c>
      <c r="J234" s="5"/>
      <c r="K234" s="30" t="s">
        <v>675</v>
      </c>
      <c r="L234" s="30" t="s">
        <v>41</v>
      </c>
      <c r="M234" s="30" t="s">
        <v>42</v>
      </c>
      <c r="N234" s="33" t="s">
        <v>107</v>
      </c>
      <c r="O234" s="30">
        <v>3.313875424E9</v>
      </c>
      <c r="P234" s="34" t="str">
        <f t="shared" si="21"/>
        <v>DARINKA UREÑA CASILLAS</v>
      </c>
      <c r="Q234" s="35" t="str">
        <f>IF(D234="","",VLOOKUP(MONTH(D234),Listas!$C$2:$D$14,2,0))</f>
        <v>Febrero</v>
      </c>
      <c r="R234" s="36">
        <f t="shared" si="2"/>
        <v>2025</v>
      </c>
      <c r="S234" s="37">
        <f t="shared" si="3"/>
        <v>26</v>
      </c>
      <c r="T234" s="37">
        <f t="shared" si="14"/>
        <v>26</v>
      </c>
      <c r="U234" s="37">
        <f t="shared" si="15"/>
        <v>2</v>
      </c>
      <c r="V234" s="37">
        <f t="shared" si="16"/>
        <v>17</v>
      </c>
      <c r="W234" s="37">
        <f t="shared" si="17"/>
        <v>17</v>
      </c>
      <c r="X234" s="37">
        <f t="shared" si="18"/>
        <v>9</v>
      </c>
      <c r="Y234" s="37">
        <f t="shared" si="19"/>
        <v>2</v>
      </c>
      <c r="Z234" s="38">
        <f t="shared" si="10"/>
        <v>0</v>
      </c>
      <c r="AA234" s="39" t="str">
        <f t="shared" si="20"/>
        <v>-20 años</v>
      </c>
    </row>
    <row r="235" ht="15.75" customHeight="1">
      <c r="A235" s="26" t="s">
        <v>285</v>
      </c>
      <c r="B235" s="27" t="s">
        <v>56</v>
      </c>
      <c r="C235" s="28" t="s">
        <v>34</v>
      </c>
      <c r="D235" s="29">
        <v>45715.0</v>
      </c>
      <c r="E235" s="30" t="s">
        <v>682</v>
      </c>
      <c r="F235" s="44">
        <v>19492.49</v>
      </c>
      <c r="G235" s="30" t="s">
        <v>36</v>
      </c>
      <c r="H235" s="30" t="s">
        <v>58</v>
      </c>
      <c r="I235" s="32">
        <v>44595.0</v>
      </c>
      <c r="J235" s="5"/>
      <c r="K235" s="30" t="s">
        <v>54</v>
      </c>
      <c r="L235" s="30" t="s">
        <v>41</v>
      </c>
      <c r="M235" s="30" t="s">
        <v>51</v>
      </c>
      <c r="N235" s="33" t="s">
        <v>287</v>
      </c>
      <c r="O235" s="30">
        <v>3.312952384E9</v>
      </c>
      <c r="P235" s="34" t="str">
        <f t="shared" si="21"/>
        <v>DARINKA UREÑA CASILLAS</v>
      </c>
      <c r="Q235" s="35" t="str">
        <f>IF(D235="","",VLOOKUP(MONTH(D235),Listas!$C$2:$D$14,2,0))</f>
        <v>Febrero</v>
      </c>
      <c r="R235" s="36">
        <f t="shared" si="2"/>
        <v>2025</v>
      </c>
      <c r="S235" s="37">
        <f t="shared" si="3"/>
        <v>27</v>
      </c>
      <c r="T235" s="37">
        <f t="shared" si="14"/>
        <v>27</v>
      </c>
      <c r="U235" s="37">
        <f t="shared" si="15"/>
        <v>2</v>
      </c>
      <c r="V235" s="37">
        <f t="shared" si="16"/>
        <v>3</v>
      </c>
      <c r="W235" s="37">
        <f t="shared" si="17"/>
        <v>3</v>
      </c>
      <c r="X235" s="37">
        <f t="shared" si="18"/>
        <v>2</v>
      </c>
      <c r="Y235" s="37">
        <f t="shared" si="19"/>
        <v>2</v>
      </c>
      <c r="Z235" s="38">
        <f t="shared" si="10"/>
        <v>4</v>
      </c>
      <c r="AA235" s="39" t="str">
        <f t="shared" si="20"/>
        <v>-20 años</v>
      </c>
    </row>
    <row r="236" ht="15.75" customHeight="1">
      <c r="A236" s="60" t="s">
        <v>683</v>
      </c>
      <c r="B236" s="27" t="s">
        <v>56</v>
      </c>
      <c r="C236" s="28" t="s">
        <v>34</v>
      </c>
      <c r="D236" s="61">
        <v>45712.0</v>
      </c>
      <c r="E236" s="27" t="s">
        <v>684</v>
      </c>
      <c r="F236" s="9">
        <f>188.7*12*8.4</f>
        <v>19020.96</v>
      </c>
      <c r="G236" s="27" t="s">
        <v>45</v>
      </c>
      <c r="H236" s="27" t="s">
        <v>37</v>
      </c>
      <c r="I236" s="32">
        <v>45801.0</v>
      </c>
      <c r="J236" s="4"/>
      <c r="K236" s="27" t="s">
        <v>40</v>
      </c>
      <c r="L236" s="45" t="s">
        <v>46</v>
      </c>
      <c r="M236" s="45" t="s">
        <v>47</v>
      </c>
      <c r="N236" s="45" t="s">
        <v>685</v>
      </c>
      <c r="O236" s="45"/>
      <c r="P236" s="34" t="str">
        <f t="shared" si="21"/>
        <v>DARINKA UREÑA CASILLAS</v>
      </c>
      <c r="Q236" s="35" t="str">
        <f>IF(D236="","",VLOOKUP(MONTH(D236),Listas!$C$2:$D$14,2,0))</f>
        <v>Febrero</v>
      </c>
      <c r="R236" s="36">
        <f t="shared" si="2"/>
        <v>2025</v>
      </c>
      <c r="S236" s="37">
        <f t="shared" si="3"/>
        <v>24</v>
      </c>
      <c r="T236" s="37">
        <f t="shared" si="14"/>
        <v>24</v>
      </c>
      <c r="U236" s="37">
        <f t="shared" si="15"/>
        <v>2</v>
      </c>
      <c r="V236" s="37">
        <f t="shared" si="16"/>
        <v>24</v>
      </c>
      <c r="W236" s="37">
        <f t="shared" si="17"/>
        <v>24</v>
      </c>
      <c r="X236" s="37">
        <f t="shared" si="18"/>
        <v>5</v>
      </c>
      <c r="Y236" s="37">
        <f t="shared" si="19"/>
        <v>2</v>
      </c>
      <c r="Z236" s="38">
        <f t="shared" si="10"/>
        <v>0</v>
      </c>
      <c r="AA236" s="39" t="str">
        <f t="shared" si="20"/>
        <v>-20 años</v>
      </c>
    </row>
    <row r="237" ht="15.75" customHeight="1">
      <c r="A237" s="60" t="s">
        <v>686</v>
      </c>
      <c r="B237" s="27" t="s">
        <v>607</v>
      </c>
      <c r="C237" s="28" t="s">
        <v>34</v>
      </c>
      <c r="D237" s="61">
        <v>45715.0</v>
      </c>
      <c r="E237" s="27" t="s">
        <v>687</v>
      </c>
      <c r="F237" s="9">
        <f>197.18*8.4*12</f>
        <v>19875.744</v>
      </c>
      <c r="G237" s="27" t="s">
        <v>45</v>
      </c>
      <c r="H237" s="27" t="s">
        <v>37</v>
      </c>
      <c r="I237" s="32">
        <v>45884.0</v>
      </c>
      <c r="J237" s="4"/>
      <c r="K237" s="27" t="s">
        <v>40</v>
      </c>
      <c r="L237" s="45" t="s">
        <v>46</v>
      </c>
      <c r="M237" s="45" t="s">
        <v>688</v>
      </c>
      <c r="N237" s="45" t="s">
        <v>689</v>
      </c>
      <c r="O237" s="45"/>
      <c r="P237" s="34" t="str">
        <f t="shared" si="21"/>
        <v>DARINKA UREÑA CASILLAS</v>
      </c>
      <c r="Q237" s="35" t="str">
        <f>IF(D237="","",VLOOKUP(MONTH(D237),Listas!$C$2:$D$14,2,0))</f>
        <v>Febrero</v>
      </c>
      <c r="R237" s="36">
        <f t="shared" si="2"/>
        <v>2025</v>
      </c>
      <c r="S237" s="37">
        <f t="shared" si="3"/>
        <v>27</v>
      </c>
      <c r="T237" s="37">
        <f t="shared" si="14"/>
        <v>27</v>
      </c>
      <c r="U237" s="37">
        <f t="shared" si="15"/>
        <v>2</v>
      </c>
      <c r="V237" s="37">
        <f t="shared" si="16"/>
        <v>15</v>
      </c>
      <c r="W237" s="37">
        <f t="shared" si="17"/>
        <v>15</v>
      </c>
      <c r="X237" s="37">
        <f t="shared" si="18"/>
        <v>8</v>
      </c>
      <c r="Y237" s="37">
        <f t="shared" si="19"/>
        <v>2</v>
      </c>
      <c r="Z237" s="38">
        <f t="shared" si="10"/>
        <v>0</v>
      </c>
      <c r="AA237" s="39" t="str">
        <f t="shared" si="20"/>
        <v>-20 años</v>
      </c>
    </row>
    <row r="238" ht="15.75" customHeight="1">
      <c r="A238" s="60" t="s">
        <v>690</v>
      </c>
      <c r="B238" s="27" t="s">
        <v>607</v>
      </c>
      <c r="C238" s="28" t="s">
        <v>34</v>
      </c>
      <c r="D238" s="61">
        <v>45731.0</v>
      </c>
      <c r="E238" s="27" t="s">
        <v>691</v>
      </c>
      <c r="F238" s="59">
        <v>25983.41</v>
      </c>
      <c r="G238" s="27" t="s">
        <v>36</v>
      </c>
      <c r="H238" s="27" t="s">
        <v>58</v>
      </c>
      <c r="I238" s="32">
        <v>45948.0</v>
      </c>
      <c r="J238" s="4"/>
      <c r="K238" s="27" t="s">
        <v>54</v>
      </c>
      <c r="L238" s="45" t="s">
        <v>41</v>
      </c>
      <c r="M238" s="45" t="s">
        <v>42</v>
      </c>
      <c r="N238" s="45" t="s">
        <v>692</v>
      </c>
      <c r="O238" s="45">
        <v>5.549075655E9</v>
      </c>
      <c r="P238" s="34" t="str">
        <f t="shared" si="21"/>
        <v>DARINKA UREÑA CASILLAS</v>
      </c>
      <c r="Q238" s="35" t="str">
        <f>IF(D238="","",VLOOKUP(MONTH(D238),Listas!$C$2:$D$14,2,0))</f>
        <v>Marzo</v>
      </c>
      <c r="R238" s="36">
        <f t="shared" si="2"/>
        <v>2025</v>
      </c>
      <c r="S238" s="37">
        <f t="shared" si="3"/>
        <v>15</v>
      </c>
      <c r="T238" s="37">
        <f t="shared" si="14"/>
        <v>15</v>
      </c>
      <c r="U238" s="37">
        <f t="shared" si="15"/>
        <v>3</v>
      </c>
      <c r="V238" s="37">
        <f t="shared" si="16"/>
        <v>18</v>
      </c>
      <c r="W238" s="37">
        <f t="shared" si="17"/>
        <v>18</v>
      </c>
      <c r="X238" s="37">
        <f t="shared" si="18"/>
        <v>10</v>
      </c>
      <c r="Y238" s="37">
        <f t="shared" si="19"/>
        <v>3</v>
      </c>
      <c r="Z238" s="38">
        <f t="shared" si="10"/>
        <v>0</v>
      </c>
      <c r="AA238" s="39" t="str">
        <f t="shared" si="20"/>
        <v>-20 años</v>
      </c>
    </row>
    <row r="239" ht="15.75" customHeight="1">
      <c r="A239" s="60" t="s">
        <v>173</v>
      </c>
      <c r="B239" s="27" t="s">
        <v>607</v>
      </c>
      <c r="C239" s="28" t="s">
        <v>34</v>
      </c>
      <c r="D239" s="61">
        <v>45775.0</v>
      </c>
      <c r="E239" s="27" t="s">
        <v>693</v>
      </c>
      <c r="F239" s="9">
        <f>5942.45*8.45</f>
        <v>50213.7025</v>
      </c>
      <c r="G239" s="27" t="s">
        <v>45</v>
      </c>
      <c r="H239" s="27" t="s">
        <v>58</v>
      </c>
      <c r="I239" s="32">
        <v>32957.0</v>
      </c>
      <c r="J239" s="4"/>
      <c r="K239" s="27" t="s">
        <v>110</v>
      </c>
      <c r="L239" s="45" t="s">
        <v>46</v>
      </c>
      <c r="M239" s="45" t="s">
        <v>548</v>
      </c>
      <c r="N239" s="45" t="s">
        <v>694</v>
      </c>
      <c r="O239" s="45"/>
      <c r="P239" s="34" t="str">
        <f t="shared" si="21"/>
        <v>DARINKA UREÑA CASILLAS</v>
      </c>
      <c r="Q239" s="35" t="str">
        <f>IF(D239="","",VLOOKUP(MONTH(D239),Listas!$C$2:$D$14,2,0))</f>
        <v>Abril</v>
      </c>
      <c r="R239" s="36">
        <f t="shared" si="2"/>
        <v>2025</v>
      </c>
      <c r="S239" s="37">
        <f t="shared" si="3"/>
        <v>28</v>
      </c>
      <c r="T239" s="37">
        <f t="shared" si="14"/>
        <v>28</v>
      </c>
      <c r="U239" s="37">
        <f t="shared" si="15"/>
        <v>4</v>
      </c>
      <c r="V239" s="37">
        <f t="shared" si="16"/>
        <v>25</v>
      </c>
      <c r="W239" s="37">
        <f t="shared" si="17"/>
        <v>25</v>
      </c>
      <c r="X239" s="37">
        <f t="shared" si="18"/>
        <v>3</v>
      </c>
      <c r="Y239" s="37">
        <f t="shared" si="19"/>
        <v>4</v>
      </c>
      <c r="Z239" s="38">
        <f t="shared" si="10"/>
        <v>36</v>
      </c>
      <c r="AA239" s="39" t="str">
        <f t="shared" si="20"/>
        <v>20-39 años</v>
      </c>
    </row>
    <row r="240" ht="15.75" customHeight="1">
      <c r="A240" s="60" t="s">
        <v>695</v>
      </c>
      <c r="B240" s="27" t="s">
        <v>56</v>
      </c>
      <c r="C240" s="28" t="s">
        <v>34</v>
      </c>
      <c r="D240" s="61">
        <v>45775.0</v>
      </c>
      <c r="E240" s="27" t="s">
        <v>696</v>
      </c>
      <c r="F240" s="9">
        <f>5991.79*8.45</f>
        <v>50630.6255</v>
      </c>
      <c r="G240" s="27" t="s">
        <v>45</v>
      </c>
      <c r="H240" s="27" t="s">
        <v>58</v>
      </c>
      <c r="I240" s="32">
        <v>36075.0</v>
      </c>
      <c r="J240" s="4"/>
      <c r="K240" s="27" t="s">
        <v>54</v>
      </c>
      <c r="L240" s="45" t="s">
        <v>46</v>
      </c>
      <c r="M240" s="45" t="s">
        <v>548</v>
      </c>
      <c r="N240" s="45" t="s">
        <v>697</v>
      </c>
      <c r="O240" s="45"/>
      <c r="P240" s="34" t="str">
        <f t="shared" si="21"/>
        <v>DARINKA UREÑA CASILLAS</v>
      </c>
      <c r="Q240" s="35" t="str">
        <f>IF(D240="","",VLOOKUP(MONTH(D240),Listas!$C$2:$D$14,2,0))</f>
        <v>Abril</v>
      </c>
      <c r="R240" s="36">
        <f t="shared" si="2"/>
        <v>2025</v>
      </c>
      <c r="S240" s="37">
        <f t="shared" si="3"/>
        <v>28</v>
      </c>
      <c r="T240" s="37">
        <f t="shared" si="14"/>
        <v>28</v>
      </c>
      <c r="U240" s="37">
        <f t="shared" si="15"/>
        <v>4</v>
      </c>
      <c r="V240" s="37">
        <f t="shared" si="16"/>
        <v>7</v>
      </c>
      <c r="W240" s="37">
        <f t="shared" si="17"/>
        <v>7</v>
      </c>
      <c r="X240" s="37">
        <f t="shared" si="18"/>
        <v>10</v>
      </c>
      <c r="Y240" s="37">
        <f t="shared" si="19"/>
        <v>4</v>
      </c>
      <c r="Z240" s="38">
        <f t="shared" si="10"/>
        <v>27</v>
      </c>
      <c r="AA240" s="39" t="str">
        <f t="shared" si="20"/>
        <v>20-39 años</v>
      </c>
    </row>
    <row r="241" ht="15.75" customHeight="1">
      <c r="A241" s="60" t="s">
        <v>698</v>
      </c>
      <c r="B241" s="27" t="s">
        <v>607</v>
      </c>
      <c r="C241" s="28" t="s">
        <v>34</v>
      </c>
      <c r="D241" s="61">
        <v>43238.0</v>
      </c>
      <c r="E241" s="27" t="s">
        <v>699</v>
      </c>
      <c r="F241" s="9">
        <f>(12397.2+3523)*8.46</f>
        <v>134684.892</v>
      </c>
      <c r="G241" s="27" t="s">
        <v>45</v>
      </c>
      <c r="H241" s="27" t="s">
        <v>37</v>
      </c>
      <c r="I241" s="32">
        <v>45829.0</v>
      </c>
      <c r="J241" s="4"/>
      <c r="K241" s="27" t="s">
        <v>644</v>
      </c>
      <c r="L241" s="45" t="s">
        <v>46</v>
      </c>
      <c r="M241" s="45" t="s">
        <v>101</v>
      </c>
      <c r="N241" s="45" t="s">
        <v>700</v>
      </c>
      <c r="O241" s="45">
        <v>3.336051229E9</v>
      </c>
      <c r="P241" s="34" t="str">
        <f t="shared" si="21"/>
        <v>DARINKA UREÑA CASILLAS</v>
      </c>
      <c r="Q241" s="35" t="str">
        <f>IF(D241="","",VLOOKUP(MONTH(D241),Listas!$C$2:$D$14,2,0))</f>
        <v>Mayo</v>
      </c>
      <c r="R241" s="36">
        <f t="shared" si="2"/>
        <v>2018</v>
      </c>
      <c r="S241" s="37">
        <f t="shared" si="3"/>
        <v>18</v>
      </c>
      <c r="T241" s="37">
        <f t="shared" si="14"/>
        <v>18</v>
      </c>
      <c r="U241" s="37">
        <f t="shared" si="15"/>
        <v>5</v>
      </c>
      <c r="V241" s="37">
        <f t="shared" si="16"/>
        <v>21</v>
      </c>
      <c r="W241" s="37">
        <f t="shared" si="17"/>
        <v>21</v>
      </c>
      <c r="X241" s="37">
        <f t="shared" si="18"/>
        <v>6</v>
      </c>
      <c r="Y241" s="37">
        <f t="shared" si="19"/>
        <v>5</v>
      </c>
      <c r="Z241" s="38">
        <f t="shared" si="10"/>
        <v>0</v>
      </c>
      <c r="AA241" s="39" t="str">
        <f t="shared" si="20"/>
        <v>-20 años</v>
      </c>
    </row>
    <row r="242" ht="15.75" customHeight="1">
      <c r="A242" s="60" t="s">
        <v>347</v>
      </c>
      <c r="B242" s="27" t="s">
        <v>607</v>
      </c>
      <c r="C242" s="28" t="s">
        <v>34</v>
      </c>
      <c r="D242" s="61">
        <v>45798.0</v>
      </c>
      <c r="E242" s="27" t="s">
        <v>701</v>
      </c>
      <c r="F242" s="9">
        <f>4210.5*8.46</f>
        <v>35620.83</v>
      </c>
      <c r="G242" s="27" t="s">
        <v>45</v>
      </c>
      <c r="H242" s="27" t="s">
        <v>58</v>
      </c>
      <c r="I242" s="32">
        <v>45847.0</v>
      </c>
      <c r="J242" s="4"/>
      <c r="K242" s="27" t="s">
        <v>54</v>
      </c>
      <c r="L242" s="45" t="s">
        <v>46</v>
      </c>
      <c r="M242" s="45" t="s">
        <v>101</v>
      </c>
      <c r="N242" s="45" t="s">
        <v>702</v>
      </c>
      <c r="O242" s="30">
        <v>3.310654457E9</v>
      </c>
      <c r="P242" s="34" t="str">
        <f t="shared" si="21"/>
        <v>DARINKA UREÑA CASILLAS</v>
      </c>
      <c r="Q242" s="35" t="str">
        <f>IF(D242="","",VLOOKUP(MONTH(D242),Listas!$C$2:$D$14,2,0))</f>
        <v>Mayo</v>
      </c>
      <c r="R242" s="36">
        <f t="shared" si="2"/>
        <v>2025</v>
      </c>
      <c r="S242" s="37">
        <f t="shared" si="3"/>
        <v>21</v>
      </c>
      <c r="T242" s="37">
        <f t="shared" si="14"/>
        <v>21</v>
      </c>
      <c r="U242" s="37">
        <f t="shared" si="15"/>
        <v>5</v>
      </c>
      <c r="V242" s="37">
        <f t="shared" si="16"/>
        <v>9</v>
      </c>
      <c r="W242" s="37">
        <f t="shared" si="17"/>
        <v>9</v>
      </c>
      <c r="X242" s="37">
        <f t="shared" si="18"/>
        <v>7</v>
      </c>
      <c r="Y242" s="37">
        <f t="shared" si="19"/>
        <v>5</v>
      </c>
      <c r="Z242" s="38">
        <f t="shared" si="10"/>
        <v>0</v>
      </c>
      <c r="AA242" s="39" t="str">
        <f t="shared" si="20"/>
        <v>-20 años</v>
      </c>
    </row>
    <row r="243" ht="15.75" customHeight="1">
      <c r="A243" s="60" t="s">
        <v>698</v>
      </c>
      <c r="B243" s="27" t="s">
        <v>607</v>
      </c>
      <c r="C243" s="28" t="s">
        <v>34</v>
      </c>
      <c r="D243" s="61">
        <v>40109.0</v>
      </c>
      <c r="E243" s="27" t="s">
        <v>703</v>
      </c>
      <c r="F243" s="59">
        <f>66929.62*2</f>
        <v>133859.24</v>
      </c>
      <c r="G243" s="27" t="s">
        <v>36</v>
      </c>
      <c r="H243" s="27" t="s">
        <v>50</v>
      </c>
      <c r="I243" s="32">
        <v>45829.0</v>
      </c>
      <c r="J243" s="4"/>
      <c r="K243" s="27" t="s">
        <v>110</v>
      </c>
      <c r="L243" s="45" t="s">
        <v>41</v>
      </c>
      <c r="M243" s="45" t="s">
        <v>42</v>
      </c>
      <c r="N243" s="45" t="s">
        <v>700</v>
      </c>
      <c r="O243" s="45">
        <v>3.336051229E9</v>
      </c>
      <c r="P243" s="34" t="str">
        <f t="shared" si="21"/>
        <v>DARINKA UREÑA CASILLAS</v>
      </c>
      <c r="Q243" s="35" t="str">
        <f>IF(D243="","",VLOOKUP(MONTH(D243),Listas!$C$2:$D$14,2,0))</f>
        <v>Octubre</v>
      </c>
      <c r="R243" s="36">
        <f t="shared" si="2"/>
        <v>2009</v>
      </c>
      <c r="S243" s="37">
        <f t="shared" si="3"/>
        <v>23</v>
      </c>
      <c r="T243" s="37">
        <f t="shared" si="14"/>
        <v>23</v>
      </c>
      <c r="U243" s="37">
        <f t="shared" si="15"/>
        <v>10</v>
      </c>
      <c r="V243" s="37">
        <f t="shared" si="16"/>
        <v>21</v>
      </c>
      <c r="W243" s="37">
        <f t="shared" si="17"/>
        <v>21</v>
      </c>
      <c r="X243" s="37">
        <f t="shared" si="18"/>
        <v>6</v>
      </c>
      <c r="Y243" s="37">
        <f t="shared" si="19"/>
        <v>10</v>
      </c>
      <c r="Z243" s="38">
        <f t="shared" si="10"/>
        <v>0</v>
      </c>
      <c r="AA243" s="39" t="str">
        <f t="shared" si="20"/>
        <v>-20 años</v>
      </c>
    </row>
    <row r="244" ht="15.75" customHeight="1">
      <c r="A244" s="60" t="s">
        <v>704</v>
      </c>
      <c r="B244" s="27" t="s">
        <v>56</v>
      </c>
      <c r="C244" s="28" t="s">
        <v>34</v>
      </c>
      <c r="D244" s="61">
        <v>45819.0</v>
      </c>
      <c r="E244" s="27" t="s">
        <v>705</v>
      </c>
      <c r="F244" s="9">
        <f>18456.78*8.48</f>
        <v>156513.4944</v>
      </c>
      <c r="G244" s="27" t="s">
        <v>45</v>
      </c>
      <c r="H244" s="27" t="s">
        <v>37</v>
      </c>
      <c r="I244" s="32">
        <v>45867.0</v>
      </c>
      <c r="J244" s="4"/>
      <c r="K244" s="27" t="s">
        <v>40</v>
      </c>
      <c r="L244" s="45" t="s">
        <v>46</v>
      </c>
      <c r="M244" s="45" t="s">
        <v>101</v>
      </c>
      <c r="N244" s="45" t="s">
        <v>706</v>
      </c>
      <c r="O244" s="45"/>
      <c r="P244" s="34" t="str">
        <f t="shared" si="21"/>
        <v>DARINKA UREÑA CASILLAS</v>
      </c>
      <c r="Q244" s="35" t="str">
        <f>IF(D244="","",VLOOKUP(MONTH(D244),Listas!$C$2:$D$14,2,0))</f>
        <v>Junio</v>
      </c>
      <c r="R244" s="36">
        <f t="shared" si="2"/>
        <v>2025</v>
      </c>
      <c r="S244" s="37">
        <f t="shared" si="3"/>
        <v>11</v>
      </c>
      <c r="T244" s="37">
        <f t="shared" si="14"/>
        <v>11</v>
      </c>
      <c r="U244" s="37">
        <f t="shared" si="15"/>
        <v>6</v>
      </c>
      <c r="V244" s="37">
        <f t="shared" si="16"/>
        <v>29</v>
      </c>
      <c r="W244" s="37">
        <f t="shared" si="17"/>
        <v>29</v>
      </c>
      <c r="X244" s="37">
        <f t="shared" si="18"/>
        <v>7</v>
      </c>
      <c r="Y244" s="37">
        <f t="shared" si="19"/>
        <v>6</v>
      </c>
      <c r="Z244" s="38">
        <f t="shared" si="10"/>
        <v>0</v>
      </c>
      <c r="AA244" s="39" t="str">
        <f t="shared" si="20"/>
        <v>-20 años</v>
      </c>
    </row>
    <row r="245" ht="15.75" customHeight="1">
      <c r="A245" s="60" t="s">
        <v>707</v>
      </c>
      <c r="B245" s="27" t="s">
        <v>607</v>
      </c>
      <c r="C245" s="28" t="s">
        <v>34</v>
      </c>
      <c r="D245" s="73">
        <v>45826.0</v>
      </c>
      <c r="E245" s="72" t="s">
        <v>708</v>
      </c>
      <c r="F245" s="9">
        <f>3407.89*8.48</f>
        <v>28898.9072</v>
      </c>
      <c r="G245" s="27" t="s">
        <v>45</v>
      </c>
      <c r="H245" s="27" t="s">
        <v>58</v>
      </c>
      <c r="I245" s="32">
        <v>45699.0</v>
      </c>
      <c r="J245" s="4"/>
      <c r="K245" s="27" t="s">
        <v>40</v>
      </c>
      <c r="L245" s="45" t="s">
        <v>46</v>
      </c>
      <c r="M245" s="45" t="s">
        <v>101</v>
      </c>
      <c r="N245" s="63" t="s">
        <v>446</v>
      </c>
      <c r="O245" s="45">
        <v>3.412052997E9</v>
      </c>
      <c r="P245" s="34" t="str">
        <f t="shared" si="21"/>
        <v>DARINKA UREÑA CASILLAS</v>
      </c>
      <c r="Q245" s="35" t="str">
        <f>IF(D245="","",VLOOKUP(MONTH(D245),Listas!$C$2:$D$14,2,0))</f>
        <v>Junio</v>
      </c>
      <c r="R245" s="36">
        <f t="shared" si="2"/>
        <v>2025</v>
      </c>
      <c r="S245" s="37">
        <f t="shared" si="3"/>
        <v>18</v>
      </c>
      <c r="T245" s="37">
        <f t="shared" si="14"/>
        <v>18</v>
      </c>
      <c r="U245" s="37">
        <f t="shared" si="15"/>
        <v>6</v>
      </c>
      <c r="V245" s="37">
        <f t="shared" si="16"/>
        <v>11</v>
      </c>
      <c r="W245" s="37">
        <f t="shared" si="17"/>
        <v>11</v>
      </c>
      <c r="X245" s="37">
        <f t="shared" si="18"/>
        <v>2</v>
      </c>
      <c r="Y245" s="37">
        <f t="shared" si="19"/>
        <v>6</v>
      </c>
      <c r="Z245" s="38">
        <f t="shared" si="10"/>
        <v>1</v>
      </c>
      <c r="AA245" s="39" t="str">
        <f t="shared" si="20"/>
        <v>-20 años</v>
      </c>
    </row>
    <row r="246" ht="15.75" customHeight="1">
      <c r="A246" s="60" t="s">
        <v>709</v>
      </c>
      <c r="B246" s="27" t="s">
        <v>56</v>
      </c>
      <c r="C246" s="28" t="s">
        <v>34</v>
      </c>
      <c r="D246" s="61">
        <v>45858.0</v>
      </c>
      <c r="E246" s="27" t="s">
        <v>710</v>
      </c>
      <c r="F246" s="9">
        <f>6072.77*8.51</f>
        <v>51679.2727</v>
      </c>
      <c r="G246" s="27" t="s">
        <v>45</v>
      </c>
      <c r="H246" s="27" t="s">
        <v>58</v>
      </c>
      <c r="I246" s="32">
        <v>45920.0</v>
      </c>
      <c r="J246" s="4"/>
      <c r="K246" s="27" t="s">
        <v>54</v>
      </c>
      <c r="L246" s="45" t="s">
        <v>46</v>
      </c>
      <c r="M246" s="45" t="s">
        <v>711</v>
      </c>
      <c r="N246" s="45" t="s">
        <v>712</v>
      </c>
      <c r="O246" s="45">
        <v>2.225223793E9</v>
      </c>
      <c r="P246" s="34" t="str">
        <f t="shared" si="21"/>
        <v>DARINKA UREÑA CASILLAS</v>
      </c>
      <c r="Q246" s="35" t="str">
        <f>IF(D246="","",VLOOKUP(MONTH(D246),Listas!$C$2:$D$14,2,0))</f>
        <v>Julio</v>
      </c>
      <c r="R246" s="36">
        <f t="shared" si="2"/>
        <v>2025</v>
      </c>
      <c r="S246" s="37">
        <f t="shared" si="3"/>
        <v>20</v>
      </c>
      <c r="T246" s="37">
        <f t="shared" si="14"/>
        <v>20</v>
      </c>
      <c r="U246" s="37">
        <f t="shared" si="15"/>
        <v>7</v>
      </c>
      <c r="V246" s="37">
        <f t="shared" si="16"/>
        <v>20</v>
      </c>
      <c r="W246" s="37">
        <f t="shared" si="17"/>
        <v>20</v>
      </c>
      <c r="X246" s="37">
        <f t="shared" si="18"/>
        <v>9</v>
      </c>
      <c r="Y246" s="37">
        <f t="shared" si="19"/>
        <v>7</v>
      </c>
      <c r="Z246" s="38">
        <f t="shared" si="10"/>
        <v>0</v>
      </c>
      <c r="AA246" s="39" t="str">
        <f t="shared" si="20"/>
        <v>-20 años</v>
      </c>
    </row>
    <row r="247" ht="15.75" customHeight="1">
      <c r="A247" s="60" t="s">
        <v>713</v>
      </c>
      <c r="B247" s="27" t="s">
        <v>56</v>
      </c>
      <c r="C247" s="28" t="s">
        <v>34</v>
      </c>
      <c r="D247" s="61">
        <v>45861.0</v>
      </c>
      <c r="E247" s="27" t="s">
        <v>714</v>
      </c>
      <c r="F247" s="9">
        <f>4154.93*2*8.52</f>
        <v>70800.0072</v>
      </c>
      <c r="G247" s="27" t="s">
        <v>45</v>
      </c>
      <c r="H247" s="27" t="s">
        <v>50</v>
      </c>
      <c r="I247" s="32">
        <v>45926.0</v>
      </c>
      <c r="J247" s="4"/>
      <c r="K247" s="27" t="s">
        <v>110</v>
      </c>
      <c r="L247" s="45" t="s">
        <v>46</v>
      </c>
      <c r="M247" s="45" t="s">
        <v>711</v>
      </c>
      <c r="N247" s="45" t="s">
        <v>715</v>
      </c>
      <c r="O247" s="45"/>
      <c r="P247" s="34" t="str">
        <f t="shared" si="21"/>
        <v>DARINKA UREÑA CASILLAS</v>
      </c>
      <c r="Q247" s="35" t="str">
        <f>IF(D247="","",VLOOKUP(MONTH(D247),Listas!$C$2:$D$14,2,0))</f>
        <v>Julio</v>
      </c>
      <c r="R247" s="36">
        <f t="shared" si="2"/>
        <v>2025</v>
      </c>
      <c r="S247" s="37">
        <f t="shared" si="3"/>
        <v>23</v>
      </c>
      <c r="T247" s="37">
        <f t="shared" si="14"/>
        <v>23</v>
      </c>
      <c r="U247" s="37">
        <f t="shared" si="15"/>
        <v>7</v>
      </c>
      <c r="V247" s="37">
        <f t="shared" si="16"/>
        <v>26</v>
      </c>
      <c r="W247" s="37">
        <f t="shared" si="17"/>
        <v>26</v>
      </c>
      <c r="X247" s="37">
        <f t="shared" si="18"/>
        <v>9</v>
      </c>
      <c r="Y247" s="37">
        <f t="shared" si="19"/>
        <v>7</v>
      </c>
      <c r="Z247" s="38">
        <f t="shared" si="10"/>
        <v>0</v>
      </c>
      <c r="AA247" s="39" t="str">
        <f t="shared" si="20"/>
        <v>-20 años</v>
      </c>
    </row>
    <row r="248" ht="15.75" customHeight="1">
      <c r="A248" s="60" t="s">
        <v>716</v>
      </c>
      <c r="B248" s="27" t="s">
        <v>56</v>
      </c>
      <c r="C248" s="28" t="s">
        <v>34</v>
      </c>
      <c r="D248" s="61">
        <v>45894.0</v>
      </c>
      <c r="E248" s="27" t="s">
        <v>717</v>
      </c>
      <c r="F248" s="59">
        <v>22780.38</v>
      </c>
      <c r="G248" s="27" t="s">
        <v>36</v>
      </c>
      <c r="H248" s="27" t="s">
        <v>58</v>
      </c>
      <c r="I248" s="32">
        <v>33674.0</v>
      </c>
      <c r="J248" s="4"/>
      <c r="K248" s="27" t="s">
        <v>40</v>
      </c>
      <c r="L248" s="45" t="s">
        <v>41</v>
      </c>
      <c r="M248" s="45" t="s">
        <v>51</v>
      </c>
      <c r="N248" s="45" t="s">
        <v>718</v>
      </c>
      <c r="O248" s="45"/>
      <c r="P248" s="34" t="str">
        <f t="shared" si="21"/>
        <v>DARINKA UREÑA CASILLAS</v>
      </c>
      <c r="Q248" s="35" t="str">
        <f>IF(D248="","",VLOOKUP(MONTH(D248),Listas!$C$2:$D$14,2,0))</f>
        <v>Agosto</v>
      </c>
      <c r="R248" s="36">
        <f t="shared" si="2"/>
        <v>2025</v>
      </c>
      <c r="S248" s="37">
        <f t="shared" si="3"/>
        <v>25</v>
      </c>
      <c r="T248" s="37">
        <f t="shared" si="14"/>
        <v>25</v>
      </c>
      <c r="U248" s="37">
        <f t="shared" si="15"/>
        <v>8</v>
      </c>
      <c r="V248" s="37">
        <f t="shared" si="16"/>
        <v>11</v>
      </c>
      <c r="W248" s="37">
        <f t="shared" si="17"/>
        <v>11</v>
      </c>
      <c r="X248" s="37">
        <f t="shared" si="18"/>
        <v>3</v>
      </c>
      <c r="Y248" s="37">
        <f t="shared" si="19"/>
        <v>8</v>
      </c>
      <c r="Z248" s="38">
        <f t="shared" si="10"/>
        <v>34</v>
      </c>
      <c r="AA248" s="39" t="str">
        <f t="shared" si="20"/>
        <v>20-39 años</v>
      </c>
    </row>
    <row r="249" ht="15.75" customHeight="1">
      <c r="A249" s="60" t="s">
        <v>719</v>
      </c>
      <c r="B249" s="27" t="s">
        <v>607</v>
      </c>
      <c r="C249" s="28" t="s">
        <v>34</v>
      </c>
      <c r="D249" s="61">
        <v>45894.0</v>
      </c>
      <c r="E249" s="27" t="s">
        <v>720</v>
      </c>
      <c r="F249" s="9">
        <f>2843.7*8.54</f>
        <v>24285.198</v>
      </c>
      <c r="G249" s="27" t="s">
        <v>45</v>
      </c>
      <c r="H249" s="27" t="s">
        <v>58</v>
      </c>
      <c r="I249" s="32">
        <v>44989.0</v>
      </c>
      <c r="J249" s="4"/>
      <c r="K249" s="27" t="s">
        <v>54</v>
      </c>
      <c r="L249" s="45" t="s">
        <v>46</v>
      </c>
      <c r="M249" s="45" t="s">
        <v>47</v>
      </c>
      <c r="N249" s="45" t="s">
        <v>513</v>
      </c>
      <c r="O249" s="45"/>
      <c r="P249" s="34" t="str">
        <f t="shared" si="21"/>
        <v>DARINKA UREÑA CASILLAS</v>
      </c>
      <c r="Q249" s="35" t="str">
        <f>IF(D249="","",VLOOKUP(MONTH(D249),Listas!$C$2:$D$14,2,0))</f>
        <v>Agosto</v>
      </c>
      <c r="R249" s="36">
        <f t="shared" si="2"/>
        <v>2025</v>
      </c>
      <c r="S249" s="37">
        <f t="shared" si="3"/>
        <v>25</v>
      </c>
      <c r="T249" s="37">
        <f t="shared" si="14"/>
        <v>25</v>
      </c>
      <c r="U249" s="37">
        <f t="shared" si="15"/>
        <v>8</v>
      </c>
      <c r="V249" s="37">
        <f t="shared" si="16"/>
        <v>4</v>
      </c>
      <c r="W249" s="37">
        <f t="shared" si="17"/>
        <v>4</v>
      </c>
      <c r="X249" s="37">
        <f t="shared" si="18"/>
        <v>3</v>
      </c>
      <c r="Y249" s="37">
        <f t="shared" si="19"/>
        <v>8</v>
      </c>
      <c r="Z249" s="38">
        <f t="shared" si="10"/>
        <v>3</v>
      </c>
      <c r="AA249" s="39" t="str">
        <f t="shared" si="20"/>
        <v>-20 años</v>
      </c>
    </row>
    <row r="250" ht="15.75" customHeight="1">
      <c r="A250" s="60" t="s">
        <v>721</v>
      </c>
      <c r="B250" s="27" t="s">
        <v>56</v>
      </c>
      <c r="C250" s="28" t="s">
        <v>34</v>
      </c>
      <c r="D250" s="61">
        <v>45897.0</v>
      </c>
      <c r="E250" s="27" t="s">
        <v>722</v>
      </c>
      <c r="F250" s="9">
        <f>12488.91*2</f>
        <v>24977.82</v>
      </c>
      <c r="G250" s="27" t="s">
        <v>36</v>
      </c>
      <c r="H250" s="27" t="s">
        <v>50</v>
      </c>
      <c r="I250" s="32">
        <v>45811.0</v>
      </c>
      <c r="J250" s="4"/>
      <c r="K250" s="27" t="s">
        <v>54</v>
      </c>
      <c r="L250" s="45" t="s">
        <v>41</v>
      </c>
      <c r="M250" s="45" t="s">
        <v>51</v>
      </c>
      <c r="N250" s="45" t="s">
        <v>723</v>
      </c>
      <c r="O250" s="45">
        <v>3.319407208E9</v>
      </c>
      <c r="P250" s="34" t="str">
        <f t="shared" si="21"/>
        <v>DARINKA UREÑA CASILLAS</v>
      </c>
      <c r="Q250" s="35" t="str">
        <f>IF(D250="","",VLOOKUP(MONTH(D250),Listas!$C$2:$D$14,2,0))</f>
        <v>Agosto</v>
      </c>
      <c r="R250" s="36">
        <f t="shared" si="2"/>
        <v>2025</v>
      </c>
      <c r="S250" s="37">
        <f t="shared" si="3"/>
        <v>28</v>
      </c>
      <c r="T250" s="37">
        <f t="shared" si="14"/>
        <v>28</v>
      </c>
      <c r="U250" s="37">
        <f t="shared" si="15"/>
        <v>8</v>
      </c>
      <c r="V250" s="37">
        <f t="shared" si="16"/>
        <v>3</v>
      </c>
      <c r="W250" s="37">
        <f t="shared" si="17"/>
        <v>3</v>
      </c>
      <c r="X250" s="37">
        <f t="shared" si="18"/>
        <v>6</v>
      </c>
      <c r="Y250" s="37">
        <f t="shared" si="19"/>
        <v>8</v>
      </c>
      <c r="Z250" s="38">
        <f t="shared" si="10"/>
        <v>0</v>
      </c>
      <c r="AA250" s="39" t="str">
        <f t="shared" si="20"/>
        <v>-20 años</v>
      </c>
    </row>
    <row r="251" ht="15.75" customHeight="1">
      <c r="A251" s="26" t="s">
        <v>724</v>
      </c>
      <c r="B251" s="27" t="s">
        <v>607</v>
      </c>
      <c r="C251" s="28" t="s">
        <v>34</v>
      </c>
      <c r="D251" s="61">
        <v>45904.0</v>
      </c>
      <c r="E251" s="27" t="s">
        <v>725</v>
      </c>
      <c r="F251" s="9">
        <f>30287.09*2</f>
        <v>60574.18</v>
      </c>
      <c r="G251" s="27" t="s">
        <v>36</v>
      </c>
      <c r="H251" s="27" t="s">
        <v>50</v>
      </c>
      <c r="I251" s="32">
        <v>45988.0</v>
      </c>
      <c r="J251" s="4"/>
      <c r="K251" s="27" t="s">
        <v>54</v>
      </c>
      <c r="L251" s="45" t="s">
        <v>41</v>
      </c>
      <c r="M251" s="45" t="s">
        <v>51</v>
      </c>
      <c r="N251" s="45" t="s">
        <v>726</v>
      </c>
      <c r="O251" s="45"/>
      <c r="P251" s="34" t="str">
        <f t="shared" si="21"/>
        <v>DARINKA UREÑA CASILLAS</v>
      </c>
      <c r="Q251" s="35" t="str">
        <f>IF(D251="","",VLOOKUP(MONTH(D251),Listas!$C$2:$D$14,2,0))</f>
        <v>Septiembre</v>
      </c>
      <c r="R251" s="36">
        <f t="shared" si="2"/>
        <v>2025</v>
      </c>
      <c r="S251" s="37">
        <f t="shared" si="3"/>
        <v>4</v>
      </c>
      <c r="T251" s="37">
        <f t="shared" si="14"/>
        <v>4</v>
      </c>
      <c r="U251" s="37">
        <f t="shared" si="15"/>
        <v>9</v>
      </c>
      <c r="V251" s="37">
        <f t="shared" si="16"/>
        <v>27</v>
      </c>
      <c r="W251" s="37">
        <f t="shared" si="17"/>
        <v>27</v>
      </c>
      <c r="X251" s="37">
        <f t="shared" si="18"/>
        <v>11</v>
      </c>
      <c r="Y251" s="37">
        <f t="shared" si="19"/>
        <v>9</v>
      </c>
      <c r="Z251" s="38">
        <f t="shared" si="10"/>
        <v>0</v>
      </c>
      <c r="AA251" s="39" t="str">
        <f t="shared" si="20"/>
        <v>-20 años</v>
      </c>
    </row>
    <row r="252" ht="15.75" customHeight="1">
      <c r="A252" s="60" t="s">
        <v>727</v>
      </c>
      <c r="B252" s="27" t="s">
        <v>607</v>
      </c>
      <c r="C252" s="28" t="s">
        <v>34</v>
      </c>
      <c r="D252" s="61">
        <v>45919.0</v>
      </c>
      <c r="E252" s="27" t="s">
        <v>728</v>
      </c>
      <c r="F252" s="9">
        <f>2129*8.55</f>
        <v>18202.95</v>
      </c>
      <c r="G252" s="27" t="s">
        <v>45</v>
      </c>
      <c r="H252" s="27" t="s">
        <v>58</v>
      </c>
      <c r="I252" s="32">
        <v>38270.0</v>
      </c>
      <c r="J252" s="4"/>
      <c r="K252" s="27" t="s">
        <v>54</v>
      </c>
      <c r="L252" s="45" t="s">
        <v>46</v>
      </c>
      <c r="M252" s="45" t="s">
        <v>47</v>
      </c>
      <c r="N252" s="45" t="s">
        <v>729</v>
      </c>
      <c r="O252" s="45"/>
      <c r="P252" s="34" t="str">
        <f t="shared" si="21"/>
        <v>DARINKA UREÑA CASILLAS</v>
      </c>
      <c r="Q252" s="35" t="str">
        <f>IF(D252="","",VLOOKUP(MONTH(D252),Listas!$C$2:$D$14,2,0))</f>
        <v>Septiembre</v>
      </c>
      <c r="R252" s="36">
        <f t="shared" si="2"/>
        <v>2025</v>
      </c>
      <c r="S252" s="37">
        <f t="shared" si="3"/>
        <v>19</v>
      </c>
      <c r="T252" s="37">
        <f t="shared" si="14"/>
        <v>19</v>
      </c>
      <c r="U252" s="37">
        <f t="shared" si="15"/>
        <v>9</v>
      </c>
      <c r="V252" s="37">
        <f t="shared" si="16"/>
        <v>10</v>
      </c>
      <c r="W252" s="37">
        <f t="shared" si="17"/>
        <v>10</v>
      </c>
      <c r="X252" s="37">
        <f t="shared" si="18"/>
        <v>10</v>
      </c>
      <c r="Y252" s="37">
        <f t="shared" si="19"/>
        <v>9</v>
      </c>
      <c r="Z252" s="38">
        <f t="shared" si="10"/>
        <v>21</v>
      </c>
      <c r="AA252" s="39" t="str">
        <f t="shared" si="20"/>
        <v>20-39 años</v>
      </c>
    </row>
    <row r="253" ht="15.75" customHeight="1">
      <c r="A253" s="60" t="s">
        <v>730</v>
      </c>
      <c r="B253" s="27" t="s">
        <v>607</v>
      </c>
      <c r="C253" s="28" t="s">
        <v>34</v>
      </c>
      <c r="D253" s="61">
        <v>45930.0</v>
      </c>
      <c r="E253" s="27" t="s">
        <v>731</v>
      </c>
      <c r="F253" s="9">
        <f>373.42*12*8.55</f>
        <v>38312.892</v>
      </c>
      <c r="G253" s="27" t="s">
        <v>45</v>
      </c>
      <c r="H253" s="27" t="s">
        <v>37</v>
      </c>
      <c r="I253" s="32">
        <v>45664.0</v>
      </c>
      <c r="J253" s="4"/>
      <c r="K253" s="27" t="s">
        <v>54</v>
      </c>
      <c r="L253" s="45" t="s">
        <v>46</v>
      </c>
      <c r="M253" s="45" t="s">
        <v>47</v>
      </c>
      <c r="N253" s="45" t="s">
        <v>732</v>
      </c>
      <c r="O253" s="45"/>
      <c r="P253" s="34" t="str">
        <f t="shared" si="21"/>
        <v>DARINKA UREÑA CASILLAS</v>
      </c>
      <c r="Q253" s="35" t="str">
        <f>IF(D253="","",VLOOKUP(MONTH(D253),Listas!$C$2:$D$14,2,0))</f>
        <v>Septiembre</v>
      </c>
      <c r="R253" s="36">
        <f t="shared" si="2"/>
        <v>2025</v>
      </c>
      <c r="S253" s="37">
        <f t="shared" si="3"/>
        <v>30</v>
      </c>
      <c r="T253" s="37">
        <f t="shared" si="14"/>
        <v>30</v>
      </c>
      <c r="U253" s="37">
        <f t="shared" si="15"/>
        <v>9</v>
      </c>
      <c r="V253" s="37">
        <f t="shared" si="16"/>
        <v>7</v>
      </c>
      <c r="W253" s="37">
        <f t="shared" si="17"/>
        <v>7</v>
      </c>
      <c r="X253" s="37">
        <f t="shared" si="18"/>
        <v>1</v>
      </c>
      <c r="Y253" s="37">
        <f t="shared" si="19"/>
        <v>9</v>
      </c>
      <c r="Z253" s="38">
        <f t="shared" si="10"/>
        <v>1</v>
      </c>
      <c r="AA253" s="39" t="str">
        <f t="shared" si="20"/>
        <v>-20 años</v>
      </c>
    </row>
    <row r="254" ht="15.75" customHeight="1">
      <c r="A254" s="60" t="s">
        <v>480</v>
      </c>
      <c r="B254" s="27" t="s">
        <v>607</v>
      </c>
      <c r="C254" s="28" t="s">
        <v>34</v>
      </c>
      <c r="D254" s="61">
        <v>45930.0</v>
      </c>
      <c r="E254" s="27" t="s">
        <v>733</v>
      </c>
      <c r="F254" s="59">
        <v>5037.71</v>
      </c>
      <c r="G254" s="27" t="s">
        <v>36</v>
      </c>
      <c r="H254" s="27" t="s">
        <v>58</v>
      </c>
      <c r="I254" s="32">
        <v>45720.0</v>
      </c>
      <c r="J254" s="4"/>
      <c r="K254" s="27" t="s">
        <v>54</v>
      </c>
      <c r="L254" s="45" t="s">
        <v>41</v>
      </c>
      <c r="M254" s="45" t="s">
        <v>42</v>
      </c>
      <c r="N254" s="45" t="s">
        <v>734</v>
      </c>
      <c r="O254" s="45"/>
      <c r="P254" s="34" t="str">
        <f t="shared" si="21"/>
        <v>DARINKA UREÑA CASILLAS</v>
      </c>
      <c r="Q254" s="35" t="str">
        <f>IF(D254="","",VLOOKUP(MONTH(D254),Listas!$C$2:$D$14,2,0))</f>
        <v>Septiembre</v>
      </c>
      <c r="R254" s="36">
        <f t="shared" si="2"/>
        <v>2025</v>
      </c>
      <c r="S254" s="37">
        <f t="shared" si="3"/>
        <v>30</v>
      </c>
      <c r="T254" s="37">
        <f t="shared" si="14"/>
        <v>30</v>
      </c>
      <c r="U254" s="37">
        <f t="shared" si="15"/>
        <v>9</v>
      </c>
      <c r="V254" s="37">
        <f t="shared" si="16"/>
        <v>4</v>
      </c>
      <c r="W254" s="37">
        <f t="shared" si="17"/>
        <v>4</v>
      </c>
      <c r="X254" s="37">
        <f t="shared" si="18"/>
        <v>3</v>
      </c>
      <c r="Y254" s="37">
        <f t="shared" si="19"/>
        <v>9</v>
      </c>
      <c r="Z254" s="38">
        <f t="shared" si="10"/>
        <v>1</v>
      </c>
      <c r="AA254" s="39" t="str">
        <f t="shared" si="20"/>
        <v>-20 años</v>
      </c>
    </row>
    <row r="255" ht="15.75" customHeight="1">
      <c r="A255" s="60" t="s">
        <v>735</v>
      </c>
      <c r="B255" s="27" t="s">
        <v>56</v>
      </c>
      <c r="C255" s="28" t="s">
        <v>34</v>
      </c>
      <c r="D255" s="61">
        <v>45960.0</v>
      </c>
      <c r="E255" s="27" t="s">
        <v>736</v>
      </c>
      <c r="F255" s="59">
        <v>40113.1</v>
      </c>
      <c r="G255" s="27" t="s">
        <v>36</v>
      </c>
      <c r="H255" s="27" t="s">
        <v>58</v>
      </c>
      <c r="I255" s="32">
        <v>45952.0</v>
      </c>
      <c r="J255" s="4"/>
      <c r="K255" s="27" t="s">
        <v>110</v>
      </c>
      <c r="L255" s="45" t="s">
        <v>41</v>
      </c>
      <c r="M255" s="45" t="s">
        <v>42</v>
      </c>
      <c r="N255" s="45" t="s">
        <v>737</v>
      </c>
      <c r="O255" s="45">
        <v>3.311559775E9</v>
      </c>
      <c r="P255" s="34" t="str">
        <f t="shared" si="21"/>
        <v>DARINKA UREÑA CASILLAS</v>
      </c>
      <c r="Q255" s="35" t="str">
        <f>IF(D255="","",VLOOKUP(MONTH(D255),Listas!$C$2:$D$14,2,0))</f>
        <v>Octubre</v>
      </c>
      <c r="R255" s="36">
        <f t="shared" si="2"/>
        <v>2025</v>
      </c>
      <c r="S255" s="37">
        <f t="shared" si="3"/>
        <v>30</v>
      </c>
      <c r="T255" s="37">
        <f t="shared" si="14"/>
        <v>30</v>
      </c>
      <c r="U255" s="37">
        <f t="shared" si="15"/>
        <v>10</v>
      </c>
      <c r="V255" s="37">
        <f t="shared" si="16"/>
        <v>22</v>
      </c>
      <c r="W255" s="37">
        <f t="shared" si="17"/>
        <v>22</v>
      </c>
      <c r="X255" s="37">
        <f t="shared" si="18"/>
        <v>10</v>
      </c>
      <c r="Y255" s="37">
        <f t="shared" si="19"/>
        <v>10</v>
      </c>
      <c r="Z255" s="38">
        <f t="shared" si="10"/>
        <v>0</v>
      </c>
      <c r="AA255" s="39" t="str">
        <f t="shared" si="20"/>
        <v>-20 años</v>
      </c>
    </row>
    <row r="256" ht="15.75" customHeight="1">
      <c r="A256" s="60" t="s">
        <v>738</v>
      </c>
      <c r="B256" s="27" t="s">
        <v>607</v>
      </c>
      <c r="C256" s="28" t="s">
        <v>34</v>
      </c>
      <c r="D256" s="61">
        <v>45968.0</v>
      </c>
      <c r="E256" s="27" t="s">
        <v>739</v>
      </c>
      <c r="F256" s="59">
        <v>23136.47</v>
      </c>
      <c r="G256" s="27" t="s">
        <v>36</v>
      </c>
      <c r="H256" s="27" t="s">
        <v>58</v>
      </c>
      <c r="I256" s="32">
        <v>45907.0</v>
      </c>
      <c r="J256" s="4"/>
      <c r="K256" s="27" t="s">
        <v>54</v>
      </c>
      <c r="L256" s="45" t="s">
        <v>41</v>
      </c>
      <c r="M256" s="45" t="s">
        <v>42</v>
      </c>
      <c r="N256" s="45" t="s">
        <v>740</v>
      </c>
      <c r="O256" s="45"/>
      <c r="P256" s="34" t="str">
        <f t="shared" si="21"/>
        <v>DARINKA UREÑA CASILLAS</v>
      </c>
      <c r="Q256" s="35" t="str">
        <f>IF(D256="","",VLOOKUP(MONTH(D256),Listas!$C$2:$D$14,2,0))</f>
        <v>Noviembre</v>
      </c>
      <c r="R256" s="36">
        <f t="shared" si="2"/>
        <v>2025</v>
      </c>
      <c r="S256" s="37">
        <f t="shared" si="3"/>
        <v>7</v>
      </c>
      <c r="T256" s="37">
        <f t="shared" si="14"/>
        <v>7</v>
      </c>
      <c r="U256" s="37">
        <f t="shared" si="15"/>
        <v>11</v>
      </c>
      <c r="V256" s="37">
        <f t="shared" si="16"/>
        <v>7</v>
      </c>
      <c r="W256" s="37">
        <f t="shared" si="17"/>
        <v>7</v>
      </c>
      <c r="X256" s="37">
        <f t="shared" si="18"/>
        <v>9</v>
      </c>
      <c r="Y256" s="37">
        <f t="shared" si="19"/>
        <v>11</v>
      </c>
      <c r="Z256" s="38">
        <f t="shared" si="10"/>
        <v>0</v>
      </c>
      <c r="AA256" s="39" t="str">
        <f t="shared" si="20"/>
        <v>-20 años</v>
      </c>
    </row>
    <row r="257" ht="15.75" customHeight="1">
      <c r="A257" s="60" t="s">
        <v>579</v>
      </c>
      <c r="B257" s="27" t="s">
        <v>607</v>
      </c>
      <c r="C257" s="28" t="s">
        <v>34</v>
      </c>
      <c r="D257" s="61">
        <v>45989.0</v>
      </c>
      <c r="E257" s="27" t="s">
        <v>741</v>
      </c>
      <c r="F257" s="9">
        <f>1479.48*2*8.61</f>
        <v>25476.6456</v>
      </c>
      <c r="G257" s="27" t="s">
        <v>45</v>
      </c>
      <c r="H257" s="27" t="s">
        <v>50</v>
      </c>
      <c r="I257" s="32">
        <v>45715.0</v>
      </c>
      <c r="J257" s="4"/>
      <c r="K257" s="27" t="s">
        <v>54</v>
      </c>
      <c r="L257" s="45" t="s">
        <v>46</v>
      </c>
      <c r="M257" s="45" t="s">
        <v>47</v>
      </c>
      <c r="N257" s="45" t="s">
        <v>581</v>
      </c>
      <c r="O257" s="45">
        <v>3.333524742E9</v>
      </c>
      <c r="P257" s="34" t="str">
        <f t="shared" si="21"/>
        <v>DARINKA UREÑA CASILLAS</v>
      </c>
      <c r="Q257" s="35" t="str">
        <f>IF(D257="","",VLOOKUP(MONTH(D257),Listas!$C$2:$D$14,2,0))</f>
        <v>Noviembre</v>
      </c>
      <c r="R257" s="36">
        <f t="shared" si="2"/>
        <v>2025</v>
      </c>
      <c r="S257" s="37">
        <f t="shared" si="3"/>
        <v>28</v>
      </c>
      <c r="T257" s="37">
        <f t="shared" si="14"/>
        <v>28</v>
      </c>
      <c r="U257" s="37">
        <f t="shared" si="15"/>
        <v>11</v>
      </c>
      <c r="V257" s="37">
        <f t="shared" si="16"/>
        <v>27</v>
      </c>
      <c r="W257" s="37">
        <f t="shared" si="17"/>
        <v>27</v>
      </c>
      <c r="X257" s="37">
        <f t="shared" si="18"/>
        <v>2</v>
      </c>
      <c r="Y257" s="37">
        <f t="shared" si="19"/>
        <v>11</v>
      </c>
      <c r="Z257" s="38">
        <f t="shared" si="10"/>
        <v>1</v>
      </c>
      <c r="AA257" s="39" t="str">
        <f t="shared" si="20"/>
        <v>-20 años</v>
      </c>
    </row>
    <row r="258" ht="15.75" customHeight="1">
      <c r="A258" s="60" t="s">
        <v>742</v>
      </c>
      <c r="B258" s="27" t="s">
        <v>56</v>
      </c>
      <c r="C258" s="28" t="s">
        <v>34</v>
      </c>
      <c r="D258" s="61">
        <v>46065.0</v>
      </c>
      <c r="E258" s="27" t="s">
        <v>743</v>
      </c>
      <c r="F258" s="9">
        <f>4196.68*8.7</f>
        <v>36511.116</v>
      </c>
      <c r="G258" s="27" t="s">
        <v>45</v>
      </c>
      <c r="H258" s="27" t="s">
        <v>58</v>
      </c>
      <c r="I258" s="32">
        <v>46239.0</v>
      </c>
      <c r="J258" s="4"/>
      <c r="K258" s="27" t="s">
        <v>54</v>
      </c>
      <c r="L258" s="45" t="s">
        <v>46</v>
      </c>
      <c r="M258" s="45" t="s">
        <v>117</v>
      </c>
      <c r="N258" s="45" t="s">
        <v>744</v>
      </c>
      <c r="O258" s="45"/>
      <c r="P258" s="34" t="str">
        <f t="shared" si="21"/>
        <v>DARINKA UREÑA CASILLAS</v>
      </c>
      <c r="Q258" s="35" t="str">
        <f>IF(D258="","",VLOOKUP(MONTH(D258),Listas!$C$2:$D$14,2,0))</f>
        <v>Febrero</v>
      </c>
      <c r="R258" s="36">
        <f t="shared" si="2"/>
        <v>2026</v>
      </c>
      <c r="S258" s="37">
        <f t="shared" si="3"/>
        <v>12</v>
      </c>
      <c r="T258" s="37">
        <f t="shared" si="14"/>
        <v>12</v>
      </c>
      <c r="U258" s="37">
        <f t="shared" si="15"/>
        <v>2</v>
      </c>
      <c r="V258" s="37">
        <f t="shared" si="16"/>
        <v>5</v>
      </c>
      <c r="W258" s="37">
        <f t="shared" si="17"/>
        <v>5</v>
      </c>
      <c r="X258" s="37">
        <f t="shared" si="18"/>
        <v>8</v>
      </c>
      <c r="Y258" s="37">
        <f t="shared" si="19"/>
        <v>2</v>
      </c>
      <c r="Z258" s="38">
        <f t="shared" si="10"/>
        <v>0</v>
      </c>
      <c r="AA258" s="39" t="str">
        <f t="shared" si="20"/>
        <v>-20 años</v>
      </c>
    </row>
    <row r="259" ht="15.75" customHeight="1">
      <c r="A259" s="60" t="s">
        <v>310</v>
      </c>
      <c r="B259" s="27" t="s">
        <v>607</v>
      </c>
      <c r="C259" s="28" t="s">
        <v>34</v>
      </c>
      <c r="D259" s="61">
        <v>46073.0</v>
      </c>
      <c r="E259" s="27" t="s">
        <v>745</v>
      </c>
      <c r="F259" s="9">
        <f>2829.45*8.7</f>
        <v>24616.215</v>
      </c>
      <c r="G259" s="27" t="s">
        <v>45</v>
      </c>
      <c r="H259" s="27" t="s">
        <v>58</v>
      </c>
      <c r="I259" s="32">
        <v>46347.0</v>
      </c>
      <c r="J259" s="4"/>
      <c r="K259" s="27" t="s">
        <v>54</v>
      </c>
      <c r="L259" s="45" t="s">
        <v>46</v>
      </c>
      <c r="M259" s="45" t="s">
        <v>688</v>
      </c>
      <c r="N259" s="45" t="s">
        <v>312</v>
      </c>
      <c r="O259" s="45"/>
      <c r="P259" s="34" t="str">
        <f t="shared" si="21"/>
        <v>DARINKA UREÑA CASILLAS</v>
      </c>
      <c r="Q259" s="35" t="str">
        <f>IF(D259="","",VLOOKUP(MONTH(D259),Listas!$C$2:$D$14,2,0))</f>
        <v>Febrero</v>
      </c>
      <c r="R259" s="36">
        <f t="shared" si="2"/>
        <v>2026</v>
      </c>
      <c r="S259" s="37">
        <f t="shared" si="3"/>
        <v>20</v>
      </c>
      <c r="T259" s="37">
        <f t="shared" si="14"/>
        <v>20</v>
      </c>
      <c r="U259" s="37">
        <f t="shared" si="15"/>
        <v>2</v>
      </c>
      <c r="V259" s="37">
        <f t="shared" si="16"/>
        <v>21</v>
      </c>
      <c r="W259" s="37">
        <f t="shared" si="17"/>
        <v>21</v>
      </c>
      <c r="X259" s="37">
        <f t="shared" si="18"/>
        <v>11</v>
      </c>
      <c r="Y259" s="37">
        <f t="shared" si="19"/>
        <v>2</v>
      </c>
      <c r="Z259" s="38">
        <f t="shared" si="10"/>
        <v>0</v>
      </c>
      <c r="AA259" s="39" t="str">
        <f t="shared" si="20"/>
        <v>-20 años</v>
      </c>
    </row>
    <row r="260" ht="15.75" customHeight="1">
      <c r="A260" s="60" t="s">
        <v>746</v>
      </c>
      <c r="B260" s="27" t="s">
        <v>56</v>
      </c>
      <c r="C260" s="28" t="s">
        <v>34</v>
      </c>
      <c r="D260" s="61">
        <v>46076.0</v>
      </c>
      <c r="E260" s="27" t="s">
        <v>747</v>
      </c>
      <c r="F260" s="9">
        <f>7543.57*8.75</f>
        <v>66006.2375</v>
      </c>
      <c r="G260" s="27" t="s">
        <v>45</v>
      </c>
      <c r="H260" s="27" t="s">
        <v>58</v>
      </c>
      <c r="I260" s="32">
        <v>46114.0</v>
      </c>
      <c r="J260" s="4"/>
      <c r="K260" s="27" t="s">
        <v>54</v>
      </c>
      <c r="L260" s="45" t="s">
        <v>46</v>
      </c>
      <c r="M260" s="45" t="s">
        <v>748</v>
      </c>
      <c r="N260" s="45" t="s">
        <v>749</v>
      </c>
      <c r="O260" s="45"/>
      <c r="P260" s="34" t="str">
        <f t="shared" si="21"/>
        <v>DARINKA UREÑA CASILLAS</v>
      </c>
      <c r="Q260" s="35" t="str">
        <f>IF(D260="","",VLOOKUP(MONTH(D260),Listas!$C$2:$D$14,2,0))</f>
        <v>Febrero</v>
      </c>
      <c r="R260" s="36">
        <f t="shared" si="2"/>
        <v>2026</v>
      </c>
      <c r="S260" s="37">
        <f t="shared" si="3"/>
        <v>23</v>
      </c>
      <c r="T260" s="37">
        <f t="shared" si="14"/>
        <v>23</v>
      </c>
      <c r="U260" s="37">
        <f t="shared" si="15"/>
        <v>2</v>
      </c>
      <c r="V260" s="37">
        <f t="shared" si="16"/>
        <v>2</v>
      </c>
      <c r="W260" s="37">
        <f t="shared" si="17"/>
        <v>2</v>
      </c>
      <c r="X260" s="37">
        <f t="shared" si="18"/>
        <v>4</v>
      </c>
      <c r="Y260" s="37">
        <f t="shared" si="19"/>
        <v>2</v>
      </c>
      <c r="Z260" s="38">
        <f t="shared" si="10"/>
        <v>0</v>
      </c>
      <c r="AA260" s="39" t="str">
        <f t="shared" si="20"/>
        <v>-20 años</v>
      </c>
    </row>
    <row r="261" ht="15.75" customHeight="1">
      <c r="A261" s="60" t="s">
        <v>750</v>
      </c>
      <c r="B261" s="27" t="s">
        <v>56</v>
      </c>
      <c r="C261" s="28" t="s">
        <v>34</v>
      </c>
      <c r="D261" s="61">
        <v>46125.0</v>
      </c>
      <c r="E261" s="27" t="s">
        <v>751</v>
      </c>
      <c r="F261" s="9">
        <f>9230.1*8.82</f>
        <v>81409.482</v>
      </c>
      <c r="G261" s="27" t="s">
        <v>45</v>
      </c>
      <c r="H261" s="27" t="s">
        <v>37</v>
      </c>
      <c r="I261" s="32">
        <v>46205.0</v>
      </c>
      <c r="J261" s="4"/>
      <c r="K261" s="27" t="s">
        <v>644</v>
      </c>
      <c r="L261" s="45" t="s">
        <v>46</v>
      </c>
      <c r="M261" s="45" t="s">
        <v>748</v>
      </c>
      <c r="N261" s="45" t="s">
        <v>752</v>
      </c>
      <c r="O261" s="45">
        <v>3.317438642E9</v>
      </c>
      <c r="P261" s="34" t="str">
        <f t="shared" si="21"/>
        <v>DARINKA UREÑA CASILLAS</v>
      </c>
      <c r="Q261" s="35" t="str">
        <f>IF(D261="","",VLOOKUP(MONTH(D261),Listas!$C$2:$D$14,2,0))</f>
        <v>Abril</v>
      </c>
      <c r="R261" s="36">
        <f t="shared" si="2"/>
        <v>2026</v>
      </c>
      <c r="S261" s="37">
        <f t="shared" si="3"/>
        <v>13</v>
      </c>
      <c r="T261" s="37">
        <f t="shared" si="14"/>
        <v>13</v>
      </c>
      <c r="U261" s="37">
        <f t="shared" si="15"/>
        <v>4</v>
      </c>
      <c r="V261" s="37">
        <f t="shared" si="16"/>
        <v>2</v>
      </c>
      <c r="W261" s="37">
        <f t="shared" si="17"/>
        <v>2</v>
      </c>
      <c r="X261" s="37">
        <f t="shared" si="18"/>
        <v>7</v>
      </c>
      <c r="Y261" s="37">
        <f t="shared" si="19"/>
        <v>4</v>
      </c>
      <c r="Z261" s="38">
        <f t="shared" si="10"/>
        <v>0</v>
      </c>
      <c r="AA261" s="39" t="str">
        <f t="shared" si="20"/>
        <v>-20 años</v>
      </c>
    </row>
    <row r="262" ht="15.75" customHeight="1">
      <c r="A262" s="60" t="s">
        <v>753</v>
      </c>
      <c r="B262" s="27" t="s">
        <v>607</v>
      </c>
      <c r="C262" s="28" t="s">
        <v>34</v>
      </c>
      <c r="D262" s="61">
        <v>46127.0</v>
      </c>
      <c r="E262" s="27" t="s">
        <v>754</v>
      </c>
      <c r="F262" s="9">
        <f>1429.35 *2*8.82       </f>
        <v>25213.734</v>
      </c>
      <c r="G262" s="27" t="s">
        <v>45</v>
      </c>
      <c r="H262" s="27" t="s">
        <v>50</v>
      </c>
      <c r="I262" s="32">
        <v>46255.0</v>
      </c>
      <c r="J262" s="4"/>
      <c r="K262" s="27" t="s">
        <v>54</v>
      </c>
      <c r="L262" s="45" t="s">
        <v>46</v>
      </c>
      <c r="M262" s="45" t="s">
        <v>688</v>
      </c>
      <c r="N262" s="45" t="s">
        <v>755</v>
      </c>
      <c r="O262" s="45">
        <v>3.338447023E9</v>
      </c>
      <c r="P262" s="34" t="str">
        <f t="shared" si="21"/>
        <v>DARINKA UREÑA CASILLAS</v>
      </c>
      <c r="Q262" s="35" t="str">
        <f>IF(D262="","",VLOOKUP(MONTH(D262),Listas!$C$2:$D$14,2,0))</f>
        <v>Abril</v>
      </c>
      <c r="R262" s="36">
        <f t="shared" si="2"/>
        <v>2026</v>
      </c>
      <c r="S262" s="37">
        <f t="shared" si="3"/>
        <v>15</v>
      </c>
      <c r="T262" s="37">
        <f t="shared" si="14"/>
        <v>15</v>
      </c>
      <c r="U262" s="37">
        <f t="shared" si="15"/>
        <v>4</v>
      </c>
      <c r="V262" s="37">
        <f t="shared" si="16"/>
        <v>21</v>
      </c>
      <c r="W262" s="37">
        <f t="shared" si="17"/>
        <v>21</v>
      </c>
      <c r="X262" s="37">
        <f t="shared" si="18"/>
        <v>8</v>
      </c>
      <c r="Y262" s="37">
        <f t="shared" si="19"/>
        <v>4</v>
      </c>
      <c r="Z262" s="38">
        <f t="shared" si="10"/>
        <v>0</v>
      </c>
      <c r="AA262" s="39" t="str">
        <f t="shared" si="20"/>
        <v>-20 años</v>
      </c>
    </row>
    <row r="263" ht="15.75" customHeight="1">
      <c r="A263" s="60" t="s">
        <v>750</v>
      </c>
      <c r="B263" s="27" t="s">
        <v>56</v>
      </c>
      <c r="C263" s="28" t="s">
        <v>34</v>
      </c>
      <c r="D263" s="61">
        <v>46128.0</v>
      </c>
      <c r="E263" s="27" t="s">
        <v>756</v>
      </c>
      <c r="F263" s="9">
        <f>2339.79*12</f>
        <v>28077.48</v>
      </c>
      <c r="G263" s="27" t="s">
        <v>36</v>
      </c>
      <c r="H263" s="27" t="s">
        <v>37</v>
      </c>
      <c r="I263" s="32">
        <v>46205.0</v>
      </c>
      <c r="J263" s="4"/>
      <c r="K263" s="27" t="s">
        <v>54</v>
      </c>
      <c r="L263" s="45" t="s">
        <v>41</v>
      </c>
      <c r="M263" s="45" t="s">
        <v>42</v>
      </c>
      <c r="N263" s="45" t="s">
        <v>752</v>
      </c>
      <c r="O263" s="45">
        <v>3.317438642E9</v>
      </c>
      <c r="P263" s="34" t="str">
        <f t="shared" si="21"/>
        <v>DARINKA UREÑA CASILLAS</v>
      </c>
      <c r="Q263" s="35" t="str">
        <f>IF(D263="","",VLOOKUP(MONTH(D263),Listas!$C$2:$D$14,2,0))</f>
        <v>Abril</v>
      </c>
      <c r="R263" s="36">
        <f t="shared" si="2"/>
        <v>2026</v>
      </c>
      <c r="S263" s="37">
        <f t="shared" si="3"/>
        <v>16</v>
      </c>
      <c r="T263" s="37">
        <f t="shared" si="14"/>
        <v>16</v>
      </c>
      <c r="U263" s="37">
        <f t="shared" si="15"/>
        <v>4</v>
      </c>
      <c r="V263" s="37">
        <f t="shared" si="16"/>
        <v>2</v>
      </c>
      <c r="W263" s="37">
        <f t="shared" si="17"/>
        <v>2</v>
      </c>
      <c r="X263" s="37">
        <f t="shared" si="18"/>
        <v>7</v>
      </c>
      <c r="Y263" s="37">
        <f t="shared" si="19"/>
        <v>4</v>
      </c>
      <c r="Z263" s="38">
        <f t="shared" si="10"/>
        <v>0</v>
      </c>
      <c r="AA263" s="39" t="str">
        <f t="shared" si="20"/>
        <v>-20 años</v>
      </c>
    </row>
    <row r="264" ht="15.75" customHeight="1">
      <c r="A264" s="60" t="s">
        <v>457</v>
      </c>
      <c r="B264" s="27" t="s">
        <v>56</v>
      </c>
      <c r="C264" s="28" t="s">
        <v>34</v>
      </c>
      <c r="D264" s="61">
        <v>46134.0</v>
      </c>
      <c r="E264" s="27" t="s">
        <v>757</v>
      </c>
      <c r="F264" s="9">
        <f>5497.58*8.83</f>
        <v>48543.6314</v>
      </c>
      <c r="G264" s="27" t="s">
        <v>45</v>
      </c>
      <c r="H264" s="27" t="s">
        <v>58</v>
      </c>
      <c r="I264" s="32">
        <v>46251.0</v>
      </c>
      <c r="J264" s="4"/>
      <c r="K264" s="27" t="s">
        <v>644</v>
      </c>
      <c r="L264" s="45" t="s">
        <v>46</v>
      </c>
      <c r="M264" s="45" t="s">
        <v>47</v>
      </c>
      <c r="N264" s="45" t="s">
        <v>459</v>
      </c>
      <c r="O264" s="45">
        <v>3.312221777E9</v>
      </c>
      <c r="P264" s="34" t="str">
        <f t="shared" si="21"/>
        <v>DARINKA UREÑA CASILLAS</v>
      </c>
      <c r="Q264" s="35" t="str">
        <f>IF(D264="","",VLOOKUP(MONTH(D264),Listas!$C$2:$D$14,2,0))</f>
        <v>Abril</v>
      </c>
      <c r="R264" s="36">
        <f t="shared" si="2"/>
        <v>2026</v>
      </c>
      <c r="S264" s="37">
        <f t="shared" si="3"/>
        <v>22</v>
      </c>
      <c r="T264" s="37">
        <f t="shared" si="14"/>
        <v>22</v>
      </c>
      <c r="U264" s="37">
        <f t="shared" si="15"/>
        <v>4</v>
      </c>
      <c r="V264" s="37">
        <f t="shared" si="16"/>
        <v>17</v>
      </c>
      <c r="W264" s="37">
        <f t="shared" si="17"/>
        <v>17</v>
      </c>
      <c r="X264" s="37">
        <f t="shared" si="18"/>
        <v>8</v>
      </c>
      <c r="Y264" s="37">
        <f t="shared" si="19"/>
        <v>4</v>
      </c>
      <c r="Z264" s="38">
        <f t="shared" si="10"/>
        <v>0</v>
      </c>
      <c r="AA264" s="39" t="str">
        <f t="shared" si="20"/>
        <v>-20 años</v>
      </c>
    </row>
    <row r="265" ht="15.75" customHeight="1">
      <c r="A265" s="26" t="s">
        <v>368</v>
      </c>
      <c r="B265" s="27" t="s">
        <v>33</v>
      </c>
      <c r="C265" s="28" t="s">
        <v>34</v>
      </c>
      <c r="D265" s="29">
        <v>46136.0</v>
      </c>
      <c r="E265" s="74" t="s">
        <v>758</v>
      </c>
      <c r="F265" s="31">
        <f>9116.26*8.84</f>
        <v>80587.7384</v>
      </c>
      <c r="G265" s="30" t="s">
        <v>45</v>
      </c>
      <c r="H265" s="30" t="s">
        <v>50</v>
      </c>
      <c r="I265" s="32">
        <v>44860.0</v>
      </c>
      <c r="J265" s="5"/>
      <c r="K265" s="30" t="s">
        <v>110</v>
      </c>
      <c r="L265" s="30" t="s">
        <v>46</v>
      </c>
      <c r="M265" s="30" t="s">
        <v>101</v>
      </c>
      <c r="N265" s="30" t="s">
        <v>759</v>
      </c>
      <c r="O265" s="30">
        <v>3.311788769E9</v>
      </c>
      <c r="P265" s="34" t="str">
        <f t="shared" si="21"/>
        <v>DARINKA UREÑA CASILLAS</v>
      </c>
      <c r="Q265" s="36">
        <f>IF(D265="","",YEAR(D265))</f>
        <v>2026</v>
      </c>
      <c r="R265" s="37">
        <f>IF(D265="","",(DAY(D265)))</f>
        <v>24</v>
      </c>
      <c r="S265" s="37">
        <f>IF(D265="","",R265-$W$1)</f>
        <v>24</v>
      </c>
      <c r="T265" s="37">
        <f>IF(D265="","",(MONTH(D265)))</f>
        <v>4</v>
      </c>
      <c r="U265" s="37">
        <f>IF(I265="","",(DAY(I265)))</f>
        <v>26</v>
      </c>
      <c r="V265" s="37">
        <f>IF(I265="","",U265-$W$1)</f>
        <v>26</v>
      </c>
      <c r="W265" s="37">
        <f>IF(I265="","",(MONTH(I265)))</f>
        <v>10</v>
      </c>
      <c r="X265" s="37">
        <f>IF(D265="","",(MONTH(D265)))</f>
        <v>4</v>
      </c>
      <c r="Y265" s="38">
        <f>IFERROR(IF(I265="","", DATEDIF(I265, TODAY(), "Y")),0)</f>
        <v>3</v>
      </c>
      <c r="Z265" s="39" t="str">
        <f>IF(Y265="","", IFS(Y265 &gt;= 61, "61+ años",
     Y265 &gt;= 51, "51-60 años",
     Y265 &gt;= 40, "40-50 años",
     Y265 &gt;= 20, "20-39 años",
     TRUE, "-20 años"))</f>
        <v>-20 años</v>
      </c>
    </row>
    <row r="266" ht="15.75" customHeight="1">
      <c r="A266" s="60" t="s">
        <v>507</v>
      </c>
      <c r="B266" s="27" t="s">
        <v>56</v>
      </c>
      <c r="C266" s="28" t="s">
        <v>34</v>
      </c>
      <c r="D266" s="61">
        <v>46141.0</v>
      </c>
      <c r="E266" s="27" t="s">
        <v>760</v>
      </c>
      <c r="F266" s="9">
        <f>5144.44*8.85</f>
        <v>45528.294</v>
      </c>
      <c r="G266" s="27" t="s">
        <v>45</v>
      </c>
      <c r="H266" s="27" t="s">
        <v>58</v>
      </c>
      <c r="I266" s="32">
        <v>44968.0</v>
      </c>
      <c r="J266" s="4"/>
      <c r="K266" s="27" t="s">
        <v>54</v>
      </c>
      <c r="L266" s="45" t="s">
        <v>46</v>
      </c>
      <c r="M266" s="45" t="s">
        <v>101</v>
      </c>
      <c r="N266" s="63" t="s">
        <v>509</v>
      </c>
      <c r="O266" s="45">
        <v>3.335774167E9</v>
      </c>
      <c r="P266" s="34" t="str">
        <f t="shared" si="21"/>
        <v>DARINKA UREÑA CASILLAS</v>
      </c>
      <c r="Q266" s="35" t="str">
        <f>IF(D266="","",VLOOKUP(MONTH(D266),Listas!$C$2:$D$14,2,0))</f>
        <v>Abril</v>
      </c>
      <c r="R266" s="36">
        <f t="shared" ref="R266:R1034" si="22">IF(D266="","",YEAR(D266))</f>
        <v>2026</v>
      </c>
      <c r="S266" s="37">
        <f t="shared" ref="S266:S1034" si="23">IF(D266="","",(DAY(D266)))</f>
        <v>29</v>
      </c>
      <c r="T266" s="37">
        <f t="shared" ref="T266:T1034" si="24">IF(D266="","",S266-$W$1)</f>
        <v>29</v>
      </c>
      <c r="U266" s="37">
        <f t="shared" ref="U266:U1034" si="25">IF(D266="","",(MONTH(D266)))</f>
        <v>4</v>
      </c>
      <c r="V266" s="37">
        <f t="shared" ref="V266:V1034" si="26">IF(I266="","",(DAY(I266)))</f>
        <v>11</v>
      </c>
      <c r="W266" s="37">
        <f t="shared" ref="W266:W1034" si="27">IF(I266="","",V266-$W$1)</f>
        <v>11</v>
      </c>
      <c r="X266" s="37">
        <f t="shared" ref="X266:X1034" si="28">IF(I266="","",(MONTH(I266)))</f>
        <v>2</v>
      </c>
      <c r="Y266" s="37">
        <f t="shared" ref="Y266:Y1034" si="29">IF(D266="","",(MONTH(D266)))</f>
        <v>4</v>
      </c>
      <c r="Z266" s="38">
        <f t="shared" ref="Z266:Z1034" si="30">IFERROR(IF(I266="","", DATEDIF(I266, TODAY(), "Y")),0)</f>
        <v>3</v>
      </c>
      <c r="AA266" s="39" t="str">
        <f t="shared" ref="AA266:AA1034" si="31">IF(Z266="","", IFS(Z266 &gt;= 61, "61+ años",
     Z266 &gt;= 51, "51-60 años",
     Z266 &gt;= 40, "40-50 años",
     Z266 &gt;= 20, "20-39 años",
     TRUE, "-20 años"))</f>
        <v>-20 años</v>
      </c>
    </row>
    <row r="267" ht="15.75" customHeight="1">
      <c r="A267" s="60" t="s">
        <v>761</v>
      </c>
      <c r="B267" s="27" t="s">
        <v>56</v>
      </c>
      <c r="C267" s="28" t="s">
        <v>34</v>
      </c>
      <c r="D267" s="61">
        <v>46149.0</v>
      </c>
      <c r="E267" s="27" t="s">
        <v>762</v>
      </c>
      <c r="F267" s="9">
        <f>3806.37*2*8.85</f>
        <v>67372.749</v>
      </c>
      <c r="G267" s="27" t="s">
        <v>45</v>
      </c>
      <c r="H267" s="27" t="s">
        <v>50</v>
      </c>
      <c r="I267" s="32">
        <v>46280.0</v>
      </c>
      <c r="J267" s="4"/>
      <c r="K267" s="27" t="s">
        <v>110</v>
      </c>
      <c r="L267" s="45" t="s">
        <v>46</v>
      </c>
      <c r="M267" s="45" t="s">
        <v>117</v>
      </c>
      <c r="N267" s="33" t="s">
        <v>267</v>
      </c>
      <c r="O267" s="30">
        <v>3.316996266E9</v>
      </c>
      <c r="P267" s="34" t="str">
        <f t="shared" si="21"/>
        <v>DARINKA UREÑA CASILLAS</v>
      </c>
      <c r="Q267" s="35" t="str">
        <f>IF(D267="","",VLOOKUP(MONTH(D267),Listas!$C$2:$D$14,2,0))</f>
        <v>Mayo</v>
      </c>
      <c r="R267" s="36">
        <f t="shared" si="22"/>
        <v>2026</v>
      </c>
      <c r="S267" s="37">
        <f t="shared" si="23"/>
        <v>7</v>
      </c>
      <c r="T267" s="37">
        <f t="shared" si="24"/>
        <v>7</v>
      </c>
      <c r="U267" s="37">
        <f t="shared" si="25"/>
        <v>5</v>
      </c>
      <c r="V267" s="37">
        <f t="shared" si="26"/>
        <v>15</v>
      </c>
      <c r="W267" s="37">
        <f t="shared" si="27"/>
        <v>15</v>
      </c>
      <c r="X267" s="37">
        <f t="shared" si="28"/>
        <v>9</v>
      </c>
      <c r="Y267" s="37">
        <f t="shared" si="29"/>
        <v>5</v>
      </c>
      <c r="Z267" s="38">
        <f t="shared" si="30"/>
        <v>0</v>
      </c>
      <c r="AA267" s="39" t="str">
        <f t="shared" si="31"/>
        <v>-20 años</v>
      </c>
    </row>
    <row r="268" ht="15.75" customHeight="1">
      <c r="A268" s="75" t="s">
        <v>165</v>
      </c>
      <c r="B268" s="74" t="s">
        <v>607</v>
      </c>
      <c r="C268" s="28" t="s">
        <v>34</v>
      </c>
      <c r="D268" s="61">
        <v>46150.0</v>
      </c>
      <c r="E268" s="30" t="s">
        <v>763</v>
      </c>
      <c r="F268" s="76">
        <f>3549.83*8.85</f>
        <v>31415.9955</v>
      </c>
      <c r="G268" s="74" t="s">
        <v>45</v>
      </c>
      <c r="H268" s="74" t="s">
        <v>58</v>
      </c>
      <c r="I268" s="32">
        <v>46268.0</v>
      </c>
      <c r="J268" s="77"/>
      <c r="K268" s="74" t="s">
        <v>54</v>
      </c>
      <c r="L268" s="74" t="s">
        <v>46</v>
      </c>
      <c r="M268" s="74" t="s">
        <v>101</v>
      </c>
      <c r="N268" s="33" t="s">
        <v>168</v>
      </c>
      <c r="O268" s="30">
        <v>3.314669252E9</v>
      </c>
      <c r="P268" s="34" t="str">
        <f t="shared" si="21"/>
        <v>DARINKA UREÑA CASILLAS</v>
      </c>
      <c r="Q268" s="35" t="str">
        <f>IF(D268="","",VLOOKUP(MONTH(D268),Listas!$C$2:$D$14,2,0))</f>
        <v>Mayo</v>
      </c>
      <c r="R268" s="36">
        <f t="shared" si="22"/>
        <v>2026</v>
      </c>
      <c r="S268" s="37">
        <f t="shared" si="23"/>
        <v>8</v>
      </c>
      <c r="T268" s="37">
        <f t="shared" si="24"/>
        <v>8</v>
      </c>
      <c r="U268" s="37">
        <f t="shared" si="25"/>
        <v>5</v>
      </c>
      <c r="V268" s="37">
        <f t="shared" si="26"/>
        <v>3</v>
      </c>
      <c r="W268" s="37">
        <f t="shared" si="27"/>
        <v>3</v>
      </c>
      <c r="X268" s="37">
        <f t="shared" si="28"/>
        <v>9</v>
      </c>
      <c r="Y268" s="37">
        <f t="shared" si="29"/>
        <v>5</v>
      </c>
      <c r="Z268" s="38">
        <f t="shared" si="30"/>
        <v>0</v>
      </c>
      <c r="AA268" s="39" t="str">
        <f t="shared" si="31"/>
        <v>-20 años</v>
      </c>
    </row>
    <row r="269" ht="15.75" customHeight="1">
      <c r="A269" s="64" t="s">
        <v>764</v>
      </c>
      <c r="B269" s="74" t="s">
        <v>607</v>
      </c>
      <c r="C269" s="28" t="s">
        <v>34</v>
      </c>
      <c r="D269" s="78">
        <v>46155.0</v>
      </c>
      <c r="E269" s="74" t="s">
        <v>765</v>
      </c>
      <c r="F269" s="76">
        <f>8029.17*8.85</f>
        <v>71058.1545</v>
      </c>
      <c r="G269" s="74" t="s">
        <v>45</v>
      </c>
      <c r="H269" s="74" t="s">
        <v>58</v>
      </c>
      <c r="I269" s="32">
        <v>46186.0</v>
      </c>
      <c r="J269" s="77"/>
      <c r="K269" s="74" t="s">
        <v>54</v>
      </c>
      <c r="L269" s="74" t="s">
        <v>46</v>
      </c>
      <c r="M269" s="74" t="s">
        <v>101</v>
      </c>
      <c r="N269" s="74" t="s">
        <v>766</v>
      </c>
      <c r="O269" s="74">
        <v>3.314184353E9</v>
      </c>
      <c r="P269" s="34" t="str">
        <f t="shared" si="21"/>
        <v>DARINKA UREÑA CASILLAS</v>
      </c>
      <c r="Q269" s="35" t="str">
        <f>IF(D269="","",VLOOKUP(MONTH(D269),Listas!$C$2:$D$14,2,0))</f>
        <v>Mayo</v>
      </c>
      <c r="R269" s="36">
        <f t="shared" si="22"/>
        <v>2026</v>
      </c>
      <c r="S269" s="37">
        <f t="shared" si="23"/>
        <v>13</v>
      </c>
      <c r="T269" s="37">
        <f t="shared" si="24"/>
        <v>13</v>
      </c>
      <c r="U269" s="37">
        <f t="shared" si="25"/>
        <v>5</v>
      </c>
      <c r="V269" s="37">
        <f t="shared" si="26"/>
        <v>13</v>
      </c>
      <c r="W269" s="37">
        <f t="shared" si="27"/>
        <v>13</v>
      </c>
      <c r="X269" s="37">
        <f t="shared" si="28"/>
        <v>6</v>
      </c>
      <c r="Y269" s="37">
        <f t="shared" si="29"/>
        <v>5</v>
      </c>
      <c r="Z269" s="38">
        <f t="shared" si="30"/>
        <v>0</v>
      </c>
      <c r="AA269" s="39" t="str">
        <f t="shared" si="31"/>
        <v>-20 años</v>
      </c>
    </row>
    <row r="270" ht="15.75" customHeight="1">
      <c r="B270" s="1"/>
      <c r="C270" s="28"/>
      <c r="D270" s="79"/>
      <c r="E270" s="1"/>
      <c r="F270" s="76"/>
      <c r="G270" s="1"/>
      <c r="H270" s="1"/>
      <c r="J270" s="77"/>
      <c r="K270" s="80"/>
      <c r="L270" s="80"/>
      <c r="M270" s="80"/>
      <c r="N270" s="80"/>
      <c r="O270" s="80"/>
      <c r="P270" s="81"/>
      <c r="Q270" s="35" t="str">
        <f>IF(D270="","",VLOOKUP(MONTH(D270),Listas!$C$2:$D$14,2,0))</f>
        <v/>
      </c>
      <c r="R270" s="36" t="str">
        <f t="shared" si="22"/>
        <v/>
      </c>
      <c r="S270" s="37" t="str">
        <f t="shared" si="23"/>
        <v/>
      </c>
      <c r="T270" s="37" t="str">
        <f t="shared" si="24"/>
        <v/>
      </c>
      <c r="U270" s="37" t="str">
        <f t="shared" si="25"/>
        <v/>
      </c>
      <c r="V270" s="37" t="str">
        <f t="shared" si="26"/>
        <v/>
      </c>
      <c r="W270" s="37" t="str">
        <f t="shared" si="27"/>
        <v/>
      </c>
      <c r="X270" s="37" t="str">
        <f t="shared" si="28"/>
        <v/>
      </c>
      <c r="Y270" s="37" t="str">
        <f t="shared" si="29"/>
        <v/>
      </c>
      <c r="Z270" s="38" t="str">
        <f t="shared" si="30"/>
        <v/>
      </c>
      <c r="AA270" s="39" t="str">
        <f t="shared" si="31"/>
        <v/>
      </c>
    </row>
    <row r="271" ht="15.75" customHeight="1">
      <c r="B271" s="1"/>
      <c r="C271" s="28"/>
      <c r="D271" s="79"/>
      <c r="E271" s="1"/>
      <c r="F271" s="76"/>
      <c r="G271" s="1"/>
      <c r="H271" s="1"/>
      <c r="J271" s="77"/>
      <c r="K271" s="80"/>
      <c r="L271" s="80"/>
      <c r="M271" s="80"/>
      <c r="N271" s="80"/>
      <c r="O271" s="80"/>
      <c r="P271" s="81"/>
      <c r="Q271" s="35" t="str">
        <f>IF(D271="","",VLOOKUP(MONTH(D271),Listas!$C$2:$D$14,2,0))</f>
        <v/>
      </c>
      <c r="R271" s="36" t="str">
        <f t="shared" si="22"/>
        <v/>
      </c>
      <c r="S271" s="37" t="str">
        <f t="shared" si="23"/>
        <v/>
      </c>
      <c r="T271" s="37" t="str">
        <f t="shared" si="24"/>
        <v/>
      </c>
      <c r="U271" s="37" t="str">
        <f t="shared" si="25"/>
        <v/>
      </c>
      <c r="V271" s="37" t="str">
        <f t="shared" si="26"/>
        <v/>
      </c>
      <c r="W271" s="37" t="str">
        <f t="shared" si="27"/>
        <v/>
      </c>
      <c r="X271" s="37" t="str">
        <f t="shared" si="28"/>
        <v/>
      </c>
      <c r="Y271" s="37" t="str">
        <f t="shared" si="29"/>
        <v/>
      </c>
      <c r="Z271" s="38" t="str">
        <f t="shared" si="30"/>
        <v/>
      </c>
      <c r="AA271" s="39" t="str">
        <f t="shared" si="31"/>
        <v/>
      </c>
    </row>
    <row r="272" ht="15.75" customHeight="1">
      <c r="B272" s="1"/>
      <c r="C272" s="28"/>
      <c r="D272" s="79"/>
      <c r="E272" s="1"/>
      <c r="F272" s="76"/>
      <c r="G272" s="1"/>
      <c r="H272" s="1"/>
      <c r="J272" s="77"/>
      <c r="K272" s="80"/>
      <c r="L272" s="80"/>
      <c r="M272" s="80"/>
      <c r="N272" s="80"/>
      <c r="O272" s="80"/>
      <c r="P272" s="81"/>
      <c r="Q272" s="35" t="str">
        <f>IF(D272="","",VLOOKUP(MONTH(D272),Listas!$C$2:$D$14,2,0))</f>
        <v/>
      </c>
      <c r="R272" s="36" t="str">
        <f t="shared" si="22"/>
        <v/>
      </c>
      <c r="S272" s="37" t="str">
        <f t="shared" si="23"/>
        <v/>
      </c>
      <c r="T272" s="37" t="str">
        <f t="shared" si="24"/>
        <v/>
      </c>
      <c r="U272" s="37" t="str">
        <f t="shared" si="25"/>
        <v/>
      </c>
      <c r="V272" s="37" t="str">
        <f t="shared" si="26"/>
        <v/>
      </c>
      <c r="W272" s="37" t="str">
        <f t="shared" si="27"/>
        <v/>
      </c>
      <c r="X272" s="37" t="str">
        <f t="shared" si="28"/>
        <v/>
      </c>
      <c r="Y272" s="37" t="str">
        <f t="shared" si="29"/>
        <v/>
      </c>
      <c r="Z272" s="38" t="str">
        <f t="shared" si="30"/>
        <v/>
      </c>
      <c r="AA272" s="39" t="str">
        <f t="shared" si="31"/>
        <v/>
      </c>
    </row>
    <row r="273" ht="15.75" customHeight="1">
      <c r="B273" s="1"/>
      <c r="C273" s="28"/>
      <c r="D273" s="79"/>
      <c r="E273" s="1"/>
      <c r="F273" s="76"/>
      <c r="G273" s="1"/>
      <c r="H273" s="1"/>
      <c r="J273" s="77"/>
      <c r="K273" s="80"/>
      <c r="L273" s="80"/>
      <c r="M273" s="80"/>
      <c r="N273" s="80"/>
      <c r="O273" s="80"/>
      <c r="P273" s="81"/>
      <c r="Q273" s="35" t="str">
        <f>IF(D273="","",VLOOKUP(MONTH(D273),Listas!$C$2:$D$14,2,0))</f>
        <v/>
      </c>
      <c r="R273" s="36" t="str">
        <f t="shared" si="22"/>
        <v/>
      </c>
      <c r="S273" s="37" t="str">
        <f t="shared" si="23"/>
        <v/>
      </c>
      <c r="T273" s="37" t="str">
        <f t="shared" si="24"/>
        <v/>
      </c>
      <c r="U273" s="37" t="str">
        <f t="shared" si="25"/>
        <v/>
      </c>
      <c r="V273" s="37" t="str">
        <f t="shared" si="26"/>
        <v/>
      </c>
      <c r="W273" s="37" t="str">
        <f t="shared" si="27"/>
        <v/>
      </c>
      <c r="X273" s="37" t="str">
        <f t="shared" si="28"/>
        <v/>
      </c>
      <c r="Y273" s="37" t="str">
        <f t="shared" si="29"/>
        <v/>
      </c>
      <c r="Z273" s="38" t="str">
        <f t="shared" si="30"/>
        <v/>
      </c>
      <c r="AA273" s="39" t="str">
        <f t="shared" si="31"/>
        <v/>
      </c>
    </row>
    <row r="274" ht="15.75" customHeight="1">
      <c r="B274" s="1"/>
      <c r="C274" s="28"/>
      <c r="D274" s="79"/>
      <c r="E274" s="1"/>
      <c r="F274" s="76"/>
      <c r="G274" s="1"/>
      <c r="H274" s="1"/>
      <c r="J274" s="77"/>
      <c r="K274" s="80"/>
      <c r="L274" s="80"/>
      <c r="M274" s="80"/>
      <c r="N274" s="80"/>
      <c r="O274" s="80"/>
      <c r="P274" s="81"/>
      <c r="Q274" s="35" t="str">
        <f>IF(D274="","",VLOOKUP(MONTH(D274),Listas!$C$2:$D$14,2,0))</f>
        <v/>
      </c>
      <c r="R274" s="36" t="str">
        <f t="shared" si="22"/>
        <v/>
      </c>
      <c r="S274" s="37" t="str">
        <f t="shared" si="23"/>
        <v/>
      </c>
      <c r="T274" s="37" t="str">
        <f t="shared" si="24"/>
        <v/>
      </c>
      <c r="U274" s="37" t="str">
        <f t="shared" si="25"/>
        <v/>
      </c>
      <c r="V274" s="37" t="str">
        <f t="shared" si="26"/>
        <v/>
      </c>
      <c r="W274" s="37" t="str">
        <f t="shared" si="27"/>
        <v/>
      </c>
      <c r="X274" s="37" t="str">
        <f t="shared" si="28"/>
        <v/>
      </c>
      <c r="Y274" s="37" t="str">
        <f t="shared" si="29"/>
        <v/>
      </c>
      <c r="Z274" s="38" t="str">
        <f t="shared" si="30"/>
        <v/>
      </c>
      <c r="AA274" s="39" t="str">
        <f t="shared" si="31"/>
        <v/>
      </c>
    </row>
    <row r="275" ht="15.75" customHeight="1">
      <c r="B275" s="1"/>
      <c r="C275" s="28"/>
      <c r="D275" s="79"/>
      <c r="E275" s="1"/>
      <c r="F275" s="76"/>
      <c r="G275" s="1"/>
      <c r="H275" s="1"/>
      <c r="J275" s="77"/>
      <c r="K275" s="80"/>
      <c r="L275" s="80"/>
      <c r="M275" s="80"/>
      <c r="N275" s="80"/>
      <c r="O275" s="80"/>
      <c r="P275" s="81"/>
      <c r="Q275" s="35" t="str">
        <f>IF(D275="","",VLOOKUP(MONTH(D275),Listas!$C$2:$D$14,2,0))</f>
        <v/>
      </c>
      <c r="R275" s="36" t="str">
        <f t="shared" si="22"/>
        <v/>
      </c>
      <c r="S275" s="37" t="str">
        <f t="shared" si="23"/>
        <v/>
      </c>
      <c r="T275" s="37" t="str">
        <f t="shared" si="24"/>
        <v/>
      </c>
      <c r="U275" s="37" t="str">
        <f t="shared" si="25"/>
        <v/>
      </c>
      <c r="V275" s="37" t="str">
        <f t="shared" si="26"/>
        <v/>
      </c>
      <c r="W275" s="37" t="str">
        <f t="shared" si="27"/>
        <v/>
      </c>
      <c r="X275" s="37" t="str">
        <f t="shared" si="28"/>
        <v/>
      </c>
      <c r="Y275" s="37" t="str">
        <f t="shared" si="29"/>
        <v/>
      </c>
      <c r="Z275" s="38" t="str">
        <f t="shared" si="30"/>
        <v/>
      </c>
      <c r="AA275" s="39" t="str">
        <f t="shared" si="31"/>
        <v/>
      </c>
    </row>
    <row r="276" ht="15.75" customHeight="1">
      <c r="B276" s="1"/>
      <c r="C276" s="28"/>
      <c r="D276" s="79"/>
      <c r="E276" s="1"/>
      <c r="F276" s="76"/>
      <c r="G276" s="1"/>
      <c r="H276" s="1"/>
      <c r="J276" s="77"/>
      <c r="K276" s="80"/>
      <c r="L276" s="80"/>
      <c r="M276" s="80"/>
      <c r="N276" s="80"/>
      <c r="O276" s="80"/>
      <c r="P276" s="81"/>
      <c r="Q276" s="35" t="str">
        <f>IF(D276="","",VLOOKUP(MONTH(D276),Listas!$C$2:$D$14,2,0))</f>
        <v/>
      </c>
      <c r="R276" s="36" t="str">
        <f t="shared" si="22"/>
        <v/>
      </c>
      <c r="S276" s="37" t="str">
        <f t="shared" si="23"/>
        <v/>
      </c>
      <c r="T276" s="37" t="str">
        <f t="shared" si="24"/>
        <v/>
      </c>
      <c r="U276" s="37" t="str">
        <f t="shared" si="25"/>
        <v/>
      </c>
      <c r="V276" s="37" t="str">
        <f t="shared" si="26"/>
        <v/>
      </c>
      <c r="W276" s="37" t="str">
        <f t="shared" si="27"/>
        <v/>
      </c>
      <c r="X276" s="37" t="str">
        <f t="shared" si="28"/>
        <v/>
      </c>
      <c r="Y276" s="37" t="str">
        <f t="shared" si="29"/>
        <v/>
      </c>
      <c r="Z276" s="38" t="str">
        <f t="shared" si="30"/>
        <v/>
      </c>
      <c r="AA276" s="39" t="str">
        <f t="shared" si="31"/>
        <v/>
      </c>
    </row>
    <row r="277" ht="15.75" customHeight="1">
      <c r="B277" s="1"/>
      <c r="C277" s="28"/>
      <c r="D277" s="79"/>
      <c r="E277" s="1"/>
      <c r="F277" s="76"/>
      <c r="G277" s="1"/>
      <c r="H277" s="1"/>
      <c r="J277" s="77"/>
      <c r="K277" s="80"/>
      <c r="L277" s="80"/>
      <c r="M277" s="80"/>
      <c r="N277" s="80"/>
      <c r="O277" s="80"/>
      <c r="P277" s="81"/>
      <c r="Q277" s="35" t="str">
        <f>IF(D277="","",VLOOKUP(MONTH(D277),Listas!$C$2:$D$14,2,0))</f>
        <v/>
      </c>
      <c r="R277" s="36" t="str">
        <f t="shared" si="22"/>
        <v/>
      </c>
      <c r="S277" s="37" t="str">
        <f t="shared" si="23"/>
        <v/>
      </c>
      <c r="T277" s="37" t="str">
        <f t="shared" si="24"/>
        <v/>
      </c>
      <c r="U277" s="37" t="str">
        <f t="shared" si="25"/>
        <v/>
      </c>
      <c r="V277" s="37" t="str">
        <f t="shared" si="26"/>
        <v/>
      </c>
      <c r="W277" s="37" t="str">
        <f t="shared" si="27"/>
        <v/>
      </c>
      <c r="X277" s="37" t="str">
        <f t="shared" si="28"/>
        <v/>
      </c>
      <c r="Y277" s="37" t="str">
        <f t="shared" si="29"/>
        <v/>
      </c>
      <c r="Z277" s="38" t="str">
        <f t="shared" si="30"/>
        <v/>
      </c>
      <c r="AA277" s="39" t="str">
        <f t="shared" si="31"/>
        <v/>
      </c>
    </row>
    <row r="278" ht="15.75" customHeight="1">
      <c r="B278" s="1"/>
      <c r="C278" s="28"/>
      <c r="D278" s="79"/>
      <c r="E278" s="1"/>
      <c r="F278" s="76"/>
      <c r="G278" s="1"/>
      <c r="H278" s="1"/>
      <c r="J278" s="77"/>
      <c r="K278" s="80"/>
      <c r="L278" s="80"/>
      <c r="M278" s="80"/>
      <c r="N278" s="80"/>
      <c r="O278" s="80"/>
      <c r="P278" s="81"/>
      <c r="Q278" s="35" t="str">
        <f>IF(D278="","",VLOOKUP(MONTH(D278),Listas!$C$2:$D$14,2,0))</f>
        <v/>
      </c>
      <c r="R278" s="36" t="str">
        <f t="shared" si="22"/>
        <v/>
      </c>
      <c r="S278" s="37" t="str">
        <f t="shared" si="23"/>
        <v/>
      </c>
      <c r="T278" s="37" t="str">
        <f t="shared" si="24"/>
        <v/>
      </c>
      <c r="U278" s="37" t="str">
        <f t="shared" si="25"/>
        <v/>
      </c>
      <c r="V278" s="37" t="str">
        <f t="shared" si="26"/>
        <v/>
      </c>
      <c r="W278" s="37" t="str">
        <f t="shared" si="27"/>
        <v/>
      </c>
      <c r="X278" s="37" t="str">
        <f t="shared" si="28"/>
        <v/>
      </c>
      <c r="Y278" s="37" t="str">
        <f t="shared" si="29"/>
        <v/>
      </c>
      <c r="Z278" s="38" t="str">
        <f t="shared" si="30"/>
        <v/>
      </c>
      <c r="AA278" s="39" t="str">
        <f t="shared" si="31"/>
        <v/>
      </c>
    </row>
    <row r="279" ht="15.75" customHeight="1">
      <c r="B279" s="1"/>
      <c r="C279" s="28"/>
      <c r="D279" s="79"/>
      <c r="E279" s="1"/>
      <c r="F279" s="76"/>
      <c r="G279" s="1"/>
      <c r="H279" s="1"/>
      <c r="J279" s="77"/>
      <c r="K279" s="80"/>
      <c r="L279" s="80"/>
      <c r="M279" s="80"/>
      <c r="N279" s="80"/>
      <c r="O279" s="80"/>
      <c r="P279" s="81"/>
      <c r="Q279" s="35" t="str">
        <f>IF(D279="","",VLOOKUP(MONTH(D279),Listas!$C$2:$D$14,2,0))</f>
        <v/>
      </c>
      <c r="R279" s="36" t="str">
        <f t="shared" si="22"/>
        <v/>
      </c>
      <c r="S279" s="37" t="str">
        <f t="shared" si="23"/>
        <v/>
      </c>
      <c r="T279" s="37" t="str">
        <f t="shared" si="24"/>
        <v/>
      </c>
      <c r="U279" s="37" t="str">
        <f t="shared" si="25"/>
        <v/>
      </c>
      <c r="V279" s="37" t="str">
        <f t="shared" si="26"/>
        <v/>
      </c>
      <c r="W279" s="37" t="str">
        <f t="shared" si="27"/>
        <v/>
      </c>
      <c r="X279" s="37" t="str">
        <f t="shared" si="28"/>
        <v/>
      </c>
      <c r="Y279" s="37" t="str">
        <f t="shared" si="29"/>
        <v/>
      </c>
      <c r="Z279" s="38" t="str">
        <f t="shared" si="30"/>
        <v/>
      </c>
      <c r="AA279" s="39" t="str">
        <f t="shared" si="31"/>
        <v/>
      </c>
    </row>
    <row r="280" ht="15.75" customHeight="1">
      <c r="B280" s="1"/>
      <c r="C280" s="28"/>
      <c r="D280" s="79"/>
      <c r="E280" s="1"/>
      <c r="F280" s="76"/>
      <c r="G280" s="1"/>
      <c r="H280" s="1"/>
      <c r="J280" s="77"/>
      <c r="K280" s="80"/>
      <c r="L280" s="80"/>
      <c r="M280" s="80"/>
      <c r="N280" s="80"/>
      <c r="O280" s="80"/>
      <c r="P280" s="81"/>
      <c r="Q280" s="35" t="str">
        <f>IF(D280="","",VLOOKUP(MONTH(D280),Listas!$C$2:$D$14,2,0))</f>
        <v/>
      </c>
      <c r="R280" s="36" t="str">
        <f t="shared" si="22"/>
        <v/>
      </c>
      <c r="S280" s="37" t="str">
        <f t="shared" si="23"/>
        <v/>
      </c>
      <c r="T280" s="37" t="str">
        <f t="shared" si="24"/>
        <v/>
      </c>
      <c r="U280" s="37" t="str">
        <f t="shared" si="25"/>
        <v/>
      </c>
      <c r="V280" s="37" t="str">
        <f t="shared" si="26"/>
        <v/>
      </c>
      <c r="W280" s="37" t="str">
        <f t="shared" si="27"/>
        <v/>
      </c>
      <c r="X280" s="37" t="str">
        <f t="shared" si="28"/>
        <v/>
      </c>
      <c r="Y280" s="37" t="str">
        <f t="shared" si="29"/>
        <v/>
      </c>
      <c r="Z280" s="38" t="str">
        <f t="shared" si="30"/>
        <v/>
      </c>
      <c r="AA280" s="39" t="str">
        <f t="shared" si="31"/>
        <v/>
      </c>
    </row>
    <row r="281" ht="15.75" customHeight="1">
      <c r="B281" s="1"/>
      <c r="C281" s="28"/>
      <c r="D281" s="79"/>
      <c r="E281" s="1"/>
      <c r="F281" s="76"/>
      <c r="G281" s="1"/>
      <c r="H281" s="1"/>
      <c r="J281" s="77"/>
      <c r="K281" s="80"/>
      <c r="L281" s="80"/>
      <c r="M281" s="80"/>
      <c r="N281" s="80"/>
      <c r="O281" s="80"/>
      <c r="P281" s="81"/>
      <c r="Q281" s="35" t="str">
        <f>IF(D281="","",VLOOKUP(MONTH(D281),Listas!$C$2:$D$14,2,0))</f>
        <v/>
      </c>
      <c r="R281" s="36" t="str">
        <f t="shared" si="22"/>
        <v/>
      </c>
      <c r="S281" s="37" t="str">
        <f t="shared" si="23"/>
        <v/>
      </c>
      <c r="T281" s="37" t="str">
        <f t="shared" si="24"/>
        <v/>
      </c>
      <c r="U281" s="37" t="str">
        <f t="shared" si="25"/>
        <v/>
      </c>
      <c r="V281" s="37" t="str">
        <f t="shared" si="26"/>
        <v/>
      </c>
      <c r="W281" s="37" t="str">
        <f t="shared" si="27"/>
        <v/>
      </c>
      <c r="X281" s="37" t="str">
        <f t="shared" si="28"/>
        <v/>
      </c>
      <c r="Y281" s="37" t="str">
        <f t="shared" si="29"/>
        <v/>
      </c>
      <c r="Z281" s="38" t="str">
        <f t="shared" si="30"/>
        <v/>
      </c>
      <c r="AA281" s="39" t="str">
        <f t="shared" si="31"/>
        <v/>
      </c>
    </row>
    <row r="282" ht="15.75" customHeight="1">
      <c r="B282" s="1"/>
      <c r="C282" s="28"/>
      <c r="D282" s="79"/>
      <c r="E282" s="1"/>
      <c r="F282" s="76"/>
      <c r="G282" s="1"/>
      <c r="H282" s="1"/>
      <c r="J282" s="77"/>
      <c r="K282" s="80"/>
      <c r="L282" s="80"/>
      <c r="M282" s="80"/>
      <c r="N282" s="80"/>
      <c r="O282" s="80"/>
      <c r="P282" s="81"/>
      <c r="Q282" s="35" t="str">
        <f>IF(D282="","",VLOOKUP(MONTH(D282),Listas!$C$2:$D$14,2,0))</f>
        <v/>
      </c>
      <c r="R282" s="36" t="str">
        <f t="shared" si="22"/>
        <v/>
      </c>
      <c r="S282" s="37" t="str">
        <f t="shared" si="23"/>
        <v/>
      </c>
      <c r="T282" s="37" t="str">
        <f t="shared" si="24"/>
        <v/>
      </c>
      <c r="U282" s="37" t="str">
        <f t="shared" si="25"/>
        <v/>
      </c>
      <c r="V282" s="37" t="str">
        <f t="shared" si="26"/>
        <v/>
      </c>
      <c r="W282" s="37" t="str">
        <f t="shared" si="27"/>
        <v/>
      </c>
      <c r="X282" s="37" t="str">
        <f t="shared" si="28"/>
        <v/>
      </c>
      <c r="Y282" s="37" t="str">
        <f t="shared" si="29"/>
        <v/>
      </c>
      <c r="Z282" s="38" t="str">
        <f t="shared" si="30"/>
        <v/>
      </c>
      <c r="AA282" s="39" t="str">
        <f t="shared" si="31"/>
        <v/>
      </c>
    </row>
    <row r="283" ht="15.75" customHeight="1">
      <c r="B283" s="1"/>
      <c r="C283" s="28"/>
      <c r="D283" s="79"/>
      <c r="E283" s="1"/>
      <c r="F283" s="76"/>
      <c r="G283" s="1"/>
      <c r="H283" s="1"/>
      <c r="J283" s="77"/>
      <c r="K283" s="80"/>
      <c r="L283" s="80"/>
      <c r="M283" s="80"/>
      <c r="N283" s="80"/>
      <c r="O283" s="80"/>
      <c r="P283" s="81"/>
      <c r="Q283" s="35" t="str">
        <f>IF(D283="","",VLOOKUP(MONTH(D283),Listas!$C$2:$D$14,2,0))</f>
        <v/>
      </c>
      <c r="R283" s="36" t="str">
        <f t="shared" si="22"/>
        <v/>
      </c>
      <c r="S283" s="37" t="str">
        <f t="shared" si="23"/>
        <v/>
      </c>
      <c r="T283" s="37" t="str">
        <f t="shared" si="24"/>
        <v/>
      </c>
      <c r="U283" s="37" t="str">
        <f t="shared" si="25"/>
        <v/>
      </c>
      <c r="V283" s="37" t="str">
        <f t="shared" si="26"/>
        <v/>
      </c>
      <c r="W283" s="37" t="str">
        <f t="shared" si="27"/>
        <v/>
      </c>
      <c r="X283" s="37" t="str">
        <f t="shared" si="28"/>
        <v/>
      </c>
      <c r="Y283" s="37" t="str">
        <f t="shared" si="29"/>
        <v/>
      </c>
      <c r="Z283" s="38" t="str">
        <f t="shared" si="30"/>
        <v/>
      </c>
      <c r="AA283" s="39" t="str">
        <f t="shared" si="31"/>
        <v/>
      </c>
    </row>
    <row r="284" ht="15.75" customHeight="1">
      <c r="B284" s="1"/>
      <c r="C284" s="28"/>
      <c r="D284" s="79"/>
      <c r="E284" s="1"/>
      <c r="F284" s="76"/>
      <c r="G284" s="1"/>
      <c r="H284" s="1"/>
      <c r="J284" s="77"/>
      <c r="K284" s="80"/>
      <c r="L284" s="80"/>
      <c r="M284" s="80"/>
      <c r="N284" s="80"/>
      <c r="O284" s="80"/>
      <c r="P284" s="81"/>
      <c r="Q284" s="35" t="str">
        <f>IF(D284="","",VLOOKUP(MONTH(D284),Listas!$C$2:$D$14,2,0))</f>
        <v/>
      </c>
      <c r="R284" s="36" t="str">
        <f t="shared" si="22"/>
        <v/>
      </c>
      <c r="S284" s="37" t="str">
        <f t="shared" si="23"/>
        <v/>
      </c>
      <c r="T284" s="37" t="str">
        <f t="shared" si="24"/>
        <v/>
      </c>
      <c r="U284" s="37" t="str">
        <f t="shared" si="25"/>
        <v/>
      </c>
      <c r="V284" s="37" t="str">
        <f t="shared" si="26"/>
        <v/>
      </c>
      <c r="W284" s="37" t="str">
        <f t="shared" si="27"/>
        <v/>
      </c>
      <c r="X284" s="37" t="str">
        <f t="shared" si="28"/>
        <v/>
      </c>
      <c r="Y284" s="37" t="str">
        <f t="shared" si="29"/>
        <v/>
      </c>
      <c r="Z284" s="38" t="str">
        <f t="shared" si="30"/>
        <v/>
      </c>
      <c r="AA284" s="39" t="str">
        <f t="shared" si="31"/>
        <v/>
      </c>
    </row>
    <row r="285" ht="15.75" customHeight="1">
      <c r="B285" s="1"/>
      <c r="C285" s="28"/>
      <c r="D285" s="79"/>
      <c r="E285" s="1"/>
      <c r="F285" s="76"/>
      <c r="G285" s="1"/>
      <c r="H285" s="1"/>
      <c r="J285" s="77"/>
      <c r="K285" s="80"/>
      <c r="L285" s="80"/>
      <c r="M285" s="80"/>
      <c r="N285" s="80"/>
      <c r="O285" s="80"/>
      <c r="P285" s="81"/>
      <c r="Q285" s="35" t="str">
        <f>IF(D285="","",VLOOKUP(MONTH(D285),Listas!$C$2:$D$14,2,0))</f>
        <v/>
      </c>
      <c r="R285" s="36" t="str">
        <f t="shared" si="22"/>
        <v/>
      </c>
      <c r="S285" s="37" t="str">
        <f t="shared" si="23"/>
        <v/>
      </c>
      <c r="T285" s="37" t="str">
        <f t="shared" si="24"/>
        <v/>
      </c>
      <c r="U285" s="37" t="str">
        <f t="shared" si="25"/>
        <v/>
      </c>
      <c r="V285" s="37" t="str">
        <f t="shared" si="26"/>
        <v/>
      </c>
      <c r="W285" s="37" t="str">
        <f t="shared" si="27"/>
        <v/>
      </c>
      <c r="X285" s="37" t="str">
        <f t="shared" si="28"/>
        <v/>
      </c>
      <c r="Y285" s="37" t="str">
        <f t="shared" si="29"/>
        <v/>
      </c>
      <c r="Z285" s="38" t="str">
        <f t="shared" si="30"/>
        <v/>
      </c>
      <c r="AA285" s="39" t="str">
        <f t="shared" si="31"/>
        <v/>
      </c>
    </row>
    <row r="286" ht="15.75" customHeight="1">
      <c r="B286" s="1"/>
      <c r="C286" s="28"/>
      <c r="D286" s="79"/>
      <c r="E286" s="1"/>
      <c r="F286" s="76"/>
      <c r="G286" s="1"/>
      <c r="H286" s="1"/>
      <c r="J286" s="77"/>
      <c r="K286" s="80"/>
      <c r="L286" s="80"/>
      <c r="M286" s="80"/>
      <c r="N286" s="80"/>
      <c r="O286" s="80"/>
      <c r="P286" s="81"/>
      <c r="Q286" s="35" t="str">
        <f>IF(D286="","",VLOOKUP(MONTH(D286),Listas!$C$2:$D$14,2,0))</f>
        <v/>
      </c>
      <c r="R286" s="36" t="str">
        <f t="shared" si="22"/>
        <v/>
      </c>
      <c r="S286" s="37" t="str">
        <f t="shared" si="23"/>
        <v/>
      </c>
      <c r="T286" s="37" t="str">
        <f t="shared" si="24"/>
        <v/>
      </c>
      <c r="U286" s="37" t="str">
        <f t="shared" si="25"/>
        <v/>
      </c>
      <c r="V286" s="37" t="str">
        <f t="shared" si="26"/>
        <v/>
      </c>
      <c r="W286" s="37" t="str">
        <f t="shared" si="27"/>
        <v/>
      </c>
      <c r="X286" s="37" t="str">
        <f t="shared" si="28"/>
        <v/>
      </c>
      <c r="Y286" s="37" t="str">
        <f t="shared" si="29"/>
        <v/>
      </c>
      <c r="Z286" s="38" t="str">
        <f t="shared" si="30"/>
        <v/>
      </c>
      <c r="AA286" s="39" t="str">
        <f t="shared" si="31"/>
        <v/>
      </c>
    </row>
    <row r="287" ht="15.75" customHeight="1">
      <c r="B287" s="1"/>
      <c r="C287" s="28"/>
      <c r="D287" s="79"/>
      <c r="E287" s="1"/>
      <c r="F287" s="76"/>
      <c r="G287" s="1"/>
      <c r="H287" s="1"/>
      <c r="J287" s="77"/>
      <c r="K287" s="80"/>
      <c r="L287" s="80"/>
      <c r="M287" s="80"/>
      <c r="N287" s="80"/>
      <c r="O287" s="80"/>
      <c r="P287" s="81"/>
      <c r="Q287" s="35" t="str">
        <f>IF(D287="","",VLOOKUP(MONTH(D287),Listas!$C$2:$D$14,2,0))</f>
        <v/>
      </c>
      <c r="R287" s="36" t="str">
        <f t="shared" si="22"/>
        <v/>
      </c>
      <c r="S287" s="37" t="str">
        <f t="shared" si="23"/>
        <v/>
      </c>
      <c r="T287" s="37" t="str">
        <f t="shared" si="24"/>
        <v/>
      </c>
      <c r="U287" s="37" t="str">
        <f t="shared" si="25"/>
        <v/>
      </c>
      <c r="V287" s="37" t="str">
        <f t="shared" si="26"/>
        <v/>
      </c>
      <c r="W287" s="37" t="str">
        <f t="shared" si="27"/>
        <v/>
      </c>
      <c r="X287" s="37" t="str">
        <f t="shared" si="28"/>
        <v/>
      </c>
      <c r="Y287" s="37" t="str">
        <f t="shared" si="29"/>
        <v/>
      </c>
      <c r="Z287" s="38" t="str">
        <f t="shared" si="30"/>
        <v/>
      </c>
      <c r="AA287" s="39" t="str">
        <f t="shared" si="31"/>
        <v/>
      </c>
    </row>
    <row r="288" ht="15.75" customHeight="1">
      <c r="B288" s="1"/>
      <c r="C288" s="28"/>
      <c r="D288" s="79"/>
      <c r="E288" s="1"/>
      <c r="F288" s="76"/>
      <c r="G288" s="1"/>
      <c r="H288" s="1"/>
      <c r="J288" s="77"/>
      <c r="K288" s="80"/>
      <c r="L288" s="80"/>
      <c r="M288" s="80"/>
      <c r="N288" s="80"/>
      <c r="O288" s="80"/>
      <c r="P288" s="81"/>
      <c r="Q288" s="35" t="str">
        <f>IF(D288="","",VLOOKUP(MONTH(D288),Listas!$C$2:$D$14,2,0))</f>
        <v/>
      </c>
      <c r="R288" s="36" t="str">
        <f t="shared" si="22"/>
        <v/>
      </c>
      <c r="S288" s="37" t="str">
        <f t="shared" si="23"/>
        <v/>
      </c>
      <c r="T288" s="37" t="str">
        <f t="shared" si="24"/>
        <v/>
      </c>
      <c r="U288" s="37" t="str">
        <f t="shared" si="25"/>
        <v/>
      </c>
      <c r="V288" s="37" t="str">
        <f t="shared" si="26"/>
        <v/>
      </c>
      <c r="W288" s="37" t="str">
        <f t="shared" si="27"/>
        <v/>
      </c>
      <c r="X288" s="37" t="str">
        <f t="shared" si="28"/>
        <v/>
      </c>
      <c r="Y288" s="37" t="str">
        <f t="shared" si="29"/>
        <v/>
      </c>
      <c r="Z288" s="38" t="str">
        <f t="shared" si="30"/>
        <v/>
      </c>
      <c r="AA288" s="39" t="str">
        <f t="shared" si="31"/>
        <v/>
      </c>
    </row>
    <row r="289" ht="15.75" customHeight="1">
      <c r="B289" s="1"/>
      <c r="C289" s="28"/>
      <c r="D289" s="79"/>
      <c r="E289" s="1"/>
      <c r="F289" s="76"/>
      <c r="G289" s="1"/>
      <c r="H289" s="1"/>
      <c r="J289" s="77"/>
      <c r="K289" s="80"/>
      <c r="L289" s="80"/>
      <c r="M289" s="80"/>
      <c r="N289" s="80"/>
      <c r="O289" s="80"/>
      <c r="P289" s="81"/>
      <c r="Q289" s="35" t="str">
        <f>IF(D289="","",VLOOKUP(MONTH(D289),Listas!$C$2:$D$14,2,0))</f>
        <v/>
      </c>
      <c r="R289" s="36" t="str">
        <f t="shared" si="22"/>
        <v/>
      </c>
      <c r="S289" s="37" t="str">
        <f t="shared" si="23"/>
        <v/>
      </c>
      <c r="T289" s="37" t="str">
        <f t="shared" si="24"/>
        <v/>
      </c>
      <c r="U289" s="37" t="str">
        <f t="shared" si="25"/>
        <v/>
      </c>
      <c r="V289" s="37" t="str">
        <f t="shared" si="26"/>
        <v/>
      </c>
      <c r="W289" s="37" t="str">
        <f t="shared" si="27"/>
        <v/>
      </c>
      <c r="X289" s="37" t="str">
        <f t="shared" si="28"/>
        <v/>
      </c>
      <c r="Y289" s="37" t="str">
        <f t="shared" si="29"/>
        <v/>
      </c>
      <c r="Z289" s="38" t="str">
        <f t="shared" si="30"/>
        <v/>
      </c>
      <c r="AA289" s="39" t="str">
        <f t="shared" si="31"/>
        <v/>
      </c>
    </row>
    <row r="290" ht="15.75" customHeight="1">
      <c r="B290" s="1"/>
      <c r="C290" s="28"/>
      <c r="D290" s="79"/>
      <c r="E290" s="1"/>
      <c r="F290" s="76"/>
      <c r="G290" s="1"/>
      <c r="H290" s="1"/>
      <c r="J290" s="77"/>
      <c r="K290" s="80"/>
      <c r="L290" s="80"/>
      <c r="M290" s="80"/>
      <c r="N290" s="80"/>
      <c r="O290" s="80"/>
      <c r="P290" s="81"/>
      <c r="Q290" s="35" t="str">
        <f>IF(D290="","",VLOOKUP(MONTH(D290),Listas!$C$2:$D$14,2,0))</f>
        <v/>
      </c>
      <c r="R290" s="36" t="str">
        <f t="shared" si="22"/>
        <v/>
      </c>
      <c r="S290" s="37" t="str">
        <f t="shared" si="23"/>
        <v/>
      </c>
      <c r="T290" s="37" t="str">
        <f t="shared" si="24"/>
        <v/>
      </c>
      <c r="U290" s="37" t="str">
        <f t="shared" si="25"/>
        <v/>
      </c>
      <c r="V290" s="37" t="str">
        <f t="shared" si="26"/>
        <v/>
      </c>
      <c r="W290" s="37" t="str">
        <f t="shared" si="27"/>
        <v/>
      </c>
      <c r="X290" s="37" t="str">
        <f t="shared" si="28"/>
        <v/>
      </c>
      <c r="Y290" s="37" t="str">
        <f t="shared" si="29"/>
        <v/>
      </c>
      <c r="Z290" s="38" t="str">
        <f t="shared" si="30"/>
        <v/>
      </c>
      <c r="AA290" s="39" t="str">
        <f t="shared" si="31"/>
        <v/>
      </c>
    </row>
    <row r="291" ht="15.75" customHeight="1">
      <c r="B291" s="1"/>
      <c r="C291" s="28"/>
      <c r="D291" s="79"/>
      <c r="E291" s="1"/>
      <c r="F291" s="76"/>
      <c r="G291" s="1"/>
      <c r="H291" s="1"/>
      <c r="J291" s="77"/>
      <c r="K291" s="80"/>
      <c r="L291" s="80"/>
      <c r="M291" s="80"/>
      <c r="N291" s="80"/>
      <c r="O291" s="80"/>
      <c r="P291" s="81"/>
      <c r="Q291" s="35" t="str">
        <f>IF(D291="","",VLOOKUP(MONTH(D291),Listas!$C$2:$D$14,2,0))</f>
        <v/>
      </c>
      <c r="R291" s="36" t="str">
        <f t="shared" si="22"/>
        <v/>
      </c>
      <c r="S291" s="37" t="str">
        <f t="shared" si="23"/>
        <v/>
      </c>
      <c r="T291" s="37" t="str">
        <f t="shared" si="24"/>
        <v/>
      </c>
      <c r="U291" s="37" t="str">
        <f t="shared" si="25"/>
        <v/>
      </c>
      <c r="V291" s="37" t="str">
        <f t="shared" si="26"/>
        <v/>
      </c>
      <c r="W291" s="37" t="str">
        <f t="shared" si="27"/>
        <v/>
      </c>
      <c r="X291" s="37" t="str">
        <f t="shared" si="28"/>
        <v/>
      </c>
      <c r="Y291" s="37" t="str">
        <f t="shared" si="29"/>
        <v/>
      </c>
      <c r="Z291" s="38" t="str">
        <f t="shared" si="30"/>
        <v/>
      </c>
      <c r="AA291" s="39" t="str">
        <f t="shared" si="31"/>
        <v/>
      </c>
    </row>
    <row r="292" ht="15.75" customHeight="1">
      <c r="B292" s="1"/>
      <c r="C292" s="28"/>
      <c r="D292" s="79"/>
      <c r="E292" s="1"/>
      <c r="F292" s="76"/>
      <c r="G292" s="1"/>
      <c r="H292" s="1"/>
      <c r="J292" s="77"/>
      <c r="K292" s="80"/>
      <c r="L292" s="80"/>
      <c r="M292" s="80"/>
      <c r="N292" s="80"/>
      <c r="O292" s="80"/>
      <c r="P292" s="81"/>
      <c r="Q292" s="35" t="str">
        <f>IF(D292="","",VLOOKUP(MONTH(D292),Listas!$C$2:$D$14,2,0))</f>
        <v/>
      </c>
      <c r="R292" s="36" t="str">
        <f t="shared" si="22"/>
        <v/>
      </c>
      <c r="S292" s="37" t="str">
        <f t="shared" si="23"/>
        <v/>
      </c>
      <c r="T292" s="37" t="str">
        <f t="shared" si="24"/>
        <v/>
      </c>
      <c r="U292" s="37" t="str">
        <f t="shared" si="25"/>
        <v/>
      </c>
      <c r="V292" s="37" t="str">
        <f t="shared" si="26"/>
        <v/>
      </c>
      <c r="W292" s="37" t="str">
        <f t="shared" si="27"/>
        <v/>
      </c>
      <c r="X292" s="37" t="str">
        <f t="shared" si="28"/>
        <v/>
      </c>
      <c r="Y292" s="37" t="str">
        <f t="shared" si="29"/>
        <v/>
      </c>
      <c r="Z292" s="38" t="str">
        <f t="shared" si="30"/>
        <v/>
      </c>
      <c r="AA292" s="39" t="str">
        <f t="shared" si="31"/>
        <v/>
      </c>
    </row>
    <row r="293" ht="15.75" customHeight="1">
      <c r="B293" s="1"/>
      <c r="C293" s="28"/>
      <c r="D293" s="79"/>
      <c r="E293" s="1"/>
      <c r="F293" s="76"/>
      <c r="G293" s="1"/>
      <c r="H293" s="1"/>
      <c r="J293" s="77"/>
      <c r="K293" s="80"/>
      <c r="L293" s="80"/>
      <c r="M293" s="80"/>
      <c r="N293" s="80"/>
      <c r="O293" s="80"/>
      <c r="P293" s="81"/>
      <c r="Q293" s="35" t="str">
        <f>IF(D293="","",VLOOKUP(MONTH(D293),Listas!$C$2:$D$14,2,0))</f>
        <v/>
      </c>
      <c r="R293" s="36" t="str">
        <f t="shared" si="22"/>
        <v/>
      </c>
      <c r="S293" s="37" t="str">
        <f t="shared" si="23"/>
        <v/>
      </c>
      <c r="T293" s="37" t="str">
        <f t="shared" si="24"/>
        <v/>
      </c>
      <c r="U293" s="37" t="str">
        <f t="shared" si="25"/>
        <v/>
      </c>
      <c r="V293" s="37" t="str">
        <f t="shared" si="26"/>
        <v/>
      </c>
      <c r="W293" s="37" t="str">
        <f t="shared" si="27"/>
        <v/>
      </c>
      <c r="X293" s="37" t="str">
        <f t="shared" si="28"/>
        <v/>
      </c>
      <c r="Y293" s="37" t="str">
        <f t="shared" si="29"/>
        <v/>
      </c>
      <c r="Z293" s="38" t="str">
        <f t="shared" si="30"/>
        <v/>
      </c>
      <c r="AA293" s="39" t="str">
        <f t="shared" si="31"/>
        <v/>
      </c>
    </row>
    <row r="294" ht="15.75" customHeight="1">
      <c r="B294" s="1"/>
      <c r="C294" s="28"/>
      <c r="D294" s="79"/>
      <c r="E294" s="1"/>
      <c r="F294" s="76"/>
      <c r="G294" s="1"/>
      <c r="H294" s="1"/>
      <c r="J294" s="77"/>
      <c r="K294" s="80"/>
      <c r="L294" s="80"/>
      <c r="M294" s="80"/>
      <c r="N294" s="80"/>
      <c r="O294" s="80"/>
      <c r="P294" s="81"/>
      <c r="Q294" s="35" t="str">
        <f>IF(D294="","",VLOOKUP(MONTH(D294),Listas!$C$2:$D$14,2,0))</f>
        <v/>
      </c>
      <c r="R294" s="36" t="str">
        <f t="shared" si="22"/>
        <v/>
      </c>
      <c r="S294" s="37" t="str">
        <f t="shared" si="23"/>
        <v/>
      </c>
      <c r="T294" s="37" t="str">
        <f t="shared" si="24"/>
        <v/>
      </c>
      <c r="U294" s="37" t="str">
        <f t="shared" si="25"/>
        <v/>
      </c>
      <c r="V294" s="37" t="str">
        <f t="shared" si="26"/>
        <v/>
      </c>
      <c r="W294" s="37" t="str">
        <f t="shared" si="27"/>
        <v/>
      </c>
      <c r="X294" s="37" t="str">
        <f t="shared" si="28"/>
        <v/>
      </c>
      <c r="Y294" s="37" t="str">
        <f t="shared" si="29"/>
        <v/>
      </c>
      <c r="Z294" s="38" t="str">
        <f t="shared" si="30"/>
        <v/>
      </c>
      <c r="AA294" s="39" t="str">
        <f t="shared" si="31"/>
        <v/>
      </c>
    </row>
    <row r="295" ht="15.75" customHeight="1">
      <c r="B295" s="1"/>
      <c r="C295" s="28"/>
      <c r="D295" s="79"/>
      <c r="E295" s="1"/>
      <c r="F295" s="76"/>
      <c r="G295" s="1"/>
      <c r="H295" s="1"/>
      <c r="J295" s="77"/>
      <c r="K295" s="80"/>
      <c r="L295" s="80"/>
      <c r="M295" s="80"/>
      <c r="N295" s="80"/>
      <c r="O295" s="80"/>
      <c r="P295" s="81"/>
      <c r="Q295" s="35" t="str">
        <f>IF(D295="","",VLOOKUP(MONTH(D295),Listas!$C$2:$D$14,2,0))</f>
        <v/>
      </c>
      <c r="R295" s="36" t="str">
        <f t="shared" si="22"/>
        <v/>
      </c>
      <c r="S295" s="37" t="str">
        <f t="shared" si="23"/>
        <v/>
      </c>
      <c r="T295" s="37" t="str">
        <f t="shared" si="24"/>
        <v/>
      </c>
      <c r="U295" s="37" t="str">
        <f t="shared" si="25"/>
        <v/>
      </c>
      <c r="V295" s="37" t="str">
        <f t="shared" si="26"/>
        <v/>
      </c>
      <c r="W295" s="37" t="str">
        <f t="shared" si="27"/>
        <v/>
      </c>
      <c r="X295" s="37" t="str">
        <f t="shared" si="28"/>
        <v/>
      </c>
      <c r="Y295" s="37" t="str">
        <f t="shared" si="29"/>
        <v/>
      </c>
      <c r="Z295" s="38" t="str">
        <f t="shared" si="30"/>
        <v/>
      </c>
      <c r="AA295" s="39" t="str">
        <f t="shared" si="31"/>
        <v/>
      </c>
    </row>
    <row r="296" ht="15.75" customHeight="1">
      <c r="B296" s="1"/>
      <c r="C296" s="28"/>
      <c r="D296" s="79"/>
      <c r="E296" s="1"/>
      <c r="F296" s="76"/>
      <c r="G296" s="1"/>
      <c r="H296" s="1"/>
      <c r="J296" s="77"/>
      <c r="K296" s="80"/>
      <c r="L296" s="80"/>
      <c r="M296" s="80"/>
      <c r="N296" s="80"/>
      <c r="O296" s="80"/>
      <c r="P296" s="81"/>
      <c r="Q296" s="35" t="str">
        <f>IF(D296="","",VLOOKUP(MONTH(D296),Listas!$C$2:$D$14,2,0))</f>
        <v/>
      </c>
      <c r="R296" s="36" t="str">
        <f t="shared" si="22"/>
        <v/>
      </c>
      <c r="S296" s="37" t="str">
        <f t="shared" si="23"/>
        <v/>
      </c>
      <c r="T296" s="37" t="str">
        <f t="shared" si="24"/>
        <v/>
      </c>
      <c r="U296" s="37" t="str">
        <f t="shared" si="25"/>
        <v/>
      </c>
      <c r="V296" s="37" t="str">
        <f t="shared" si="26"/>
        <v/>
      </c>
      <c r="W296" s="37" t="str">
        <f t="shared" si="27"/>
        <v/>
      </c>
      <c r="X296" s="37" t="str">
        <f t="shared" si="28"/>
        <v/>
      </c>
      <c r="Y296" s="37" t="str">
        <f t="shared" si="29"/>
        <v/>
      </c>
      <c r="Z296" s="38" t="str">
        <f t="shared" si="30"/>
        <v/>
      </c>
      <c r="AA296" s="39" t="str">
        <f t="shared" si="31"/>
        <v/>
      </c>
    </row>
    <row r="297" ht="15.75" customHeight="1">
      <c r="B297" s="1"/>
      <c r="C297" s="28"/>
      <c r="D297" s="79"/>
      <c r="E297" s="1"/>
      <c r="F297" s="76"/>
      <c r="G297" s="1"/>
      <c r="H297" s="1"/>
      <c r="J297" s="77"/>
      <c r="K297" s="80"/>
      <c r="L297" s="80"/>
      <c r="M297" s="80"/>
      <c r="N297" s="80"/>
      <c r="O297" s="80"/>
      <c r="P297" s="81"/>
      <c r="Q297" s="35" t="str">
        <f>IF(D297="","",VLOOKUP(MONTH(D297),Listas!$C$2:$D$14,2,0))</f>
        <v/>
      </c>
      <c r="R297" s="36" t="str">
        <f t="shared" si="22"/>
        <v/>
      </c>
      <c r="S297" s="37" t="str">
        <f t="shared" si="23"/>
        <v/>
      </c>
      <c r="T297" s="37" t="str">
        <f t="shared" si="24"/>
        <v/>
      </c>
      <c r="U297" s="37" t="str">
        <f t="shared" si="25"/>
        <v/>
      </c>
      <c r="V297" s="37" t="str">
        <f t="shared" si="26"/>
        <v/>
      </c>
      <c r="W297" s="37" t="str">
        <f t="shared" si="27"/>
        <v/>
      </c>
      <c r="X297" s="37" t="str">
        <f t="shared" si="28"/>
        <v/>
      </c>
      <c r="Y297" s="37" t="str">
        <f t="shared" si="29"/>
        <v/>
      </c>
      <c r="Z297" s="38" t="str">
        <f t="shared" si="30"/>
        <v/>
      </c>
      <c r="AA297" s="39" t="str">
        <f t="shared" si="31"/>
        <v/>
      </c>
    </row>
    <row r="298" ht="15.75" customHeight="1">
      <c r="B298" s="1"/>
      <c r="C298" s="28"/>
      <c r="D298" s="79"/>
      <c r="E298" s="1"/>
      <c r="F298" s="76"/>
      <c r="G298" s="1"/>
      <c r="H298" s="1"/>
      <c r="J298" s="77"/>
      <c r="K298" s="80"/>
      <c r="L298" s="80"/>
      <c r="M298" s="80"/>
      <c r="N298" s="80"/>
      <c r="O298" s="80"/>
      <c r="P298" s="81"/>
      <c r="Q298" s="35" t="str">
        <f>IF(D298="","",VLOOKUP(MONTH(D298),Listas!$C$2:$D$14,2,0))</f>
        <v/>
      </c>
      <c r="R298" s="36" t="str">
        <f t="shared" si="22"/>
        <v/>
      </c>
      <c r="S298" s="37" t="str">
        <f t="shared" si="23"/>
        <v/>
      </c>
      <c r="T298" s="37" t="str">
        <f t="shared" si="24"/>
        <v/>
      </c>
      <c r="U298" s="37" t="str">
        <f t="shared" si="25"/>
        <v/>
      </c>
      <c r="V298" s="37" t="str">
        <f t="shared" si="26"/>
        <v/>
      </c>
      <c r="W298" s="37" t="str">
        <f t="shared" si="27"/>
        <v/>
      </c>
      <c r="X298" s="37" t="str">
        <f t="shared" si="28"/>
        <v/>
      </c>
      <c r="Y298" s="37" t="str">
        <f t="shared" si="29"/>
        <v/>
      </c>
      <c r="Z298" s="38" t="str">
        <f t="shared" si="30"/>
        <v/>
      </c>
      <c r="AA298" s="39" t="str">
        <f t="shared" si="31"/>
        <v/>
      </c>
    </row>
    <row r="299" ht="15.75" customHeight="1">
      <c r="B299" s="1"/>
      <c r="C299" s="28"/>
      <c r="D299" s="79"/>
      <c r="E299" s="1"/>
      <c r="F299" s="76"/>
      <c r="G299" s="1"/>
      <c r="H299" s="1"/>
      <c r="J299" s="77"/>
      <c r="K299" s="80"/>
      <c r="L299" s="80"/>
      <c r="M299" s="80"/>
      <c r="N299" s="80"/>
      <c r="O299" s="80"/>
      <c r="P299" s="81"/>
      <c r="Q299" s="35" t="str">
        <f>IF(D299="","",VLOOKUP(MONTH(D299),Listas!$C$2:$D$14,2,0))</f>
        <v/>
      </c>
      <c r="R299" s="36" t="str">
        <f t="shared" si="22"/>
        <v/>
      </c>
      <c r="S299" s="37" t="str">
        <f t="shared" si="23"/>
        <v/>
      </c>
      <c r="T299" s="37" t="str">
        <f t="shared" si="24"/>
        <v/>
      </c>
      <c r="U299" s="37" t="str">
        <f t="shared" si="25"/>
        <v/>
      </c>
      <c r="V299" s="37" t="str">
        <f t="shared" si="26"/>
        <v/>
      </c>
      <c r="W299" s="37" t="str">
        <f t="shared" si="27"/>
        <v/>
      </c>
      <c r="X299" s="37" t="str">
        <f t="shared" si="28"/>
        <v/>
      </c>
      <c r="Y299" s="37" t="str">
        <f t="shared" si="29"/>
        <v/>
      </c>
      <c r="Z299" s="38" t="str">
        <f t="shared" si="30"/>
        <v/>
      </c>
      <c r="AA299" s="39" t="str">
        <f t="shared" si="31"/>
        <v/>
      </c>
    </row>
    <row r="300" ht="15.75" customHeight="1">
      <c r="B300" s="1"/>
      <c r="C300" s="28"/>
      <c r="D300" s="79"/>
      <c r="E300" s="1"/>
      <c r="F300" s="76"/>
      <c r="G300" s="1"/>
      <c r="H300" s="1"/>
      <c r="J300" s="77"/>
      <c r="K300" s="80"/>
      <c r="L300" s="80"/>
      <c r="M300" s="80"/>
      <c r="N300" s="80"/>
      <c r="O300" s="80"/>
      <c r="P300" s="81"/>
      <c r="Q300" s="35" t="str">
        <f>IF(D300="","",VLOOKUP(MONTH(D300),Listas!$C$2:$D$14,2,0))</f>
        <v/>
      </c>
      <c r="R300" s="36" t="str">
        <f t="shared" si="22"/>
        <v/>
      </c>
      <c r="S300" s="37" t="str">
        <f t="shared" si="23"/>
        <v/>
      </c>
      <c r="T300" s="37" t="str">
        <f t="shared" si="24"/>
        <v/>
      </c>
      <c r="U300" s="37" t="str">
        <f t="shared" si="25"/>
        <v/>
      </c>
      <c r="V300" s="37" t="str">
        <f t="shared" si="26"/>
        <v/>
      </c>
      <c r="W300" s="37" t="str">
        <f t="shared" si="27"/>
        <v/>
      </c>
      <c r="X300" s="37" t="str">
        <f t="shared" si="28"/>
        <v/>
      </c>
      <c r="Y300" s="37" t="str">
        <f t="shared" si="29"/>
        <v/>
      </c>
      <c r="Z300" s="38" t="str">
        <f t="shared" si="30"/>
        <v/>
      </c>
      <c r="AA300" s="39" t="str">
        <f t="shared" si="31"/>
        <v/>
      </c>
    </row>
    <row r="301" ht="15.75" customHeight="1">
      <c r="B301" s="1"/>
      <c r="C301" s="28"/>
      <c r="D301" s="79"/>
      <c r="E301" s="1"/>
      <c r="F301" s="76"/>
      <c r="G301" s="1"/>
      <c r="H301" s="1"/>
      <c r="J301" s="77"/>
      <c r="K301" s="80"/>
      <c r="L301" s="80"/>
      <c r="M301" s="80"/>
      <c r="N301" s="80"/>
      <c r="O301" s="80"/>
      <c r="P301" s="81"/>
      <c r="Q301" s="35" t="str">
        <f>IF(D301="","",VLOOKUP(MONTH(D301),Listas!$C$2:$D$14,2,0))</f>
        <v/>
      </c>
      <c r="R301" s="36" t="str">
        <f t="shared" si="22"/>
        <v/>
      </c>
      <c r="S301" s="37" t="str">
        <f t="shared" si="23"/>
        <v/>
      </c>
      <c r="T301" s="37" t="str">
        <f t="shared" si="24"/>
        <v/>
      </c>
      <c r="U301" s="37" t="str">
        <f t="shared" si="25"/>
        <v/>
      </c>
      <c r="V301" s="37" t="str">
        <f t="shared" si="26"/>
        <v/>
      </c>
      <c r="W301" s="37" t="str">
        <f t="shared" si="27"/>
        <v/>
      </c>
      <c r="X301" s="37" t="str">
        <f t="shared" si="28"/>
        <v/>
      </c>
      <c r="Y301" s="37" t="str">
        <f t="shared" si="29"/>
        <v/>
      </c>
      <c r="Z301" s="38" t="str">
        <f t="shared" si="30"/>
        <v/>
      </c>
      <c r="AA301" s="39" t="str">
        <f t="shared" si="31"/>
        <v/>
      </c>
    </row>
    <row r="302" ht="15.75" customHeight="1">
      <c r="B302" s="1"/>
      <c r="C302" s="28"/>
      <c r="D302" s="79"/>
      <c r="E302" s="1"/>
      <c r="F302" s="76"/>
      <c r="G302" s="1"/>
      <c r="H302" s="1"/>
      <c r="J302" s="77"/>
      <c r="K302" s="80"/>
      <c r="L302" s="80"/>
      <c r="M302" s="80"/>
      <c r="N302" s="80"/>
      <c r="O302" s="80"/>
      <c r="P302" s="81"/>
      <c r="Q302" s="35" t="str">
        <f>IF(D302="","",VLOOKUP(MONTH(D302),Listas!$C$2:$D$14,2,0))</f>
        <v/>
      </c>
      <c r="R302" s="36" t="str">
        <f t="shared" si="22"/>
        <v/>
      </c>
      <c r="S302" s="37" t="str">
        <f t="shared" si="23"/>
        <v/>
      </c>
      <c r="T302" s="37" t="str">
        <f t="shared" si="24"/>
        <v/>
      </c>
      <c r="U302" s="37" t="str">
        <f t="shared" si="25"/>
        <v/>
      </c>
      <c r="V302" s="37" t="str">
        <f t="shared" si="26"/>
        <v/>
      </c>
      <c r="W302" s="37" t="str">
        <f t="shared" si="27"/>
        <v/>
      </c>
      <c r="X302" s="37" t="str">
        <f t="shared" si="28"/>
        <v/>
      </c>
      <c r="Y302" s="37" t="str">
        <f t="shared" si="29"/>
        <v/>
      </c>
      <c r="Z302" s="38" t="str">
        <f t="shared" si="30"/>
        <v/>
      </c>
      <c r="AA302" s="39" t="str">
        <f t="shared" si="31"/>
        <v/>
      </c>
    </row>
    <row r="303" ht="15.75" customHeight="1">
      <c r="B303" s="1"/>
      <c r="C303" s="28"/>
      <c r="D303" s="79"/>
      <c r="E303" s="1"/>
      <c r="F303" s="76"/>
      <c r="G303" s="1"/>
      <c r="H303" s="1"/>
      <c r="J303" s="77"/>
      <c r="K303" s="80"/>
      <c r="L303" s="80"/>
      <c r="M303" s="80"/>
      <c r="N303" s="80"/>
      <c r="O303" s="80"/>
      <c r="P303" s="81"/>
      <c r="Q303" s="35" t="str">
        <f>IF(D303="","",VLOOKUP(MONTH(D303),Listas!$C$2:$D$14,2,0))</f>
        <v/>
      </c>
      <c r="R303" s="36" t="str">
        <f t="shared" si="22"/>
        <v/>
      </c>
      <c r="S303" s="37" t="str">
        <f t="shared" si="23"/>
        <v/>
      </c>
      <c r="T303" s="37" t="str">
        <f t="shared" si="24"/>
        <v/>
      </c>
      <c r="U303" s="37" t="str">
        <f t="shared" si="25"/>
        <v/>
      </c>
      <c r="V303" s="37" t="str">
        <f t="shared" si="26"/>
        <v/>
      </c>
      <c r="W303" s="37" t="str">
        <f t="shared" si="27"/>
        <v/>
      </c>
      <c r="X303" s="37" t="str">
        <f t="shared" si="28"/>
        <v/>
      </c>
      <c r="Y303" s="37" t="str">
        <f t="shared" si="29"/>
        <v/>
      </c>
      <c r="Z303" s="38" t="str">
        <f t="shared" si="30"/>
        <v/>
      </c>
      <c r="AA303" s="39" t="str">
        <f t="shared" si="31"/>
        <v/>
      </c>
    </row>
    <row r="304" ht="15.75" customHeight="1">
      <c r="B304" s="1"/>
      <c r="C304" s="28"/>
      <c r="D304" s="79"/>
      <c r="E304" s="1"/>
      <c r="F304" s="76"/>
      <c r="G304" s="1"/>
      <c r="H304" s="1"/>
      <c r="J304" s="77"/>
      <c r="K304" s="80"/>
      <c r="L304" s="80"/>
      <c r="M304" s="80"/>
      <c r="N304" s="80"/>
      <c r="O304" s="80"/>
      <c r="P304" s="81"/>
      <c r="Q304" s="35" t="str">
        <f>IF(D304="","",VLOOKUP(MONTH(D304),Listas!$C$2:$D$14,2,0))</f>
        <v/>
      </c>
      <c r="R304" s="36" t="str">
        <f t="shared" si="22"/>
        <v/>
      </c>
      <c r="S304" s="37" t="str">
        <f t="shared" si="23"/>
        <v/>
      </c>
      <c r="T304" s="37" t="str">
        <f t="shared" si="24"/>
        <v/>
      </c>
      <c r="U304" s="37" t="str">
        <f t="shared" si="25"/>
        <v/>
      </c>
      <c r="V304" s="37" t="str">
        <f t="shared" si="26"/>
        <v/>
      </c>
      <c r="W304" s="37" t="str">
        <f t="shared" si="27"/>
        <v/>
      </c>
      <c r="X304" s="37" t="str">
        <f t="shared" si="28"/>
        <v/>
      </c>
      <c r="Y304" s="37" t="str">
        <f t="shared" si="29"/>
        <v/>
      </c>
      <c r="Z304" s="38" t="str">
        <f t="shared" si="30"/>
        <v/>
      </c>
      <c r="AA304" s="39" t="str">
        <f t="shared" si="31"/>
        <v/>
      </c>
    </row>
    <row r="305" ht="15.75" customHeight="1">
      <c r="B305" s="1"/>
      <c r="C305" s="28"/>
      <c r="D305" s="79"/>
      <c r="E305" s="1"/>
      <c r="F305" s="76"/>
      <c r="G305" s="1"/>
      <c r="H305" s="1"/>
      <c r="J305" s="77"/>
      <c r="K305" s="80"/>
      <c r="L305" s="80"/>
      <c r="M305" s="80"/>
      <c r="N305" s="80"/>
      <c r="O305" s="80"/>
      <c r="P305" s="81"/>
      <c r="Q305" s="35" t="str">
        <f>IF(D305="","",VLOOKUP(MONTH(D305),Listas!$C$2:$D$14,2,0))</f>
        <v/>
      </c>
      <c r="R305" s="36" t="str">
        <f t="shared" si="22"/>
        <v/>
      </c>
      <c r="S305" s="37" t="str">
        <f t="shared" si="23"/>
        <v/>
      </c>
      <c r="T305" s="37" t="str">
        <f t="shared" si="24"/>
        <v/>
      </c>
      <c r="U305" s="37" t="str">
        <f t="shared" si="25"/>
        <v/>
      </c>
      <c r="V305" s="37" t="str">
        <f t="shared" si="26"/>
        <v/>
      </c>
      <c r="W305" s="37" t="str">
        <f t="shared" si="27"/>
        <v/>
      </c>
      <c r="X305" s="37" t="str">
        <f t="shared" si="28"/>
        <v/>
      </c>
      <c r="Y305" s="37" t="str">
        <f t="shared" si="29"/>
        <v/>
      </c>
      <c r="Z305" s="38" t="str">
        <f t="shared" si="30"/>
        <v/>
      </c>
      <c r="AA305" s="39" t="str">
        <f t="shared" si="31"/>
        <v/>
      </c>
    </row>
    <row r="306" ht="15.75" customHeight="1">
      <c r="B306" s="1"/>
      <c r="C306" s="28"/>
      <c r="D306" s="79"/>
      <c r="E306" s="1"/>
      <c r="F306" s="76"/>
      <c r="G306" s="1"/>
      <c r="H306" s="1"/>
      <c r="J306" s="77"/>
      <c r="K306" s="80"/>
      <c r="L306" s="80"/>
      <c r="M306" s="80"/>
      <c r="N306" s="80"/>
      <c r="O306" s="80"/>
      <c r="P306" s="81"/>
      <c r="Q306" s="35" t="str">
        <f>IF(D306="","",VLOOKUP(MONTH(D306),Listas!$C$2:$D$14,2,0))</f>
        <v/>
      </c>
      <c r="R306" s="36" t="str">
        <f t="shared" si="22"/>
        <v/>
      </c>
      <c r="S306" s="37" t="str">
        <f t="shared" si="23"/>
        <v/>
      </c>
      <c r="T306" s="37" t="str">
        <f t="shared" si="24"/>
        <v/>
      </c>
      <c r="U306" s="37" t="str">
        <f t="shared" si="25"/>
        <v/>
      </c>
      <c r="V306" s="37" t="str">
        <f t="shared" si="26"/>
        <v/>
      </c>
      <c r="W306" s="37" t="str">
        <f t="shared" si="27"/>
        <v/>
      </c>
      <c r="X306" s="37" t="str">
        <f t="shared" si="28"/>
        <v/>
      </c>
      <c r="Y306" s="37" t="str">
        <f t="shared" si="29"/>
        <v/>
      </c>
      <c r="Z306" s="38" t="str">
        <f t="shared" si="30"/>
        <v/>
      </c>
      <c r="AA306" s="39" t="str">
        <f t="shared" si="31"/>
        <v/>
      </c>
    </row>
    <row r="307" ht="15.75" customHeight="1">
      <c r="B307" s="1"/>
      <c r="C307" s="28"/>
      <c r="D307" s="79"/>
      <c r="E307" s="1"/>
      <c r="F307" s="76"/>
      <c r="G307" s="1"/>
      <c r="H307" s="1"/>
      <c r="J307" s="77"/>
      <c r="K307" s="80"/>
      <c r="L307" s="80"/>
      <c r="M307" s="80"/>
      <c r="N307" s="80"/>
      <c r="O307" s="80"/>
      <c r="P307" s="81"/>
      <c r="Q307" s="35" t="str">
        <f>IF(D307="","",VLOOKUP(MONTH(D307),Listas!$C$2:$D$14,2,0))</f>
        <v/>
      </c>
      <c r="R307" s="36" t="str">
        <f t="shared" si="22"/>
        <v/>
      </c>
      <c r="S307" s="37" t="str">
        <f t="shared" si="23"/>
        <v/>
      </c>
      <c r="T307" s="37" t="str">
        <f t="shared" si="24"/>
        <v/>
      </c>
      <c r="U307" s="37" t="str">
        <f t="shared" si="25"/>
        <v/>
      </c>
      <c r="V307" s="37" t="str">
        <f t="shared" si="26"/>
        <v/>
      </c>
      <c r="W307" s="37" t="str">
        <f t="shared" si="27"/>
        <v/>
      </c>
      <c r="X307" s="37" t="str">
        <f t="shared" si="28"/>
        <v/>
      </c>
      <c r="Y307" s="37" t="str">
        <f t="shared" si="29"/>
        <v/>
      </c>
      <c r="Z307" s="38" t="str">
        <f t="shared" si="30"/>
        <v/>
      </c>
      <c r="AA307" s="39" t="str">
        <f t="shared" si="31"/>
        <v/>
      </c>
    </row>
    <row r="308" ht="15.75" customHeight="1">
      <c r="B308" s="1"/>
      <c r="C308" s="28"/>
      <c r="D308" s="79"/>
      <c r="E308" s="1"/>
      <c r="F308" s="76"/>
      <c r="G308" s="1"/>
      <c r="H308" s="1"/>
      <c r="J308" s="77"/>
      <c r="K308" s="80"/>
      <c r="L308" s="80"/>
      <c r="M308" s="80"/>
      <c r="N308" s="80"/>
      <c r="O308" s="80"/>
      <c r="P308" s="81"/>
      <c r="Q308" s="35" t="str">
        <f>IF(D308="","",VLOOKUP(MONTH(D308),Listas!$C$2:$D$14,2,0))</f>
        <v/>
      </c>
      <c r="R308" s="36" t="str">
        <f t="shared" si="22"/>
        <v/>
      </c>
      <c r="S308" s="37" t="str">
        <f t="shared" si="23"/>
        <v/>
      </c>
      <c r="T308" s="37" t="str">
        <f t="shared" si="24"/>
        <v/>
      </c>
      <c r="U308" s="37" t="str">
        <f t="shared" si="25"/>
        <v/>
      </c>
      <c r="V308" s="37" t="str">
        <f t="shared" si="26"/>
        <v/>
      </c>
      <c r="W308" s="37" t="str">
        <f t="shared" si="27"/>
        <v/>
      </c>
      <c r="X308" s="37" t="str">
        <f t="shared" si="28"/>
        <v/>
      </c>
      <c r="Y308" s="37" t="str">
        <f t="shared" si="29"/>
        <v/>
      </c>
      <c r="Z308" s="38" t="str">
        <f t="shared" si="30"/>
        <v/>
      </c>
      <c r="AA308" s="39" t="str">
        <f t="shared" si="31"/>
        <v/>
      </c>
    </row>
    <row r="309" ht="15.75" customHeight="1">
      <c r="B309" s="1"/>
      <c r="C309" s="28"/>
      <c r="D309" s="79"/>
      <c r="E309" s="1"/>
      <c r="F309" s="76"/>
      <c r="G309" s="1"/>
      <c r="H309" s="1"/>
      <c r="J309" s="77"/>
      <c r="K309" s="80"/>
      <c r="L309" s="80"/>
      <c r="M309" s="80"/>
      <c r="N309" s="80"/>
      <c r="O309" s="80"/>
      <c r="P309" s="81"/>
      <c r="Q309" s="35" t="str">
        <f>IF(D309="","",VLOOKUP(MONTH(D309),Listas!$C$2:$D$14,2,0))</f>
        <v/>
      </c>
      <c r="R309" s="36" t="str">
        <f t="shared" si="22"/>
        <v/>
      </c>
      <c r="S309" s="37" t="str">
        <f t="shared" si="23"/>
        <v/>
      </c>
      <c r="T309" s="37" t="str">
        <f t="shared" si="24"/>
        <v/>
      </c>
      <c r="U309" s="37" t="str">
        <f t="shared" si="25"/>
        <v/>
      </c>
      <c r="V309" s="37" t="str">
        <f t="shared" si="26"/>
        <v/>
      </c>
      <c r="W309" s="37" t="str">
        <f t="shared" si="27"/>
        <v/>
      </c>
      <c r="X309" s="37" t="str">
        <f t="shared" si="28"/>
        <v/>
      </c>
      <c r="Y309" s="37" t="str">
        <f t="shared" si="29"/>
        <v/>
      </c>
      <c r="Z309" s="38" t="str">
        <f t="shared" si="30"/>
        <v/>
      </c>
      <c r="AA309" s="39" t="str">
        <f t="shared" si="31"/>
        <v/>
      </c>
    </row>
    <row r="310" ht="15.75" customHeight="1">
      <c r="B310" s="1"/>
      <c r="C310" s="28"/>
      <c r="D310" s="79"/>
      <c r="E310" s="1"/>
      <c r="F310" s="76"/>
      <c r="G310" s="1"/>
      <c r="H310" s="1"/>
      <c r="J310" s="77"/>
      <c r="K310" s="80"/>
      <c r="L310" s="80"/>
      <c r="M310" s="80"/>
      <c r="N310" s="80"/>
      <c r="O310" s="80"/>
      <c r="P310" s="81"/>
      <c r="Q310" s="35" t="str">
        <f>IF(D310="","",VLOOKUP(MONTH(D310),Listas!$C$2:$D$14,2,0))</f>
        <v/>
      </c>
      <c r="R310" s="36" t="str">
        <f t="shared" si="22"/>
        <v/>
      </c>
      <c r="S310" s="37" t="str">
        <f t="shared" si="23"/>
        <v/>
      </c>
      <c r="T310" s="37" t="str">
        <f t="shared" si="24"/>
        <v/>
      </c>
      <c r="U310" s="37" t="str">
        <f t="shared" si="25"/>
        <v/>
      </c>
      <c r="V310" s="37" t="str">
        <f t="shared" si="26"/>
        <v/>
      </c>
      <c r="W310" s="37" t="str">
        <f t="shared" si="27"/>
        <v/>
      </c>
      <c r="X310" s="37" t="str">
        <f t="shared" si="28"/>
        <v/>
      </c>
      <c r="Y310" s="37" t="str">
        <f t="shared" si="29"/>
        <v/>
      </c>
      <c r="Z310" s="38" t="str">
        <f t="shared" si="30"/>
        <v/>
      </c>
      <c r="AA310" s="39" t="str">
        <f t="shared" si="31"/>
        <v/>
      </c>
    </row>
    <row r="311" ht="15.75" customHeight="1">
      <c r="B311" s="1"/>
      <c r="C311" s="28"/>
      <c r="D311" s="79"/>
      <c r="E311" s="1"/>
      <c r="F311" s="76"/>
      <c r="G311" s="1"/>
      <c r="H311" s="1"/>
      <c r="J311" s="77"/>
      <c r="K311" s="80"/>
      <c r="L311" s="80"/>
      <c r="M311" s="80"/>
      <c r="N311" s="80"/>
      <c r="O311" s="80"/>
      <c r="P311" s="81"/>
      <c r="Q311" s="35" t="str">
        <f>IF(D311="","",VLOOKUP(MONTH(D311),Listas!$C$2:$D$14,2,0))</f>
        <v/>
      </c>
      <c r="R311" s="36" t="str">
        <f t="shared" si="22"/>
        <v/>
      </c>
      <c r="S311" s="37" t="str">
        <f t="shared" si="23"/>
        <v/>
      </c>
      <c r="T311" s="37" t="str">
        <f t="shared" si="24"/>
        <v/>
      </c>
      <c r="U311" s="37" t="str">
        <f t="shared" si="25"/>
        <v/>
      </c>
      <c r="V311" s="37" t="str">
        <f t="shared" si="26"/>
        <v/>
      </c>
      <c r="W311" s="37" t="str">
        <f t="shared" si="27"/>
        <v/>
      </c>
      <c r="X311" s="37" t="str">
        <f t="shared" si="28"/>
        <v/>
      </c>
      <c r="Y311" s="37" t="str">
        <f t="shared" si="29"/>
        <v/>
      </c>
      <c r="Z311" s="38" t="str">
        <f t="shared" si="30"/>
        <v/>
      </c>
      <c r="AA311" s="39" t="str">
        <f t="shared" si="31"/>
        <v/>
      </c>
    </row>
    <row r="312" ht="15.75" customHeight="1">
      <c r="B312" s="1"/>
      <c r="C312" s="28"/>
      <c r="D312" s="79"/>
      <c r="E312" s="1"/>
      <c r="F312" s="76"/>
      <c r="G312" s="1"/>
      <c r="H312" s="1"/>
      <c r="J312" s="77"/>
      <c r="K312" s="80"/>
      <c r="L312" s="80"/>
      <c r="M312" s="80"/>
      <c r="N312" s="80"/>
      <c r="O312" s="80"/>
      <c r="P312" s="81"/>
      <c r="Q312" s="35" t="str">
        <f>IF(D312="","",VLOOKUP(MONTH(D312),Listas!$C$2:$D$14,2,0))</f>
        <v/>
      </c>
      <c r="R312" s="36" t="str">
        <f t="shared" si="22"/>
        <v/>
      </c>
      <c r="S312" s="37" t="str">
        <f t="shared" si="23"/>
        <v/>
      </c>
      <c r="T312" s="37" t="str">
        <f t="shared" si="24"/>
        <v/>
      </c>
      <c r="U312" s="37" t="str">
        <f t="shared" si="25"/>
        <v/>
      </c>
      <c r="V312" s="37" t="str">
        <f t="shared" si="26"/>
        <v/>
      </c>
      <c r="W312" s="37" t="str">
        <f t="shared" si="27"/>
        <v/>
      </c>
      <c r="X312" s="37" t="str">
        <f t="shared" si="28"/>
        <v/>
      </c>
      <c r="Y312" s="37" t="str">
        <f t="shared" si="29"/>
        <v/>
      </c>
      <c r="Z312" s="38" t="str">
        <f t="shared" si="30"/>
        <v/>
      </c>
      <c r="AA312" s="39" t="str">
        <f t="shared" si="31"/>
        <v/>
      </c>
    </row>
    <row r="313" ht="15.75" customHeight="1">
      <c r="B313" s="1"/>
      <c r="C313" s="28"/>
      <c r="D313" s="79"/>
      <c r="E313" s="1"/>
      <c r="F313" s="76"/>
      <c r="G313" s="1"/>
      <c r="H313" s="1"/>
      <c r="J313" s="77"/>
      <c r="K313" s="80"/>
      <c r="L313" s="80"/>
      <c r="M313" s="80"/>
      <c r="N313" s="80"/>
      <c r="O313" s="80"/>
      <c r="P313" s="81"/>
      <c r="Q313" s="35" t="str">
        <f>IF(D313="","",VLOOKUP(MONTH(D313),Listas!$C$2:$D$14,2,0))</f>
        <v/>
      </c>
      <c r="R313" s="36" t="str">
        <f t="shared" si="22"/>
        <v/>
      </c>
      <c r="S313" s="37" t="str">
        <f t="shared" si="23"/>
        <v/>
      </c>
      <c r="T313" s="37" t="str">
        <f t="shared" si="24"/>
        <v/>
      </c>
      <c r="U313" s="37" t="str">
        <f t="shared" si="25"/>
        <v/>
      </c>
      <c r="V313" s="37" t="str">
        <f t="shared" si="26"/>
        <v/>
      </c>
      <c r="W313" s="37" t="str">
        <f t="shared" si="27"/>
        <v/>
      </c>
      <c r="X313" s="37" t="str">
        <f t="shared" si="28"/>
        <v/>
      </c>
      <c r="Y313" s="37" t="str">
        <f t="shared" si="29"/>
        <v/>
      </c>
      <c r="Z313" s="38" t="str">
        <f t="shared" si="30"/>
        <v/>
      </c>
      <c r="AA313" s="39" t="str">
        <f t="shared" si="31"/>
        <v/>
      </c>
    </row>
    <row r="314" ht="15.75" customHeight="1">
      <c r="B314" s="1"/>
      <c r="C314" s="28"/>
      <c r="D314" s="79"/>
      <c r="E314" s="1"/>
      <c r="F314" s="76"/>
      <c r="G314" s="1"/>
      <c r="H314" s="1"/>
      <c r="J314" s="77"/>
      <c r="K314" s="80"/>
      <c r="L314" s="80"/>
      <c r="M314" s="80"/>
      <c r="N314" s="80"/>
      <c r="O314" s="80"/>
      <c r="P314" s="81"/>
      <c r="Q314" s="35" t="str">
        <f>IF(D314="","",VLOOKUP(MONTH(D314),Listas!$C$2:$D$14,2,0))</f>
        <v/>
      </c>
      <c r="R314" s="36" t="str">
        <f t="shared" si="22"/>
        <v/>
      </c>
      <c r="S314" s="37" t="str">
        <f t="shared" si="23"/>
        <v/>
      </c>
      <c r="T314" s="37" t="str">
        <f t="shared" si="24"/>
        <v/>
      </c>
      <c r="U314" s="37" t="str">
        <f t="shared" si="25"/>
        <v/>
      </c>
      <c r="V314" s="37" t="str">
        <f t="shared" si="26"/>
        <v/>
      </c>
      <c r="W314" s="37" t="str">
        <f t="shared" si="27"/>
        <v/>
      </c>
      <c r="X314" s="37" t="str">
        <f t="shared" si="28"/>
        <v/>
      </c>
      <c r="Y314" s="37" t="str">
        <f t="shared" si="29"/>
        <v/>
      </c>
      <c r="Z314" s="38" t="str">
        <f t="shared" si="30"/>
        <v/>
      </c>
      <c r="AA314" s="39" t="str">
        <f t="shared" si="31"/>
        <v/>
      </c>
    </row>
    <row r="315" ht="15.75" customHeight="1">
      <c r="B315" s="1"/>
      <c r="C315" s="28"/>
      <c r="D315" s="79"/>
      <c r="E315" s="1"/>
      <c r="F315" s="76"/>
      <c r="G315" s="1"/>
      <c r="H315" s="1"/>
      <c r="J315" s="77"/>
      <c r="K315" s="80"/>
      <c r="L315" s="80"/>
      <c r="M315" s="80"/>
      <c r="N315" s="80"/>
      <c r="O315" s="80"/>
      <c r="P315" s="81"/>
      <c r="Q315" s="35" t="str">
        <f>IF(D315="","",VLOOKUP(MONTH(D315),Listas!$C$2:$D$14,2,0))</f>
        <v/>
      </c>
      <c r="R315" s="36" t="str">
        <f t="shared" si="22"/>
        <v/>
      </c>
      <c r="S315" s="37" t="str">
        <f t="shared" si="23"/>
        <v/>
      </c>
      <c r="T315" s="37" t="str">
        <f t="shared" si="24"/>
        <v/>
      </c>
      <c r="U315" s="37" t="str">
        <f t="shared" si="25"/>
        <v/>
      </c>
      <c r="V315" s="37" t="str">
        <f t="shared" si="26"/>
        <v/>
      </c>
      <c r="W315" s="37" t="str">
        <f t="shared" si="27"/>
        <v/>
      </c>
      <c r="X315" s="37" t="str">
        <f t="shared" si="28"/>
        <v/>
      </c>
      <c r="Y315" s="37" t="str">
        <f t="shared" si="29"/>
        <v/>
      </c>
      <c r="Z315" s="38" t="str">
        <f t="shared" si="30"/>
        <v/>
      </c>
      <c r="AA315" s="39" t="str">
        <f t="shared" si="31"/>
        <v/>
      </c>
    </row>
    <row r="316" ht="15.75" customHeight="1">
      <c r="B316" s="1"/>
      <c r="C316" s="28"/>
      <c r="D316" s="79"/>
      <c r="E316" s="1"/>
      <c r="F316" s="76"/>
      <c r="G316" s="1"/>
      <c r="H316" s="1"/>
      <c r="J316" s="77"/>
      <c r="K316" s="80"/>
      <c r="L316" s="80"/>
      <c r="M316" s="80"/>
      <c r="N316" s="80"/>
      <c r="O316" s="80"/>
      <c r="P316" s="81"/>
      <c r="Q316" s="35" t="str">
        <f>IF(D316="","",VLOOKUP(MONTH(D316),Listas!$C$2:$D$14,2,0))</f>
        <v/>
      </c>
      <c r="R316" s="36" t="str">
        <f t="shared" si="22"/>
        <v/>
      </c>
      <c r="S316" s="37" t="str">
        <f t="shared" si="23"/>
        <v/>
      </c>
      <c r="T316" s="37" t="str">
        <f t="shared" si="24"/>
        <v/>
      </c>
      <c r="U316" s="37" t="str">
        <f t="shared" si="25"/>
        <v/>
      </c>
      <c r="V316" s="37" t="str">
        <f t="shared" si="26"/>
        <v/>
      </c>
      <c r="W316" s="37" t="str">
        <f t="shared" si="27"/>
        <v/>
      </c>
      <c r="X316" s="37" t="str">
        <f t="shared" si="28"/>
        <v/>
      </c>
      <c r="Y316" s="37" t="str">
        <f t="shared" si="29"/>
        <v/>
      </c>
      <c r="Z316" s="38" t="str">
        <f t="shared" si="30"/>
        <v/>
      </c>
      <c r="AA316" s="39" t="str">
        <f t="shared" si="31"/>
        <v/>
      </c>
    </row>
    <row r="317" ht="15.75" customHeight="1">
      <c r="B317" s="1"/>
      <c r="C317" s="28"/>
      <c r="D317" s="79"/>
      <c r="E317" s="1"/>
      <c r="F317" s="76"/>
      <c r="G317" s="1"/>
      <c r="H317" s="1"/>
      <c r="J317" s="77"/>
      <c r="K317" s="80"/>
      <c r="L317" s="80"/>
      <c r="M317" s="80"/>
      <c r="N317" s="80"/>
      <c r="O317" s="80"/>
      <c r="P317" s="81"/>
      <c r="Q317" s="35" t="str">
        <f>IF(D317="","",VLOOKUP(MONTH(D317),Listas!$C$2:$D$14,2,0))</f>
        <v/>
      </c>
      <c r="R317" s="36" t="str">
        <f t="shared" si="22"/>
        <v/>
      </c>
      <c r="S317" s="37" t="str">
        <f t="shared" si="23"/>
        <v/>
      </c>
      <c r="T317" s="37" t="str">
        <f t="shared" si="24"/>
        <v/>
      </c>
      <c r="U317" s="37" t="str">
        <f t="shared" si="25"/>
        <v/>
      </c>
      <c r="V317" s="37" t="str">
        <f t="shared" si="26"/>
        <v/>
      </c>
      <c r="W317" s="37" t="str">
        <f t="shared" si="27"/>
        <v/>
      </c>
      <c r="X317" s="37" t="str">
        <f t="shared" si="28"/>
        <v/>
      </c>
      <c r="Y317" s="37" t="str">
        <f t="shared" si="29"/>
        <v/>
      </c>
      <c r="Z317" s="38" t="str">
        <f t="shared" si="30"/>
        <v/>
      </c>
      <c r="AA317" s="39" t="str">
        <f t="shared" si="31"/>
        <v/>
      </c>
    </row>
    <row r="318" ht="15.75" customHeight="1">
      <c r="B318" s="1"/>
      <c r="C318" s="28"/>
      <c r="D318" s="79"/>
      <c r="E318" s="1"/>
      <c r="F318" s="76"/>
      <c r="G318" s="1"/>
      <c r="H318" s="1"/>
      <c r="J318" s="77"/>
      <c r="K318" s="80"/>
      <c r="L318" s="80"/>
      <c r="M318" s="80"/>
      <c r="N318" s="80"/>
      <c r="O318" s="80"/>
      <c r="P318" s="81"/>
      <c r="Q318" s="35" t="str">
        <f>IF(D318="","",VLOOKUP(MONTH(D318),Listas!$C$2:$D$14,2,0))</f>
        <v/>
      </c>
      <c r="R318" s="36" t="str">
        <f t="shared" si="22"/>
        <v/>
      </c>
      <c r="S318" s="37" t="str">
        <f t="shared" si="23"/>
        <v/>
      </c>
      <c r="T318" s="37" t="str">
        <f t="shared" si="24"/>
        <v/>
      </c>
      <c r="U318" s="37" t="str">
        <f t="shared" si="25"/>
        <v/>
      </c>
      <c r="V318" s="37" t="str">
        <f t="shared" si="26"/>
        <v/>
      </c>
      <c r="W318" s="37" t="str">
        <f t="shared" si="27"/>
        <v/>
      </c>
      <c r="X318" s="37" t="str">
        <f t="shared" si="28"/>
        <v/>
      </c>
      <c r="Y318" s="37" t="str">
        <f t="shared" si="29"/>
        <v/>
      </c>
      <c r="Z318" s="38" t="str">
        <f t="shared" si="30"/>
        <v/>
      </c>
      <c r="AA318" s="39" t="str">
        <f t="shared" si="31"/>
        <v/>
      </c>
    </row>
    <row r="319" ht="15.75" customHeight="1">
      <c r="B319" s="1"/>
      <c r="C319" s="28"/>
      <c r="D319" s="79"/>
      <c r="E319" s="1"/>
      <c r="F319" s="76"/>
      <c r="G319" s="1"/>
      <c r="H319" s="1"/>
      <c r="J319" s="77"/>
      <c r="K319" s="80"/>
      <c r="L319" s="80"/>
      <c r="M319" s="80"/>
      <c r="N319" s="80"/>
      <c r="O319" s="80"/>
      <c r="P319" s="81"/>
      <c r="Q319" s="35" t="str">
        <f>IF(D319="","",VLOOKUP(MONTH(D319),Listas!$C$2:$D$14,2,0))</f>
        <v/>
      </c>
      <c r="R319" s="36" t="str">
        <f t="shared" si="22"/>
        <v/>
      </c>
      <c r="S319" s="37" t="str">
        <f t="shared" si="23"/>
        <v/>
      </c>
      <c r="T319" s="37" t="str">
        <f t="shared" si="24"/>
        <v/>
      </c>
      <c r="U319" s="37" t="str">
        <f t="shared" si="25"/>
        <v/>
      </c>
      <c r="V319" s="37" t="str">
        <f t="shared" si="26"/>
        <v/>
      </c>
      <c r="W319" s="37" t="str">
        <f t="shared" si="27"/>
        <v/>
      </c>
      <c r="X319" s="37" t="str">
        <f t="shared" si="28"/>
        <v/>
      </c>
      <c r="Y319" s="37" t="str">
        <f t="shared" si="29"/>
        <v/>
      </c>
      <c r="Z319" s="38" t="str">
        <f t="shared" si="30"/>
        <v/>
      </c>
      <c r="AA319" s="39" t="str">
        <f t="shared" si="31"/>
        <v/>
      </c>
    </row>
    <row r="320" ht="15.75" customHeight="1">
      <c r="B320" s="1"/>
      <c r="C320" s="28"/>
      <c r="D320" s="79"/>
      <c r="E320" s="1"/>
      <c r="F320" s="76"/>
      <c r="G320" s="1"/>
      <c r="H320" s="1"/>
      <c r="J320" s="77"/>
      <c r="K320" s="80"/>
      <c r="L320" s="80"/>
      <c r="M320" s="80"/>
      <c r="N320" s="80"/>
      <c r="O320" s="80"/>
      <c r="P320" s="81"/>
      <c r="Q320" s="35" t="str">
        <f>IF(D320="","",VLOOKUP(MONTH(D320),Listas!$C$2:$D$14,2,0))</f>
        <v/>
      </c>
      <c r="R320" s="36" t="str">
        <f t="shared" si="22"/>
        <v/>
      </c>
      <c r="S320" s="37" t="str">
        <f t="shared" si="23"/>
        <v/>
      </c>
      <c r="T320" s="37" t="str">
        <f t="shared" si="24"/>
        <v/>
      </c>
      <c r="U320" s="37" t="str">
        <f t="shared" si="25"/>
        <v/>
      </c>
      <c r="V320" s="37" t="str">
        <f t="shared" si="26"/>
        <v/>
      </c>
      <c r="W320" s="37" t="str">
        <f t="shared" si="27"/>
        <v/>
      </c>
      <c r="X320" s="37" t="str">
        <f t="shared" si="28"/>
        <v/>
      </c>
      <c r="Y320" s="37" t="str">
        <f t="shared" si="29"/>
        <v/>
      </c>
      <c r="Z320" s="38" t="str">
        <f t="shared" si="30"/>
        <v/>
      </c>
      <c r="AA320" s="39" t="str">
        <f t="shared" si="31"/>
        <v/>
      </c>
    </row>
    <row r="321" ht="15.75" customHeight="1">
      <c r="B321" s="1"/>
      <c r="C321" s="28"/>
      <c r="D321" s="79"/>
      <c r="E321" s="1"/>
      <c r="F321" s="76"/>
      <c r="G321" s="1"/>
      <c r="H321" s="1"/>
      <c r="J321" s="77"/>
      <c r="K321" s="80"/>
      <c r="L321" s="80"/>
      <c r="M321" s="80"/>
      <c r="N321" s="80"/>
      <c r="O321" s="80"/>
      <c r="P321" s="81"/>
      <c r="Q321" s="35" t="str">
        <f>IF(D321="","",VLOOKUP(MONTH(D321),Listas!$C$2:$D$14,2,0))</f>
        <v/>
      </c>
      <c r="R321" s="36" t="str">
        <f t="shared" si="22"/>
        <v/>
      </c>
      <c r="S321" s="37" t="str">
        <f t="shared" si="23"/>
        <v/>
      </c>
      <c r="T321" s="37" t="str">
        <f t="shared" si="24"/>
        <v/>
      </c>
      <c r="U321" s="37" t="str">
        <f t="shared" si="25"/>
        <v/>
      </c>
      <c r="V321" s="37" t="str">
        <f t="shared" si="26"/>
        <v/>
      </c>
      <c r="W321" s="37" t="str">
        <f t="shared" si="27"/>
        <v/>
      </c>
      <c r="X321" s="37" t="str">
        <f t="shared" si="28"/>
        <v/>
      </c>
      <c r="Y321" s="37" t="str">
        <f t="shared" si="29"/>
        <v/>
      </c>
      <c r="Z321" s="38" t="str">
        <f t="shared" si="30"/>
        <v/>
      </c>
      <c r="AA321" s="39" t="str">
        <f t="shared" si="31"/>
        <v/>
      </c>
    </row>
    <row r="322" ht="15.75" customHeight="1">
      <c r="B322" s="1"/>
      <c r="C322" s="28"/>
      <c r="D322" s="79"/>
      <c r="E322" s="1"/>
      <c r="F322" s="76"/>
      <c r="G322" s="1"/>
      <c r="H322" s="1"/>
      <c r="J322" s="77"/>
      <c r="K322" s="80"/>
      <c r="L322" s="80"/>
      <c r="M322" s="80"/>
      <c r="N322" s="80"/>
      <c r="O322" s="80"/>
      <c r="P322" s="81"/>
      <c r="Q322" s="35" t="str">
        <f>IF(D322="","",VLOOKUP(MONTH(D322),Listas!$C$2:$D$14,2,0))</f>
        <v/>
      </c>
      <c r="R322" s="36" t="str">
        <f t="shared" si="22"/>
        <v/>
      </c>
      <c r="S322" s="37" t="str">
        <f t="shared" si="23"/>
        <v/>
      </c>
      <c r="T322" s="37" t="str">
        <f t="shared" si="24"/>
        <v/>
      </c>
      <c r="U322" s="37" t="str">
        <f t="shared" si="25"/>
        <v/>
      </c>
      <c r="V322" s="37" t="str">
        <f t="shared" si="26"/>
        <v/>
      </c>
      <c r="W322" s="37" t="str">
        <f t="shared" si="27"/>
        <v/>
      </c>
      <c r="X322" s="37" t="str">
        <f t="shared" si="28"/>
        <v/>
      </c>
      <c r="Y322" s="37" t="str">
        <f t="shared" si="29"/>
        <v/>
      </c>
      <c r="Z322" s="38" t="str">
        <f t="shared" si="30"/>
        <v/>
      </c>
      <c r="AA322" s="39" t="str">
        <f t="shared" si="31"/>
        <v/>
      </c>
    </row>
    <row r="323" ht="15.75" customHeight="1">
      <c r="B323" s="1"/>
      <c r="C323" s="28"/>
      <c r="D323" s="79"/>
      <c r="E323" s="1"/>
      <c r="F323" s="76"/>
      <c r="G323" s="1"/>
      <c r="H323" s="1"/>
      <c r="J323" s="77"/>
      <c r="K323" s="80"/>
      <c r="L323" s="80"/>
      <c r="M323" s="80"/>
      <c r="N323" s="80"/>
      <c r="O323" s="80"/>
      <c r="P323" s="81"/>
      <c r="Q323" s="35" t="str">
        <f>IF(D323="","",VLOOKUP(MONTH(D323),Listas!$C$2:$D$14,2,0))</f>
        <v/>
      </c>
      <c r="R323" s="36" t="str">
        <f t="shared" si="22"/>
        <v/>
      </c>
      <c r="S323" s="37" t="str">
        <f t="shared" si="23"/>
        <v/>
      </c>
      <c r="T323" s="37" t="str">
        <f t="shared" si="24"/>
        <v/>
      </c>
      <c r="U323" s="37" t="str">
        <f t="shared" si="25"/>
        <v/>
      </c>
      <c r="V323" s="37" t="str">
        <f t="shared" si="26"/>
        <v/>
      </c>
      <c r="W323" s="37" t="str">
        <f t="shared" si="27"/>
        <v/>
      </c>
      <c r="X323" s="37" t="str">
        <f t="shared" si="28"/>
        <v/>
      </c>
      <c r="Y323" s="37" t="str">
        <f t="shared" si="29"/>
        <v/>
      </c>
      <c r="Z323" s="38" t="str">
        <f t="shared" si="30"/>
        <v/>
      </c>
      <c r="AA323" s="39" t="str">
        <f t="shared" si="31"/>
        <v/>
      </c>
    </row>
    <row r="324" ht="15.75" customHeight="1">
      <c r="B324" s="1"/>
      <c r="C324" s="28"/>
      <c r="D324" s="79"/>
      <c r="E324" s="1"/>
      <c r="F324" s="76"/>
      <c r="G324" s="1"/>
      <c r="H324" s="1"/>
      <c r="J324" s="77"/>
      <c r="K324" s="80"/>
      <c r="L324" s="80"/>
      <c r="M324" s="80"/>
      <c r="N324" s="80"/>
      <c r="O324" s="80"/>
      <c r="P324" s="81"/>
      <c r="Q324" s="35" t="str">
        <f>IF(D324="","",VLOOKUP(MONTH(D324),Listas!$C$2:$D$14,2,0))</f>
        <v/>
      </c>
      <c r="R324" s="36" t="str">
        <f t="shared" si="22"/>
        <v/>
      </c>
      <c r="S324" s="37" t="str">
        <f t="shared" si="23"/>
        <v/>
      </c>
      <c r="T324" s="37" t="str">
        <f t="shared" si="24"/>
        <v/>
      </c>
      <c r="U324" s="37" t="str">
        <f t="shared" si="25"/>
        <v/>
      </c>
      <c r="V324" s="37" t="str">
        <f t="shared" si="26"/>
        <v/>
      </c>
      <c r="W324" s="37" t="str">
        <f t="shared" si="27"/>
        <v/>
      </c>
      <c r="X324" s="37" t="str">
        <f t="shared" si="28"/>
        <v/>
      </c>
      <c r="Y324" s="37" t="str">
        <f t="shared" si="29"/>
        <v/>
      </c>
      <c r="Z324" s="38" t="str">
        <f t="shared" si="30"/>
        <v/>
      </c>
      <c r="AA324" s="39" t="str">
        <f t="shared" si="31"/>
        <v/>
      </c>
    </row>
    <row r="325" ht="15.75" customHeight="1">
      <c r="B325" s="1"/>
      <c r="C325" s="28"/>
      <c r="D325" s="79"/>
      <c r="E325" s="1"/>
      <c r="F325" s="76"/>
      <c r="G325" s="1"/>
      <c r="H325" s="1"/>
      <c r="J325" s="77"/>
      <c r="K325" s="80"/>
      <c r="L325" s="80"/>
      <c r="M325" s="80"/>
      <c r="N325" s="80"/>
      <c r="O325" s="80"/>
      <c r="P325" s="81"/>
      <c r="Q325" s="35" t="str">
        <f>IF(D325="","",VLOOKUP(MONTH(D325),Listas!$C$2:$D$14,2,0))</f>
        <v/>
      </c>
      <c r="R325" s="36" t="str">
        <f t="shared" si="22"/>
        <v/>
      </c>
      <c r="S325" s="37" t="str">
        <f t="shared" si="23"/>
        <v/>
      </c>
      <c r="T325" s="37" t="str">
        <f t="shared" si="24"/>
        <v/>
      </c>
      <c r="U325" s="37" t="str">
        <f t="shared" si="25"/>
        <v/>
      </c>
      <c r="V325" s="37" t="str">
        <f t="shared" si="26"/>
        <v/>
      </c>
      <c r="W325" s="37" t="str">
        <f t="shared" si="27"/>
        <v/>
      </c>
      <c r="X325" s="37" t="str">
        <f t="shared" si="28"/>
        <v/>
      </c>
      <c r="Y325" s="37" t="str">
        <f t="shared" si="29"/>
        <v/>
      </c>
      <c r="Z325" s="38" t="str">
        <f t="shared" si="30"/>
        <v/>
      </c>
      <c r="AA325" s="39" t="str">
        <f t="shared" si="31"/>
        <v/>
      </c>
    </row>
    <row r="326" ht="15.75" customHeight="1">
      <c r="B326" s="1"/>
      <c r="C326" s="28"/>
      <c r="D326" s="79"/>
      <c r="E326" s="1"/>
      <c r="F326" s="76"/>
      <c r="G326" s="1"/>
      <c r="H326" s="1"/>
      <c r="J326" s="77"/>
      <c r="K326" s="80"/>
      <c r="L326" s="80"/>
      <c r="M326" s="80"/>
      <c r="N326" s="80"/>
      <c r="O326" s="80"/>
      <c r="P326" s="81"/>
      <c r="Q326" s="35" t="str">
        <f>IF(D326="","",VLOOKUP(MONTH(D326),Listas!$C$2:$D$14,2,0))</f>
        <v/>
      </c>
      <c r="R326" s="36" t="str">
        <f t="shared" si="22"/>
        <v/>
      </c>
      <c r="S326" s="37" t="str">
        <f t="shared" si="23"/>
        <v/>
      </c>
      <c r="T326" s="37" t="str">
        <f t="shared" si="24"/>
        <v/>
      </c>
      <c r="U326" s="37" t="str">
        <f t="shared" si="25"/>
        <v/>
      </c>
      <c r="V326" s="37" t="str">
        <f t="shared" si="26"/>
        <v/>
      </c>
      <c r="W326" s="37" t="str">
        <f t="shared" si="27"/>
        <v/>
      </c>
      <c r="X326" s="37" t="str">
        <f t="shared" si="28"/>
        <v/>
      </c>
      <c r="Y326" s="37" t="str">
        <f t="shared" si="29"/>
        <v/>
      </c>
      <c r="Z326" s="38" t="str">
        <f t="shared" si="30"/>
        <v/>
      </c>
      <c r="AA326" s="39" t="str">
        <f t="shared" si="31"/>
        <v/>
      </c>
    </row>
    <row r="327" ht="15.75" customHeight="1">
      <c r="B327" s="1"/>
      <c r="C327" s="28"/>
      <c r="D327" s="79"/>
      <c r="E327" s="1"/>
      <c r="F327" s="76"/>
      <c r="G327" s="1"/>
      <c r="H327" s="1"/>
      <c r="J327" s="77"/>
      <c r="K327" s="80"/>
      <c r="L327" s="80"/>
      <c r="M327" s="80"/>
      <c r="N327" s="80"/>
      <c r="O327" s="80"/>
      <c r="P327" s="81"/>
      <c r="Q327" s="35" t="str">
        <f>IF(D327="","",VLOOKUP(MONTH(D327),Listas!$C$2:$D$14,2,0))</f>
        <v/>
      </c>
      <c r="R327" s="36" t="str">
        <f t="shared" si="22"/>
        <v/>
      </c>
      <c r="S327" s="37" t="str">
        <f t="shared" si="23"/>
        <v/>
      </c>
      <c r="T327" s="37" t="str">
        <f t="shared" si="24"/>
        <v/>
      </c>
      <c r="U327" s="37" t="str">
        <f t="shared" si="25"/>
        <v/>
      </c>
      <c r="V327" s="37" t="str">
        <f t="shared" si="26"/>
        <v/>
      </c>
      <c r="W327" s="37" t="str">
        <f t="shared" si="27"/>
        <v/>
      </c>
      <c r="X327" s="37" t="str">
        <f t="shared" si="28"/>
        <v/>
      </c>
      <c r="Y327" s="37" t="str">
        <f t="shared" si="29"/>
        <v/>
      </c>
      <c r="Z327" s="38" t="str">
        <f t="shared" si="30"/>
        <v/>
      </c>
      <c r="AA327" s="39" t="str">
        <f t="shared" si="31"/>
        <v/>
      </c>
    </row>
    <row r="328" ht="15.75" customHeight="1">
      <c r="B328" s="1"/>
      <c r="C328" s="28"/>
      <c r="D328" s="79"/>
      <c r="E328" s="1"/>
      <c r="F328" s="76"/>
      <c r="G328" s="1"/>
      <c r="H328" s="1"/>
      <c r="J328" s="77"/>
      <c r="K328" s="80"/>
      <c r="L328" s="80"/>
      <c r="M328" s="80"/>
      <c r="N328" s="80"/>
      <c r="O328" s="80"/>
      <c r="P328" s="81"/>
      <c r="Q328" s="35" t="str">
        <f>IF(D328="","",VLOOKUP(MONTH(D328),Listas!$C$2:$D$14,2,0))</f>
        <v/>
      </c>
      <c r="R328" s="36" t="str">
        <f t="shared" si="22"/>
        <v/>
      </c>
      <c r="S328" s="37" t="str">
        <f t="shared" si="23"/>
        <v/>
      </c>
      <c r="T328" s="37" t="str">
        <f t="shared" si="24"/>
        <v/>
      </c>
      <c r="U328" s="37" t="str">
        <f t="shared" si="25"/>
        <v/>
      </c>
      <c r="V328" s="37" t="str">
        <f t="shared" si="26"/>
        <v/>
      </c>
      <c r="W328" s="37" t="str">
        <f t="shared" si="27"/>
        <v/>
      </c>
      <c r="X328" s="37" t="str">
        <f t="shared" si="28"/>
        <v/>
      </c>
      <c r="Y328" s="37" t="str">
        <f t="shared" si="29"/>
        <v/>
      </c>
      <c r="Z328" s="38" t="str">
        <f t="shared" si="30"/>
        <v/>
      </c>
      <c r="AA328" s="39" t="str">
        <f t="shared" si="31"/>
        <v/>
      </c>
    </row>
    <row r="329" ht="15.75" customHeight="1">
      <c r="B329" s="1"/>
      <c r="C329" s="28"/>
      <c r="D329" s="79"/>
      <c r="E329" s="1"/>
      <c r="F329" s="76"/>
      <c r="G329" s="1"/>
      <c r="H329" s="1"/>
      <c r="J329" s="77"/>
      <c r="K329" s="80"/>
      <c r="L329" s="80"/>
      <c r="M329" s="80"/>
      <c r="N329" s="80"/>
      <c r="O329" s="80"/>
      <c r="P329" s="81"/>
      <c r="Q329" s="35" t="str">
        <f>IF(D329="","",VLOOKUP(MONTH(D329),Listas!$C$2:$D$14,2,0))</f>
        <v/>
      </c>
      <c r="R329" s="36" t="str">
        <f t="shared" si="22"/>
        <v/>
      </c>
      <c r="S329" s="37" t="str">
        <f t="shared" si="23"/>
        <v/>
      </c>
      <c r="T329" s="37" t="str">
        <f t="shared" si="24"/>
        <v/>
      </c>
      <c r="U329" s="37" t="str">
        <f t="shared" si="25"/>
        <v/>
      </c>
      <c r="V329" s="37" t="str">
        <f t="shared" si="26"/>
        <v/>
      </c>
      <c r="W329" s="37" t="str">
        <f t="shared" si="27"/>
        <v/>
      </c>
      <c r="X329" s="37" t="str">
        <f t="shared" si="28"/>
        <v/>
      </c>
      <c r="Y329" s="37" t="str">
        <f t="shared" si="29"/>
        <v/>
      </c>
      <c r="Z329" s="38" t="str">
        <f t="shared" si="30"/>
        <v/>
      </c>
      <c r="AA329" s="39" t="str">
        <f t="shared" si="31"/>
        <v/>
      </c>
    </row>
    <row r="330" ht="15.75" customHeight="1">
      <c r="B330" s="1"/>
      <c r="C330" s="28"/>
      <c r="D330" s="79"/>
      <c r="E330" s="1"/>
      <c r="F330" s="76"/>
      <c r="G330" s="1"/>
      <c r="H330" s="1"/>
      <c r="J330" s="77"/>
      <c r="K330" s="80"/>
      <c r="L330" s="80"/>
      <c r="M330" s="80"/>
      <c r="N330" s="80"/>
      <c r="O330" s="80"/>
      <c r="P330" s="81"/>
      <c r="Q330" s="35" t="str">
        <f>IF(D330="","",VLOOKUP(MONTH(D330),Listas!$C$2:$D$14,2,0))</f>
        <v/>
      </c>
      <c r="R330" s="36" t="str">
        <f t="shared" si="22"/>
        <v/>
      </c>
      <c r="S330" s="37" t="str">
        <f t="shared" si="23"/>
        <v/>
      </c>
      <c r="T330" s="37" t="str">
        <f t="shared" si="24"/>
        <v/>
      </c>
      <c r="U330" s="37" t="str">
        <f t="shared" si="25"/>
        <v/>
      </c>
      <c r="V330" s="37" t="str">
        <f t="shared" si="26"/>
        <v/>
      </c>
      <c r="W330" s="37" t="str">
        <f t="shared" si="27"/>
        <v/>
      </c>
      <c r="X330" s="37" t="str">
        <f t="shared" si="28"/>
        <v/>
      </c>
      <c r="Y330" s="37" t="str">
        <f t="shared" si="29"/>
        <v/>
      </c>
      <c r="Z330" s="38" t="str">
        <f t="shared" si="30"/>
        <v/>
      </c>
      <c r="AA330" s="39" t="str">
        <f t="shared" si="31"/>
        <v/>
      </c>
    </row>
    <row r="331" ht="15.75" customHeight="1">
      <c r="B331" s="1"/>
      <c r="C331" s="28"/>
      <c r="D331" s="79"/>
      <c r="E331" s="1"/>
      <c r="F331" s="76"/>
      <c r="G331" s="1"/>
      <c r="H331" s="1"/>
      <c r="J331" s="77"/>
      <c r="K331" s="80"/>
      <c r="L331" s="80"/>
      <c r="M331" s="80"/>
      <c r="N331" s="80"/>
      <c r="O331" s="80"/>
      <c r="P331" s="81"/>
      <c r="Q331" s="35" t="str">
        <f>IF(D331="","",VLOOKUP(MONTH(D331),Listas!$C$2:$D$14,2,0))</f>
        <v/>
      </c>
      <c r="R331" s="36" t="str">
        <f t="shared" si="22"/>
        <v/>
      </c>
      <c r="S331" s="37" t="str">
        <f t="shared" si="23"/>
        <v/>
      </c>
      <c r="T331" s="37" t="str">
        <f t="shared" si="24"/>
        <v/>
      </c>
      <c r="U331" s="37" t="str">
        <f t="shared" si="25"/>
        <v/>
      </c>
      <c r="V331" s="37" t="str">
        <f t="shared" si="26"/>
        <v/>
      </c>
      <c r="W331" s="37" t="str">
        <f t="shared" si="27"/>
        <v/>
      </c>
      <c r="X331" s="37" t="str">
        <f t="shared" si="28"/>
        <v/>
      </c>
      <c r="Y331" s="37" t="str">
        <f t="shared" si="29"/>
        <v/>
      </c>
      <c r="Z331" s="38" t="str">
        <f t="shared" si="30"/>
        <v/>
      </c>
      <c r="AA331" s="39" t="str">
        <f t="shared" si="31"/>
        <v/>
      </c>
    </row>
    <row r="332" ht="15.75" customHeight="1">
      <c r="B332" s="1"/>
      <c r="C332" s="28"/>
      <c r="D332" s="79"/>
      <c r="E332" s="1"/>
      <c r="F332" s="76"/>
      <c r="G332" s="1"/>
      <c r="H332" s="1"/>
      <c r="J332" s="77"/>
      <c r="K332" s="80"/>
      <c r="L332" s="80"/>
      <c r="M332" s="80"/>
      <c r="N332" s="80"/>
      <c r="O332" s="80"/>
      <c r="P332" s="81"/>
      <c r="Q332" s="35" t="str">
        <f>IF(D332="","",VLOOKUP(MONTH(D332),Listas!$C$2:$D$14,2,0))</f>
        <v/>
      </c>
      <c r="R332" s="36" t="str">
        <f t="shared" si="22"/>
        <v/>
      </c>
      <c r="S332" s="37" t="str">
        <f t="shared" si="23"/>
        <v/>
      </c>
      <c r="T332" s="37" t="str">
        <f t="shared" si="24"/>
        <v/>
      </c>
      <c r="U332" s="37" t="str">
        <f t="shared" si="25"/>
        <v/>
      </c>
      <c r="V332" s="37" t="str">
        <f t="shared" si="26"/>
        <v/>
      </c>
      <c r="W332" s="37" t="str">
        <f t="shared" si="27"/>
        <v/>
      </c>
      <c r="X332" s="37" t="str">
        <f t="shared" si="28"/>
        <v/>
      </c>
      <c r="Y332" s="37" t="str">
        <f t="shared" si="29"/>
        <v/>
      </c>
      <c r="Z332" s="38" t="str">
        <f t="shared" si="30"/>
        <v/>
      </c>
      <c r="AA332" s="39" t="str">
        <f t="shared" si="31"/>
        <v/>
      </c>
    </row>
    <row r="333" ht="15.75" customHeight="1">
      <c r="B333" s="1"/>
      <c r="C333" s="28"/>
      <c r="D333" s="79"/>
      <c r="E333" s="1"/>
      <c r="F333" s="76"/>
      <c r="G333" s="1"/>
      <c r="H333" s="1"/>
      <c r="J333" s="77"/>
      <c r="K333" s="80"/>
      <c r="L333" s="80"/>
      <c r="M333" s="80"/>
      <c r="N333" s="80"/>
      <c r="O333" s="80"/>
      <c r="P333" s="81"/>
      <c r="Q333" s="35" t="str">
        <f>IF(D333="","",VLOOKUP(MONTH(D333),Listas!$C$2:$D$14,2,0))</f>
        <v/>
      </c>
      <c r="R333" s="36" t="str">
        <f t="shared" si="22"/>
        <v/>
      </c>
      <c r="S333" s="37" t="str">
        <f t="shared" si="23"/>
        <v/>
      </c>
      <c r="T333" s="37" t="str">
        <f t="shared" si="24"/>
        <v/>
      </c>
      <c r="U333" s="37" t="str">
        <f t="shared" si="25"/>
        <v/>
      </c>
      <c r="V333" s="37" t="str">
        <f t="shared" si="26"/>
        <v/>
      </c>
      <c r="W333" s="37" t="str">
        <f t="shared" si="27"/>
        <v/>
      </c>
      <c r="X333" s="37" t="str">
        <f t="shared" si="28"/>
        <v/>
      </c>
      <c r="Y333" s="37" t="str">
        <f t="shared" si="29"/>
        <v/>
      </c>
      <c r="Z333" s="38" t="str">
        <f t="shared" si="30"/>
        <v/>
      </c>
      <c r="AA333" s="39" t="str">
        <f t="shared" si="31"/>
        <v/>
      </c>
    </row>
    <row r="334" ht="15.75" customHeight="1">
      <c r="B334" s="1"/>
      <c r="C334" s="28"/>
      <c r="D334" s="79"/>
      <c r="E334" s="1"/>
      <c r="F334" s="76"/>
      <c r="G334" s="1"/>
      <c r="H334" s="1"/>
      <c r="J334" s="77"/>
      <c r="K334" s="80"/>
      <c r="L334" s="80"/>
      <c r="M334" s="80"/>
      <c r="N334" s="80"/>
      <c r="O334" s="80"/>
      <c r="P334" s="81"/>
      <c r="Q334" s="35" t="str">
        <f>IF(D334="","",VLOOKUP(MONTH(D334),Listas!$C$2:$D$14,2,0))</f>
        <v/>
      </c>
      <c r="R334" s="36" t="str">
        <f t="shared" si="22"/>
        <v/>
      </c>
      <c r="S334" s="37" t="str">
        <f t="shared" si="23"/>
        <v/>
      </c>
      <c r="T334" s="37" t="str">
        <f t="shared" si="24"/>
        <v/>
      </c>
      <c r="U334" s="37" t="str">
        <f t="shared" si="25"/>
        <v/>
      </c>
      <c r="V334" s="37" t="str">
        <f t="shared" si="26"/>
        <v/>
      </c>
      <c r="W334" s="37" t="str">
        <f t="shared" si="27"/>
        <v/>
      </c>
      <c r="X334" s="37" t="str">
        <f t="shared" si="28"/>
        <v/>
      </c>
      <c r="Y334" s="37" t="str">
        <f t="shared" si="29"/>
        <v/>
      </c>
      <c r="Z334" s="38" t="str">
        <f t="shared" si="30"/>
        <v/>
      </c>
      <c r="AA334" s="39" t="str">
        <f t="shared" si="31"/>
        <v/>
      </c>
    </row>
    <row r="335" ht="15.75" customHeight="1">
      <c r="B335" s="1"/>
      <c r="C335" s="28"/>
      <c r="D335" s="79"/>
      <c r="E335" s="1"/>
      <c r="F335" s="76"/>
      <c r="G335" s="1"/>
      <c r="H335" s="1"/>
      <c r="J335" s="77"/>
      <c r="K335" s="80"/>
      <c r="L335" s="80"/>
      <c r="M335" s="80"/>
      <c r="N335" s="80"/>
      <c r="O335" s="80"/>
      <c r="P335" s="81"/>
      <c r="Q335" s="35" t="str">
        <f>IF(D335="","",VLOOKUP(MONTH(D335),Listas!$C$2:$D$14,2,0))</f>
        <v/>
      </c>
      <c r="R335" s="36" t="str">
        <f t="shared" si="22"/>
        <v/>
      </c>
      <c r="S335" s="37" t="str">
        <f t="shared" si="23"/>
        <v/>
      </c>
      <c r="T335" s="37" t="str">
        <f t="shared" si="24"/>
        <v/>
      </c>
      <c r="U335" s="37" t="str">
        <f t="shared" si="25"/>
        <v/>
      </c>
      <c r="V335" s="37" t="str">
        <f t="shared" si="26"/>
        <v/>
      </c>
      <c r="W335" s="37" t="str">
        <f t="shared" si="27"/>
        <v/>
      </c>
      <c r="X335" s="37" t="str">
        <f t="shared" si="28"/>
        <v/>
      </c>
      <c r="Y335" s="37" t="str">
        <f t="shared" si="29"/>
        <v/>
      </c>
      <c r="Z335" s="38" t="str">
        <f t="shared" si="30"/>
        <v/>
      </c>
      <c r="AA335" s="39" t="str">
        <f t="shared" si="31"/>
        <v/>
      </c>
    </row>
    <row r="336" ht="15.75" customHeight="1">
      <c r="B336" s="1"/>
      <c r="C336" s="28"/>
      <c r="D336" s="79"/>
      <c r="E336" s="1"/>
      <c r="F336" s="76"/>
      <c r="G336" s="1"/>
      <c r="H336" s="1"/>
      <c r="J336" s="77"/>
      <c r="K336" s="80"/>
      <c r="L336" s="80"/>
      <c r="M336" s="80"/>
      <c r="N336" s="80"/>
      <c r="O336" s="80"/>
      <c r="P336" s="81"/>
      <c r="Q336" s="35" t="str">
        <f>IF(D336="","",VLOOKUP(MONTH(D336),Listas!$C$2:$D$14,2,0))</f>
        <v/>
      </c>
      <c r="R336" s="36" t="str">
        <f t="shared" si="22"/>
        <v/>
      </c>
      <c r="S336" s="37" t="str">
        <f t="shared" si="23"/>
        <v/>
      </c>
      <c r="T336" s="37" t="str">
        <f t="shared" si="24"/>
        <v/>
      </c>
      <c r="U336" s="37" t="str">
        <f t="shared" si="25"/>
        <v/>
      </c>
      <c r="V336" s="37" t="str">
        <f t="shared" si="26"/>
        <v/>
      </c>
      <c r="W336" s="37" t="str">
        <f t="shared" si="27"/>
        <v/>
      </c>
      <c r="X336" s="37" t="str">
        <f t="shared" si="28"/>
        <v/>
      </c>
      <c r="Y336" s="37" t="str">
        <f t="shared" si="29"/>
        <v/>
      </c>
      <c r="Z336" s="38" t="str">
        <f t="shared" si="30"/>
        <v/>
      </c>
      <c r="AA336" s="39" t="str">
        <f t="shared" si="31"/>
        <v/>
      </c>
    </row>
    <row r="337" ht="15.75" customHeight="1">
      <c r="B337" s="1"/>
      <c r="C337" s="28"/>
      <c r="D337" s="79"/>
      <c r="E337" s="1"/>
      <c r="F337" s="76"/>
      <c r="G337" s="1"/>
      <c r="H337" s="1"/>
      <c r="J337" s="77"/>
      <c r="K337" s="80"/>
      <c r="L337" s="80"/>
      <c r="M337" s="80"/>
      <c r="N337" s="80"/>
      <c r="O337" s="80"/>
      <c r="P337" s="81"/>
      <c r="Q337" s="35" t="str">
        <f>IF(D337="","",VLOOKUP(MONTH(D337),Listas!$C$2:$D$14,2,0))</f>
        <v/>
      </c>
      <c r="R337" s="36" t="str">
        <f t="shared" si="22"/>
        <v/>
      </c>
      <c r="S337" s="37" t="str">
        <f t="shared" si="23"/>
        <v/>
      </c>
      <c r="T337" s="37" t="str">
        <f t="shared" si="24"/>
        <v/>
      </c>
      <c r="U337" s="37" t="str">
        <f t="shared" si="25"/>
        <v/>
      </c>
      <c r="V337" s="37" t="str">
        <f t="shared" si="26"/>
        <v/>
      </c>
      <c r="W337" s="37" t="str">
        <f t="shared" si="27"/>
        <v/>
      </c>
      <c r="X337" s="37" t="str">
        <f t="shared" si="28"/>
        <v/>
      </c>
      <c r="Y337" s="37" t="str">
        <f t="shared" si="29"/>
        <v/>
      </c>
      <c r="Z337" s="38" t="str">
        <f t="shared" si="30"/>
        <v/>
      </c>
      <c r="AA337" s="39" t="str">
        <f t="shared" si="31"/>
        <v/>
      </c>
    </row>
    <row r="338" ht="15.75" customHeight="1">
      <c r="B338" s="1"/>
      <c r="C338" s="28"/>
      <c r="D338" s="79"/>
      <c r="E338" s="1"/>
      <c r="F338" s="76"/>
      <c r="G338" s="1"/>
      <c r="H338" s="1"/>
      <c r="J338" s="77"/>
      <c r="K338" s="80"/>
      <c r="L338" s="80"/>
      <c r="M338" s="80"/>
      <c r="N338" s="80"/>
      <c r="O338" s="80"/>
      <c r="P338" s="81"/>
      <c r="Q338" s="35" t="str">
        <f>IF(D338="","",VLOOKUP(MONTH(D338),Listas!$C$2:$D$14,2,0))</f>
        <v/>
      </c>
      <c r="R338" s="36" t="str">
        <f t="shared" si="22"/>
        <v/>
      </c>
      <c r="S338" s="37" t="str">
        <f t="shared" si="23"/>
        <v/>
      </c>
      <c r="T338" s="37" t="str">
        <f t="shared" si="24"/>
        <v/>
      </c>
      <c r="U338" s="37" t="str">
        <f t="shared" si="25"/>
        <v/>
      </c>
      <c r="V338" s="37" t="str">
        <f t="shared" si="26"/>
        <v/>
      </c>
      <c r="W338" s="37" t="str">
        <f t="shared" si="27"/>
        <v/>
      </c>
      <c r="X338" s="37" t="str">
        <f t="shared" si="28"/>
        <v/>
      </c>
      <c r="Y338" s="37" t="str">
        <f t="shared" si="29"/>
        <v/>
      </c>
      <c r="Z338" s="38" t="str">
        <f t="shared" si="30"/>
        <v/>
      </c>
      <c r="AA338" s="39" t="str">
        <f t="shared" si="31"/>
        <v/>
      </c>
    </row>
    <row r="339" ht="15.75" customHeight="1">
      <c r="B339" s="1"/>
      <c r="C339" s="28"/>
      <c r="D339" s="79"/>
      <c r="E339" s="1"/>
      <c r="F339" s="76"/>
      <c r="G339" s="1"/>
      <c r="H339" s="1"/>
      <c r="J339" s="77"/>
      <c r="K339" s="80"/>
      <c r="L339" s="80"/>
      <c r="M339" s="80"/>
      <c r="N339" s="80"/>
      <c r="O339" s="80"/>
      <c r="P339" s="81"/>
      <c r="Q339" s="35" t="str">
        <f>IF(D339="","",VLOOKUP(MONTH(D339),Listas!$C$2:$D$14,2,0))</f>
        <v/>
      </c>
      <c r="R339" s="36" t="str">
        <f t="shared" si="22"/>
        <v/>
      </c>
      <c r="S339" s="37" t="str">
        <f t="shared" si="23"/>
        <v/>
      </c>
      <c r="T339" s="37" t="str">
        <f t="shared" si="24"/>
        <v/>
      </c>
      <c r="U339" s="37" t="str">
        <f t="shared" si="25"/>
        <v/>
      </c>
      <c r="V339" s="37" t="str">
        <f t="shared" si="26"/>
        <v/>
      </c>
      <c r="W339" s="37" t="str">
        <f t="shared" si="27"/>
        <v/>
      </c>
      <c r="X339" s="37" t="str">
        <f t="shared" si="28"/>
        <v/>
      </c>
      <c r="Y339" s="37" t="str">
        <f t="shared" si="29"/>
        <v/>
      </c>
      <c r="Z339" s="38" t="str">
        <f t="shared" si="30"/>
        <v/>
      </c>
      <c r="AA339" s="39" t="str">
        <f t="shared" si="31"/>
        <v/>
      </c>
    </row>
    <row r="340" ht="15.75" customHeight="1">
      <c r="B340" s="1"/>
      <c r="C340" s="28"/>
      <c r="D340" s="79"/>
      <c r="E340" s="1"/>
      <c r="F340" s="76"/>
      <c r="G340" s="1"/>
      <c r="H340" s="1"/>
      <c r="J340" s="77"/>
      <c r="K340" s="80"/>
      <c r="L340" s="80"/>
      <c r="M340" s="80"/>
      <c r="N340" s="80"/>
      <c r="O340" s="80"/>
      <c r="P340" s="81"/>
      <c r="Q340" s="35" t="str">
        <f>IF(D340="","",VLOOKUP(MONTH(D340),Listas!$C$2:$D$14,2,0))</f>
        <v/>
      </c>
      <c r="R340" s="36" t="str">
        <f t="shared" si="22"/>
        <v/>
      </c>
      <c r="S340" s="37" t="str">
        <f t="shared" si="23"/>
        <v/>
      </c>
      <c r="T340" s="37" t="str">
        <f t="shared" si="24"/>
        <v/>
      </c>
      <c r="U340" s="37" t="str">
        <f t="shared" si="25"/>
        <v/>
      </c>
      <c r="V340" s="37" t="str">
        <f t="shared" si="26"/>
        <v/>
      </c>
      <c r="W340" s="37" t="str">
        <f t="shared" si="27"/>
        <v/>
      </c>
      <c r="X340" s="37" t="str">
        <f t="shared" si="28"/>
        <v/>
      </c>
      <c r="Y340" s="37" t="str">
        <f t="shared" si="29"/>
        <v/>
      </c>
      <c r="Z340" s="38" t="str">
        <f t="shared" si="30"/>
        <v/>
      </c>
      <c r="AA340" s="39" t="str">
        <f t="shared" si="31"/>
        <v/>
      </c>
    </row>
    <row r="341" ht="15.75" customHeight="1">
      <c r="B341" s="1"/>
      <c r="C341" s="28"/>
      <c r="D341" s="79"/>
      <c r="E341" s="1"/>
      <c r="F341" s="76"/>
      <c r="G341" s="1"/>
      <c r="H341" s="1"/>
      <c r="J341" s="77"/>
      <c r="K341" s="80"/>
      <c r="L341" s="80"/>
      <c r="M341" s="80"/>
      <c r="N341" s="80"/>
      <c r="O341" s="80"/>
      <c r="P341" s="81"/>
      <c r="Q341" s="35" t="str">
        <f>IF(D341="","",VLOOKUP(MONTH(D341),Listas!$C$2:$D$14,2,0))</f>
        <v/>
      </c>
      <c r="R341" s="36" t="str">
        <f t="shared" si="22"/>
        <v/>
      </c>
      <c r="S341" s="37" t="str">
        <f t="shared" si="23"/>
        <v/>
      </c>
      <c r="T341" s="37" t="str">
        <f t="shared" si="24"/>
        <v/>
      </c>
      <c r="U341" s="37" t="str">
        <f t="shared" si="25"/>
        <v/>
      </c>
      <c r="V341" s="37" t="str">
        <f t="shared" si="26"/>
        <v/>
      </c>
      <c r="W341" s="37" t="str">
        <f t="shared" si="27"/>
        <v/>
      </c>
      <c r="X341" s="37" t="str">
        <f t="shared" si="28"/>
        <v/>
      </c>
      <c r="Y341" s="37" t="str">
        <f t="shared" si="29"/>
        <v/>
      </c>
      <c r="Z341" s="38" t="str">
        <f t="shared" si="30"/>
        <v/>
      </c>
      <c r="AA341" s="39" t="str">
        <f t="shared" si="31"/>
        <v/>
      </c>
    </row>
    <row r="342" ht="15.75" customHeight="1">
      <c r="B342" s="1"/>
      <c r="C342" s="28"/>
      <c r="D342" s="79"/>
      <c r="E342" s="1"/>
      <c r="F342" s="76"/>
      <c r="G342" s="1"/>
      <c r="H342" s="1"/>
      <c r="J342" s="77"/>
      <c r="K342" s="80"/>
      <c r="L342" s="80"/>
      <c r="M342" s="80"/>
      <c r="N342" s="80"/>
      <c r="O342" s="80"/>
      <c r="P342" s="81"/>
      <c r="Q342" s="35" t="str">
        <f>IF(D342="","",VLOOKUP(MONTH(D342),Listas!$C$2:$D$14,2,0))</f>
        <v/>
      </c>
      <c r="R342" s="36" t="str">
        <f t="shared" si="22"/>
        <v/>
      </c>
      <c r="S342" s="37" t="str">
        <f t="shared" si="23"/>
        <v/>
      </c>
      <c r="T342" s="37" t="str">
        <f t="shared" si="24"/>
        <v/>
      </c>
      <c r="U342" s="37" t="str">
        <f t="shared" si="25"/>
        <v/>
      </c>
      <c r="V342" s="37" t="str">
        <f t="shared" si="26"/>
        <v/>
      </c>
      <c r="W342" s="37" t="str">
        <f t="shared" si="27"/>
        <v/>
      </c>
      <c r="X342" s="37" t="str">
        <f t="shared" si="28"/>
        <v/>
      </c>
      <c r="Y342" s="37" t="str">
        <f t="shared" si="29"/>
        <v/>
      </c>
      <c r="Z342" s="38" t="str">
        <f t="shared" si="30"/>
        <v/>
      </c>
      <c r="AA342" s="39" t="str">
        <f t="shared" si="31"/>
        <v/>
      </c>
    </row>
    <row r="343" ht="15.75" customHeight="1">
      <c r="B343" s="1"/>
      <c r="C343" s="28"/>
      <c r="D343" s="79"/>
      <c r="E343" s="1"/>
      <c r="F343" s="76"/>
      <c r="G343" s="1"/>
      <c r="H343" s="1"/>
      <c r="J343" s="77"/>
      <c r="K343" s="80"/>
      <c r="L343" s="80"/>
      <c r="M343" s="80"/>
      <c r="N343" s="80"/>
      <c r="O343" s="80"/>
      <c r="P343" s="81"/>
      <c r="Q343" s="35" t="str">
        <f>IF(D343="","",VLOOKUP(MONTH(D343),Listas!$C$2:$D$14,2,0))</f>
        <v/>
      </c>
      <c r="R343" s="36" t="str">
        <f t="shared" si="22"/>
        <v/>
      </c>
      <c r="S343" s="37" t="str">
        <f t="shared" si="23"/>
        <v/>
      </c>
      <c r="T343" s="37" t="str">
        <f t="shared" si="24"/>
        <v/>
      </c>
      <c r="U343" s="37" t="str">
        <f t="shared" si="25"/>
        <v/>
      </c>
      <c r="V343" s="37" t="str">
        <f t="shared" si="26"/>
        <v/>
      </c>
      <c r="W343" s="37" t="str">
        <f t="shared" si="27"/>
        <v/>
      </c>
      <c r="X343" s="37" t="str">
        <f t="shared" si="28"/>
        <v/>
      </c>
      <c r="Y343" s="37" t="str">
        <f t="shared" si="29"/>
        <v/>
      </c>
      <c r="Z343" s="38" t="str">
        <f t="shared" si="30"/>
        <v/>
      </c>
      <c r="AA343" s="39" t="str">
        <f t="shared" si="31"/>
        <v/>
      </c>
    </row>
    <row r="344" ht="15.75" customHeight="1">
      <c r="B344" s="1"/>
      <c r="C344" s="28"/>
      <c r="D344" s="79"/>
      <c r="E344" s="1"/>
      <c r="F344" s="76"/>
      <c r="G344" s="1"/>
      <c r="H344" s="1"/>
      <c r="J344" s="77"/>
      <c r="K344" s="80"/>
      <c r="L344" s="80"/>
      <c r="M344" s="80"/>
      <c r="N344" s="80"/>
      <c r="O344" s="80"/>
      <c r="P344" s="81"/>
      <c r="Q344" s="35" t="str">
        <f>IF(D344="","",VLOOKUP(MONTH(D344),Listas!$C$2:$D$14,2,0))</f>
        <v/>
      </c>
      <c r="R344" s="36" t="str">
        <f t="shared" si="22"/>
        <v/>
      </c>
      <c r="S344" s="37" t="str">
        <f t="shared" si="23"/>
        <v/>
      </c>
      <c r="T344" s="37" t="str">
        <f t="shared" si="24"/>
        <v/>
      </c>
      <c r="U344" s="37" t="str">
        <f t="shared" si="25"/>
        <v/>
      </c>
      <c r="V344" s="37" t="str">
        <f t="shared" si="26"/>
        <v/>
      </c>
      <c r="W344" s="37" t="str">
        <f t="shared" si="27"/>
        <v/>
      </c>
      <c r="X344" s="37" t="str">
        <f t="shared" si="28"/>
        <v/>
      </c>
      <c r="Y344" s="37" t="str">
        <f t="shared" si="29"/>
        <v/>
      </c>
      <c r="Z344" s="38" t="str">
        <f t="shared" si="30"/>
        <v/>
      </c>
      <c r="AA344" s="39" t="str">
        <f t="shared" si="31"/>
        <v/>
      </c>
    </row>
    <row r="345" ht="15.75" customHeight="1">
      <c r="B345" s="1"/>
      <c r="C345" s="28"/>
      <c r="D345" s="79"/>
      <c r="E345" s="1"/>
      <c r="F345" s="76"/>
      <c r="G345" s="1"/>
      <c r="H345" s="1"/>
      <c r="J345" s="77"/>
      <c r="K345" s="80"/>
      <c r="L345" s="80"/>
      <c r="M345" s="80"/>
      <c r="N345" s="80"/>
      <c r="O345" s="80"/>
      <c r="P345" s="81"/>
      <c r="Q345" s="35" t="str">
        <f>IF(D345="","",VLOOKUP(MONTH(D345),Listas!$C$2:$D$14,2,0))</f>
        <v/>
      </c>
      <c r="R345" s="36" t="str">
        <f t="shared" si="22"/>
        <v/>
      </c>
      <c r="S345" s="37" t="str">
        <f t="shared" si="23"/>
        <v/>
      </c>
      <c r="T345" s="37" t="str">
        <f t="shared" si="24"/>
        <v/>
      </c>
      <c r="U345" s="37" t="str">
        <f t="shared" si="25"/>
        <v/>
      </c>
      <c r="V345" s="37" t="str">
        <f t="shared" si="26"/>
        <v/>
      </c>
      <c r="W345" s="37" t="str">
        <f t="shared" si="27"/>
        <v/>
      </c>
      <c r="X345" s="37" t="str">
        <f t="shared" si="28"/>
        <v/>
      </c>
      <c r="Y345" s="37" t="str">
        <f t="shared" si="29"/>
        <v/>
      </c>
      <c r="Z345" s="38" t="str">
        <f t="shared" si="30"/>
        <v/>
      </c>
      <c r="AA345" s="39" t="str">
        <f t="shared" si="31"/>
        <v/>
      </c>
    </row>
    <row r="346" ht="15.75" customHeight="1">
      <c r="B346" s="1"/>
      <c r="C346" s="28"/>
      <c r="D346" s="79"/>
      <c r="E346" s="1"/>
      <c r="F346" s="76"/>
      <c r="G346" s="1"/>
      <c r="H346" s="1"/>
      <c r="J346" s="77"/>
      <c r="K346" s="80"/>
      <c r="L346" s="80"/>
      <c r="M346" s="80"/>
      <c r="N346" s="80"/>
      <c r="O346" s="80"/>
      <c r="P346" s="81"/>
      <c r="Q346" s="35" t="str">
        <f>IF(D346="","",VLOOKUP(MONTH(D346),Listas!$C$2:$D$14,2,0))</f>
        <v/>
      </c>
      <c r="R346" s="36" t="str">
        <f t="shared" si="22"/>
        <v/>
      </c>
      <c r="S346" s="37" t="str">
        <f t="shared" si="23"/>
        <v/>
      </c>
      <c r="T346" s="37" t="str">
        <f t="shared" si="24"/>
        <v/>
      </c>
      <c r="U346" s="37" t="str">
        <f t="shared" si="25"/>
        <v/>
      </c>
      <c r="V346" s="37" t="str">
        <f t="shared" si="26"/>
        <v/>
      </c>
      <c r="W346" s="37" t="str">
        <f t="shared" si="27"/>
        <v/>
      </c>
      <c r="X346" s="37" t="str">
        <f t="shared" si="28"/>
        <v/>
      </c>
      <c r="Y346" s="37" t="str">
        <f t="shared" si="29"/>
        <v/>
      </c>
      <c r="Z346" s="38" t="str">
        <f t="shared" si="30"/>
        <v/>
      </c>
      <c r="AA346" s="39" t="str">
        <f t="shared" si="31"/>
        <v/>
      </c>
    </row>
    <row r="347" ht="15.75" customHeight="1">
      <c r="B347" s="1"/>
      <c r="C347" s="28"/>
      <c r="D347" s="79"/>
      <c r="E347" s="1"/>
      <c r="F347" s="76"/>
      <c r="G347" s="1"/>
      <c r="H347" s="1"/>
      <c r="J347" s="77"/>
      <c r="K347" s="80"/>
      <c r="L347" s="80"/>
      <c r="M347" s="80"/>
      <c r="N347" s="80"/>
      <c r="O347" s="80"/>
      <c r="P347" s="81"/>
      <c r="Q347" s="35" t="str">
        <f>IF(D347="","",VLOOKUP(MONTH(D347),Listas!$C$2:$D$14,2,0))</f>
        <v/>
      </c>
      <c r="R347" s="36" t="str">
        <f t="shared" si="22"/>
        <v/>
      </c>
      <c r="S347" s="37" t="str">
        <f t="shared" si="23"/>
        <v/>
      </c>
      <c r="T347" s="37" t="str">
        <f t="shared" si="24"/>
        <v/>
      </c>
      <c r="U347" s="37" t="str">
        <f t="shared" si="25"/>
        <v/>
      </c>
      <c r="V347" s="37" t="str">
        <f t="shared" si="26"/>
        <v/>
      </c>
      <c r="W347" s="37" t="str">
        <f t="shared" si="27"/>
        <v/>
      </c>
      <c r="X347" s="37" t="str">
        <f t="shared" si="28"/>
        <v/>
      </c>
      <c r="Y347" s="37" t="str">
        <f t="shared" si="29"/>
        <v/>
      </c>
      <c r="Z347" s="38" t="str">
        <f t="shared" si="30"/>
        <v/>
      </c>
      <c r="AA347" s="39" t="str">
        <f t="shared" si="31"/>
        <v/>
      </c>
    </row>
    <row r="348" ht="15.75" customHeight="1">
      <c r="B348" s="1"/>
      <c r="C348" s="28"/>
      <c r="D348" s="79"/>
      <c r="E348" s="1"/>
      <c r="F348" s="76"/>
      <c r="G348" s="1"/>
      <c r="H348" s="1"/>
      <c r="J348" s="77"/>
      <c r="K348" s="80"/>
      <c r="L348" s="80"/>
      <c r="M348" s="80"/>
      <c r="N348" s="80"/>
      <c r="O348" s="80"/>
      <c r="P348" s="81"/>
      <c r="Q348" s="35" t="str">
        <f>IF(D348="","",VLOOKUP(MONTH(D348),Listas!$C$2:$D$14,2,0))</f>
        <v/>
      </c>
      <c r="R348" s="36" t="str">
        <f t="shared" si="22"/>
        <v/>
      </c>
      <c r="S348" s="37" t="str">
        <f t="shared" si="23"/>
        <v/>
      </c>
      <c r="T348" s="37" t="str">
        <f t="shared" si="24"/>
        <v/>
      </c>
      <c r="U348" s="37" t="str">
        <f t="shared" si="25"/>
        <v/>
      </c>
      <c r="V348" s="37" t="str">
        <f t="shared" si="26"/>
        <v/>
      </c>
      <c r="W348" s="37" t="str">
        <f t="shared" si="27"/>
        <v/>
      </c>
      <c r="X348" s="37" t="str">
        <f t="shared" si="28"/>
        <v/>
      </c>
      <c r="Y348" s="37" t="str">
        <f t="shared" si="29"/>
        <v/>
      </c>
      <c r="Z348" s="38" t="str">
        <f t="shared" si="30"/>
        <v/>
      </c>
      <c r="AA348" s="39" t="str">
        <f t="shared" si="31"/>
        <v/>
      </c>
    </row>
    <row r="349" ht="15.75" customHeight="1">
      <c r="B349" s="1"/>
      <c r="C349" s="28"/>
      <c r="D349" s="79"/>
      <c r="E349" s="1"/>
      <c r="F349" s="76"/>
      <c r="G349" s="1"/>
      <c r="H349" s="1"/>
      <c r="J349" s="77"/>
      <c r="K349" s="80"/>
      <c r="L349" s="80"/>
      <c r="M349" s="80"/>
      <c r="N349" s="80"/>
      <c r="O349" s="80"/>
      <c r="P349" s="81"/>
      <c r="Q349" s="35" t="str">
        <f>IF(D349="","",VLOOKUP(MONTH(D349),Listas!$C$2:$D$14,2,0))</f>
        <v/>
      </c>
      <c r="R349" s="36" t="str">
        <f t="shared" si="22"/>
        <v/>
      </c>
      <c r="S349" s="37" t="str">
        <f t="shared" si="23"/>
        <v/>
      </c>
      <c r="T349" s="37" t="str">
        <f t="shared" si="24"/>
        <v/>
      </c>
      <c r="U349" s="37" t="str">
        <f t="shared" si="25"/>
        <v/>
      </c>
      <c r="V349" s="37" t="str">
        <f t="shared" si="26"/>
        <v/>
      </c>
      <c r="W349" s="37" t="str">
        <f t="shared" si="27"/>
        <v/>
      </c>
      <c r="X349" s="37" t="str">
        <f t="shared" si="28"/>
        <v/>
      </c>
      <c r="Y349" s="37" t="str">
        <f t="shared" si="29"/>
        <v/>
      </c>
      <c r="Z349" s="38" t="str">
        <f t="shared" si="30"/>
        <v/>
      </c>
      <c r="AA349" s="39" t="str">
        <f t="shared" si="31"/>
        <v/>
      </c>
    </row>
    <row r="350" ht="15.75" customHeight="1">
      <c r="B350" s="1"/>
      <c r="C350" s="28"/>
      <c r="D350" s="79"/>
      <c r="E350" s="1"/>
      <c r="F350" s="76"/>
      <c r="G350" s="1"/>
      <c r="H350" s="1"/>
      <c r="J350" s="77"/>
      <c r="K350" s="80"/>
      <c r="L350" s="80"/>
      <c r="M350" s="80"/>
      <c r="N350" s="80"/>
      <c r="O350" s="80"/>
      <c r="P350" s="81"/>
      <c r="Q350" s="35" t="str">
        <f>IF(D350="","",VLOOKUP(MONTH(D350),Listas!$C$2:$D$14,2,0))</f>
        <v/>
      </c>
      <c r="R350" s="36" t="str">
        <f t="shared" si="22"/>
        <v/>
      </c>
      <c r="S350" s="37" t="str">
        <f t="shared" si="23"/>
        <v/>
      </c>
      <c r="T350" s="37" t="str">
        <f t="shared" si="24"/>
        <v/>
      </c>
      <c r="U350" s="37" t="str">
        <f t="shared" si="25"/>
        <v/>
      </c>
      <c r="V350" s="37" t="str">
        <f t="shared" si="26"/>
        <v/>
      </c>
      <c r="W350" s="37" t="str">
        <f t="shared" si="27"/>
        <v/>
      </c>
      <c r="X350" s="37" t="str">
        <f t="shared" si="28"/>
        <v/>
      </c>
      <c r="Y350" s="37" t="str">
        <f t="shared" si="29"/>
        <v/>
      </c>
      <c r="Z350" s="38" t="str">
        <f t="shared" si="30"/>
        <v/>
      </c>
      <c r="AA350" s="39" t="str">
        <f t="shared" si="31"/>
        <v/>
      </c>
    </row>
    <row r="351" ht="15.75" customHeight="1">
      <c r="B351" s="1"/>
      <c r="C351" s="28"/>
      <c r="D351" s="79"/>
      <c r="E351" s="1"/>
      <c r="F351" s="76"/>
      <c r="G351" s="1"/>
      <c r="H351" s="1"/>
      <c r="J351" s="77"/>
      <c r="K351" s="80"/>
      <c r="L351" s="80"/>
      <c r="M351" s="80"/>
      <c r="N351" s="80"/>
      <c r="O351" s="80"/>
      <c r="P351" s="81"/>
      <c r="Q351" s="35" t="str">
        <f>IF(D351="","",VLOOKUP(MONTH(D351),Listas!$C$2:$D$14,2,0))</f>
        <v/>
      </c>
      <c r="R351" s="36" t="str">
        <f t="shared" si="22"/>
        <v/>
      </c>
      <c r="S351" s="37" t="str">
        <f t="shared" si="23"/>
        <v/>
      </c>
      <c r="T351" s="37" t="str">
        <f t="shared" si="24"/>
        <v/>
      </c>
      <c r="U351" s="37" t="str">
        <f t="shared" si="25"/>
        <v/>
      </c>
      <c r="V351" s="37" t="str">
        <f t="shared" si="26"/>
        <v/>
      </c>
      <c r="W351" s="37" t="str">
        <f t="shared" si="27"/>
        <v/>
      </c>
      <c r="X351" s="37" t="str">
        <f t="shared" si="28"/>
        <v/>
      </c>
      <c r="Y351" s="37" t="str">
        <f t="shared" si="29"/>
        <v/>
      </c>
      <c r="Z351" s="38" t="str">
        <f t="shared" si="30"/>
        <v/>
      </c>
      <c r="AA351" s="39" t="str">
        <f t="shared" si="31"/>
        <v/>
      </c>
    </row>
    <row r="352" ht="15.75" customHeight="1">
      <c r="B352" s="1"/>
      <c r="C352" s="28"/>
      <c r="D352" s="79"/>
      <c r="E352" s="1"/>
      <c r="F352" s="76"/>
      <c r="G352" s="1"/>
      <c r="H352" s="1"/>
      <c r="J352" s="77"/>
      <c r="K352" s="80"/>
      <c r="L352" s="80"/>
      <c r="M352" s="80"/>
      <c r="N352" s="80"/>
      <c r="O352" s="80"/>
      <c r="P352" s="81"/>
      <c r="Q352" s="35" t="str">
        <f>IF(D352="","",VLOOKUP(MONTH(D352),Listas!$C$2:$D$14,2,0))</f>
        <v/>
      </c>
      <c r="R352" s="36" t="str">
        <f t="shared" si="22"/>
        <v/>
      </c>
      <c r="S352" s="37" t="str">
        <f t="shared" si="23"/>
        <v/>
      </c>
      <c r="T352" s="37" t="str">
        <f t="shared" si="24"/>
        <v/>
      </c>
      <c r="U352" s="37" t="str">
        <f t="shared" si="25"/>
        <v/>
      </c>
      <c r="V352" s="37" t="str">
        <f t="shared" si="26"/>
        <v/>
      </c>
      <c r="W352" s="37" t="str">
        <f t="shared" si="27"/>
        <v/>
      </c>
      <c r="X352" s="37" t="str">
        <f t="shared" si="28"/>
        <v/>
      </c>
      <c r="Y352" s="37" t="str">
        <f t="shared" si="29"/>
        <v/>
      </c>
      <c r="Z352" s="38" t="str">
        <f t="shared" si="30"/>
        <v/>
      </c>
      <c r="AA352" s="39" t="str">
        <f t="shared" si="31"/>
        <v/>
      </c>
    </row>
    <row r="353" ht="15.75" customHeight="1">
      <c r="B353" s="1"/>
      <c r="C353" s="28"/>
      <c r="D353" s="79"/>
      <c r="E353" s="1"/>
      <c r="F353" s="76"/>
      <c r="G353" s="1"/>
      <c r="H353" s="1"/>
      <c r="J353" s="77"/>
      <c r="K353" s="80"/>
      <c r="L353" s="80"/>
      <c r="M353" s="80"/>
      <c r="N353" s="80"/>
      <c r="O353" s="80"/>
      <c r="P353" s="81"/>
      <c r="Q353" s="35" t="str">
        <f>IF(D353="","",VLOOKUP(MONTH(D353),Listas!$C$2:$D$14,2,0))</f>
        <v/>
      </c>
      <c r="R353" s="36" t="str">
        <f t="shared" si="22"/>
        <v/>
      </c>
      <c r="S353" s="37" t="str">
        <f t="shared" si="23"/>
        <v/>
      </c>
      <c r="T353" s="37" t="str">
        <f t="shared" si="24"/>
        <v/>
      </c>
      <c r="U353" s="37" t="str">
        <f t="shared" si="25"/>
        <v/>
      </c>
      <c r="V353" s="37" t="str">
        <f t="shared" si="26"/>
        <v/>
      </c>
      <c r="W353" s="37" t="str">
        <f t="shared" si="27"/>
        <v/>
      </c>
      <c r="X353" s="37" t="str">
        <f t="shared" si="28"/>
        <v/>
      </c>
      <c r="Y353" s="37" t="str">
        <f t="shared" si="29"/>
        <v/>
      </c>
      <c r="Z353" s="38" t="str">
        <f t="shared" si="30"/>
        <v/>
      </c>
      <c r="AA353" s="39" t="str">
        <f t="shared" si="31"/>
        <v/>
      </c>
    </row>
    <row r="354" ht="15.75" customHeight="1">
      <c r="B354" s="1"/>
      <c r="C354" s="28"/>
      <c r="D354" s="79"/>
      <c r="E354" s="1"/>
      <c r="F354" s="76"/>
      <c r="G354" s="1"/>
      <c r="H354" s="1"/>
      <c r="J354" s="77"/>
      <c r="K354" s="80"/>
      <c r="L354" s="80"/>
      <c r="M354" s="80"/>
      <c r="N354" s="80"/>
      <c r="O354" s="80"/>
      <c r="P354" s="81"/>
      <c r="Q354" s="35" t="str">
        <f>IF(D354="","",VLOOKUP(MONTH(D354),Listas!$C$2:$D$14,2,0))</f>
        <v/>
      </c>
      <c r="R354" s="36" t="str">
        <f t="shared" si="22"/>
        <v/>
      </c>
      <c r="S354" s="37" t="str">
        <f t="shared" si="23"/>
        <v/>
      </c>
      <c r="T354" s="37" t="str">
        <f t="shared" si="24"/>
        <v/>
      </c>
      <c r="U354" s="37" t="str">
        <f t="shared" si="25"/>
        <v/>
      </c>
      <c r="V354" s="37" t="str">
        <f t="shared" si="26"/>
        <v/>
      </c>
      <c r="W354" s="37" t="str">
        <f t="shared" si="27"/>
        <v/>
      </c>
      <c r="X354" s="37" t="str">
        <f t="shared" si="28"/>
        <v/>
      </c>
      <c r="Y354" s="37" t="str">
        <f t="shared" si="29"/>
        <v/>
      </c>
      <c r="Z354" s="38" t="str">
        <f t="shared" si="30"/>
        <v/>
      </c>
      <c r="AA354" s="39" t="str">
        <f t="shared" si="31"/>
        <v/>
      </c>
    </row>
    <row r="355" ht="15.75" customHeight="1">
      <c r="B355" s="1"/>
      <c r="C355" s="28"/>
      <c r="D355" s="79"/>
      <c r="E355" s="1"/>
      <c r="F355" s="76"/>
      <c r="G355" s="1"/>
      <c r="H355" s="1"/>
      <c r="J355" s="77"/>
      <c r="K355" s="80"/>
      <c r="L355" s="80"/>
      <c r="M355" s="80"/>
      <c r="N355" s="80"/>
      <c r="O355" s="80"/>
      <c r="P355" s="81"/>
      <c r="Q355" s="35" t="str">
        <f>IF(D355="","",VLOOKUP(MONTH(D355),Listas!$C$2:$D$14,2,0))</f>
        <v/>
      </c>
      <c r="R355" s="36" t="str">
        <f t="shared" si="22"/>
        <v/>
      </c>
      <c r="S355" s="37" t="str">
        <f t="shared" si="23"/>
        <v/>
      </c>
      <c r="T355" s="37" t="str">
        <f t="shared" si="24"/>
        <v/>
      </c>
      <c r="U355" s="37" t="str">
        <f t="shared" si="25"/>
        <v/>
      </c>
      <c r="V355" s="37" t="str">
        <f t="shared" si="26"/>
        <v/>
      </c>
      <c r="W355" s="37" t="str">
        <f t="shared" si="27"/>
        <v/>
      </c>
      <c r="X355" s="37" t="str">
        <f t="shared" si="28"/>
        <v/>
      </c>
      <c r="Y355" s="37" t="str">
        <f t="shared" si="29"/>
        <v/>
      </c>
      <c r="Z355" s="38" t="str">
        <f t="shared" si="30"/>
        <v/>
      </c>
      <c r="AA355" s="39" t="str">
        <f t="shared" si="31"/>
        <v/>
      </c>
    </row>
    <row r="356" ht="15.75" customHeight="1">
      <c r="B356" s="1"/>
      <c r="C356" s="28"/>
      <c r="D356" s="79"/>
      <c r="E356" s="1"/>
      <c r="F356" s="76"/>
      <c r="G356" s="1"/>
      <c r="H356" s="1"/>
      <c r="J356" s="77"/>
      <c r="K356" s="80"/>
      <c r="L356" s="80"/>
      <c r="M356" s="80"/>
      <c r="N356" s="80"/>
      <c r="O356" s="80"/>
      <c r="P356" s="81"/>
      <c r="Q356" s="35" t="str">
        <f>IF(D356="","",VLOOKUP(MONTH(D356),Listas!$C$2:$D$14,2,0))</f>
        <v/>
      </c>
      <c r="R356" s="36" t="str">
        <f t="shared" si="22"/>
        <v/>
      </c>
      <c r="S356" s="37" t="str">
        <f t="shared" si="23"/>
        <v/>
      </c>
      <c r="T356" s="37" t="str">
        <f t="shared" si="24"/>
        <v/>
      </c>
      <c r="U356" s="37" t="str">
        <f t="shared" si="25"/>
        <v/>
      </c>
      <c r="V356" s="37" t="str">
        <f t="shared" si="26"/>
        <v/>
      </c>
      <c r="W356" s="37" t="str">
        <f t="shared" si="27"/>
        <v/>
      </c>
      <c r="X356" s="37" t="str">
        <f t="shared" si="28"/>
        <v/>
      </c>
      <c r="Y356" s="37" t="str">
        <f t="shared" si="29"/>
        <v/>
      </c>
      <c r="Z356" s="38" t="str">
        <f t="shared" si="30"/>
        <v/>
      </c>
      <c r="AA356" s="39" t="str">
        <f t="shared" si="31"/>
        <v/>
      </c>
    </row>
    <row r="357" ht="15.75" customHeight="1">
      <c r="B357" s="1"/>
      <c r="C357" s="28"/>
      <c r="D357" s="79"/>
      <c r="E357" s="1"/>
      <c r="F357" s="76"/>
      <c r="G357" s="1"/>
      <c r="H357" s="1"/>
      <c r="J357" s="77"/>
      <c r="K357" s="80"/>
      <c r="L357" s="80"/>
      <c r="M357" s="80"/>
      <c r="N357" s="80"/>
      <c r="O357" s="80"/>
      <c r="P357" s="81"/>
      <c r="Q357" s="35" t="str">
        <f>IF(D357="","",VLOOKUP(MONTH(D357),Listas!$C$2:$D$14,2,0))</f>
        <v/>
      </c>
      <c r="R357" s="36" t="str">
        <f t="shared" si="22"/>
        <v/>
      </c>
      <c r="S357" s="37" t="str">
        <f t="shared" si="23"/>
        <v/>
      </c>
      <c r="T357" s="37" t="str">
        <f t="shared" si="24"/>
        <v/>
      </c>
      <c r="U357" s="37" t="str">
        <f t="shared" si="25"/>
        <v/>
      </c>
      <c r="V357" s="37" t="str">
        <f t="shared" si="26"/>
        <v/>
      </c>
      <c r="W357" s="37" t="str">
        <f t="shared" si="27"/>
        <v/>
      </c>
      <c r="X357" s="37" t="str">
        <f t="shared" si="28"/>
        <v/>
      </c>
      <c r="Y357" s="37" t="str">
        <f t="shared" si="29"/>
        <v/>
      </c>
      <c r="Z357" s="38" t="str">
        <f t="shared" si="30"/>
        <v/>
      </c>
      <c r="AA357" s="39" t="str">
        <f t="shared" si="31"/>
        <v/>
      </c>
    </row>
    <row r="358" ht="15.75" customHeight="1">
      <c r="B358" s="1"/>
      <c r="C358" s="28"/>
      <c r="D358" s="79"/>
      <c r="E358" s="1"/>
      <c r="F358" s="76"/>
      <c r="G358" s="1"/>
      <c r="H358" s="1"/>
      <c r="J358" s="77"/>
      <c r="K358" s="80"/>
      <c r="L358" s="80"/>
      <c r="M358" s="80"/>
      <c r="N358" s="80"/>
      <c r="O358" s="80"/>
      <c r="P358" s="81"/>
      <c r="Q358" s="35" t="str">
        <f>IF(D358="","",VLOOKUP(MONTH(D358),Listas!$C$2:$D$14,2,0))</f>
        <v/>
      </c>
      <c r="R358" s="36" t="str">
        <f t="shared" si="22"/>
        <v/>
      </c>
      <c r="S358" s="37" t="str">
        <f t="shared" si="23"/>
        <v/>
      </c>
      <c r="T358" s="37" t="str">
        <f t="shared" si="24"/>
        <v/>
      </c>
      <c r="U358" s="37" t="str">
        <f t="shared" si="25"/>
        <v/>
      </c>
      <c r="V358" s="37" t="str">
        <f t="shared" si="26"/>
        <v/>
      </c>
      <c r="W358" s="37" t="str">
        <f t="shared" si="27"/>
        <v/>
      </c>
      <c r="X358" s="37" t="str">
        <f t="shared" si="28"/>
        <v/>
      </c>
      <c r="Y358" s="37" t="str">
        <f t="shared" si="29"/>
        <v/>
      </c>
      <c r="Z358" s="38" t="str">
        <f t="shared" si="30"/>
        <v/>
      </c>
      <c r="AA358" s="39" t="str">
        <f t="shared" si="31"/>
        <v/>
      </c>
    </row>
    <row r="359" ht="15.75" customHeight="1">
      <c r="B359" s="1"/>
      <c r="C359" s="28"/>
      <c r="D359" s="79"/>
      <c r="E359" s="1"/>
      <c r="F359" s="76"/>
      <c r="G359" s="1"/>
      <c r="H359" s="1"/>
      <c r="J359" s="77"/>
      <c r="K359" s="80"/>
      <c r="L359" s="80"/>
      <c r="M359" s="80"/>
      <c r="N359" s="80"/>
      <c r="O359" s="80"/>
      <c r="P359" s="81"/>
      <c r="Q359" s="35" t="str">
        <f>IF(D359="","",VLOOKUP(MONTH(D359),Listas!$C$2:$D$14,2,0))</f>
        <v/>
      </c>
      <c r="R359" s="36" t="str">
        <f t="shared" si="22"/>
        <v/>
      </c>
      <c r="S359" s="37" t="str">
        <f t="shared" si="23"/>
        <v/>
      </c>
      <c r="T359" s="37" t="str">
        <f t="shared" si="24"/>
        <v/>
      </c>
      <c r="U359" s="37" t="str">
        <f t="shared" si="25"/>
        <v/>
      </c>
      <c r="V359" s="37" t="str">
        <f t="shared" si="26"/>
        <v/>
      </c>
      <c r="W359" s="37" t="str">
        <f t="shared" si="27"/>
        <v/>
      </c>
      <c r="X359" s="37" t="str">
        <f t="shared" si="28"/>
        <v/>
      </c>
      <c r="Y359" s="37" t="str">
        <f t="shared" si="29"/>
        <v/>
      </c>
      <c r="Z359" s="38" t="str">
        <f t="shared" si="30"/>
        <v/>
      </c>
      <c r="AA359" s="39" t="str">
        <f t="shared" si="31"/>
        <v/>
      </c>
    </row>
    <row r="360" ht="15.75" customHeight="1">
      <c r="B360" s="1"/>
      <c r="C360" s="28"/>
      <c r="D360" s="79"/>
      <c r="E360" s="1"/>
      <c r="F360" s="76"/>
      <c r="G360" s="1"/>
      <c r="H360" s="1"/>
      <c r="J360" s="77"/>
      <c r="K360" s="80"/>
      <c r="L360" s="80"/>
      <c r="M360" s="80"/>
      <c r="N360" s="80"/>
      <c r="O360" s="80"/>
      <c r="P360" s="81"/>
      <c r="Q360" s="35" t="str">
        <f>IF(D360="","",VLOOKUP(MONTH(D360),Listas!$C$2:$D$14,2,0))</f>
        <v/>
      </c>
      <c r="R360" s="36" t="str">
        <f t="shared" si="22"/>
        <v/>
      </c>
      <c r="S360" s="37" t="str">
        <f t="shared" si="23"/>
        <v/>
      </c>
      <c r="T360" s="37" t="str">
        <f t="shared" si="24"/>
        <v/>
      </c>
      <c r="U360" s="37" t="str">
        <f t="shared" si="25"/>
        <v/>
      </c>
      <c r="V360" s="37" t="str">
        <f t="shared" si="26"/>
        <v/>
      </c>
      <c r="W360" s="37" t="str">
        <f t="shared" si="27"/>
        <v/>
      </c>
      <c r="X360" s="37" t="str">
        <f t="shared" si="28"/>
        <v/>
      </c>
      <c r="Y360" s="37" t="str">
        <f t="shared" si="29"/>
        <v/>
      </c>
      <c r="Z360" s="38" t="str">
        <f t="shared" si="30"/>
        <v/>
      </c>
      <c r="AA360" s="39" t="str">
        <f t="shared" si="31"/>
        <v/>
      </c>
    </row>
    <row r="361" ht="15.75" customHeight="1">
      <c r="B361" s="1"/>
      <c r="C361" s="28"/>
      <c r="D361" s="79"/>
      <c r="E361" s="1"/>
      <c r="F361" s="76"/>
      <c r="G361" s="1"/>
      <c r="H361" s="1"/>
      <c r="J361" s="77"/>
      <c r="K361" s="80"/>
      <c r="L361" s="80"/>
      <c r="M361" s="80"/>
      <c r="N361" s="80"/>
      <c r="O361" s="80"/>
      <c r="P361" s="81"/>
      <c r="Q361" s="35" t="str">
        <f>IF(D361="","",VLOOKUP(MONTH(D361),Listas!$C$2:$D$14,2,0))</f>
        <v/>
      </c>
      <c r="R361" s="36" t="str">
        <f t="shared" si="22"/>
        <v/>
      </c>
      <c r="S361" s="37" t="str">
        <f t="shared" si="23"/>
        <v/>
      </c>
      <c r="T361" s="37" t="str">
        <f t="shared" si="24"/>
        <v/>
      </c>
      <c r="U361" s="37" t="str">
        <f t="shared" si="25"/>
        <v/>
      </c>
      <c r="V361" s="37" t="str">
        <f t="shared" si="26"/>
        <v/>
      </c>
      <c r="W361" s="37" t="str">
        <f t="shared" si="27"/>
        <v/>
      </c>
      <c r="X361" s="37" t="str">
        <f t="shared" si="28"/>
        <v/>
      </c>
      <c r="Y361" s="37" t="str">
        <f t="shared" si="29"/>
        <v/>
      </c>
      <c r="Z361" s="38" t="str">
        <f t="shared" si="30"/>
        <v/>
      </c>
      <c r="AA361" s="39" t="str">
        <f t="shared" si="31"/>
        <v/>
      </c>
    </row>
    <row r="362" ht="15.75" customHeight="1">
      <c r="B362" s="1"/>
      <c r="C362" s="28"/>
      <c r="D362" s="79"/>
      <c r="E362" s="1"/>
      <c r="F362" s="76"/>
      <c r="G362" s="1"/>
      <c r="H362" s="1"/>
      <c r="J362" s="77"/>
      <c r="K362" s="80"/>
      <c r="L362" s="80"/>
      <c r="M362" s="80"/>
      <c r="N362" s="80"/>
      <c r="O362" s="80"/>
      <c r="P362" s="81"/>
      <c r="Q362" s="35" t="str">
        <f>IF(D362="","",VLOOKUP(MONTH(D362),Listas!$C$2:$D$14,2,0))</f>
        <v/>
      </c>
      <c r="R362" s="36" t="str">
        <f t="shared" si="22"/>
        <v/>
      </c>
      <c r="S362" s="37" t="str">
        <f t="shared" si="23"/>
        <v/>
      </c>
      <c r="T362" s="37" t="str">
        <f t="shared" si="24"/>
        <v/>
      </c>
      <c r="U362" s="37" t="str">
        <f t="shared" si="25"/>
        <v/>
      </c>
      <c r="V362" s="37" t="str">
        <f t="shared" si="26"/>
        <v/>
      </c>
      <c r="W362" s="37" t="str">
        <f t="shared" si="27"/>
        <v/>
      </c>
      <c r="X362" s="37" t="str">
        <f t="shared" si="28"/>
        <v/>
      </c>
      <c r="Y362" s="37" t="str">
        <f t="shared" si="29"/>
        <v/>
      </c>
      <c r="Z362" s="38" t="str">
        <f t="shared" si="30"/>
        <v/>
      </c>
      <c r="AA362" s="39" t="str">
        <f t="shared" si="31"/>
        <v/>
      </c>
    </row>
    <row r="363" ht="15.75" customHeight="1">
      <c r="B363" s="1"/>
      <c r="C363" s="28"/>
      <c r="D363" s="79"/>
      <c r="E363" s="1"/>
      <c r="F363" s="76"/>
      <c r="G363" s="1"/>
      <c r="H363" s="1"/>
      <c r="J363" s="77"/>
      <c r="K363" s="80"/>
      <c r="L363" s="80"/>
      <c r="M363" s="80"/>
      <c r="N363" s="80"/>
      <c r="O363" s="80"/>
      <c r="P363" s="81"/>
      <c r="Q363" s="35" t="str">
        <f>IF(D363="","",VLOOKUP(MONTH(D363),Listas!$C$2:$D$14,2,0))</f>
        <v/>
      </c>
      <c r="R363" s="36" t="str">
        <f t="shared" si="22"/>
        <v/>
      </c>
      <c r="S363" s="37" t="str">
        <f t="shared" si="23"/>
        <v/>
      </c>
      <c r="T363" s="37" t="str">
        <f t="shared" si="24"/>
        <v/>
      </c>
      <c r="U363" s="37" t="str">
        <f t="shared" si="25"/>
        <v/>
      </c>
      <c r="V363" s="37" t="str">
        <f t="shared" si="26"/>
        <v/>
      </c>
      <c r="W363" s="37" t="str">
        <f t="shared" si="27"/>
        <v/>
      </c>
      <c r="X363" s="37" t="str">
        <f t="shared" si="28"/>
        <v/>
      </c>
      <c r="Y363" s="37" t="str">
        <f t="shared" si="29"/>
        <v/>
      </c>
      <c r="Z363" s="38" t="str">
        <f t="shared" si="30"/>
        <v/>
      </c>
      <c r="AA363" s="39" t="str">
        <f t="shared" si="31"/>
        <v/>
      </c>
    </row>
    <row r="364" ht="15.75" customHeight="1">
      <c r="B364" s="1"/>
      <c r="C364" s="28"/>
      <c r="D364" s="79"/>
      <c r="E364" s="1"/>
      <c r="F364" s="76"/>
      <c r="G364" s="1"/>
      <c r="H364" s="1"/>
      <c r="J364" s="77"/>
      <c r="K364" s="80"/>
      <c r="L364" s="80"/>
      <c r="M364" s="80"/>
      <c r="N364" s="80"/>
      <c r="O364" s="80"/>
      <c r="P364" s="81"/>
      <c r="Q364" s="35" t="str">
        <f>IF(D364="","",VLOOKUP(MONTH(D364),Listas!$C$2:$D$14,2,0))</f>
        <v/>
      </c>
      <c r="R364" s="36" t="str">
        <f t="shared" si="22"/>
        <v/>
      </c>
      <c r="S364" s="37" t="str">
        <f t="shared" si="23"/>
        <v/>
      </c>
      <c r="T364" s="37" t="str">
        <f t="shared" si="24"/>
        <v/>
      </c>
      <c r="U364" s="37" t="str">
        <f t="shared" si="25"/>
        <v/>
      </c>
      <c r="V364" s="37" t="str">
        <f t="shared" si="26"/>
        <v/>
      </c>
      <c r="W364" s="37" t="str">
        <f t="shared" si="27"/>
        <v/>
      </c>
      <c r="X364" s="37" t="str">
        <f t="shared" si="28"/>
        <v/>
      </c>
      <c r="Y364" s="37" t="str">
        <f t="shared" si="29"/>
        <v/>
      </c>
      <c r="Z364" s="38" t="str">
        <f t="shared" si="30"/>
        <v/>
      </c>
      <c r="AA364" s="39" t="str">
        <f t="shared" si="31"/>
        <v/>
      </c>
    </row>
    <row r="365" ht="15.75" customHeight="1">
      <c r="B365" s="1"/>
      <c r="C365" s="28"/>
      <c r="D365" s="79"/>
      <c r="E365" s="1"/>
      <c r="F365" s="76"/>
      <c r="G365" s="1"/>
      <c r="H365" s="1"/>
      <c r="J365" s="77"/>
      <c r="K365" s="80"/>
      <c r="L365" s="80"/>
      <c r="M365" s="80"/>
      <c r="N365" s="80"/>
      <c r="O365" s="80"/>
      <c r="P365" s="81"/>
      <c r="Q365" s="35" t="str">
        <f>IF(D365="","",VLOOKUP(MONTH(D365),Listas!$C$2:$D$14,2,0))</f>
        <v/>
      </c>
      <c r="R365" s="36" t="str">
        <f t="shared" si="22"/>
        <v/>
      </c>
      <c r="S365" s="37" t="str">
        <f t="shared" si="23"/>
        <v/>
      </c>
      <c r="T365" s="37" t="str">
        <f t="shared" si="24"/>
        <v/>
      </c>
      <c r="U365" s="37" t="str">
        <f t="shared" si="25"/>
        <v/>
      </c>
      <c r="V365" s="37" t="str">
        <f t="shared" si="26"/>
        <v/>
      </c>
      <c r="W365" s="37" t="str">
        <f t="shared" si="27"/>
        <v/>
      </c>
      <c r="X365" s="37" t="str">
        <f t="shared" si="28"/>
        <v/>
      </c>
      <c r="Y365" s="37" t="str">
        <f t="shared" si="29"/>
        <v/>
      </c>
      <c r="Z365" s="38" t="str">
        <f t="shared" si="30"/>
        <v/>
      </c>
      <c r="AA365" s="39" t="str">
        <f t="shared" si="31"/>
        <v/>
      </c>
    </row>
    <row r="366" ht="15.75" customHeight="1">
      <c r="B366" s="1"/>
      <c r="C366" s="28"/>
      <c r="D366" s="79"/>
      <c r="E366" s="1"/>
      <c r="F366" s="76"/>
      <c r="G366" s="1"/>
      <c r="H366" s="1"/>
      <c r="J366" s="77"/>
      <c r="K366" s="80"/>
      <c r="L366" s="80"/>
      <c r="M366" s="80"/>
      <c r="N366" s="80"/>
      <c r="O366" s="80"/>
      <c r="P366" s="81"/>
      <c r="Q366" s="35" t="str">
        <f>IF(D366="","",VLOOKUP(MONTH(D366),Listas!$C$2:$D$14,2,0))</f>
        <v/>
      </c>
      <c r="R366" s="36" t="str">
        <f t="shared" si="22"/>
        <v/>
      </c>
      <c r="S366" s="37" t="str">
        <f t="shared" si="23"/>
        <v/>
      </c>
      <c r="T366" s="37" t="str">
        <f t="shared" si="24"/>
        <v/>
      </c>
      <c r="U366" s="37" t="str">
        <f t="shared" si="25"/>
        <v/>
      </c>
      <c r="V366" s="37" t="str">
        <f t="shared" si="26"/>
        <v/>
      </c>
      <c r="W366" s="37" t="str">
        <f t="shared" si="27"/>
        <v/>
      </c>
      <c r="X366" s="37" t="str">
        <f t="shared" si="28"/>
        <v/>
      </c>
      <c r="Y366" s="37" t="str">
        <f t="shared" si="29"/>
        <v/>
      </c>
      <c r="Z366" s="38" t="str">
        <f t="shared" si="30"/>
        <v/>
      </c>
      <c r="AA366" s="39" t="str">
        <f t="shared" si="31"/>
        <v/>
      </c>
    </row>
    <row r="367" ht="15.75" customHeight="1">
      <c r="B367" s="1"/>
      <c r="C367" s="28"/>
      <c r="D367" s="79"/>
      <c r="E367" s="1"/>
      <c r="F367" s="76"/>
      <c r="G367" s="1"/>
      <c r="H367" s="1"/>
      <c r="J367" s="77"/>
      <c r="K367" s="80"/>
      <c r="L367" s="80"/>
      <c r="M367" s="80"/>
      <c r="N367" s="80"/>
      <c r="O367" s="80"/>
      <c r="P367" s="81"/>
      <c r="Q367" s="35" t="str">
        <f>IF(D367="","",VLOOKUP(MONTH(D367),Listas!$C$2:$D$14,2,0))</f>
        <v/>
      </c>
      <c r="R367" s="36" t="str">
        <f t="shared" si="22"/>
        <v/>
      </c>
      <c r="S367" s="37" t="str">
        <f t="shared" si="23"/>
        <v/>
      </c>
      <c r="T367" s="37" t="str">
        <f t="shared" si="24"/>
        <v/>
      </c>
      <c r="U367" s="37" t="str">
        <f t="shared" si="25"/>
        <v/>
      </c>
      <c r="V367" s="37" t="str">
        <f t="shared" si="26"/>
        <v/>
      </c>
      <c r="W367" s="37" t="str">
        <f t="shared" si="27"/>
        <v/>
      </c>
      <c r="X367" s="37" t="str">
        <f t="shared" si="28"/>
        <v/>
      </c>
      <c r="Y367" s="37" t="str">
        <f t="shared" si="29"/>
        <v/>
      </c>
      <c r="Z367" s="38" t="str">
        <f t="shared" si="30"/>
        <v/>
      </c>
      <c r="AA367" s="39" t="str">
        <f t="shared" si="31"/>
        <v/>
      </c>
    </row>
    <row r="368" ht="15.75" customHeight="1">
      <c r="B368" s="1"/>
      <c r="C368" s="28"/>
      <c r="D368" s="79"/>
      <c r="E368" s="1"/>
      <c r="F368" s="76"/>
      <c r="G368" s="1"/>
      <c r="H368" s="1"/>
      <c r="J368" s="77"/>
      <c r="K368" s="80"/>
      <c r="L368" s="80"/>
      <c r="M368" s="80"/>
      <c r="N368" s="80"/>
      <c r="O368" s="80"/>
      <c r="P368" s="81"/>
      <c r="Q368" s="35" t="str">
        <f>IF(D368="","",VLOOKUP(MONTH(D368),Listas!$C$2:$D$14,2,0))</f>
        <v/>
      </c>
      <c r="R368" s="36" t="str">
        <f t="shared" si="22"/>
        <v/>
      </c>
      <c r="S368" s="37" t="str">
        <f t="shared" si="23"/>
        <v/>
      </c>
      <c r="T368" s="37" t="str">
        <f t="shared" si="24"/>
        <v/>
      </c>
      <c r="U368" s="37" t="str">
        <f t="shared" si="25"/>
        <v/>
      </c>
      <c r="V368" s="37" t="str">
        <f t="shared" si="26"/>
        <v/>
      </c>
      <c r="W368" s="37" t="str">
        <f t="shared" si="27"/>
        <v/>
      </c>
      <c r="X368" s="37" t="str">
        <f t="shared" si="28"/>
        <v/>
      </c>
      <c r="Y368" s="37" t="str">
        <f t="shared" si="29"/>
        <v/>
      </c>
      <c r="Z368" s="38" t="str">
        <f t="shared" si="30"/>
        <v/>
      </c>
      <c r="AA368" s="39" t="str">
        <f t="shared" si="31"/>
        <v/>
      </c>
    </row>
    <row r="369" ht="15.75" customHeight="1">
      <c r="B369" s="1"/>
      <c r="C369" s="28"/>
      <c r="D369" s="79"/>
      <c r="E369" s="1"/>
      <c r="F369" s="76"/>
      <c r="G369" s="1"/>
      <c r="H369" s="1"/>
      <c r="J369" s="77"/>
      <c r="K369" s="80"/>
      <c r="L369" s="80"/>
      <c r="M369" s="80"/>
      <c r="N369" s="80"/>
      <c r="O369" s="80"/>
      <c r="P369" s="81"/>
      <c r="Q369" s="35" t="str">
        <f>IF(D369="","",VLOOKUP(MONTH(D369),Listas!$C$2:$D$14,2,0))</f>
        <v/>
      </c>
      <c r="R369" s="36" t="str">
        <f t="shared" si="22"/>
        <v/>
      </c>
      <c r="S369" s="37" t="str">
        <f t="shared" si="23"/>
        <v/>
      </c>
      <c r="T369" s="37" t="str">
        <f t="shared" si="24"/>
        <v/>
      </c>
      <c r="U369" s="37" t="str">
        <f t="shared" si="25"/>
        <v/>
      </c>
      <c r="V369" s="37" t="str">
        <f t="shared" si="26"/>
        <v/>
      </c>
      <c r="W369" s="37" t="str">
        <f t="shared" si="27"/>
        <v/>
      </c>
      <c r="X369" s="37" t="str">
        <f t="shared" si="28"/>
        <v/>
      </c>
      <c r="Y369" s="37" t="str">
        <f t="shared" si="29"/>
        <v/>
      </c>
      <c r="Z369" s="38" t="str">
        <f t="shared" si="30"/>
        <v/>
      </c>
      <c r="AA369" s="39" t="str">
        <f t="shared" si="31"/>
        <v/>
      </c>
    </row>
    <row r="370" ht="15.75" customHeight="1">
      <c r="B370" s="1"/>
      <c r="C370" s="28"/>
      <c r="D370" s="79"/>
      <c r="E370" s="1"/>
      <c r="F370" s="76"/>
      <c r="G370" s="1"/>
      <c r="H370" s="1"/>
      <c r="J370" s="77"/>
      <c r="K370" s="80"/>
      <c r="L370" s="80"/>
      <c r="M370" s="80"/>
      <c r="N370" s="80"/>
      <c r="O370" s="80"/>
      <c r="P370" s="81"/>
      <c r="Q370" s="35" t="str">
        <f>IF(D370="","",VLOOKUP(MONTH(D370),Listas!$C$2:$D$14,2,0))</f>
        <v/>
      </c>
      <c r="R370" s="36" t="str">
        <f t="shared" si="22"/>
        <v/>
      </c>
      <c r="S370" s="37" t="str">
        <f t="shared" si="23"/>
        <v/>
      </c>
      <c r="T370" s="37" t="str">
        <f t="shared" si="24"/>
        <v/>
      </c>
      <c r="U370" s="37" t="str">
        <f t="shared" si="25"/>
        <v/>
      </c>
      <c r="V370" s="37" t="str">
        <f t="shared" si="26"/>
        <v/>
      </c>
      <c r="W370" s="37" t="str">
        <f t="shared" si="27"/>
        <v/>
      </c>
      <c r="X370" s="37" t="str">
        <f t="shared" si="28"/>
        <v/>
      </c>
      <c r="Y370" s="37" t="str">
        <f t="shared" si="29"/>
        <v/>
      </c>
      <c r="Z370" s="38" t="str">
        <f t="shared" si="30"/>
        <v/>
      </c>
      <c r="AA370" s="39" t="str">
        <f t="shared" si="31"/>
        <v/>
      </c>
    </row>
    <row r="371" ht="15.75" customHeight="1">
      <c r="B371" s="1"/>
      <c r="C371" s="28"/>
      <c r="D371" s="79"/>
      <c r="E371" s="1"/>
      <c r="F371" s="76"/>
      <c r="G371" s="1"/>
      <c r="H371" s="1"/>
      <c r="J371" s="77"/>
      <c r="K371" s="80"/>
      <c r="L371" s="80"/>
      <c r="M371" s="80"/>
      <c r="N371" s="80"/>
      <c r="O371" s="80"/>
      <c r="P371" s="81"/>
      <c r="Q371" s="35" t="str">
        <f>IF(D371="","",VLOOKUP(MONTH(D371),Listas!$C$2:$D$14,2,0))</f>
        <v/>
      </c>
      <c r="R371" s="36" t="str">
        <f t="shared" si="22"/>
        <v/>
      </c>
      <c r="S371" s="37" t="str">
        <f t="shared" si="23"/>
        <v/>
      </c>
      <c r="T371" s="37" t="str">
        <f t="shared" si="24"/>
        <v/>
      </c>
      <c r="U371" s="37" t="str">
        <f t="shared" si="25"/>
        <v/>
      </c>
      <c r="V371" s="37" t="str">
        <f t="shared" si="26"/>
        <v/>
      </c>
      <c r="W371" s="37" t="str">
        <f t="shared" si="27"/>
        <v/>
      </c>
      <c r="X371" s="37" t="str">
        <f t="shared" si="28"/>
        <v/>
      </c>
      <c r="Y371" s="37" t="str">
        <f t="shared" si="29"/>
        <v/>
      </c>
      <c r="Z371" s="38" t="str">
        <f t="shared" si="30"/>
        <v/>
      </c>
      <c r="AA371" s="39" t="str">
        <f t="shared" si="31"/>
        <v/>
      </c>
    </row>
    <row r="372" ht="15.75" customHeight="1">
      <c r="B372" s="1"/>
      <c r="C372" s="28"/>
      <c r="D372" s="79"/>
      <c r="E372" s="1"/>
      <c r="F372" s="76"/>
      <c r="G372" s="1"/>
      <c r="H372" s="1"/>
      <c r="J372" s="77"/>
      <c r="K372" s="80"/>
      <c r="L372" s="80"/>
      <c r="M372" s="80"/>
      <c r="N372" s="80"/>
      <c r="O372" s="80"/>
      <c r="P372" s="81"/>
      <c r="Q372" s="35" t="str">
        <f>IF(D372="","",VLOOKUP(MONTH(D372),Listas!$C$2:$D$14,2,0))</f>
        <v/>
      </c>
      <c r="R372" s="36" t="str">
        <f t="shared" si="22"/>
        <v/>
      </c>
      <c r="S372" s="37" t="str">
        <f t="shared" si="23"/>
        <v/>
      </c>
      <c r="T372" s="37" t="str">
        <f t="shared" si="24"/>
        <v/>
      </c>
      <c r="U372" s="37" t="str">
        <f t="shared" si="25"/>
        <v/>
      </c>
      <c r="V372" s="37" t="str">
        <f t="shared" si="26"/>
        <v/>
      </c>
      <c r="W372" s="37" t="str">
        <f t="shared" si="27"/>
        <v/>
      </c>
      <c r="X372" s="37" t="str">
        <f t="shared" si="28"/>
        <v/>
      </c>
      <c r="Y372" s="37" t="str">
        <f t="shared" si="29"/>
        <v/>
      </c>
      <c r="Z372" s="38" t="str">
        <f t="shared" si="30"/>
        <v/>
      </c>
      <c r="AA372" s="39" t="str">
        <f t="shared" si="31"/>
        <v/>
      </c>
    </row>
    <row r="373" ht="15.75" customHeight="1">
      <c r="B373" s="1"/>
      <c r="C373" s="28"/>
      <c r="D373" s="79"/>
      <c r="E373" s="1"/>
      <c r="F373" s="76"/>
      <c r="G373" s="1"/>
      <c r="H373" s="1"/>
      <c r="J373" s="77"/>
      <c r="K373" s="80"/>
      <c r="L373" s="80"/>
      <c r="M373" s="80"/>
      <c r="N373" s="80"/>
      <c r="O373" s="80"/>
      <c r="P373" s="81"/>
      <c r="Q373" s="35" t="str">
        <f>IF(D373="","",VLOOKUP(MONTH(D373),Listas!$C$2:$D$14,2,0))</f>
        <v/>
      </c>
      <c r="R373" s="36" t="str">
        <f t="shared" si="22"/>
        <v/>
      </c>
      <c r="S373" s="37" t="str">
        <f t="shared" si="23"/>
        <v/>
      </c>
      <c r="T373" s="37" t="str">
        <f t="shared" si="24"/>
        <v/>
      </c>
      <c r="U373" s="37" t="str">
        <f t="shared" si="25"/>
        <v/>
      </c>
      <c r="V373" s="37" t="str">
        <f t="shared" si="26"/>
        <v/>
      </c>
      <c r="W373" s="37" t="str">
        <f t="shared" si="27"/>
        <v/>
      </c>
      <c r="X373" s="37" t="str">
        <f t="shared" si="28"/>
        <v/>
      </c>
      <c r="Y373" s="37" t="str">
        <f t="shared" si="29"/>
        <v/>
      </c>
      <c r="Z373" s="38" t="str">
        <f t="shared" si="30"/>
        <v/>
      </c>
      <c r="AA373" s="39" t="str">
        <f t="shared" si="31"/>
        <v/>
      </c>
    </row>
    <row r="374" ht="15.75" customHeight="1">
      <c r="B374" s="1"/>
      <c r="C374" s="28"/>
      <c r="D374" s="79"/>
      <c r="E374" s="1"/>
      <c r="F374" s="76"/>
      <c r="G374" s="1"/>
      <c r="H374" s="1"/>
      <c r="J374" s="77"/>
      <c r="K374" s="80"/>
      <c r="L374" s="80"/>
      <c r="M374" s="80"/>
      <c r="N374" s="80"/>
      <c r="O374" s="80"/>
      <c r="P374" s="81"/>
      <c r="Q374" s="35" t="str">
        <f>IF(D374="","",VLOOKUP(MONTH(D374),Listas!$C$2:$D$14,2,0))</f>
        <v/>
      </c>
      <c r="R374" s="36" t="str">
        <f t="shared" si="22"/>
        <v/>
      </c>
      <c r="S374" s="37" t="str">
        <f t="shared" si="23"/>
        <v/>
      </c>
      <c r="T374" s="37" t="str">
        <f t="shared" si="24"/>
        <v/>
      </c>
      <c r="U374" s="37" t="str">
        <f t="shared" si="25"/>
        <v/>
      </c>
      <c r="V374" s="37" t="str">
        <f t="shared" si="26"/>
        <v/>
      </c>
      <c r="W374" s="37" t="str">
        <f t="shared" si="27"/>
        <v/>
      </c>
      <c r="X374" s="37" t="str">
        <f t="shared" si="28"/>
        <v/>
      </c>
      <c r="Y374" s="37" t="str">
        <f t="shared" si="29"/>
        <v/>
      </c>
      <c r="Z374" s="38" t="str">
        <f t="shared" si="30"/>
        <v/>
      </c>
      <c r="AA374" s="39" t="str">
        <f t="shared" si="31"/>
        <v/>
      </c>
    </row>
    <row r="375" ht="15.75" customHeight="1">
      <c r="B375" s="1"/>
      <c r="C375" s="28"/>
      <c r="D375" s="79"/>
      <c r="E375" s="1"/>
      <c r="F375" s="76"/>
      <c r="G375" s="1"/>
      <c r="H375" s="1"/>
      <c r="J375" s="77"/>
      <c r="K375" s="80"/>
      <c r="L375" s="80"/>
      <c r="M375" s="80"/>
      <c r="N375" s="80"/>
      <c r="O375" s="80"/>
      <c r="P375" s="81"/>
      <c r="Q375" s="35" t="str">
        <f>IF(D375="","",VLOOKUP(MONTH(D375),Listas!$C$2:$D$14,2,0))</f>
        <v/>
      </c>
      <c r="R375" s="36" t="str">
        <f t="shared" si="22"/>
        <v/>
      </c>
      <c r="S375" s="37" t="str">
        <f t="shared" si="23"/>
        <v/>
      </c>
      <c r="T375" s="37" t="str">
        <f t="shared" si="24"/>
        <v/>
      </c>
      <c r="U375" s="37" t="str">
        <f t="shared" si="25"/>
        <v/>
      </c>
      <c r="V375" s="37" t="str">
        <f t="shared" si="26"/>
        <v/>
      </c>
      <c r="W375" s="37" t="str">
        <f t="shared" si="27"/>
        <v/>
      </c>
      <c r="X375" s="37" t="str">
        <f t="shared" si="28"/>
        <v/>
      </c>
      <c r="Y375" s="37" t="str">
        <f t="shared" si="29"/>
        <v/>
      </c>
      <c r="Z375" s="38" t="str">
        <f t="shared" si="30"/>
        <v/>
      </c>
      <c r="AA375" s="39" t="str">
        <f t="shared" si="31"/>
        <v/>
      </c>
    </row>
    <row r="376" ht="15.75" customHeight="1">
      <c r="B376" s="1"/>
      <c r="C376" s="28"/>
      <c r="D376" s="79"/>
      <c r="E376" s="1"/>
      <c r="F376" s="76"/>
      <c r="G376" s="1"/>
      <c r="H376" s="1"/>
      <c r="J376" s="77"/>
      <c r="K376" s="80"/>
      <c r="L376" s="80"/>
      <c r="M376" s="80"/>
      <c r="N376" s="80"/>
      <c r="O376" s="80"/>
      <c r="P376" s="81"/>
      <c r="Q376" s="35" t="str">
        <f>IF(D376="","",VLOOKUP(MONTH(D376),Listas!$C$2:$D$14,2,0))</f>
        <v/>
      </c>
      <c r="R376" s="36" t="str">
        <f t="shared" si="22"/>
        <v/>
      </c>
      <c r="S376" s="37" t="str">
        <f t="shared" si="23"/>
        <v/>
      </c>
      <c r="T376" s="37" t="str">
        <f t="shared" si="24"/>
        <v/>
      </c>
      <c r="U376" s="37" t="str">
        <f t="shared" si="25"/>
        <v/>
      </c>
      <c r="V376" s="37" t="str">
        <f t="shared" si="26"/>
        <v/>
      </c>
      <c r="W376" s="37" t="str">
        <f t="shared" si="27"/>
        <v/>
      </c>
      <c r="X376" s="37" t="str">
        <f t="shared" si="28"/>
        <v/>
      </c>
      <c r="Y376" s="37" t="str">
        <f t="shared" si="29"/>
        <v/>
      </c>
      <c r="Z376" s="38" t="str">
        <f t="shared" si="30"/>
        <v/>
      </c>
      <c r="AA376" s="39" t="str">
        <f t="shared" si="31"/>
        <v/>
      </c>
    </row>
    <row r="377" ht="15.75" customHeight="1">
      <c r="B377" s="1"/>
      <c r="C377" s="28"/>
      <c r="D377" s="79"/>
      <c r="E377" s="1"/>
      <c r="F377" s="76"/>
      <c r="G377" s="1"/>
      <c r="H377" s="1"/>
      <c r="J377" s="77"/>
      <c r="K377" s="80"/>
      <c r="L377" s="80"/>
      <c r="M377" s="80"/>
      <c r="N377" s="80"/>
      <c r="O377" s="80"/>
      <c r="P377" s="81"/>
      <c r="Q377" s="35" t="str">
        <f>IF(D377="","",VLOOKUP(MONTH(D377),Listas!$C$2:$D$14,2,0))</f>
        <v/>
      </c>
      <c r="R377" s="36" t="str">
        <f t="shared" si="22"/>
        <v/>
      </c>
      <c r="S377" s="37" t="str">
        <f t="shared" si="23"/>
        <v/>
      </c>
      <c r="T377" s="37" t="str">
        <f t="shared" si="24"/>
        <v/>
      </c>
      <c r="U377" s="37" t="str">
        <f t="shared" si="25"/>
        <v/>
      </c>
      <c r="V377" s="37" t="str">
        <f t="shared" si="26"/>
        <v/>
      </c>
      <c r="W377" s="37" t="str">
        <f t="shared" si="27"/>
        <v/>
      </c>
      <c r="X377" s="37" t="str">
        <f t="shared" si="28"/>
        <v/>
      </c>
      <c r="Y377" s="37" t="str">
        <f t="shared" si="29"/>
        <v/>
      </c>
      <c r="Z377" s="38" t="str">
        <f t="shared" si="30"/>
        <v/>
      </c>
      <c r="AA377" s="39" t="str">
        <f t="shared" si="31"/>
        <v/>
      </c>
    </row>
    <row r="378" ht="15.75" customHeight="1">
      <c r="B378" s="1"/>
      <c r="C378" s="28"/>
      <c r="D378" s="79"/>
      <c r="E378" s="1"/>
      <c r="F378" s="76"/>
      <c r="G378" s="1"/>
      <c r="H378" s="1"/>
      <c r="J378" s="77"/>
      <c r="K378" s="80"/>
      <c r="L378" s="80"/>
      <c r="M378" s="80"/>
      <c r="N378" s="80"/>
      <c r="O378" s="80"/>
      <c r="P378" s="81"/>
      <c r="Q378" s="35" t="str">
        <f>IF(D378="","",VLOOKUP(MONTH(D378),Listas!$C$2:$D$14,2,0))</f>
        <v/>
      </c>
      <c r="R378" s="36" t="str">
        <f t="shared" si="22"/>
        <v/>
      </c>
      <c r="S378" s="37" t="str">
        <f t="shared" si="23"/>
        <v/>
      </c>
      <c r="T378" s="37" t="str">
        <f t="shared" si="24"/>
        <v/>
      </c>
      <c r="U378" s="37" t="str">
        <f t="shared" si="25"/>
        <v/>
      </c>
      <c r="V378" s="37" t="str">
        <f t="shared" si="26"/>
        <v/>
      </c>
      <c r="W378" s="37" t="str">
        <f t="shared" si="27"/>
        <v/>
      </c>
      <c r="X378" s="37" t="str">
        <f t="shared" si="28"/>
        <v/>
      </c>
      <c r="Y378" s="37" t="str">
        <f t="shared" si="29"/>
        <v/>
      </c>
      <c r="Z378" s="38" t="str">
        <f t="shared" si="30"/>
        <v/>
      </c>
      <c r="AA378" s="39" t="str">
        <f t="shared" si="31"/>
        <v/>
      </c>
    </row>
    <row r="379" ht="15.75" customHeight="1">
      <c r="B379" s="1"/>
      <c r="C379" s="28"/>
      <c r="D379" s="79"/>
      <c r="E379" s="1"/>
      <c r="F379" s="76"/>
      <c r="G379" s="1"/>
      <c r="H379" s="1"/>
      <c r="J379" s="77"/>
      <c r="K379" s="80"/>
      <c r="L379" s="80"/>
      <c r="M379" s="80"/>
      <c r="N379" s="80"/>
      <c r="O379" s="80"/>
      <c r="P379" s="81"/>
      <c r="Q379" s="35" t="str">
        <f>IF(D379="","",VLOOKUP(MONTH(D379),Listas!$C$2:$D$14,2,0))</f>
        <v/>
      </c>
      <c r="R379" s="36" t="str">
        <f t="shared" si="22"/>
        <v/>
      </c>
      <c r="S379" s="37" t="str">
        <f t="shared" si="23"/>
        <v/>
      </c>
      <c r="T379" s="37" t="str">
        <f t="shared" si="24"/>
        <v/>
      </c>
      <c r="U379" s="37" t="str">
        <f t="shared" si="25"/>
        <v/>
      </c>
      <c r="V379" s="37" t="str">
        <f t="shared" si="26"/>
        <v/>
      </c>
      <c r="W379" s="37" t="str">
        <f t="shared" si="27"/>
        <v/>
      </c>
      <c r="X379" s="37" t="str">
        <f t="shared" si="28"/>
        <v/>
      </c>
      <c r="Y379" s="37" t="str">
        <f t="shared" si="29"/>
        <v/>
      </c>
      <c r="Z379" s="38" t="str">
        <f t="shared" si="30"/>
        <v/>
      </c>
      <c r="AA379" s="39" t="str">
        <f t="shared" si="31"/>
        <v/>
      </c>
    </row>
    <row r="380" ht="15.75" customHeight="1">
      <c r="B380" s="1"/>
      <c r="C380" s="28"/>
      <c r="D380" s="79"/>
      <c r="E380" s="1"/>
      <c r="F380" s="76"/>
      <c r="G380" s="1"/>
      <c r="H380" s="1"/>
      <c r="J380" s="77"/>
      <c r="K380" s="80"/>
      <c r="L380" s="80"/>
      <c r="M380" s="80"/>
      <c r="N380" s="80"/>
      <c r="O380" s="80"/>
      <c r="P380" s="81"/>
      <c r="Q380" s="35" t="str">
        <f>IF(D380="","",VLOOKUP(MONTH(D380),Listas!$C$2:$D$14,2,0))</f>
        <v/>
      </c>
      <c r="R380" s="36" t="str">
        <f t="shared" si="22"/>
        <v/>
      </c>
      <c r="S380" s="37" t="str">
        <f t="shared" si="23"/>
        <v/>
      </c>
      <c r="T380" s="37" t="str">
        <f t="shared" si="24"/>
        <v/>
      </c>
      <c r="U380" s="37" t="str">
        <f t="shared" si="25"/>
        <v/>
      </c>
      <c r="V380" s="37" t="str">
        <f t="shared" si="26"/>
        <v/>
      </c>
      <c r="W380" s="37" t="str">
        <f t="shared" si="27"/>
        <v/>
      </c>
      <c r="X380" s="37" t="str">
        <f t="shared" si="28"/>
        <v/>
      </c>
      <c r="Y380" s="37" t="str">
        <f t="shared" si="29"/>
        <v/>
      </c>
      <c r="Z380" s="38" t="str">
        <f t="shared" si="30"/>
        <v/>
      </c>
      <c r="AA380" s="39" t="str">
        <f t="shared" si="31"/>
        <v/>
      </c>
    </row>
    <row r="381" ht="15.75" customHeight="1">
      <c r="B381" s="1"/>
      <c r="C381" s="28"/>
      <c r="D381" s="79"/>
      <c r="E381" s="1"/>
      <c r="F381" s="76"/>
      <c r="G381" s="1"/>
      <c r="H381" s="1"/>
      <c r="J381" s="77"/>
      <c r="K381" s="80"/>
      <c r="L381" s="80"/>
      <c r="M381" s="80"/>
      <c r="N381" s="80"/>
      <c r="O381" s="80"/>
      <c r="P381" s="81"/>
      <c r="Q381" s="35" t="str">
        <f>IF(D381="","",VLOOKUP(MONTH(D381),Listas!$C$2:$D$14,2,0))</f>
        <v/>
      </c>
      <c r="R381" s="36" t="str">
        <f t="shared" si="22"/>
        <v/>
      </c>
      <c r="S381" s="37" t="str">
        <f t="shared" si="23"/>
        <v/>
      </c>
      <c r="T381" s="37" t="str">
        <f t="shared" si="24"/>
        <v/>
      </c>
      <c r="U381" s="37" t="str">
        <f t="shared" si="25"/>
        <v/>
      </c>
      <c r="V381" s="37" t="str">
        <f t="shared" si="26"/>
        <v/>
      </c>
      <c r="W381" s="37" t="str">
        <f t="shared" si="27"/>
        <v/>
      </c>
      <c r="X381" s="37" t="str">
        <f t="shared" si="28"/>
        <v/>
      </c>
      <c r="Y381" s="37" t="str">
        <f t="shared" si="29"/>
        <v/>
      </c>
      <c r="Z381" s="38" t="str">
        <f t="shared" si="30"/>
        <v/>
      </c>
      <c r="AA381" s="39" t="str">
        <f t="shared" si="31"/>
        <v/>
      </c>
    </row>
    <row r="382" ht="15.75" customHeight="1">
      <c r="B382" s="1"/>
      <c r="C382" s="28"/>
      <c r="D382" s="79"/>
      <c r="E382" s="1"/>
      <c r="F382" s="76"/>
      <c r="G382" s="1"/>
      <c r="H382" s="1"/>
      <c r="J382" s="77"/>
      <c r="K382" s="80"/>
      <c r="L382" s="80"/>
      <c r="M382" s="80"/>
      <c r="N382" s="80"/>
      <c r="O382" s="80"/>
      <c r="P382" s="81"/>
      <c r="Q382" s="35" t="str">
        <f>IF(D382="","",VLOOKUP(MONTH(D382),Listas!$C$2:$D$14,2,0))</f>
        <v/>
      </c>
      <c r="R382" s="36" t="str">
        <f t="shared" si="22"/>
        <v/>
      </c>
      <c r="S382" s="37" t="str">
        <f t="shared" si="23"/>
        <v/>
      </c>
      <c r="T382" s="37" t="str">
        <f t="shared" si="24"/>
        <v/>
      </c>
      <c r="U382" s="37" t="str">
        <f t="shared" si="25"/>
        <v/>
      </c>
      <c r="V382" s="37" t="str">
        <f t="shared" si="26"/>
        <v/>
      </c>
      <c r="W382" s="37" t="str">
        <f t="shared" si="27"/>
        <v/>
      </c>
      <c r="X382" s="37" t="str">
        <f t="shared" si="28"/>
        <v/>
      </c>
      <c r="Y382" s="37" t="str">
        <f t="shared" si="29"/>
        <v/>
      </c>
      <c r="Z382" s="38" t="str">
        <f t="shared" si="30"/>
        <v/>
      </c>
      <c r="AA382" s="39" t="str">
        <f t="shared" si="31"/>
        <v/>
      </c>
    </row>
    <row r="383" ht="15.75" customHeight="1">
      <c r="B383" s="1"/>
      <c r="C383" s="28"/>
      <c r="D383" s="79"/>
      <c r="E383" s="1"/>
      <c r="F383" s="76"/>
      <c r="G383" s="1"/>
      <c r="H383" s="1"/>
      <c r="J383" s="77"/>
      <c r="K383" s="80"/>
      <c r="L383" s="80"/>
      <c r="M383" s="80"/>
      <c r="N383" s="80"/>
      <c r="O383" s="80"/>
      <c r="P383" s="81"/>
      <c r="Q383" s="35" t="str">
        <f>IF(D383="","",VLOOKUP(MONTH(D383),Listas!$C$2:$D$14,2,0))</f>
        <v/>
      </c>
      <c r="R383" s="36" t="str">
        <f t="shared" si="22"/>
        <v/>
      </c>
      <c r="S383" s="37" t="str">
        <f t="shared" si="23"/>
        <v/>
      </c>
      <c r="T383" s="37" t="str">
        <f t="shared" si="24"/>
        <v/>
      </c>
      <c r="U383" s="37" t="str">
        <f t="shared" si="25"/>
        <v/>
      </c>
      <c r="V383" s="37" t="str">
        <f t="shared" si="26"/>
        <v/>
      </c>
      <c r="W383" s="37" t="str">
        <f t="shared" si="27"/>
        <v/>
      </c>
      <c r="X383" s="37" t="str">
        <f t="shared" si="28"/>
        <v/>
      </c>
      <c r="Y383" s="37" t="str">
        <f t="shared" si="29"/>
        <v/>
      </c>
      <c r="Z383" s="38" t="str">
        <f t="shared" si="30"/>
        <v/>
      </c>
      <c r="AA383" s="39" t="str">
        <f t="shared" si="31"/>
        <v/>
      </c>
    </row>
    <row r="384" ht="15.75" customHeight="1">
      <c r="B384" s="1"/>
      <c r="C384" s="28"/>
      <c r="D384" s="79"/>
      <c r="E384" s="1"/>
      <c r="F384" s="76"/>
      <c r="G384" s="1"/>
      <c r="H384" s="1"/>
      <c r="J384" s="77"/>
      <c r="K384" s="80"/>
      <c r="L384" s="80"/>
      <c r="M384" s="80"/>
      <c r="N384" s="80"/>
      <c r="O384" s="80"/>
      <c r="P384" s="81"/>
      <c r="Q384" s="35" t="str">
        <f>IF(D384="","",VLOOKUP(MONTH(D384),Listas!$C$2:$D$14,2,0))</f>
        <v/>
      </c>
      <c r="R384" s="36" t="str">
        <f t="shared" si="22"/>
        <v/>
      </c>
      <c r="S384" s="37" t="str">
        <f t="shared" si="23"/>
        <v/>
      </c>
      <c r="T384" s="37" t="str">
        <f t="shared" si="24"/>
        <v/>
      </c>
      <c r="U384" s="37" t="str">
        <f t="shared" si="25"/>
        <v/>
      </c>
      <c r="V384" s="37" t="str">
        <f t="shared" si="26"/>
        <v/>
      </c>
      <c r="W384" s="37" t="str">
        <f t="shared" si="27"/>
        <v/>
      </c>
      <c r="X384" s="37" t="str">
        <f t="shared" si="28"/>
        <v/>
      </c>
      <c r="Y384" s="37" t="str">
        <f t="shared" si="29"/>
        <v/>
      </c>
      <c r="Z384" s="38" t="str">
        <f t="shared" si="30"/>
        <v/>
      </c>
      <c r="AA384" s="39" t="str">
        <f t="shared" si="31"/>
        <v/>
      </c>
    </row>
    <row r="385" ht="15.75" customHeight="1">
      <c r="B385" s="1"/>
      <c r="C385" s="28"/>
      <c r="D385" s="79"/>
      <c r="E385" s="1"/>
      <c r="F385" s="76"/>
      <c r="G385" s="1"/>
      <c r="H385" s="1"/>
      <c r="J385" s="77"/>
      <c r="K385" s="80"/>
      <c r="L385" s="80"/>
      <c r="M385" s="80"/>
      <c r="N385" s="80"/>
      <c r="O385" s="80"/>
      <c r="P385" s="81"/>
      <c r="Q385" s="35" t="str">
        <f>IF(D385="","",VLOOKUP(MONTH(D385),Listas!$C$2:$D$14,2,0))</f>
        <v/>
      </c>
      <c r="R385" s="36" t="str">
        <f t="shared" si="22"/>
        <v/>
      </c>
      <c r="S385" s="37" t="str">
        <f t="shared" si="23"/>
        <v/>
      </c>
      <c r="T385" s="37" t="str">
        <f t="shared" si="24"/>
        <v/>
      </c>
      <c r="U385" s="37" t="str">
        <f t="shared" si="25"/>
        <v/>
      </c>
      <c r="V385" s="37" t="str">
        <f t="shared" si="26"/>
        <v/>
      </c>
      <c r="W385" s="37" t="str">
        <f t="shared" si="27"/>
        <v/>
      </c>
      <c r="X385" s="37" t="str">
        <f t="shared" si="28"/>
        <v/>
      </c>
      <c r="Y385" s="37" t="str">
        <f t="shared" si="29"/>
        <v/>
      </c>
      <c r="Z385" s="38" t="str">
        <f t="shared" si="30"/>
        <v/>
      </c>
      <c r="AA385" s="39" t="str">
        <f t="shared" si="31"/>
        <v/>
      </c>
    </row>
    <row r="386" ht="15.75" customHeight="1">
      <c r="B386" s="1"/>
      <c r="C386" s="28"/>
      <c r="D386" s="79"/>
      <c r="E386" s="1"/>
      <c r="F386" s="76"/>
      <c r="G386" s="1"/>
      <c r="H386" s="1"/>
      <c r="J386" s="77"/>
      <c r="K386" s="80"/>
      <c r="L386" s="80"/>
      <c r="M386" s="80"/>
      <c r="N386" s="80"/>
      <c r="O386" s="80"/>
      <c r="P386" s="81"/>
      <c r="Q386" s="35" t="str">
        <f>IF(D386="","",VLOOKUP(MONTH(D386),Listas!$C$2:$D$14,2,0))</f>
        <v/>
      </c>
      <c r="R386" s="36" t="str">
        <f t="shared" si="22"/>
        <v/>
      </c>
      <c r="S386" s="37" t="str">
        <f t="shared" si="23"/>
        <v/>
      </c>
      <c r="T386" s="37" t="str">
        <f t="shared" si="24"/>
        <v/>
      </c>
      <c r="U386" s="37" t="str">
        <f t="shared" si="25"/>
        <v/>
      </c>
      <c r="V386" s="37" t="str">
        <f t="shared" si="26"/>
        <v/>
      </c>
      <c r="W386" s="37" t="str">
        <f t="shared" si="27"/>
        <v/>
      </c>
      <c r="X386" s="37" t="str">
        <f t="shared" si="28"/>
        <v/>
      </c>
      <c r="Y386" s="37" t="str">
        <f t="shared" si="29"/>
        <v/>
      </c>
      <c r="Z386" s="38" t="str">
        <f t="shared" si="30"/>
        <v/>
      </c>
      <c r="AA386" s="39" t="str">
        <f t="shared" si="31"/>
        <v/>
      </c>
    </row>
    <row r="387" ht="15.75" customHeight="1">
      <c r="B387" s="1"/>
      <c r="C387" s="28"/>
      <c r="D387" s="79"/>
      <c r="E387" s="1"/>
      <c r="F387" s="76"/>
      <c r="G387" s="1"/>
      <c r="H387" s="1"/>
      <c r="J387" s="77"/>
      <c r="K387" s="80"/>
      <c r="L387" s="80"/>
      <c r="M387" s="80"/>
      <c r="N387" s="80"/>
      <c r="O387" s="80"/>
      <c r="P387" s="81"/>
      <c r="Q387" s="35" t="str">
        <f>IF(D387="","",VLOOKUP(MONTH(D387),Listas!$C$2:$D$14,2,0))</f>
        <v/>
      </c>
      <c r="R387" s="36" t="str">
        <f t="shared" si="22"/>
        <v/>
      </c>
      <c r="S387" s="37" t="str">
        <f t="shared" si="23"/>
        <v/>
      </c>
      <c r="T387" s="37" t="str">
        <f t="shared" si="24"/>
        <v/>
      </c>
      <c r="U387" s="37" t="str">
        <f t="shared" si="25"/>
        <v/>
      </c>
      <c r="V387" s="37" t="str">
        <f t="shared" si="26"/>
        <v/>
      </c>
      <c r="W387" s="37" t="str">
        <f t="shared" si="27"/>
        <v/>
      </c>
      <c r="X387" s="37" t="str">
        <f t="shared" si="28"/>
        <v/>
      </c>
      <c r="Y387" s="37" t="str">
        <f t="shared" si="29"/>
        <v/>
      </c>
      <c r="Z387" s="38" t="str">
        <f t="shared" si="30"/>
        <v/>
      </c>
      <c r="AA387" s="39" t="str">
        <f t="shared" si="31"/>
        <v/>
      </c>
    </row>
    <row r="388" ht="15.75" customHeight="1">
      <c r="B388" s="1"/>
      <c r="C388" s="28"/>
      <c r="D388" s="79"/>
      <c r="E388" s="1"/>
      <c r="F388" s="76"/>
      <c r="G388" s="1"/>
      <c r="H388" s="1"/>
      <c r="J388" s="77"/>
      <c r="K388" s="80"/>
      <c r="L388" s="80"/>
      <c r="M388" s="80"/>
      <c r="N388" s="80"/>
      <c r="O388" s="80"/>
      <c r="P388" s="81"/>
      <c r="Q388" s="35" t="str">
        <f>IF(D388="","",VLOOKUP(MONTH(D388),Listas!$C$2:$D$14,2,0))</f>
        <v/>
      </c>
      <c r="R388" s="36" t="str">
        <f t="shared" si="22"/>
        <v/>
      </c>
      <c r="S388" s="37" t="str">
        <f t="shared" si="23"/>
        <v/>
      </c>
      <c r="T388" s="37" t="str">
        <f t="shared" si="24"/>
        <v/>
      </c>
      <c r="U388" s="37" t="str">
        <f t="shared" si="25"/>
        <v/>
      </c>
      <c r="V388" s="37" t="str">
        <f t="shared" si="26"/>
        <v/>
      </c>
      <c r="W388" s="37" t="str">
        <f t="shared" si="27"/>
        <v/>
      </c>
      <c r="X388" s="37" t="str">
        <f t="shared" si="28"/>
        <v/>
      </c>
      <c r="Y388" s="37" t="str">
        <f t="shared" si="29"/>
        <v/>
      </c>
      <c r="Z388" s="38" t="str">
        <f t="shared" si="30"/>
        <v/>
      </c>
      <c r="AA388" s="39" t="str">
        <f t="shared" si="31"/>
        <v/>
      </c>
    </row>
    <row r="389" ht="15.75" customHeight="1">
      <c r="B389" s="1"/>
      <c r="C389" s="28"/>
      <c r="D389" s="79"/>
      <c r="E389" s="1"/>
      <c r="F389" s="76"/>
      <c r="G389" s="1"/>
      <c r="H389" s="1"/>
      <c r="J389" s="77"/>
      <c r="K389" s="80"/>
      <c r="L389" s="80"/>
      <c r="M389" s="80"/>
      <c r="N389" s="80"/>
      <c r="O389" s="80"/>
      <c r="P389" s="81"/>
      <c r="Q389" s="35" t="str">
        <f>IF(D389="","",VLOOKUP(MONTH(D389),Listas!$C$2:$D$14,2,0))</f>
        <v/>
      </c>
      <c r="R389" s="36" t="str">
        <f t="shared" si="22"/>
        <v/>
      </c>
      <c r="S389" s="37" t="str">
        <f t="shared" si="23"/>
        <v/>
      </c>
      <c r="T389" s="37" t="str">
        <f t="shared" si="24"/>
        <v/>
      </c>
      <c r="U389" s="37" t="str">
        <f t="shared" si="25"/>
        <v/>
      </c>
      <c r="V389" s="37" t="str">
        <f t="shared" si="26"/>
        <v/>
      </c>
      <c r="W389" s="37" t="str">
        <f t="shared" si="27"/>
        <v/>
      </c>
      <c r="X389" s="37" t="str">
        <f t="shared" si="28"/>
        <v/>
      </c>
      <c r="Y389" s="37" t="str">
        <f t="shared" si="29"/>
        <v/>
      </c>
      <c r="Z389" s="38" t="str">
        <f t="shared" si="30"/>
        <v/>
      </c>
      <c r="AA389" s="39" t="str">
        <f t="shared" si="31"/>
        <v/>
      </c>
    </row>
    <row r="390" ht="15.75" customHeight="1">
      <c r="B390" s="1"/>
      <c r="C390" s="28"/>
      <c r="D390" s="79"/>
      <c r="E390" s="1"/>
      <c r="F390" s="76"/>
      <c r="G390" s="1"/>
      <c r="H390" s="1"/>
      <c r="J390" s="77"/>
      <c r="K390" s="80"/>
      <c r="L390" s="80"/>
      <c r="M390" s="80"/>
      <c r="N390" s="80"/>
      <c r="O390" s="80"/>
      <c r="P390" s="81"/>
      <c r="Q390" s="35" t="str">
        <f>IF(D390="","",VLOOKUP(MONTH(D390),Listas!$C$2:$D$14,2,0))</f>
        <v/>
      </c>
      <c r="R390" s="36" t="str">
        <f t="shared" si="22"/>
        <v/>
      </c>
      <c r="S390" s="37" t="str">
        <f t="shared" si="23"/>
        <v/>
      </c>
      <c r="T390" s="37" t="str">
        <f t="shared" si="24"/>
        <v/>
      </c>
      <c r="U390" s="37" t="str">
        <f t="shared" si="25"/>
        <v/>
      </c>
      <c r="V390" s="37" t="str">
        <f t="shared" si="26"/>
        <v/>
      </c>
      <c r="W390" s="37" t="str">
        <f t="shared" si="27"/>
        <v/>
      </c>
      <c r="X390" s="37" t="str">
        <f t="shared" si="28"/>
        <v/>
      </c>
      <c r="Y390" s="37" t="str">
        <f t="shared" si="29"/>
        <v/>
      </c>
      <c r="Z390" s="38" t="str">
        <f t="shared" si="30"/>
        <v/>
      </c>
      <c r="AA390" s="39" t="str">
        <f t="shared" si="31"/>
        <v/>
      </c>
    </row>
    <row r="391" ht="15.75" customHeight="1">
      <c r="B391" s="1"/>
      <c r="C391" s="28"/>
      <c r="D391" s="79"/>
      <c r="E391" s="1"/>
      <c r="F391" s="76"/>
      <c r="G391" s="1"/>
      <c r="H391" s="1"/>
      <c r="J391" s="77"/>
      <c r="K391" s="80"/>
      <c r="L391" s="80"/>
      <c r="M391" s="80"/>
      <c r="N391" s="80"/>
      <c r="O391" s="80"/>
      <c r="P391" s="81"/>
      <c r="Q391" s="35" t="str">
        <f>IF(D391="","",VLOOKUP(MONTH(D391),Listas!$C$2:$D$14,2,0))</f>
        <v/>
      </c>
      <c r="R391" s="36" t="str">
        <f t="shared" si="22"/>
        <v/>
      </c>
      <c r="S391" s="37" t="str">
        <f t="shared" si="23"/>
        <v/>
      </c>
      <c r="T391" s="37" t="str">
        <f t="shared" si="24"/>
        <v/>
      </c>
      <c r="U391" s="37" t="str">
        <f t="shared" si="25"/>
        <v/>
      </c>
      <c r="V391" s="37" t="str">
        <f t="shared" si="26"/>
        <v/>
      </c>
      <c r="W391" s="37" t="str">
        <f t="shared" si="27"/>
        <v/>
      </c>
      <c r="X391" s="37" t="str">
        <f t="shared" si="28"/>
        <v/>
      </c>
      <c r="Y391" s="37" t="str">
        <f t="shared" si="29"/>
        <v/>
      </c>
      <c r="Z391" s="38" t="str">
        <f t="shared" si="30"/>
        <v/>
      </c>
      <c r="AA391" s="39" t="str">
        <f t="shared" si="31"/>
        <v/>
      </c>
    </row>
    <row r="392" ht="15.75" customHeight="1">
      <c r="B392" s="1"/>
      <c r="C392" s="28"/>
      <c r="D392" s="79"/>
      <c r="E392" s="1"/>
      <c r="F392" s="76"/>
      <c r="G392" s="1"/>
      <c r="H392" s="1"/>
      <c r="J392" s="77"/>
      <c r="K392" s="80"/>
      <c r="L392" s="80"/>
      <c r="M392" s="80"/>
      <c r="N392" s="80"/>
      <c r="O392" s="80"/>
      <c r="P392" s="81"/>
      <c r="Q392" s="35" t="str">
        <f>IF(D392="","",VLOOKUP(MONTH(D392),Listas!$C$2:$D$14,2,0))</f>
        <v/>
      </c>
      <c r="R392" s="36" t="str">
        <f t="shared" si="22"/>
        <v/>
      </c>
      <c r="S392" s="37" t="str">
        <f t="shared" si="23"/>
        <v/>
      </c>
      <c r="T392" s="37" t="str">
        <f t="shared" si="24"/>
        <v/>
      </c>
      <c r="U392" s="37" t="str">
        <f t="shared" si="25"/>
        <v/>
      </c>
      <c r="V392" s="37" t="str">
        <f t="shared" si="26"/>
        <v/>
      </c>
      <c r="W392" s="37" t="str">
        <f t="shared" si="27"/>
        <v/>
      </c>
      <c r="X392" s="37" t="str">
        <f t="shared" si="28"/>
        <v/>
      </c>
      <c r="Y392" s="37" t="str">
        <f t="shared" si="29"/>
        <v/>
      </c>
      <c r="Z392" s="38" t="str">
        <f t="shared" si="30"/>
        <v/>
      </c>
      <c r="AA392" s="39" t="str">
        <f t="shared" si="31"/>
        <v/>
      </c>
    </row>
    <row r="393" ht="15.75" customHeight="1">
      <c r="B393" s="1"/>
      <c r="C393" s="28"/>
      <c r="D393" s="79"/>
      <c r="E393" s="1"/>
      <c r="F393" s="76"/>
      <c r="G393" s="1"/>
      <c r="H393" s="1"/>
      <c r="J393" s="77"/>
      <c r="K393" s="80"/>
      <c r="L393" s="80"/>
      <c r="M393" s="80"/>
      <c r="N393" s="80"/>
      <c r="O393" s="80"/>
      <c r="P393" s="81"/>
      <c r="Q393" s="35" t="str">
        <f>IF(D393="","",VLOOKUP(MONTH(D393),Listas!$C$2:$D$14,2,0))</f>
        <v/>
      </c>
      <c r="R393" s="36" t="str">
        <f t="shared" si="22"/>
        <v/>
      </c>
      <c r="S393" s="37" t="str">
        <f t="shared" si="23"/>
        <v/>
      </c>
      <c r="T393" s="37" t="str">
        <f t="shared" si="24"/>
        <v/>
      </c>
      <c r="U393" s="37" t="str">
        <f t="shared" si="25"/>
        <v/>
      </c>
      <c r="V393" s="37" t="str">
        <f t="shared" si="26"/>
        <v/>
      </c>
      <c r="W393" s="37" t="str">
        <f t="shared" si="27"/>
        <v/>
      </c>
      <c r="X393" s="37" t="str">
        <f t="shared" si="28"/>
        <v/>
      </c>
      <c r="Y393" s="37" t="str">
        <f t="shared" si="29"/>
        <v/>
      </c>
      <c r="Z393" s="38" t="str">
        <f t="shared" si="30"/>
        <v/>
      </c>
      <c r="AA393" s="39" t="str">
        <f t="shared" si="31"/>
        <v/>
      </c>
    </row>
    <row r="394" ht="15.75" customHeight="1">
      <c r="B394" s="1"/>
      <c r="C394" s="28"/>
      <c r="D394" s="79"/>
      <c r="E394" s="1"/>
      <c r="F394" s="76"/>
      <c r="G394" s="1"/>
      <c r="H394" s="1"/>
      <c r="J394" s="77"/>
      <c r="K394" s="80"/>
      <c r="L394" s="80"/>
      <c r="M394" s="80"/>
      <c r="N394" s="80"/>
      <c r="O394" s="80"/>
      <c r="P394" s="81"/>
      <c r="Q394" s="35" t="str">
        <f>IF(D394="","",VLOOKUP(MONTH(D394),Listas!$C$2:$D$14,2,0))</f>
        <v/>
      </c>
      <c r="R394" s="36" t="str">
        <f t="shared" si="22"/>
        <v/>
      </c>
      <c r="S394" s="37" t="str">
        <f t="shared" si="23"/>
        <v/>
      </c>
      <c r="T394" s="37" t="str">
        <f t="shared" si="24"/>
        <v/>
      </c>
      <c r="U394" s="37" t="str">
        <f t="shared" si="25"/>
        <v/>
      </c>
      <c r="V394" s="37" t="str">
        <f t="shared" si="26"/>
        <v/>
      </c>
      <c r="W394" s="37" t="str">
        <f t="shared" si="27"/>
        <v/>
      </c>
      <c r="X394" s="37" t="str">
        <f t="shared" si="28"/>
        <v/>
      </c>
      <c r="Y394" s="37" t="str">
        <f t="shared" si="29"/>
        <v/>
      </c>
      <c r="Z394" s="38" t="str">
        <f t="shared" si="30"/>
        <v/>
      </c>
      <c r="AA394" s="39" t="str">
        <f t="shared" si="31"/>
        <v/>
      </c>
    </row>
    <row r="395" ht="15.75" customHeight="1">
      <c r="B395" s="1"/>
      <c r="C395" s="28"/>
      <c r="D395" s="79"/>
      <c r="E395" s="1"/>
      <c r="F395" s="76"/>
      <c r="G395" s="1"/>
      <c r="H395" s="1"/>
      <c r="J395" s="77"/>
      <c r="K395" s="80"/>
      <c r="L395" s="80"/>
      <c r="M395" s="80"/>
      <c r="N395" s="80"/>
      <c r="O395" s="80"/>
      <c r="P395" s="81"/>
      <c r="Q395" s="35" t="str">
        <f>IF(D395="","",VLOOKUP(MONTH(D395),Listas!$C$2:$D$14,2,0))</f>
        <v/>
      </c>
      <c r="R395" s="36" t="str">
        <f t="shared" si="22"/>
        <v/>
      </c>
      <c r="S395" s="37" t="str">
        <f t="shared" si="23"/>
        <v/>
      </c>
      <c r="T395" s="37" t="str">
        <f t="shared" si="24"/>
        <v/>
      </c>
      <c r="U395" s="37" t="str">
        <f t="shared" si="25"/>
        <v/>
      </c>
      <c r="V395" s="37" t="str">
        <f t="shared" si="26"/>
        <v/>
      </c>
      <c r="W395" s="37" t="str">
        <f t="shared" si="27"/>
        <v/>
      </c>
      <c r="X395" s="37" t="str">
        <f t="shared" si="28"/>
        <v/>
      </c>
      <c r="Y395" s="37" t="str">
        <f t="shared" si="29"/>
        <v/>
      </c>
      <c r="Z395" s="38" t="str">
        <f t="shared" si="30"/>
        <v/>
      </c>
      <c r="AA395" s="39" t="str">
        <f t="shared" si="31"/>
        <v/>
      </c>
    </row>
    <row r="396" ht="15.75" customHeight="1">
      <c r="B396" s="1"/>
      <c r="C396" s="28"/>
      <c r="D396" s="79"/>
      <c r="E396" s="1"/>
      <c r="F396" s="76"/>
      <c r="G396" s="1"/>
      <c r="H396" s="1"/>
      <c r="J396" s="77"/>
      <c r="K396" s="80"/>
      <c r="L396" s="80"/>
      <c r="M396" s="80"/>
      <c r="N396" s="80"/>
      <c r="O396" s="80"/>
      <c r="P396" s="81"/>
      <c r="Q396" s="35" t="str">
        <f>IF(D396="","",VLOOKUP(MONTH(D396),Listas!$C$2:$D$14,2,0))</f>
        <v/>
      </c>
      <c r="R396" s="36" t="str">
        <f t="shared" si="22"/>
        <v/>
      </c>
      <c r="S396" s="37" t="str">
        <f t="shared" si="23"/>
        <v/>
      </c>
      <c r="T396" s="37" t="str">
        <f t="shared" si="24"/>
        <v/>
      </c>
      <c r="U396" s="37" t="str">
        <f t="shared" si="25"/>
        <v/>
      </c>
      <c r="V396" s="37" t="str">
        <f t="shared" si="26"/>
        <v/>
      </c>
      <c r="W396" s="37" t="str">
        <f t="shared" si="27"/>
        <v/>
      </c>
      <c r="X396" s="37" t="str">
        <f t="shared" si="28"/>
        <v/>
      </c>
      <c r="Y396" s="37" t="str">
        <f t="shared" si="29"/>
        <v/>
      </c>
      <c r="Z396" s="38" t="str">
        <f t="shared" si="30"/>
        <v/>
      </c>
      <c r="AA396" s="39" t="str">
        <f t="shared" si="31"/>
        <v/>
      </c>
    </row>
    <row r="397" ht="15.75" customHeight="1">
      <c r="B397" s="1"/>
      <c r="C397" s="28"/>
      <c r="D397" s="79"/>
      <c r="E397" s="1"/>
      <c r="F397" s="76"/>
      <c r="G397" s="1"/>
      <c r="H397" s="1"/>
      <c r="J397" s="77"/>
      <c r="K397" s="80"/>
      <c r="L397" s="80"/>
      <c r="M397" s="80"/>
      <c r="N397" s="80"/>
      <c r="O397" s="80"/>
      <c r="P397" s="81"/>
      <c r="Q397" s="35" t="str">
        <f>IF(D397="","",VLOOKUP(MONTH(D397),Listas!$C$2:$D$14,2,0))</f>
        <v/>
      </c>
      <c r="R397" s="36" t="str">
        <f t="shared" si="22"/>
        <v/>
      </c>
      <c r="S397" s="37" t="str">
        <f t="shared" si="23"/>
        <v/>
      </c>
      <c r="T397" s="37" t="str">
        <f t="shared" si="24"/>
        <v/>
      </c>
      <c r="U397" s="37" t="str">
        <f t="shared" si="25"/>
        <v/>
      </c>
      <c r="V397" s="37" t="str">
        <f t="shared" si="26"/>
        <v/>
      </c>
      <c r="W397" s="37" t="str">
        <f t="shared" si="27"/>
        <v/>
      </c>
      <c r="X397" s="37" t="str">
        <f t="shared" si="28"/>
        <v/>
      </c>
      <c r="Y397" s="37" t="str">
        <f t="shared" si="29"/>
        <v/>
      </c>
      <c r="Z397" s="38" t="str">
        <f t="shared" si="30"/>
        <v/>
      </c>
      <c r="AA397" s="39" t="str">
        <f t="shared" si="31"/>
        <v/>
      </c>
    </row>
    <row r="398" ht="15.75" customHeight="1">
      <c r="B398" s="1"/>
      <c r="C398" s="28"/>
      <c r="D398" s="79"/>
      <c r="E398" s="1"/>
      <c r="F398" s="76"/>
      <c r="G398" s="1"/>
      <c r="H398" s="1"/>
      <c r="J398" s="77"/>
      <c r="K398" s="80"/>
      <c r="L398" s="80"/>
      <c r="M398" s="80"/>
      <c r="N398" s="80"/>
      <c r="O398" s="80"/>
      <c r="P398" s="81"/>
      <c r="Q398" s="35" t="str">
        <f>IF(D398="","",VLOOKUP(MONTH(D398),Listas!$C$2:$D$14,2,0))</f>
        <v/>
      </c>
      <c r="R398" s="36" t="str">
        <f t="shared" si="22"/>
        <v/>
      </c>
      <c r="S398" s="37" t="str">
        <f t="shared" si="23"/>
        <v/>
      </c>
      <c r="T398" s="37" t="str">
        <f t="shared" si="24"/>
        <v/>
      </c>
      <c r="U398" s="37" t="str">
        <f t="shared" si="25"/>
        <v/>
      </c>
      <c r="V398" s="37" t="str">
        <f t="shared" si="26"/>
        <v/>
      </c>
      <c r="W398" s="37" t="str">
        <f t="shared" si="27"/>
        <v/>
      </c>
      <c r="X398" s="37" t="str">
        <f t="shared" si="28"/>
        <v/>
      </c>
      <c r="Y398" s="37" t="str">
        <f t="shared" si="29"/>
        <v/>
      </c>
      <c r="Z398" s="38" t="str">
        <f t="shared" si="30"/>
        <v/>
      </c>
      <c r="AA398" s="39" t="str">
        <f t="shared" si="31"/>
        <v/>
      </c>
    </row>
    <row r="399" ht="15.75" customHeight="1">
      <c r="B399" s="1"/>
      <c r="C399" s="28"/>
      <c r="D399" s="79"/>
      <c r="E399" s="1"/>
      <c r="F399" s="76"/>
      <c r="G399" s="1"/>
      <c r="H399" s="1"/>
      <c r="J399" s="77"/>
      <c r="K399" s="80"/>
      <c r="L399" s="80"/>
      <c r="M399" s="80"/>
      <c r="N399" s="80"/>
      <c r="O399" s="80"/>
      <c r="P399" s="81"/>
      <c r="Q399" s="35" t="str">
        <f>IF(D399="","",VLOOKUP(MONTH(D399),Listas!$C$2:$D$14,2,0))</f>
        <v/>
      </c>
      <c r="R399" s="36" t="str">
        <f t="shared" si="22"/>
        <v/>
      </c>
      <c r="S399" s="37" t="str">
        <f t="shared" si="23"/>
        <v/>
      </c>
      <c r="T399" s="37" t="str">
        <f t="shared" si="24"/>
        <v/>
      </c>
      <c r="U399" s="37" t="str">
        <f t="shared" si="25"/>
        <v/>
      </c>
      <c r="V399" s="37" t="str">
        <f t="shared" si="26"/>
        <v/>
      </c>
      <c r="W399" s="37" t="str">
        <f t="shared" si="27"/>
        <v/>
      </c>
      <c r="X399" s="37" t="str">
        <f t="shared" si="28"/>
        <v/>
      </c>
      <c r="Y399" s="37" t="str">
        <f t="shared" si="29"/>
        <v/>
      </c>
      <c r="Z399" s="38" t="str">
        <f t="shared" si="30"/>
        <v/>
      </c>
      <c r="AA399" s="39" t="str">
        <f t="shared" si="31"/>
        <v/>
      </c>
    </row>
    <row r="400" ht="15.75" customHeight="1">
      <c r="B400" s="1"/>
      <c r="C400" s="28"/>
      <c r="D400" s="79"/>
      <c r="E400" s="1"/>
      <c r="F400" s="76"/>
      <c r="G400" s="1"/>
      <c r="H400" s="1"/>
      <c r="J400" s="77"/>
      <c r="K400" s="80"/>
      <c r="L400" s="80"/>
      <c r="M400" s="80"/>
      <c r="N400" s="80"/>
      <c r="O400" s="80"/>
      <c r="P400" s="81"/>
      <c r="Q400" s="35" t="str">
        <f>IF(D400="","",VLOOKUP(MONTH(D400),Listas!$C$2:$D$14,2,0))</f>
        <v/>
      </c>
      <c r="R400" s="36" t="str">
        <f t="shared" si="22"/>
        <v/>
      </c>
      <c r="S400" s="37" t="str">
        <f t="shared" si="23"/>
        <v/>
      </c>
      <c r="T400" s="37" t="str">
        <f t="shared" si="24"/>
        <v/>
      </c>
      <c r="U400" s="37" t="str">
        <f t="shared" si="25"/>
        <v/>
      </c>
      <c r="V400" s="37" t="str">
        <f t="shared" si="26"/>
        <v/>
      </c>
      <c r="W400" s="37" t="str">
        <f t="shared" si="27"/>
        <v/>
      </c>
      <c r="X400" s="37" t="str">
        <f t="shared" si="28"/>
        <v/>
      </c>
      <c r="Y400" s="37" t="str">
        <f t="shared" si="29"/>
        <v/>
      </c>
      <c r="Z400" s="38" t="str">
        <f t="shared" si="30"/>
        <v/>
      </c>
      <c r="AA400" s="39" t="str">
        <f t="shared" si="31"/>
        <v/>
      </c>
    </row>
    <row r="401" ht="15.75" customHeight="1">
      <c r="B401" s="1"/>
      <c r="C401" s="28"/>
      <c r="D401" s="79"/>
      <c r="E401" s="1"/>
      <c r="F401" s="76"/>
      <c r="G401" s="1"/>
      <c r="H401" s="1"/>
      <c r="J401" s="77"/>
      <c r="K401" s="80"/>
      <c r="L401" s="80"/>
      <c r="M401" s="80"/>
      <c r="N401" s="80"/>
      <c r="O401" s="80"/>
      <c r="P401" s="81"/>
      <c r="Q401" s="35" t="str">
        <f>IF(D401="","",VLOOKUP(MONTH(D401),Listas!$C$2:$D$14,2,0))</f>
        <v/>
      </c>
      <c r="R401" s="36" t="str">
        <f t="shared" si="22"/>
        <v/>
      </c>
      <c r="S401" s="37" t="str">
        <f t="shared" si="23"/>
        <v/>
      </c>
      <c r="T401" s="37" t="str">
        <f t="shared" si="24"/>
        <v/>
      </c>
      <c r="U401" s="37" t="str">
        <f t="shared" si="25"/>
        <v/>
      </c>
      <c r="V401" s="37" t="str">
        <f t="shared" si="26"/>
        <v/>
      </c>
      <c r="W401" s="37" t="str">
        <f t="shared" si="27"/>
        <v/>
      </c>
      <c r="X401" s="37" t="str">
        <f t="shared" si="28"/>
        <v/>
      </c>
      <c r="Y401" s="37" t="str">
        <f t="shared" si="29"/>
        <v/>
      </c>
      <c r="Z401" s="38" t="str">
        <f t="shared" si="30"/>
        <v/>
      </c>
      <c r="AA401" s="39" t="str">
        <f t="shared" si="31"/>
        <v/>
      </c>
    </row>
    <row r="402" ht="15.75" customHeight="1">
      <c r="B402" s="1"/>
      <c r="C402" s="28"/>
      <c r="D402" s="79"/>
      <c r="E402" s="1"/>
      <c r="F402" s="76"/>
      <c r="G402" s="1"/>
      <c r="H402" s="1"/>
      <c r="J402" s="77"/>
      <c r="K402" s="80"/>
      <c r="L402" s="80"/>
      <c r="M402" s="80"/>
      <c r="N402" s="80"/>
      <c r="O402" s="80"/>
      <c r="P402" s="81"/>
      <c r="Q402" s="35" t="str">
        <f>IF(D402="","",VLOOKUP(MONTH(D402),Listas!$C$2:$D$14,2,0))</f>
        <v/>
      </c>
      <c r="R402" s="36" t="str">
        <f t="shared" si="22"/>
        <v/>
      </c>
      <c r="S402" s="37" t="str">
        <f t="shared" si="23"/>
        <v/>
      </c>
      <c r="T402" s="37" t="str">
        <f t="shared" si="24"/>
        <v/>
      </c>
      <c r="U402" s="37" t="str">
        <f t="shared" si="25"/>
        <v/>
      </c>
      <c r="V402" s="37" t="str">
        <f t="shared" si="26"/>
        <v/>
      </c>
      <c r="W402" s="37" t="str">
        <f t="shared" si="27"/>
        <v/>
      </c>
      <c r="X402" s="37" t="str">
        <f t="shared" si="28"/>
        <v/>
      </c>
      <c r="Y402" s="37" t="str">
        <f t="shared" si="29"/>
        <v/>
      </c>
      <c r="Z402" s="38" t="str">
        <f t="shared" si="30"/>
        <v/>
      </c>
      <c r="AA402" s="39" t="str">
        <f t="shared" si="31"/>
        <v/>
      </c>
    </row>
    <row r="403" ht="15.75" customHeight="1">
      <c r="B403" s="1"/>
      <c r="C403" s="28"/>
      <c r="D403" s="79"/>
      <c r="E403" s="1"/>
      <c r="F403" s="76"/>
      <c r="G403" s="1"/>
      <c r="H403" s="1"/>
      <c r="J403" s="77"/>
      <c r="K403" s="80"/>
      <c r="L403" s="80"/>
      <c r="M403" s="80"/>
      <c r="N403" s="80"/>
      <c r="O403" s="80"/>
      <c r="P403" s="81"/>
      <c r="Q403" s="35" t="str">
        <f>IF(D403="","",VLOOKUP(MONTH(D403),Listas!$C$2:$D$14,2,0))</f>
        <v/>
      </c>
      <c r="R403" s="36" t="str">
        <f t="shared" si="22"/>
        <v/>
      </c>
      <c r="S403" s="37" t="str">
        <f t="shared" si="23"/>
        <v/>
      </c>
      <c r="T403" s="37" t="str">
        <f t="shared" si="24"/>
        <v/>
      </c>
      <c r="U403" s="37" t="str">
        <f t="shared" si="25"/>
        <v/>
      </c>
      <c r="V403" s="37" t="str">
        <f t="shared" si="26"/>
        <v/>
      </c>
      <c r="W403" s="37" t="str">
        <f t="shared" si="27"/>
        <v/>
      </c>
      <c r="X403" s="37" t="str">
        <f t="shared" si="28"/>
        <v/>
      </c>
      <c r="Y403" s="37" t="str">
        <f t="shared" si="29"/>
        <v/>
      </c>
      <c r="Z403" s="38" t="str">
        <f t="shared" si="30"/>
        <v/>
      </c>
      <c r="AA403" s="39" t="str">
        <f t="shared" si="31"/>
        <v/>
      </c>
    </row>
    <row r="404" ht="15.75" customHeight="1">
      <c r="B404" s="1"/>
      <c r="C404" s="28"/>
      <c r="D404" s="79"/>
      <c r="E404" s="1"/>
      <c r="F404" s="76"/>
      <c r="G404" s="1"/>
      <c r="H404" s="1"/>
      <c r="J404" s="77"/>
      <c r="K404" s="80"/>
      <c r="L404" s="80"/>
      <c r="M404" s="80"/>
      <c r="N404" s="80"/>
      <c r="O404" s="80"/>
      <c r="P404" s="81"/>
      <c r="Q404" s="35" t="str">
        <f>IF(D404="","",VLOOKUP(MONTH(D404),Listas!$C$2:$D$14,2,0))</f>
        <v/>
      </c>
      <c r="R404" s="36" t="str">
        <f t="shared" si="22"/>
        <v/>
      </c>
      <c r="S404" s="37" t="str">
        <f t="shared" si="23"/>
        <v/>
      </c>
      <c r="T404" s="37" t="str">
        <f t="shared" si="24"/>
        <v/>
      </c>
      <c r="U404" s="37" t="str">
        <f t="shared" si="25"/>
        <v/>
      </c>
      <c r="V404" s="37" t="str">
        <f t="shared" si="26"/>
        <v/>
      </c>
      <c r="W404" s="37" t="str">
        <f t="shared" si="27"/>
        <v/>
      </c>
      <c r="X404" s="37" t="str">
        <f t="shared" si="28"/>
        <v/>
      </c>
      <c r="Y404" s="37" t="str">
        <f t="shared" si="29"/>
        <v/>
      </c>
      <c r="Z404" s="38" t="str">
        <f t="shared" si="30"/>
        <v/>
      </c>
      <c r="AA404" s="39" t="str">
        <f t="shared" si="31"/>
        <v/>
      </c>
    </row>
    <row r="405" ht="15.75" customHeight="1">
      <c r="B405" s="1"/>
      <c r="C405" s="28"/>
      <c r="D405" s="79"/>
      <c r="E405" s="1"/>
      <c r="F405" s="76"/>
      <c r="G405" s="1"/>
      <c r="H405" s="1"/>
      <c r="J405" s="77"/>
      <c r="K405" s="80"/>
      <c r="L405" s="80"/>
      <c r="M405" s="80"/>
      <c r="N405" s="80"/>
      <c r="O405" s="80"/>
      <c r="P405" s="81"/>
      <c r="Q405" s="35" t="str">
        <f>IF(D405="","",VLOOKUP(MONTH(D405),Listas!$C$2:$D$14,2,0))</f>
        <v/>
      </c>
      <c r="R405" s="36" t="str">
        <f t="shared" si="22"/>
        <v/>
      </c>
      <c r="S405" s="37" t="str">
        <f t="shared" si="23"/>
        <v/>
      </c>
      <c r="T405" s="37" t="str">
        <f t="shared" si="24"/>
        <v/>
      </c>
      <c r="U405" s="37" t="str">
        <f t="shared" si="25"/>
        <v/>
      </c>
      <c r="V405" s="37" t="str">
        <f t="shared" si="26"/>
        <v/>
      </c>
      <c r="W405" s="37" t="str">
        <f t="shared" si="27"/>
        <v/>
      </c>
      <c r="X405" s="37" t="str">
        <f t="shared" si="28"/>
        <v/>
      </c>
      <c r="Y405" s="37" t="str">
        <f t="shared" si="29"/>
        <v/>
      </c>
      <c r="Z405" s="38" t="str">
        <f t="shared" si="30"/>
        <v/>
      </c>
      <c r="AA405" s="39" t="str">
        <f t="shared" si="31"/>
        <v/>
      </c>
    </row>
    <row r="406" ht="15.75" customHeight="1">
      <c r="B406" s="1"/>
      <c r="C406" s="28"/>
      <c r="D406" s="79"/>
      <c r="E406" s="1"/>
      <c r="F406" s="76"/>
      <c r="G406" s="1"/>
      <c r="H406" s="1"/>
      <c r="J406" s="77"/>
      <c r="K406" s="80"/>
      <c r="L406" s="80"/>
      <c r="M406" s="80"/>
      <c r="N406" s="80"/>
      <c r="O406" s="80"/>
      <c r="P406" s="81"/>
      <c r="Q406" s="35" t="str">
        <f>IF(D406="","",VLOOKUP(MONTH(D406),Listas!$C$2:$D$14,2,0))</f>
        <v/>
      </c>
      <c r="R406" s="36" t="str">
        <f t="shared" si="22"/>
        <v/>
      </c>
      <c r="S406" s="37" t="str">
        <f t="shared" si="23"/>
        <v/>
      </c>
      <c r="T406" s="37" t="str">
        <f t="shared" si="24"/>
        <v/>
      </c>
      <c r="U406" s="37" t="str">
        <f t="shared" si="25"/>
        <v/>
      </c>
      <c r="V406" s="37" t="str">
        <f t="shared" si="26"/>
        <v/>
      </c>
      <c r="W406" s="37" t="str">
        <f t="shared" si="27"/>
        <v/>
      </c>
      <c r="X406" s="37" t="str">
        <f t="shared" si="28"/>
        <v/>
      </c>
      <c r="Y406" s="37" t="str">
        <f t="shared" si="29"/>
        <v/>
      </c>
      <c r="Z406" s="38" t="str">
        <f t="shared" si="30"/>
        <v/>
      </c>
      <c r="AA406" s="39" t="str">
        <f t="shared" si="31"/>
        <v/>
      </c>
    </row>
    <row r="407" ht="15.75" customHeight="1">
      <c r="B407" s="1"/>
      <c r="C407" s="28"/>
      <c r="D407" s="79"/>
      <c r="E407" s="1"/>
      <c r="F407" s="76"/>
      <c r="G407" s="1"/>
      <c r="H407" s="1"/>
      <c r="J407" s="77"/>
      <c r="K407" s="80"/>
      <c r="L407" s="80"/>
      <c r="M407" s="80"/>
      <c r="N407" s="80"/>
      <c r="O407" s="80"/>
      <c r="P407" s="81"/>
      <c r="Q407" s="35" t="str">
        <f>IF(D407="","",VLOOKUP(MONTH(D407),Listas!$C$2:$D$14,2,0))</f>
        <v/>
      </c>
      <c r="R407" s="36" t="str">
        <f t="shared" si="22"/>
        <v/>
      </c>
      <c r="S407" s="37" t="str">
        <f t="shared" si="23"/>
        <v/>
      </c>
      <c r="T407" s="37" t="str">
        <f t="shared" si="24"/>
        <v/>
      </c>
      <c r="U407" s="37" t="str">
        <f t="shared" si="25"/>
        <v/>
      </c>
      <c r="V407" s="37" t="str">
        <f t="shared" si="26"/>
        <v/>
      </c>
      <c r="W407" s="37" t="str">
        <f t="shared" si="27"/>
        <v/>
      </c>
      <c r="X407" s="37" t="str">
        <f t="shared" si="28"/>
        <v/>
      </c>
      <c r="Y407" s="37" t="str">
        <f t="shared" si="29"/>
        <v/>
      </c>
      <c r="Z407" s="38" t="str">
        <f t="shared" si="30"/>
        <v/>
      </c>
      <c r="AA407" s="39" t="str">
        <f t="shared" si="31"/>
        <v/>
      </c>
    </row>
    <row r="408" ht="15.75" customHeight="1">
      <c r="B408" s="1"/>
      <c r="C408" s="28"/>
      <c r="D408" s="79"/>
      <c r="E408" s="1"/>
      <c r="F408" s="76"/>
      <c r="G408" s="1"/>
      <c r="H408" s="1"/>
      <c r="J408" s="77"/>
      <c r="K408" s="80"/>
      <c r="L408" s="80"/>
      <c r="M408" s="80"/>
      <c r="N408" s="80"/>
      <c r="O408" s="80"/>
      <c r="P408" s="81"/>
      <c r="Q408" s="35" t="str">
        <f>IF(D408="","",VLOOKUP(MONTH(D408),Listas!$C$2:$D$14,2,0))</f>
        <v/>
      </c>
      <c r="R408" s="36" t="str">
        <f t="shared" si="22"/>
        <v/>
      </c>
      <c r="S408" s="37" t="str">
        <f t="shared" si="23"/>
        <v/>
      </c>
      <c r="T408" s="37" t="str">
        <f t="shared" si="24"/>
        <v/>
      </c>
      <c r="U408" s="37" t="str">
        <f t="shared" si="25"/>
        <v/>
      </c>
      <c r="V408" s="37" t="str">
        <f t="shared" si="26"/>
        <v/>
      </c>
      <c r="W408" s="37" t="str">
        <f t="shared" si="27"/>
        <v/>
      </c>
      <c r="X408" s="37" t="str">
        <f t="shared" si="28"/>
        <v/>
      </c>
      <c r="Y408" s="37" t="str">
        <f t="shared" si="29"/>
        <v/>
      </c>
      <c r="Z408" s="38" t="str">
        <f t="shared" si="30"/>
        <v/>
      </c>
      <c r="AA408" s="39" t="str">
        <f t="shared" si="31"/>
        <v/>
      </c>
    </row>
    <row r="409" ht="15.75" customHeight="1">
      <c r="B409" s="1"/>
      <c r="C409" s="28"/>
      <c r="D409" s="79"/>
      <c r="E409" s="1"/>
      <c r="F409" s="76"/>
      <c r="G409" s="1"/>
      <c r="H409" s="1"/>
      <c r="J409" s="77"/>
      <c r="K409" s="80"/>
      <c r="L409" s="80"/>
      <c r="M409" s="80"/>
      <c r="N409" s="80"/>
      <c r="O409" s="80"/>
      <c r="P409" s="81"/>
      <c r="Q409" s="35" t="str">
        <f>IF(D409="","",VLOOKUP(MONTH(D409),Listas!$C$2:$D$14,2,0))</f>
        <v/>
      </c>
      <c r="R409" s="36" t="str">
        <f t="shared" si="22"/>
        <v/>
      </c>
      <c r="S409" s="37" t="str">
        <f t="shared" si="23"/>
        <v/>
      </c>
      <c r="T409" s="37" t="str">
        <f t="shared" si="24"/>
        <v/>
      </c>
      <c r="U409" s="37" t="str">
        <f t="shared" si="25"/>
        <v/>
      </c>
      <c r="V409" s="37" t="str">
        <f t="shared" si="26"/>
        <v/>
      </c>
      <c r="W409" s="37" t="str">
        <f t="shared" si="27"/>
        <v/>
      </c>
      <c r="X409" s="37" t="str">
        <f t="shared" si="28"/>
        <v/>
      </c>
      <c r="Y409" s="37" t="str">
        <f t="shared" si="29"/>
        <v/>
      </c>
      <c r="Z409" s="38" t="str">
        <f t="shared" si="30"/>
        <v/>
      </c>
      <c r="AA409" s="39" t="str">
        <f t="shared" si="31"/>
        <v/>
      </c>
    </row>
    <row r="410" ht="15.75" customHeight="1">
      <c r="B410" s="1"/>
      <c r="C410" s="28"/>
      <c r="D410" s="79"/>
      <c r="E410" s="1"/>
      <c r="F410" s="76"/>
      <c r="G410" s="1"/>
      <c r="H410" s="1"/>
      <c r="J410" s="77"/>
      <c r="K410" s="80"/>
      <c r="L410" s="80"/>
      <c r="M410" s="80"/>
      <c r="N410" s="80"/>
      <c r="O410" s="80"/>
      <c r="P410" s="81"/>
      <c r="Q410" s="35" t="str">
        <f>IF(D410="","",VLOOKUP(MONTH(D410),Listas!$C$2:$D$14,2,0))</f>
        <v/>
      </c>
      <c r="R410" s="36" t="str">
        <f t="shared" si="22"/>
        <v/>
      </c>
      <c r="S410" s="37" t="str">
        <f t="shared" si="23"/>
        <v/>
      </c>
      <c r="T410" s="37" t="str">
        <f t="shared" si="24"/>
        <v/>
      </c>
      <c r="U410" s="37" t="str">
        <f t="shared" si="25"/>
        <v/>
      </c>
      <c r="V410" s="37" t="str">
        <f t="shared" si="26"/>
        <v/>
      </c>
      <c r="W410" s="37" t="str">
        <f t="shared" si="27"/>
        <v/>
      </c>
      <c r="X410" s="37" t="str">
        <f t="shared" si="28"/>
        <v/>
      </c>
      <c r="Y410" s="37" t="str">
        <f t="shared" si="29"/>
        <v/>
      </c>
      <c r="Z410" s="38" t="str">
        <f t="shared" si="30"/>
        <v/>
      </c>
      <c r="AA410" s="39" t="str">
        <f t="shared" si="31"/>
        <v/>
      </c>
    </row>
    <row r="411" ht="15.75" customHeight="1">
      <c r="B411" s="1"/>
      <c r="C411" s="28"/>
      <c r="D411" s="79"/>
      <c r="E411" s="1"/>
      <c r="F411" s="76"/>
      <c r="G411" s="1"/>
      <c r="H411" s="1"/>
      <c r="J411" s="77"/>
      <c r="K411" s="80"/>
      <c r="L411" s="80"/>
      <c r="M411" s="80"/>
      <c r="N411" s="80"/>
      <c r="O411" s="80"/>
      <c r="P411" s="81"/>
      <c r="Q411" s="35" t="str">
        <f>IF(D411="","",VLOOKUP(MONTH(D411),Listas!$C$2:$D$14,2,0))</f>
        <v/>
      </c>
      <c r="R411" s="36" t="str">
        <f t="shared" si="22"/>
        <v/>
      </c>
      <c r="S411" s="37" t="str">
        <f t="shared" si="23"/>
        <v/>
      </c>
      <c r="T411" s="37" t="str">
        <f t="shared" si="24"/>
        <v/>
      </c>
      <c r="U411" s="37" t="str">
        <f t="shared" si="25"/>
        <v/>
      </c>
      <c r="V411" s="37" t="str">
        <f t="shared" si="26"/>
        <v/>
      </c>
      <c r="W411" s="37" t="str">
        <f t="shared" si="27"/>
        <v/>
      </c>
      <c r="X411" s="37" t="str">
        <f t="shared" si="28"/>
        <v/>
      </c>
      <c r="Y411" s="37" t="str">
        <f t="shared" si="29"/>
        <v/>
      </c>
      <c r="Z411" s="38" t="str">
        <f t="shared" si="30"/>
        <v/>
      </c>
      <c r="AA411" s="39" t="str">
        <f t="shared" si="31"/>
        <v/>
      </c>
    </row>
    <row r="412" ht="15.75" customHeight="1">
      <c r="B412" s="1"/>
      <c r="C412" s="28"/>
      <c r="D412" s="79"/>
      <c r="E412" s="1"/>
      <c r="F412" s="76"/>
      <c r="G412" s="1"/>
      <c r="H412" s="1"/>
      <c r="J412" s="77"/>
      <c r="K412" s="80"/>
      <c r="L412" s="80"/>
      <c r="M412" s="80"/>
      <c r="N412" s="80"/>
      <c r="O412" s="80"/>
      <c r="P412" s="81"/>
      <c r="Q412" s="35" t="str">
        <f>IF(D412="","",VLOOKUP(MONTH(D412),Listas!$C$2:$D$14,2,0))</f>
        <v/>
      </c>
      <c r="R412" s="36" t="str">
        <f t="shared" si="22"/>
        <v/>
      </c>
      <c r="S412" s="37" t="str">
        <f t="shared" si="23"/>
        <v/>
      </c>
      <c r="T412" s="37" t="str">
        <f t="shared" si="24"/>
        <v/>
      </c>
      <c r="U412" s="37" t="str">
        <f t="shared" si="25"/>
        <v/>
      </c>
      <c r="V412" s="37" t="str">
        <f t="shared" si="26"/>
        <v/>
      </c>
      <c r="W412" s="37" t="str">
        <f t="shared" si="27"/>
        <v/>
      </c>
      <c r="X412" s="37" t="str">
        <f t="shared" si="28"/>
        <v/>
      </c>
      <c r="Y412" s="37" t="str">
        <f t="shared" si="29"/>
        <v/>
      </c>
      <c r="Z412" s="38" t="str">
        <f t="shared" si="30"/>
        <v/>
      </c>
      <c r="AA412" s="39" t="str">
        <f t="shared" si="31"/>
        <v/>
      </c>
    </row>
    <row r="413" ht="15.75" customHeight="1">
      <c r="B413" s="1"/>
      <c r="C413" s="28"/>
      <c r="D413" s="79"/>
      <c r="E413" s="1"/>
      <c r="F413" s="76"/>
      <c r="G413" s="1"/>
      <c r="H413" s="1"/>
      <c r="J413" s="77"/>
      <c r="K413" s="80"/>
      <c r="L413" s="80"/>
      <c r="M413" s="80"/>
      <c r="N413" s="80"/>
      <c r="O413" s="80"/>
      <c r="P413" s="81"/>
      <c r="Q413" s="35" t="str">
        <f>IF(D413="","",VLOOKUP(MONTH(D413),Listas!$C$2:$D$14,2,0))</f>
        <v/>
      </c>
      <c r="R413" s="36" t="str">
        <f t="shared" si="22"/>
        <v/>
      </c>
      <c r="S413" s="37" t="str">
        <f t="shared" si="23"/>
        <v/>
      </c>
      <c r="T413" s="37" t="str">
        <f t="shared" si="24"/>
        <v/>
      </c>
      <c r="U413" s="37" t="str">
        <f t="shared" si="25"/>
        <v/>
      </c>
      <c r="V413" s="37" t="str">
        <f t="shared" si="26"/>
        <v/>
      </c>
      <c r="W413" s="37" t="str">
        <f t="shared" si="27"/>
        <v/>
      </c>
      <c r="X413" s="37" t="str">
        <f t="shared" si="28"/>
        <v/>
      </c>
      <c r="Y413" s="37" t="str">
        <f t="shared" si="29"/>
        <v/>
      </c>
      <c r="Z413" s="38" t="str">
        <f t="shared" si="30"/>
        <v/>
      </c>
      <c r="AA413" s="39" t="str">
        <f t="shared" si="31"/>
        <v/>
      </c>
    </row>
    <row r="414" ht="15.75" customHeight="1">
      <c r="B414" s="1"/>
      <c r="C414" s="28"/>
      <c r="D414" s="79"/>
      <c r="E414" s="1"/>
      <c r="F414" s="76"/>
      <c r="G414" s="1"/>
      <c r="H414" s="1"/>
      <c r="J414" s="77"/>
      <c r="K414" s="80"/>
      <c r="L414" s="80"/>
      <c r="M414" s="80"/>
      <c r="N414" s="80"/>
      <c r="O414" s="80"/>
      <c r="P414" s="81"/>
      <c r="Q414" s="35" t="str">
        <f>IF(D414="","",VLOOKUP(MONTH(D414),Listas!$C$2:$D$14,2,0))</f>
        <v/>
      </c>
      <c r="R414" s="36" t="str">
        <f t="shared" si="22"/>
        <v/>
      </c>
      <c r="S414" s="37" t="str">
        <f t="shared" si="23"/>
        <v/>
      </c>
      <c r="T414" s="37" t="str">
        <f t="shared" si="24"/>
        <v/>
      </c>
      <c r="U414" s="37" t="str">
        <f t="shared" si="25"/>
        <v/>
      </c>
      <c r="V414" s="37" t="str">
        <f t="shared" si="26"/>
        <v/>
      </c>
      <c r="W414" s="37" t="str">
        <f t="shared" si="27"/>
        <v/>
      </c>
      <c r="X414" s="37" t="str">
        <f t="shared" si="28"/>
        <v/>
      </c>
      <c r="Y414" s="37" t="str">
        <f t="shared" si="29"/>
        <v/>
      </c>
      <c r="Z414" s="38" t="str">
        <f t="shared" si="30"/>
        <v/>
      </c>
      <c r="AA414" s="39" t="str">
        <f t="shared" si="31"/>
        <v/>
      </c>
    </row>
    <row r="415" ht="15.75" customHeight="1">
      <c r="B415" s="1"/>
      <c r="C415" s="28"/>
      <c r="D415" s="79"/>
      <c r="E415" s="1"/>
      <c r="F415" s="76"/>
      <c r="G415" s="1"/>
      <c r="H415" s="1"/>
      <c r="J415" s="77"/>
      <c r="K415" s="80"/>
      <c r="L415" s="80"/>
      <c r="M415" s="80"/>
      <c r="N415" s="80"/>
      <c r="O415" s="80"/>
      <c r="P415" s="81"/>
      <c r="Q415" s="35" t="str">
        <f>IF(D415="","",VLOOKUP(MONTH(D415),Listas!$C$2:$D$14,2,0))</f>
        <v/>
      </c>
      <c r="R415" s="36" t="str">
        <f t="shared" si="22"/>
        <v/>
      </c>
      <c r="S415" s="37" t="str">
        <f t="shared" si="23"/>
        <v/>
      </c>
      <c r="T415" s="37" t="str">
        <f t="shared" si="24"/>
        <v/>
      </c>
      <c r="U415" s="37" t="str">
        <f t="shared" si="25"/>
        <v/>
      </c>
      <c r="V415" s="37" t="str">
        <f t="shared" si="26"/>
        <v/>
      </c>
      <c r="W415" s="37" t="str">
        <f t="shared" si="27"/>
        <v/>
      </c>
      <c r="X415" s="37" t="str">
        <f t="shared" si="28"/>
        <v/>
      </c>
      <c r="Y415" s="37" t="str">
        <f t="shared" si="29"/>
        <v/>
      </c>
      <c r="Z415" s="38" t="str">
        <f t="shared" si="30"/>
        <v/>
      </c>
      <c r="AA415" s="39" t="str">
        <f t="shared" si="31"/>
        <v/>
      </c>
    </row>
    <row r="416" ht="15.75" customHeight="1">
      <c r="B416" s="1"/>
      <c r="C416" s="28"/>
      <c r="D416" s="79"/>
      <c r="E416" s="1"/>
      <c r="F416" s="76"/>
      <c r="G416" s="1"/>
      <c r="H416" s="1"/>
      <c r="J416" s="77"/>
      <c r="K416" s="80"/>
      <c r="L416" s="80"/>
      <c r="M416" s="80"/>
      <c r="N416" s="80"/>
      <c r="O416" s="80"/>
      <c r="P416" s="81"/>
      <c r="Q416" s="35" t="str">
        <f>IF(D416="","",VLOOKUP(MONTH(D416),Listas!$C$2:$D$14,2,0))</f>
        <v/>
      </c>
      <c r="R416" s="36" t="str">
        <f t="shared" si="22"/>
        <v/>
      </c>
      <c r="S416" s="37" t="str">
        <f t="shared" si="23"/>
        <v/>
      </c>
      <c r="T416" s="37" t="str">
        <f t="shared" si="24"/>
        <v/>
      </c>
      <c r="U416" s="37" t="str">
        <f t="shared" si="25"/>
        <v/>
      </c>
      <c r="V416" s="37" t="str">
        <f t="shared" si="26"/>
        <v/>
      </c>
      <c r="W416" s="37" t="str">
        <f t="shared" si="27"/>
        <v/>
      </c>
      <c r="X416" s="37" t="str">
        <f t="shared" si="28"/>
        <v/>
      </c>
      <c r="Y416" s="37" t="str">
        <f t="shared" si="29"/>
        <v/>
      </c>
      <c r="Z416" s="38" t="str">
        <f t="shared" si="30"/>
        <v/>
      </c>
      <c r="AA416" s="39" t="str">
        <f t="shared" si="31"/>
        <v/>
      </c>
    </row>
    <row r="417" ht="15.75" customHeight="1">
      <c r="B417" s="1"/>
      <c r="C417" s="28"/>
      <c r="D417" s="79"/>
      <c r="E417" s="1"/>
      <c r="F417" s="76"/>
      <c r="G417" s="1"/>
      <c r="H417" s="1"/>
      <c r="J417" s="77"/>
      <c r="K417" s="80"/>
      <c r="L417" s="80"/>
      <c r="M417" s="80"/>
      <c r="N417" s="80"/>
      <c r="O417" s="80"/>
      <c r="P417" s="81"/>
      <c r="Q417" s="35" t="str">
        <f>IF(D417="","",VLOOKUP(MONTH(D417),Listas!$C$2:$D$14,2,0))</f>
        <v/>
      </c>
      <c r="R417" s="36" t="str">
        <f t="shared" si="22"/>
        <v/>
      </c>
      <c r="S417" s="37" t="str">
        <f t="shared" si="23"/>
        <v/>
      </c>
      <c r="T417" s="37" t="str">
        <f t="shared" si="24"/>
        <v/>
      </c>
      <c r="U417" s="37" t="str">
        <f t="shared" si="25"/>
        <v/>
      </c>
      <c r="V417" s="37" t="str">
        <f t="shared" si="26"/>
        <v/>
      </c>
      <c r="W417" s="37" t="str">
        <f t="shared" si="27"/>
        <v/>
      </c>
      <c r="X417" s="37" t="str">
        <f t="shared" si="28"/>
        <v/>
      </c>
      <c r="Y417" s="37" t="str">
        <f t="shared" si="29"/>
        <v/>
      </c>
      <c r="Z417" s="38" t="str">
        <f t="shared" si="30"/>
        <v/>
      </c>
      <c r="AA417" s="39" t="str">
        <f t="shared" si="31"/>
        <v/>
      </c>
    </row>
    <row r="418" ht="15.75" customHeight="1">
      <c r="B418" s="1"/>
      <c r="C418" s="28"/>
      <c r="D418" s="79"/>
      <c r="E418" s="1"/>
      <c r="F418" s="76"/>
      <c r="G418" s="1"/>
      <c r="H418" s="1"/>
      <c r="J418" s="77"/>
      <c r="K418" s="80"/>
      <c r="L418" s="80"/>
      <c r="M418" s="80"/>
      <c r="N418" s="80"/>
      <c r="O418" s="80"/>
      <c r="P418" s="81"/>
      <c r="Q418" s="35" t="str">
        <f>IF(D418="","",VLOOKUP(MONTH(D418),Listas!$C$2:$D$14,2,0))</f>
        <v/>
      </c>
      <c r="R418" s="36" t="str">
        <f t="shared" si="22"/>
        <v/>
      </c>
      <c r="S418" s="37" t="str">
        <f t="shared" si="23"/>
        <v/>
      </c>
      <c r="T418" s="37" t="str">
        <f t="shared" si="24"/>
        <v/>
      </c>
      <c r="U418" s="37" t="str">
        <f t="shared" si="25"/>
        <v/>
      </c>
      <c r="V418" s="37" t="str">
        <f t="shared" si="26"/>
        <v/>
      </c>
      <c r="W418" s="37" t="str">
        <f t="shared" si="27"/>
        <v/>
      </c>
      <c r="X418" s="37" t="str">
        <f t="shared" si="28"/>
        <v/>
      </c>
      <c r="Y418" s="37" t="str">
        <f t="shared" si="29"/>
        <v/>
      </c>
      <c r="Z418" s="38" t="str">
        <f t="shared" si="30"/>
        <v/>
      </c>
      <c r="AA418" s="39" t="str">
        <f t="shared" si="31"/>
        <v/>
      </c>
    </row>
    <row r="419" ht="15.75" customHeight="1">
      <c r="B419" s="1"/>
      <c r="C419" s="28"/>
      <c r="D419" s="79"/>
      <c r="E419" s="1"/>
      <c r="F419" s="76"/>
      <c r="G419" s="1"/>
      <c r="H419" s="1"/>
      <c r="J419" s="77"/>
      <c r="K419" s="80"/>
      <c r="L419" s="80"/>
      <c r="M419" s="80"/>
      <c r="N419" s="80"/>
      <c r="O419" s="80"/>
      <c r="P419" s="81"/>
      <c r="Q419" s="35" t="str">
        <f>IF(D419="","",VLOOKUP(MONTH(D419),Listas!$C$2:$D$14,2,0))</f>
        <v/>
      </c>
      <c r="R419" s="36" t="str">
        <f t="shared" si="22"/>
        <v/>
      </c>
      <c r="S419" s="37" t="str">
        <f t="shared" si="23"/>
        <v/>
      </c>
      <c r="T419" s="37" t="str">
        <f t="shared" si="24"/>
        <v/>
      </c>
      <c r="U419" s="37" t="str">
        <f t="shared" si="25"/>
        <v/>
      </c>
      <c r="V419" s="37" t="str">
        <f t="shared" si="26"/>
        <v/>
      </c>
      <c r="W419" s="37" t="str">
        <f t="shared" si="27"/>
        <v/>
      </c>
      <c r="X419" s="37" t="str">
        <f t="shared" si="28"/>
        <v/>
      </c>
      <c r="Y419" s="37" t="str">
        <f t="shared" si="29"/>
        <v/>
      </c>
      <c r="Z419" s="38" t="str">
        <f t="shared" si="30"/>
        <v/>
      </c>
      <c r="AA419" s="39" t="str">
        <f t="shared" si="31"/>
        <v/>
      </c>
    </row>
    <row r="420" ht="15.75" customHeight="1">
      <c r="B420" s="1"/>
      <c r="C420" s="28"/>
      <c r="D420" s="79"/>
      <c r="E420" s="1"/>
      <c r="F420" s="76"/>
      <c r="G420" s="1"/>
      <c r="H420" s="1"/>
      <c r="J420" s="77"/>
      <c r="K420" s="80"/>
      <c r="L420" s="80"/>
      <c r="M420" s="80"/>
      <c r="N420" s="80"/>
      <c r="O420" s="80"/>
      <c r="P420" s="81"/>
      <c r="Q420" s="35" t="str">
        <f>IF(D420="","",VLOOKUP(MONTH(D420),Listas!$C$2:$D$14,2,0))</f>
        <v/>
      </c>
      <c r="R420" s="36" t="str">
        <f t="shared" si="22"/>
        <v/>
      </c>
      <c r="S420" s="37" t="str">
        <f t="shared" si="23"/>
        <v/>
      </c>
      <c r="T420" s="37" t="str">
        <f t="shared" si="24"/>
        <v/>
      </c>
      <c r="U420" s="37" t="str">
        <f t="shared" si="25"/>
        <v/>
      </c>
      <c r="V420" s="37" t="str">
        <f t="shared" si="26"/>
        <v/>
      </c>
      <c r="W420" s="37" t="str">
        <f t="shared" si="27"/>
        <v/>
      </c>
      <c r="X420" s="37" t="str">
        <f t="shared" si="28"/>
        <v/>
      </c>
      <c r="Y420" s="37" t="str">
        <f t="shared" si="29"/>
        <v/>
      </c>
      <c r="Z420" s="38" t="str">
        <f t="shared" si="30"/>
        <v/>
      </c>
      <c r="AA420" s="39" t="str">
        <f t="shared" si="31"/>
        <v/>
      </c>
    </row>
    <row r="421" ht="15.75" customHeight="1">
      <c r="B421" s="1"/>
      <c r="C421" s="28"/>
      <c r="D421" s="79"/>
      <c r="E421" s="1"/>
      <c r="F421" s="76"/>
      <c r="G421" s="1"/>
      <c r="H421" s="1"/>
      <c r="J421" s="77"/>
      <c r="K421" s="80"/>
      <c r="L421" s="80"/>
      <c r="M421" s="80"/>
      <c r="N421" s="80"/>
      <c r="O421" s="80"/>
      <c r="P421" s="81"/>
      <c r="Q421" s="35" t="str">
        <f>IF(D421="","",VLOOKUP(MONTH(D421),Listas!$C$2:$D$14,2,0))</f>
        <v/>
      </c>
      <c r="R421" s="36" t="str">
        <f t="shared" si="22"/>
        <v/>
      </c>
      <c r="S421" s="37" t="str">
        <f t="shared" si="23"/>
        <v/>
      </c>
      <c r="T421" s="37" t="str">
        <f t="shared" si="24"/>
        <v/>
      </c>
      <c r="U421" s="37" t="str">
        <f t="shared" si="25"/>
        <v/>
      </c>
      <c r="V421" s="37" t="str">
        <f t="shared" si="26"/>
        <v/>
      </c>
      <c r="W421" s="37" t="str">
        <f t="shared" si="27"/>
        <v/>
      </c>
      <c r="X421" s="37" t="str">
        <f t="shared" si="28"/>
        <v/>
      </c>
      <c r="Y421" s="37" t="str">
        <f t="shared" si="29"/>
        <v/>
      </c>
      <c r="Z421" s="38" t="str">
        <f t="shared" si="30"/>
        <v/>
      </c>
      <c r="AA421" s="39" t="str">
        <f t="shared" si="31"/>
        <v/>
      </c>
    </row>
    <row r="422" ht="15.75" customHeight="1">
      <c r="B422" s="1"/>
      <c r="C422" s="28"/>
      <c r="D422" s="79"/>
      <c r="E422" s="1"/>
      <c r="F422" s="76"/>
      <c r="G422" s="1"/>
      <c r="H422" s="1"/>
      <c r="J422" s="77"/>
      <c r="K422" s="80"/>
      <c r="L422" s="80"/>
      <c r="M422" s="80"/>
      <c r="N422" s="80"/>
      <c r="O422" s="80"/>
      <c r="P422" s="81"/>
      <c r="Q422" s="35" t="str">
        <f>IF(D422="","",VLOOKUP(MONTH(D422),Listas!$C$2:$D$14,2,0))</f>
        <v/>
      </c>
      <c r="R422" s="36" t="str">
        <f t="shared" si="22"/>
        <v/>
      </c>
      <c r="S422" s="37" t="str">
        <f t="shared" si="23"/>
        <v/>
      </c>
      <c r="T422" s="37" t="str">
        <f t="shared" si="24"/>
        <v/>
      </c>
      <c r="U422" s="37" t="str">
        <f t="shared" si="25"/>
        <v/>
      </c>
      <c r="V422" s="37" t="str">
        <f t="shared" si="26"/>
        <v/>
      </c>
      <c r="W422" s="37" t="str">
        <f t="shared" si="27"/>
        <v/>
      </c>
      <c r="X422" s="37" t="str">
        <f t="shared" si="28"/>
        <v/>
      </c>
      <c r="Y422" s="37" t="str">
        <f t="shared" si="29"/>
        <v/>
      </c>
      <c r="Z422" s="38" t="str">
        <f t="shared" si="30"/>
        <v/>
      </c>
      <c r="AA422" s="39" t="str">
        <f t="shared" si="31"/>
        <v/>
      </c>
    </row>
    <row r="423" ht="15.75" customHeight="1">
      <c r="B423" s="1"/>
      <c r="C423" s="28"/>
      <c r="D423" s="79"/>
      <c r="E423" s="1"/>
      <c r="F423" s="76"/>
      <c r="G423" s="1"/>
      <c r="H423" s="1"/>
      <c r="J423" s="77"/>
      <c r="K423" s="80"/>
      <c r="L423" s="80"/>
      <c r="M423" s="80"/>
      <c r="N423" s="80"/>
      <c r="O423" s="80"/>
      <c r="P423" s="81"/>
      <c r="Q423" s="35" t="str">
        <f>IF(D423="","",VLOOKUP(MONTH(D423),Listas!$C$2:$D$14,2,0))</f>
        <v/>
      </c>
      <c r="R423" s="36" t="str">
        <f t="shared" si="22"/>
        <v/>
      </c>
      <c r="S423" s="37" t="str">
        <f t="shared" si="23"/>
        <v/>
      </c>
      <c r="T423" s="37" t="str">
        <f t="shared" si="24"/>
        <v/>
      </c>
      <c r="U423" s="37" t="str">
        <f t="shared" si="25"/>
        <v/>
      </c>
      <c r="V423" s="37" t="str">
        <f t="shared" si="26"/>
        <v/>
      </c>
      <c r="W423" s="37" t="str">
        <f t="shared" si="27"/>
        <v/>
      </c>
      <c r="X423" s="37" t="str">
        <f t="shared" si="28"/>
        <v/>
      </c>
      <c r="Y423" s="37" t="str">
        <f t="shared" si="29"/>
        <v/>
      </c>
      <c r="Z423" s="38" t="str">
        <f t="shared" si="30"/>
        <v/>
      </c>
      <c r="AA423" s="39" t="str">
        <f t="shared" si="31"/>
        <v/>
      </c>
    </row>
    <row r="424" ht="15.75" customHeight="1">
      <c r="B424" s="1"/>
      <c r="C424" s="28"/>
      <c r="D424" s="79"/>
      <c r="E424" s="1"/>
      <c r="F424" s="76"/>
      <c r="G424" s="1"/>
      <c r="H424" s="1"/>
      <c r="J424" s="77"/>
      <c r="K424" s="80"/>
      <c r="L424" s="80"/>
      <c r="M424" s="80"/>
      <c r="N424" s="80"/>
      <c r="O424" s="80"/>
      <c r="P424" s="81"/>
      <c r="Q424" s="35" t="str">
        <f>IF(D424="","",VLOOKUP(MONTH(D424),Listas!$C$2:$D$14,2,0))</f>
        <v/>
      </c>
      <c r="R424" s="36" t="str">
        <f t="shared" si="22"/>
        <v/>
      </c>
      <c r="S424" s="37" t="str">
        <f t="shared" si="23"/>
        <v/>
      </c>
      <c r="T424" s="37" t="str">
        <f t="shared" si="24"/>
        <v/>
      </c>
      <c r="U424" s="37" t="str">
        <f t="shared" si="25"/>
        <v/>
      </c>
      <c r="V424" s="37" t="str">
        <f t="shared" si="26"/>
        <v/>
      </c>
      <c r="W424" s="37" t="str">
        <f t="shared" si="27"/>
        <v/>
      </c>
      <c r="X424" s="37" t="str">
        <f t="shared" si="28"/>
        <v/>
      </c>
      <c r="Y424" s="37" t="str">
        <f t="shared" si="29"/>
        <v/>
      </c>
      <c r="Z424" s="38" t="str">
        <f t="shared" si="30"/>
        <v/>
      </c>
      <c r="AA424" s="39" t="str">
        <f t="shared" si="31"/>
        <v/>
      </c>
    </row>
    <row r="425" ht="15.75" customHeight="1">
      <c r="B425" s="1"/>
      <c r="C425" s="28"/>
      <c r="D425" s="79"/>
      <c r="E425" s="1"/>
      <c r="F425" s="76"/>
      <c r="G425" s="1"/>
      <c r="H425" s="1"/>
      <c r="J425" s="77"/>
      <c r="K425" s="80"/>
      <c r="L425" s="80"/>
      <c r="M425" s="80"/>
      <c r="N425" s="80"/>
      <c r="O425" s="80"/>
      <c r="P425" s="81"/>
      <c r="Q425" s="35" t="str">
        <f>IF(D425="","",VLOOKUP(MONTH(D425),Listas!$C$2:$D$14,2,0))</f>
        <v/>
      </c>
      <c r="R425" s="36" t="str">
        <f t="shared" si="22"/>
        <v/>
      </c>
      <c r="S425" s="37" t="str">
        <f t="shared" si="23"/>
        <v/>
      </c>
      <c r="T425" s="37" t="str">
        <f t="shared" si="24"/>
        <v/>
      </c>
      <c r="U425" s="37" t="str">
        <f t="shared" si="25"/>
        <v/>
      </c>
      <c r="V425" s="37" t="str">
        <f t="shared" si="26"/>
        <v/>
      </c>
      <c r="W425" s="37" t="str">
        <f t="shared" si="27"/>
        <v/>
      </c>
      <c r="X425" s="37" t="str">
        <f t="shared" si="28"/>
        <v/>
      </c>
      <c r="Y425" s="37" t="str">
        <f t="shared" si="29"/>
        <v/>
      </c>
      <c r="Z425" s="38" t="str">
        <f t="shared" si="30"/>
        <v/>
      </c>
      <c r="AA425" s="39" t="str">
        <f t="shared" si="31"/>
        <v/>
      </c>
    </row>
    <row r="426" ht="15.75" customHeight="1">
      <c r="B426" s="1"/>
      <c r="C426" s="28"/>
      <c r="D426" s="79"/>
      <c r="E426" s="1"/>
      <c r="F426" s="76"/>
      <c r="G426" s="1"/>
      <c r="H426" s="1"/>
      <c r="J426" s="77"/>
      <c r="K426" s="80"/>
      <c r="L426" s="80"/>
      <c r="M426" s="80"/>
      <c r="N426" s="80"/>
      <c r="O426" s="80"/>
      <c r="P426" s="81"/>
      <c r="Q426" s="35" t="str">
        <f>IF(D426="","",VLOOKUP(MONTH(D426),Listas!$C$2:$D$14,2,0))</f>
        <v/>
      </c>
      <c r="R426" s="36" t="str">
        <f t="shared" si="22"/>
        <v/>
      </c>
      <c r="S426" s="37" t="str">
        <f t="shared" si="23"/>
        <v/>
      </c>
      <c r="T426" s="37" t="str">
        <f t="shared" si="24"/>
        <v/>
      </c>
      <c r="U426" s="37" t="str">
        <f t="shared" si="25"/>
        <v/>
      </c>
      <c r="V426" s="37" t="str">
        <f t="shared" si="26"/>
        <v/>
      </c>
      <c r="W426" s="37" t="str">
        <f t="shared" si="27"/>
        <v/>
      </c>
      <c r="X426" s="37" t="str">
        <f t="shared" si="28"/>
        <v/>
      </c>
      <c r="Y426" s="37" t="str">
        <f t="shared" si="29"/>
        <v/>
      </c>
      <c r="Z426" s="38" t="str">
        <f t="shared" si="30"/>
        <v/>
      </c>
      <c r="AA426" s="39" t="str">
        <f t="shared" si="31"/>
        <v/>
      </c>
    </row>
    <row r="427" ht="15.75" customHeight="1">
      <c r="B427" s="1"/>
      <c r="C427" s="28"/>
      <c r="D427" s="79"/>
      <c r="E427" s="1"/>
      <c r="F427" s="76"/>
      <c r="G427" s="1"/>
      <c r="H427" s="1"/>
      <c r="J427" s="77"/>
      <c r="K427" s="80"/>
      <c r="L427" s="80"/>
      <c r="M427" s="80"/>
      <c r="N427" s="80"/>
      <c r="O427" s="80"/>
      <c r="P427" s="81"/>
      <c r="Q427" s="35" t="str">
        <f>IF(D427="","",VLOOKUP(MONTH(D427),Listas!$C$2:$D$14,2,0))</f>
        <v/>
      </c>
      <c r="R427" s="36" t="str">
        <f t="shared" si="22"/>
        <v/>
      </c>
      <c r="S427" s="37" t="str">
        <f t="shared" si="23"/>
        <v/>
      </c>
      <c r="T427" s="37" t="str">
        <f t="shared" si="24"/>
        <v/>
      </c>
      <c r="U427" s="37" t="str">
        <f t="shared" si="25"/>
        <v/>
      </c>
      <c r="V427" s="37" t="str">
        <f t="shared" si="26"/>
        <v/>
      </c>
      <c r="W427" s="37" t="str">
        <f t="shared" si="27"/>
        <v/>
      </c>
      <c r="X427" s="37" t="str">
        <f t="shared" si="28"/>
        <v/>
      </c>
      <c r="Y427" s="37" t="str">
        <f t="shared" si="29"/>
        <v/>
      </c>
      <c r="Z427" s="38" t="str">
        <f t="shared" si="30"/>
        <v/>
      </c>
      <c r="AA427" s="39" t="str">
        <f t="shared" si="31"/>
        <v/>
      </c>
    </row>
    <row r="428" ht="15.75" customHeight="1">
      <c r="B428" s="1"/>
      <c r="C428" s="28"/>
      <c r="D428" s="79"/>
      <c r="E428" s="1"/>
      <c r="F428" s="76"/>
      <c r="G428" s="1"/>
      <c r="H428" s="1"/>
      <c r="J428" s="77"/>
      <c r="K428" s="80"/>
      <c r="L428" s="80"/>
      <c r="M428" s="80"/>
      <c r="N428" s="80"/>
      <c r="O428" s="80"/>
      <c r="P428" s="81"/>
      <c r="Q428" s="35" t="str">
        <f>IF(D428="","",VLOOKUP(MONTH(D428),Listas!$C$2:$D$14,2,0))</f>
        <v/>
      </c>
      <c r="R428" s="36" t="str">
        <f t="shared" si="22"/>
        <v/>
      </c>
      <c r="S428" s="37" t="str">
        <f t="shared" si="23"/>
        <v/>
      </c>
      <c r="T428" s="37" t="str">
        <f t="shared" si="24"/>
        <v/>
      </c>
      <c r="U428" s="37" t="str">
        <f t="shared" si="25"/>
        <v/>
      </c>
      <c r="V428" s="37" t="str">
        <f t="shared" si="26"/>
        <v/>
      </c>
      <c r="W428" s="37" t="str">
        <f t="shared" si="27"/>
        <v/>
      </c>
      <c r="X428" s="37" t="str">
        <f t="shared" si="28"/>
        <v/>
      </c>
      <c r="Y428" s="37" t="str">
        <f t="shared" si="29"/>
        <v/>
      </c>
      <c r="Z428" s="38" t="str">
        <f t="shared" si="30"/>
        <v/>
      </c>
      <c r="AA428" s="39" t="str">
        <f t="shared" si="31"/>
        <v/>
      </c>
    </row>
    <row r="429" ht="15.75" customHeight="1">
      <c r="B429" s="1"/>
      <c r="C429" s="28"/>
      <c r="D429" s="79"/>
      <c r="E429" s="1"/>
      <c r="F429" s="76"/>
      <c r="G429" s="1"/>
      <c r="H429" s="1"/>
      <c r="J429" s="77"/>
      <c r="K429" s="80"/>
      <c r="L429" s="80"/>
      <c r="M429" s="80"/>
      <c r="N429" s="80"/>
      <c r="O429" s="80"/>
      <c r="P429" s="81"/>
      <c r="Q429" s="35" t="str">
        <f>IF(D429="","",VLOOKUP(MONTH(D429),Listas!$C$2:$D$14,2,0))</f>
        <v/>
      </c>
      <c r="R429" s="36" t="str">
        <f t="shared" si="22"/>
        <v/>
      </c>
      <c r="S429" s="37" t="str">
        <f t="shared" si="23"/>
        <v/>
      </c>
      <c r="T429" s="37" t="str">
        <f t="shared" si="24"/>
        <v/>
      </c>
      <c r="U429" s="37" t="str">
        <f t="shared" si="25"/>
        <v/>
      </c>
      <c r="V429" s="37" t="str">
        <f t="shared" si="26"/>
        <v/>
      </c>
      <c r="W429" s="37" t="str">
        <f t="shared" si="27"/>
        <v/>
      </c>
      <c r="X429" s="37" t="str">
        <f t="shared" si="28"/>
        <v/>
      </c>
      <c r="Y429" s="37" t="str">
        <f t="shared" si="29"/>
        <v/>
      </c>
      <c r="Z429" s="38" t="str">
        <f t="shared" si="30"/>
        <v/>
      </c>
      <c r="AA429" s="39" t="str">
        <f t="shared" si="31"/>
        <v/>
      </c>
    </row>
    <row r="430" ht="15.75" customHeight="1">
      <c r="B430" s="1"/>
      <c r="C430" s="28"/>
      <c r="D430" s="79"/>
      <c r="E430" s="1"/>
      <c r="F430" s="76"/>
      <c r="G430" s="1"/>
      <c r="H430" s="1"/>
      <c r="J430" s="77"/>
      <c r="K430" s="80"/>
      <c r="L430" s="80"/>
      <c r="M430" s="80"/>
      <c r="N430" s="80"/>
      <c r="O430" s="80"/>
      <c r="P430" s="81"/>
      <c r="Q430" s="35" t="str">
        <f>IF(D430="","",VLOOKUP(MONTH(D430),Listas!$C$2:$D$14,2,0))</f>
        <v/>
      </c>
      <c r="R430" s="36" t="str">
        <f t="shared" si="22"/>
        <v/>
      </c>
      <c r="S430" s="37" t="str">
        <f t="shared" si="23"/>
        <v/>
      </c>
      <c r="T430" s="37" t="str">
        <f t="shared" si="24"/>
        <v/>
      </c>
      <c r="U430" s="37" t="str">
        <f t="shared" si="25"/>
        <v/>
      </c>
      <c r="V430" s="37" t="str">
        <f t="shared" si="26"/>
        <v/>
      </c>
      <c r="W430" s="37" t="str">
        <f t="shared" si="27"/>
        <v/>
      </c>
      <c r="X430" s="37" t="str">
        <f t="shared" si="28"/>
        <v/>
      </c>
      <c r="Y430" s="37" t="str">
        <f t="shared" si="29"/>
        <v/>
      </c>
      <c r="Z430" s="38" t="str">
        <f t="shared" si="30"/>
        <v/>
      </c>
      <c r="AA430" s="39" t="str">
        <f t="shared" si="31"/>
        <v/>
      </c>
    </row>
    <row r="431" ht="15.75" customHeight="1">
      <c r="B431" s="1"/>
      <c r="C431" s="28"/>
      <c r="D431" s="79"/>
      <c r="E431" s="1"/>
      <c r="F431" s="76"/>
      <c r="G431" s="1"/>
      <c r="H431" s="1"/>
      <c r="J431" s="77"/>
      <c r="K431" s="80"/>
      <c r="L431" s="80"/>
      <c r="M431" s="80"/>
      <c r="N431" s="80"/>
      <c r="O431" s="80"/>
      <c r="P431" s="81"/>
      <c r="Q431" s="35" t="str">
        <f>IF(D431="","",VLOOKUP(MONTH(D431),Listas!$C$2:$D$14,2,0))</f>
        <v/>
      </c>
      <c r="R431" s="36" t="str">
        <f t="shared" si="22"/>
        <v/>
      </c>
      <c r="S431" s="37" t="str">
        <f t="shared" si="23"/>
        <v/>
      </c>
      <c r="T431" s="37" t="str">
        <f t="shared" si="24"/>
        <v/>
      </c>
      <c r="U431" s="37" t="str">
        <f t="shared" si="25"/>
        <v/>
      </c>
      <c r="V431" s="37" t="str">
        <f t="shared" si="26"/>
        <v/>
      </c>
      <c r="W431" s="37" t="str">
        <f t="shared" si="27"/>
        <v/>
      </c>
      <c r="X431" s="37" t="str">
        <f t="shared" si="28"/>
        <v/>
      </c>
      <c r="Y431" s="37" t="str">
        <f t="shared" si="29"/>
        <v/>
      </c>
      <c r="Z431" s="38" t="str">
        <f t="shared" si="30"/>
        <v/>
      </c>
      <c r="AA431" s="39" t="str">
        <f t="shared" si="31"/>
        <v/>
      </c>
    </row>
    <row r="432" ht="15.75" customHeight="1">
      <c r="B432" s="1"/>
      <c r="C432" s="28"/>
      <c r="D432" s="79"/>
      <c r="E432" s="1"/>
      <c r="F432" s="76"/>
      <c r="G432" s="1"/>
      <c r="H432" s="1"/>
      <c r="J432" s="77"/>
      <c r="K432" s="80"/>
      <c r="L432" s="80"/>
      <c r="M432" s="80"/>
      <c r="N432" s="80"/>
      <c r="O432" s="80"/>
      <c r="P432" s="81"/>
      <c r="Q432" s="35" t="str">
        <f>IF(D432="","",VLOOKUP(MONTH(D432),Listas!$C$2:$D$14,2,0))</f>
        <v/>
      </c>
      <c r="R432" s="36" t="str">
        <f t="shared" si="22"/>
        <v/>
      </c>
      <c r="S432" s="37" t="str">
        <f t="shared" si="23"/>
        <v/>
      </c>
      <c r="T432" s="37" t="str">
        <f t="shared" si="24"/>
        <v/>
      </c>
      <c r="U432" s="37" t="str">
        <f t="shared" si="25"/>
        <v/>
      </c>
      <c r="V432" s="37" t="str">
        <f t="shared" si="26"/>
        <v/>
      </c>
      <c r="W432" s="37" t="str">
        <f t="shared" si="27"/>
        <v/>
      </c>
      <c r="X432" s="37" t="str">
        <f t="shared" si="28"/>
        <v/>
      </c>
      <c r="Y432" s="37" t="str">
        <f t="shared" si="29"/>
        <v/>
      </c>
      <c r="Z432" s="38" t="str">
        <f t="shared" si="30"/>
        <v/>
      </c>
      <c r="AA432" s="39" t="str">
        <f t="shared" si="31"/>
        <v/>
      </c>
    </row>
    <row r="433" ht="15.75" customHeight="1">
      <c r="B433" s="1"/>
      <c r="C433" s="28"/>
      <c r="D433" s="79"/>
      <c r="E433" s="1"/>
      <c r="F433" s="76"/>
      <c r="G433" s="1"/>
      <c r="H433" s="1"/>
      <c r="J433" s="77"/>
      <c r="K433" s="80"/>
      <c r="L433" s="80"/>
      <c r="M433" s="80"/>
      <c r="N433" s="80"/>
      <c r="O433" s="80"/>
      <c r="P433" s="81"/>
      <c r="Q433" s="35" t="str">
        <f>IF(D433="","",VLOOKUP(MONTH(D433),Listas!$C$2:$D$14,2,0))</f>
        <v/>
      </c>
      <c r="R433" s="36" t="str">
        <f t="shared" si="22"/>
        <v/>
      </c>
      <c r="S433" s="37" t="str">
        <f t="shared" si="23"/>
        <v/>
      </c>
      <c r="T433" s="37" t="str">
        <f t="shared" si="24"/>
        <v/>
      </c>
      <c r="U433" s="37" t="str">
        <f t="shared" si="25"/>
        <v/>
      </c>
      <c r="V433" s="37" t="str">
        <f t="shared" si="26"/>
        <v/>
      </c>
      <c r="W433" s="37" t="str">
        <f t="shared" si="27"/>
        <v/>
      </c>
      <c r="X433" s="37" t="str">
        <f t="shared" si="28"/>
        <v/>
      </c>
      <c r="Y433" s="37" t="str">
        <f t="shared" si="29"/>
        <v/>
      </c>
      <c r="Z433" s="38" t="str">
        <f t="shared" si="30"/>
        <v/>
      </c>
      <c r="AA433" s="39" t="str">
        <f t="shared" si="31"/>
        <v/>
      </c>
    </row>
    <row r="434" ht="15.75" customHeight="1">
      <c r="B434" s="1"/>
      <c r="C434" s="28"/>
      <c r="D434" s="79"/>
      <c r="E434" s="1"/>
      <c r="F434" s="76"/>
      <c r="G434" s="1"/>
      <c r="H434" s="1"/>
      <c r="J434" s="77"/>
      <c r="K434" s="80"/>
      <c r="L434" s="80"/>
      <c r="M434" s="80"/>
      <c r="N434" s="80"/>
      <c r="O434" s="80"/>
      <c r="P434" s="81"/>
      <c r="Q434" s="35" t="str">
        <f>IF(D434="","",VLOOKUP(MONTH(D434),Listas!$C$2:$D$14,2,0))</f>
        <v/>
      </c>
      <c r="R434" s="36" t="str">
        <f t="shared" si="22"/>
        <v/>
      </c>
      <c r="S434" s="37" t="str">
        <f t="shared" si="23"/>
        <v/>
      </c>
      <c r="T434" s="37" t="str">
        <f t="shared" si="24"/>
        <v/>
      </c>
      <c r="U434" s="37" t="str">
        <f t="shared" si="25"/>
        <v/>
      </c>
      <c r="V434" s="37" t="str">
        <f t="shared" si="26"/>
        <v/>
      </c>
      <c r="W434" s="37" t="str">
        <f t="shared" si="27"/>
        <v/>
      </c>
      <c r="X434" s="37" t="str">
        <f t="shared" si="28"/>
        <v/>
      </c>
      <c r="Y434" s="37" t="str">
        <f t="shared" si="29"/>
        <v/>
      </c>
      <c r="Z434" s="38" t="str">
        <f t="shared" si="30"/>
        <v/>
      </c>
      <c r="AA434" s="39" t="str">
        <f t="shared" si="31"/>
        <v/>
      </c>
    </row>
    <row r="435" ht="15.75" customHeight="1">
      <c r="B435" s="1"/>
      <c r="C435" s="28"/>
      <c r="D435" s="79"/>
      <c r="E435" s="1"/>
      <c r="F435" s="76"/>
      <c r="G435" s="1"/>
      <c r="H435" s="1"/>
      <c r="J435" s="77"/>
      <c r="K435" s="80"/>
      <c r="L435" s="80"/>
      <c r="M435" s="80"/>
      <c r="N435" s="80"/>
      <c r="O435" s="80"/>
      <c r="P435" s="81"/>
      <c r="Q435" s="35" t="str">
        <f>IF(D435="","",VLOOKUP(MONTH(D435),Listas!$C$2:$D$14,2,0))</f>
        <v/>
      </c>
      <c r="R435" s="36" t="str">
        <f t="shared" si="22"/>
        <v/>
      </c>
      <c r="S435" s="37" t="str">
        <f t="shared" si="23"/>
        <v/>
      </c>
      <c r="T435" s="37" t="str">
        <f t="shared" si="24"/>
        <v/>
      </c>
      <c r="U435" s="37" t="str">
        <f t="shared" si="25"/>
        <v/>
      </c>
      <c r="V435" s="37" t="str">
        <f t="shared" si="26"/>
        <v/>
      </c>
      <c r="W435" s="37" t="str">
        <f t="shared" si="27"/>
        <v/>
      </c>
      <c r="X435" s="37" t="str">
        <f t="shared" si="28"/>
        <v/>
      </c>
      <c r="Y435" s="37" t="str">
        <f t="shared" si="29"/>
        <v/>
      </c>
      <c r="Z435" s="38" t="str">
        <f t="shared" si="30"/>
        <v/>
      </c>
      <c r="AA435" s="39" t="str">
        <f t="shared" si="31"/>
        <v/>
      </c>
    </row>
    <row r="436" ht="15.75" customHeight="1">
      <c r="B436" s="1"/>
      <c r="C436" s="28"/>
      <c r="D436" s="79"/>
      <c r="E436" s="1"/>
      <c r="F436" s="76"/>
      <c r="G436" s="1"/>
      <c r="H436" s="1"/>
      <c r="J436" s="77"/>
      <c r="K436" s="80"/>
      <c r="L436" s="80"/>
      <c r="M436" s="80"/>
      <c r="N436" s="80"/>
      <c r="O436" s="80"/>
      <c r="P436" s="81"/>
      <c r="Q436" s="35" t="str">
        <f>IF(D436="","",VLOOKUP(MONTH(D436),Listas!$C$2:$D$14,2,0))</f>
        <v/>
      </c>
      <c r="R436" s="36" t="str">
        <f t="shared" si="22"/>
        <v/>
      </c>
      <c r="S436" s="37" t="str">
        <f t="shared" si="23"/>
        <v/>
      </c>
      <c r="T436" s="37" t="str">
        <f t="shared" si="24"/>
        <v/>
      </c>
      <c r="U436" s="37" t="str">
        <f t="shared" si="25"/>
        <v/>
      </c>
      <c r="V436" s="37" t="str">
        <f t="shared" si="26"/>
        <v/>
      </c>
      <c r="W436" s="37" t="str">
        <f t="shared" si="27"/>
        <v/>
      </c>
      <c r="X436" s="37" t="str">
        <f t="shared" si="28"/>
        <v/>
      </c>
      <c r="Y436" s="37" t="str">
        <f t="shared" si="29"/>
        <v/>
      </c>
      <c r="Z436" s="38" t="str">
        <f t="shared" si="30"/>
        <v/>
      </c>
      <c r="AA436" s="39" t="str">
        <f t="shared" si="31"/>
        <v/>
      </c>
    </row>
    <row r="437" ht="15.75" customHeight="1">
      <c r="B437" s="1"/>
      <c r="C437" s="28"/>
      <c r="D437" s="79"/>
      <c r="E437" s="1"/>
      <c r="F437" s="76"/>
      <c r="G437" s="1"/>
      <c r="H437" s="1"/>
      <c r="J437" s="77"/>
      <c r="K437" s="80"/>
      <c r="L437" s="80"/>
      <c r="M437" s="80"/>
      <c r="N437" s="80"/>
      <c r="O437" s="80"/>
      <c r="P437" s="81"/>
      <c r="Q437" s="35" t="str">
        <f>IF(D437="","",VLOOKUP(MONTH(D437),Listas!$C$2:$D$14,2,0))</f>
        <v/>
      </c>
      <c r="R437" s="36" t="str">
        <f t="shared" si="22"/>
        <v/>
      </c>
      <c r="S437" s="37" t="str">
        <f t="shared" si="23"/>
        <v/>
      </c>
      <c r="T437" s="37" t="str">
        <f t="shared" si="24"/>
        <v/>
      </c>
      <c r="U437" s="37" t="str">
        <f t="shared" si="25"/>
        <v/>
      </c>
      <c r="V437" s="37" t="str">
        <f t="shared" si="26"/>
        <v/>
      </c>
      <c r="W437" s="37" t="str">
        <f t="shared" si="27"/>
        <v/>
      </c>
      <c r="X437" s="37" t="str">
        <f t="shared" si="28"/>
        <v/>
      </c>
      <c r="Y437" s="37" t="str">
        <f t="shared" si="29"/>
        <v/>
      </c>
      <c r="Z437" s="38" t="str">
        <f t="shared" si="30"/>
        <v/>
      </c>
      <c r="AA437" s="39" t="str">
        <f t="shared" si="31"/>
        <v/>
      </c>
    </row>
    <row r="438" ht="15.75" customHeight="1">
      <c r="B438" s="1"/>
      <c r="C438" s="28"/>
      <c r="D438" s="79"/>
      <c r="E438" s="1"/>
      <c r="F438" s="76"/>
      <c r="G438" s="1"/>
      <c r="H438" s="1"/>
      <c r="J438" s="77"/>
      <c r="K438" s="80"/>
      <c r="L438" s="80"/>
      <c r="M438" s="80"/>
      <c r="N438" s="80"/>
      <c r="O438" s="80"/>
      <c r="P438" s="81"/>
      <c r="Q438" s="35" t="str">
        <f>IF(D438="","",VLOOKUP(MONTH(D438),Listas!$C$2:$D$14,2,0))</f>
        <v/>
      </c>
      <c r="R438" s="36" t="str">
        <f t="shared" si="22"/>
        <v/>
      </c>
      <c r="S438" s="37" t="str">
        <f t="shared" si="23"/>
        <v/>
      </c>
      <c r="T438" s="37" t="str">
        <f t="shared" si="24"/>
        <v/>
      </c>
      <c r="U438" s="37" t="str">
        <f t="shared" si="25"/>
        <v/>
      </c>
      <c r="V438" s="37" t="str">
        <f t="shared" si="26"/>
        <v/>
      </c>
      <c r="W438" s="37" t="str">
        <f t="shared" si="27"/>
        <v/>
      </c>
      <c r="X438" s="37" t="str">
        <f t="shared" si="28"/>
        <v/>
      </c>
      <c r="Y438" s="37" t="str">
        <f t="shared" si="29"/>
        <v/>
      </c>
      <c r="Z438" s="38" t="str">
        <f t="shared" si="30"/>
        <v/>
      </c>
      <c r="AA438" s="39" t="str">
        <f t="shared" si="31"/>
        <v/>
      </c>
    </row>
    <row r="439" ht="15.75" customHeight="1">
      <c r="B439" s="1"/>
      <c r="C439" s="28"/>
      <c r="D439" s="79"/>
      <c r="E439" s="1"/>
      <c r="F439" s="76"/>
      <c r="G439" s="1"/>
      <c r="H439" s="1"/>
      <c r="J439" s="77"/>
      <c r="K439" s="80"/>
      <c r="L439" s="80"/>
      <c r="M439" s="80"/>
      <c r="N439" s="80"/>
      <c r="O439" s="80"/>
      <c r="P439" s="81"/>
      <c r="Q439" s="35" t="str">
        <f>IF(D439="","",VLOOKUP(MONTH(D439),Listas!$C$2:$D$14,2,0))</f>
        <v/>
      </c>
      <c r="R439" s="36" t="str">
        <f t="shared" si="22"/>
        <v/>
      </c>
      <c r="S439" s="37" t="str">
        <f t="shared" si="23"/>
        <v/>
      </c>
      <c r="T439" s="37" t="str">
        <f t="shared" si="24"/>
        <v/>
      </c>
      <c r="U439" s="37" t="str">
        <f t="shared" si="25"/>
        <v/>
      </c>
      <c r="V439" s="37" t="str">
        <f t="shared" si="26"/>
        <v/>
      </c>
      <c r="W439" s="37" t="str">
        <f t="shared" si="27"/>
        <v/>
      </c>
      <c r="X439" s="37" t="str">
        <f t="shared" si="28"/>
        <v/>
      </c>
      <c r="Y439" s="37" t="str">
        <f t="shared" si="29"/>
        <v/>
      </c>
      <c r="Z439" s="38" t="str">
        <f t="shared" si="30"/>
        <v/>
      </c>
      <c r="AA439" s="39" t="str">
        <f t="shared" si="31"/>
        <v/>
      </c>
    </row>
    <row r="440" ht="15.75" customHeight="1">
      <c r="B440" s="1"/>
      <c r="C440" s="28"/>
      <c r="D440" s="79"/>
      <c r="E440" s="1"/>
      <c r="F440" s="76"/>
      <c r="G440" s="1"/>
      <c r="H440" s="1"/>
      <c r="J440" s="77"/>
      <c r="K440" s="80"/>
      <c r="L440" s="80"/>
      <c r="M440" s="80"/>
      <c r="N440" s="80"/>
      <c r="O440" s="80"/>
      <c r="P440" s="81"/>
      <c r="Q440" s="35" t="str">
        <f>IF(D440="","",VLOOKUP(MONTH(D440),Listas!$C$2:$D$14,2,0))</f>
        <v/>
      </c>
      <c r="R440" s="36" t="str">
        <f t="shared" si="22"/>
        <v/>
      </c>
      <c r="S440" s="37" t="str">
        <f t="shared" si="23"/>
        <v/>
      </c>
      <c r="T440" s="37" t="str">
        <f t="shared" si="24"/>
        <v/>
      </c>
      <c r="U440" s="37" t="str">
        <f t="shared" si="25"/>
        <v/>
      </c>
      <c r="V440" s="37" t="str">
        <f t="shared" si="26"/>
        <v/>
      </c>
      <c r="W440" s="37" t="str">
        <f t="shared" si="27"/>
        <v/>
      </c>
      <c r="X440" s="37" t="str">
        <f t="shared" si="28"/>
        <v/>
      </c>
      <c r="Y440" s="37" t="str">
        <f t="shared" si="29"/>
        <v/>
      </c>
      <c r="Z440" s="38" t="str">
        <f t="shared" si="30"/>
        <v/>
      </c>
      <c r="AA440" s="39" t="str">
        <f t="shared" si="31"/>
        <v/>
      </c>
    </row>
    <row r="441" ht="15.75" customHeight="1">
      <c r="B441" s="1"/>
      <c r="C441" s="28"/>
      <c r="D441" s="79"/>
      <c r="E441" s="1"/>
      <c r="F441" s="76"/>
      <c r="G441" s="1"/>
      <c r="H441" s="1"/>
      <c r="J441" s="77"/>
      <c r="K441" s="80"/>
      <c r="L441" s="80"/>
      <c r="M441" s="80"/>
      <c r="N441" s="80"/>
      <c r="O441" s="80"/>
      <c r="P441" s="81"/>
      <c r="Q441" s="35" t="str">
        <f>IF(D441="","",VLOOKUP(MONTH(D441),Listas!$C$2:$D$14,2,0))</f>
        <v/>
      </c>
      <c r="R441" s="36" t="str">
        <f t="shared" si="22"/>
        <v/>
      </c>
      <c r="S441" s="37" t="str">
        <f t="shared" si="23"/>
        <v/>
      </c>
      <c r="T441" s="37" t="str">
        <f t="shared" si="24"/>
        <v/>
      </c>
      <c r="U441" s="37" t="str">
        <f t="shared" si="25"/>
        <v/>
      </c>
      <c r="V441" s="37" t="str">
        <f t="shared" si="26"/>
        <v/>
      </c>
      <c r="W441" s="37" t="str">
        <f t="shared" si="27"/>
        <v/>
      </c>
      <c r="X441" s="37" t="str">
        <f t="shared" si="28"/>
        <v/>
      </c>
      <c r="Y441" s="37" t="str">
        <f t="shared" si="29"/>
        <v/>
      </c>
      <c r="Z441" s="38" t="str">
        <f t="shared" si="30"/>
        <v/>
      </c>
      <c r="AA441" s="39" t="str">
        <f t="shared" si="31"/>
        <v/>
      </c>
    </row>
    <row r="442" ht="15.75" customHeight="1">
      <c r="B442" s="1"/>
      <c r="C442" s="28"/>
      <c r="D442" s="79"/>
      <c r="E442" s="1"/>
      <c r="F442" s="76"/>
      <c r="G442" s="1"/>
      <c r="H442" s="1"/>
      <c r="J442" s="77"/>
      <c r="K442" s="80"/>
      <c r="L442" s="80"/>
      <c r="M442" s="80"/>
      <c r="N442" s="80"/>
      <c r="O442" s="80"/>
      <c r="P442" s="81"/>
      <c r="Q442" s="35" t="str">
        <f>IF(D442="","",VLOOKUP(MONTH(D442),Listas!$C$2:$D$14,2,0))</f>
        <v/>
      </c>
      <c r="R442" s="36" t="str">
        <f t="shared" si="22"/>
        <v/>
      </c>
      <c r="S442" s="37" t="str">
        <f t="shared" si="23"/>
        <v/>
      </c>
      <c r="T442" s="37" t="str">
        <f t="shared" si="24"/>
        <v/>
      </c>
      <c r="U442" s="37" t="str">
        <f t="shared" si="25"/>
        <v/>
      </c>
      <c r="V442" s="37" t="str">
        <f t="shared" si="26"/>
        <v/>
      </c>
      <c r="W442" s="37" t="str">
        <f t="shared" si="27"/>
        <v/>
      </c>
      <c r="X442" s="37" t="str">
        <f t="shared" si="28"/>
        <v/>
      </c>
      <c r="Y442" s="37" t="str">
        <f t="shared" si="29"/>
        <v/>
      </c>
      <c r="Z442" s="38" t="str">
        <f t="shared" si="30"/>
        <v/>
      </c>
      <c r="AA442" s="39" t="str">
        <f t="shared" si="31"/>
        <v/>
      </c>
    </row>
    <row r="443" ht="15.75" customHeight="1">
      <c r="B443" s="1"/>
      <c r="C443" s="28"/>
      <c r="D443" s="79"/>
      <c r="E443" s="1"/>
      <c r="F443" s="76"/>
      <c r="G443" s="1"/>
      <c r="H443" s="1"/>
      <c r="J443" s="77"/>
      <c r="K443" s="80"/>
      <c r="L443" s="80"/>
      <c r="M443" s="80"/>
      <c r="N443" s="80"/>
      <c r="O443" s="80"/>
      <c r="P443" s="81"/>
      <c r="Q443" s="35" t="str">
        <f>IF(D443="","",VLOOKUP(MONTH(D443),Listas!$C$2:$D$14,2,0))</f>
        <v/>
      </c>
      <c r="R443" s="36" t="str">
        <f t="shared" si="22"/>
        <v/>
      </c>
      <c r="S443" s="37" t="str">
        <f t="shared" si="23"/>
        <v/>
      </c>
      <c r="T443" s="37" t="str">
        <f t="shared" si="24"/>
        <v/>
      </c>
      <c r="U443" s="37" t="str">
        <f t="shared" si="25"/>
        <v/>
      </c>
      <c r="V443" s="37" t="str">
        <f t="shared" si="26"/>
        <v/>
      </c>
      <c r="W443" s="37" t="str">
        <f t="shared" si="27"/>
        <v/>
      </c>
      <c r="X443" s="37" t="str">
        <f t="shared" si="28"/>
        <v/>
      </c>
      <c r="Y443" s="37" t="str">
        <f t="shared" si="29"/>
        <v/>
      </c>
      <c r="Z443" s="38" t="str">
        <f t="shared" si="30"/>
        <v/>
      </c>
      <c r="AA443" s="39" t="str">
        <f t="shared" si="31"/>
        <v/>
      </c>
    </row>
    <row r="444" ht="15.75" customHeight="1">
      <c r="B444" s="1"/>
      <c r="C444" s="28"/>
      <c r="D444" s="79"/>
      <c r="E444" s="1"/>
      <c r="F444" s="76"/>
      <c r="G444" s="1"/>
      <c r="H444" s="1"/>
      <c r="J444" s="77"/>
      <c r="K444" s="80"/>
      <c r="L444" s="80"/>
      <c r="M444" s="80"/>
      <c r="N444" s="80"/>
      <c r="O444" s="80"/>
      <c r="P444" s="81"/>
      <c r="Q444" s="35" t="str">
        <f>IF(D444="","",VLOOKUP(MONTH(D444),Listas!$C$2:$D$14,2,0))</f>
        <v/>
      </c>
      <c r="R444" s="36" t="str">
        <f t="shared" si="22"/>
        <v/>
      </c>
      <c r="S444" s="37" t="str">
        <f t="shared" si="23"/>
        <v/>
      </c>
      <c r="T444" s="37" t="str">
        <f t="shared" si="24"/>
        <v/>
      </c>
      <c r="U444" s="37" t="str">
        <f t="shared" si="25"/>
        <v/>
      </c>
      <c r="V444" s="37" t="str">
        <f t="shared" si="26"/>
        <v/>
      </c>
      <c r="W444" s="37" t="str">
        <f t="shared" si="27"/>
        <v/>
      </c>
      <c r="X444" s="37" t="str">
        <f t="shared" si="28"/>
        <v/>
      </c>
      <c r="Y444" s="37" t="str">
        <f t="shared" si="29"/>
        <v/>
      </c>
      <c r="Z444" s="38" t="str">
        <f t="shared" si="30"/>
        <v/>
      </c>
      <c r="AA444" s="39" t="str">
        <f t="shared" si="31"/>
        <v/>
      </c>
    </row>
    <row r="445" ht="15.75" customHeight="1">
      <c r="B445" s="1"/>
      <c r="C445" s="28"/>
      <c r="D445" s="79"/>
      <c r="E445" s="1"/>
      <c r="F445" s="76"/>
      <c r="G445" s="1"/>
      <c r="H445" s="1"/>
      <c r="J445" s="77"/>
      <c r="K445" s="80"/>
      <c r="L445" s="80"/>
      <c r="M445" s="80"/>
      <c r="N445" s="80"/>
      <c r="O445" s="80"/>
      <c r="P445" s="81"/>
      <c r="Q445" s="35" t="str">
        <f>IF(D445="","",VLOOKUP(MONTH(D445),Listas!$C$2:$D$14,2,0))</f>
        <v/>
      </c>
      <c r="R445" s="36" t="str">
        <f t="shared" si="22"/>
        <v/>
      </c>
      <c r="S445" s="37" t="str">
        <f t="shared" si="23"/>
        <v/>
      </c>
      <c r="T445" s="37" t="str">
        <f t="shared" si="24"/>
        <v/>
      </c>
      <c r="U445" s="37" t="str">
        <f t="shared" si="25"/>
        <v/>
      </c>
      <c r="V445" s="37" t="str">
        <f t="shared" si="26"/>
        <v/>
      </c>
      <c r="W445" s="37" t="str">
        <f t="shared" si="27"/>
        <v/>
      </c>
      <c r="X445" s="37" t="str">
        <f t="shared" si="28"/>
        <v/>
      </c>
      <c r="Y445" s="37" t="str">
        <f t="shared" si="29"/>
        <v/>
      </c>
      <c r="Z445" s="38" t="str">
        <f t="shared" si="30"/>
        <v/>
      </c>
      <c r="AA445" s="39" t="str">
        <f t="shared" si="31"/>
        <v/>
      </c>
    </row>
    <row r="446" ht="15.75" customHeight="1">
      <c r="B446" s="1"/>
      <c r="C446" s="28"/>
      <c r="D446" s="79"/>
      <c r="E446" s="1"/>
      <c r="F446" s="76"/>
      <c r="G446" s="1"/>
      <c r="H446" s="1"/>
      <c r="J446" s="77"/>
      <c r="K446" s="80"/>
      <c r="L446" s="80"/>
      <c r="M446" s="80"/>
      <c r="N446" s="80"/>
      <c r="O446" s="80"/>
      <c r="P446" s="81"/>
      <c r="Q446" s="35" t="str">
        <f>IF(D446="","",VLOOKUP(MONTH(D446),Listas!$C$2:$D$14,2,0))</f>
        <v/>
      </c>
      <c r="R446" s="36" t="str">
        <f t="shared" si="22"/>
        <v/>
      </c>
      <c r="S446" s="37" t="str">
        <f t="shared" si="23"/>
        <v/>
      </c>
      <c r="T446" s="37" t="str">
        <f t="shared" si="24"/>
        <v/>
      </c>
      <c r="U446" s="37" t="str">
        <f t="shared" si="25"/>
        <v/>
      </c>
      <c r="V446" s="37" t="str">
        <f t="shared" si="26"/>
        <v/>
      </c>
      <c r="W446" s="37" t="str">
        <f t="shared" si="27"/>
        <v/>
      </c>
      <c r="X446" s="37" t="str">
        <f t="shared" si="28"/>
        <v/>
      </c>
      <c r="Y446" s="37" t="str">
        <f t="shared" si="29"/>
        <v/>
      </c>
      <c r="Z446" s="38" t="str">
        <f t="shared" si="30"/>
        <v/>
      </c>
      <c r="AA446" s="39" t="str">
        <f t="shared" si="31"/>
        <v/>
      </c>
    </row>
    <row r="447" ht="15.75" customHeight="1">
      <c r="B447" s="1"/>
      <c r="C447" s="28"/>
      <c r="D447" s="79"/>
      <c r="E447" s="1"/>
      <c r="F447" s="76"/>
      <c r="G447" s="1"/>
      <c r="H447" s="1"/>
      <c r="J447" s="77"/>
      <c r="K447" s="80"/>
      <c r="L447" s="80"/>
      <c r="M447" s="80"/>
      <c r="N447" s="80"/>
      <c r="O447" s="80"/>
      <c r="P447" s="81"/>
      <c r="Q447" s="35" t="str">
        <f>IF(D447="","",VLOOKUP(MONTH(D447),Listas!$C$2:$D$14,2,0))</f>
        <v/>
      </c>
      <c r="R447" s="36" t="str">
        <f t="shared" si="22"/>
        <v/>
      </c>
      <c r="S447" s="37" t="str">
        <f t="shared" si="23"/>
        <v/>
      </c>
      <c r="T447" s="37" t="str">
        <f t="shared" si="24"/>
        <v/>
      </c>
      <c r="U447" s="37" t="str">
        <f t="shared" si="25"/>
        <v/>
      </c>
      <c r="V447" s="37" t="str">
        <f t="shared" si="26"/>
        <v/>
      </c>
      <c r="W447" s="37" t="str">
        <f t="shared" si="27"/>
        <v/>
      </c>
      <c r="X447" s="37" t="str">
        <f t="shared" si="28"/>
        <v/>
      </c>
      <c r="Y447" s="37" t="str">
        <f t="shared" si="29"/>
        <v/>
      </c>
      <c r="Z447" s="38" t="str">
        <f t="shared" si="30"/>
        <v/>
      </c>
      <c r="AA447" s="39" t="str">
        <f t="shared" si="31"/>
        <v/>
      </c>
    </row>
    <row r="448" ht="15.75" customHeight="1">
      <c r="B448" s="1"/>
      <c r="C448" s="28"/>
      <c r="D448" s="79"/>
      <c r="E448" s="1"/>
      <c r="F448" s="76"/>
      <c r="G448" s="1"/>
      <c r="H448" s="1"/>
      <c r="J448" s="77"/>
      <c r="K448" s="80"/>
      <c r="L448" s="80"/>
      <c r="M448" s="80"/>
      <c r="N448" s="80"/>
      <c r="O448" s="80"/>
      <c r="P448" s="81"/>
      <c r="Q448" s="35" t="str">
        <f>IF(D448="","",VLOOKUP(MONTH(D448),Listas!$C$2:$D$14,2,0))</f>
        <v/>
      </c>
      <c r="R448" s="36" t="str">
        <f t="shared" si="22"/>
        <v/>
      </c>
      <c r="S448" s="37" t="str">
        <f t="shared" si="23"/>
        <v/>
      </c>
      <c r="T448" s="37" t="str">
        <f t="shared" si="24"/>
        <v/>
      </c>
      <c r="U448" s="37" t="str">
        <f t="shared" si="25"/>
        <v/>
      </c>
      <c r="V448" s="37" t="str">
        <f t="shared" si="26"/>
        <v/>
      </c>
      <c r="W448" s="37" t="str">
        <f t="shared" si="27"/>
        <v/>
      </c>
      <c r="X448" s="37" t="str">
        <f t="shared" si="28"/>
        <v/>
      </c>
      <c r="Y448" s="37" t="str">
        <f t="shared" si="29"/>
        <v/>
      </c>
      <c r="Z448" s="38" t="str">
        <f t="shared" si="30"/>
        <v/>
      </c>
      <c r="AA448" s="39" t="str">
        <f t="shared" si="31"/>
        <v/>
      </c>
    </row>
    <row r="449" ht="15.75" customHeight="1">
      <c r="B449" s="1"/>
      <c r="C449" s="28"/>
      <c r="D449" s="79"/>
      <c r="E449" s="1"/>
      <c r="F449" s="76"/>
      <c r="G449" s="1"/>
      <c r="H449" s="1"/>
      <c r="J449" s="77"/>
      <c r="K449" s="80"/>
      <c r="L449" s="80"/>
      <c r="M449" s="80"/>
      <c r="N449" s="80"/>
      <c r="O449" s="80"/>
      <c r="P449" s="81"/>
      <c r="Q449" s="35" t="str">
        <f>IF(D449="","",VLOOKUP(MONTH(D449),Listas!$C$2:$D$14,2,0))</f>
        <v/>
      </c>
      <c r="R449" s="36" t="str">
        <f t="shared" si="22"/>
        <v/>
      </c>
      <c r="S449" s="37" t="str">
        <f t="shared" si="23"/>
        <v/>
      </c>
      <c r="T449" s="37" t="str">
        <f t="shared" si="24"/>
        <v/>
      </c>
      <c r="U449" s="37" t="str">
        <f t="shared" si="25"/>
        <v/>
      </c>
      <c r="V449" s="37" t="str">
        <f t="shared" si="26"/>
        <v/>
      </c>
      <c r="W449" s="37" t="str">
        <f t="shared" si="27"/>
        <v/>
      </c>
      <c r="X449" s="37" t="str">
        <f t="shared" si="28"/>
        <v/>
      </c>
      <c r="Y449" s="37" t="str">
        <f t="shared" si="29"/>
        <v/>
      </c>
      <c r="Z449" s="38" t="str">
        <f t="shared" si="30"/>
        <v/>
      </c>
      <c r="AA449" s="39" t="str">
        <f t="shared" si="31"/>
        <v/>
      </c>
    </row>
    <row r="450" ht="15.75" customHeight="1">
      <c r="B450" s="1"/>
      <c r="C450" s="28"/>
      <c r="D450" s="79"/>
      <c r="E450" s="1"/>
      <c r="F450" s="76"/>
      <c r="G450" s="1"/>
      <c r="H450" s="1"/>
      <c r="J450" s="77"/>
      <c r="K450" s="80"/>
      <c r="L450" s="80"/>
      <c r="M450" s="80"/>
      <c r="N450" s="80"/>
      <c r="O450" s="80"/>
      <c r="P450" s="81"/>
      <c r="Q450" s="35" t="str">
        <f>IF(D450="","",VLOOKUP(MONTH(D450),Listas!$C$2:$D$14,2,0))</f>
        <v/>
      </c>
      <c r="R450" s="36" t="str">
        <f t="shared" si="22"/>
        <v/>
      </c>
      <c r="S450" s="37" t="str">
        <f t="shared" si="23"/>
        <v/>
      </c>
      <c r="T450" s="37" t="str">
        <f t="shared" si="24"/>
        <v/>
      </c>
      <c r="U450" s="37" t="str">
        <f t="shared" si="25"/>
        <v/>
      </c>
      <c r="V450" s="37" t="str">
        <f t="shared" si="26"/>
        <v/>
      </c>
      <c r="W450" s="37" t="str">
        <f t="shared" si="27"/>
        <v/>
      </c>
      <c r="X450" s="37" t="str">
        <f t="shared" si="28"/>
        <v/>
      </c>
      <c r="Y450" s="37" t="str">
        <f t="shared" si="29"/>
        <v/>
      </c>
      <c r="Z450" s="38" t="str">
        <f t="shared" si="30"/>
        <v/>
      </c>
      <c r="AA450" s="39" t="str">
        <f t="shared" si="31"/>
        <v/>
      </c>
    </row>
    <row r="451" ht="15.75" customHeight="1">
      <c r="B451" s="1"/>
      <c r="C451" s="28"/>
      <c r="D451" s="79"/>
      <c r="E451" s="1"/>
      <c r="F451" s="76"/>
      <c r="G451" s="1"/>
      <c r="H451" s="1"/>
      <c r="J451" s="77"/>
      <c r="K451" s="80"/>
      <c r="L451" s="80"/>
      <c r="M451" s="80"/>
      <c r="N451" s="80"/>
      <c r="O451" s="80"/>
      <c r="P451" s="81"/>
      <c r="Q451" s="35" t="str">
        <f>IF(D451="","",VLOOKUP(MONTH(D451),Listas!$C$2:$D$14,2,0))</f>
        <v/>
      </c>
      <c r="R451" s="36" t="str">
        <f t="shared" si="22"/>
        <v/>
      </c>
      <c r="S451" s="37" t="str">
        <f t="shared" si="23"/>
        <v/>
      </c>
      <c r="T451" s="37" t="str">
        <f t="shared" si="24"/>
        <v/>
      </c>
      <c r="U451" s="37" t="str">
        <f t="shared" si="25"/>
        <v/>
      </c>
      <c r="V451" s="37" t="str">
        <f t="shared" si="26"/>
        <v/>
      </c>
      <c r="W451" s="37" t="str">
        <f t="shared" si="27"/>
        <v/>
      </c>
      <c r="X451" s="37" t="str">
        <f t="shared" si="28"/>
        <v/>
      </c>
      <c r="Y451" s="37" t="str">
        <f t="shared" si="29"/>
        <v/>
      </c>
      <c r="Z451" s="38" t="str">
        <f t="shared" si="30"/>
        <v/>
      </c>
      <c r="AA451" s="39" t="str">
        <f t="shared" si="31"/>
        <v/>
      </c>
    </row>
    <row r="452" ht="15.75" customHeight="1">
      <c r="B452" s="1"/>
      <c r="C452" s="28"/>
      <c r="D452" s="79"/>
      <c r="E452" s="1"/>
      <c r="F452" s="76"/>
      <c r="G452" s="1"/>
      <c r="H452" s="1"/>
      <c r="J452" s="77"/>
      <c r="K452" s="80"/>
      <c r="L452" s="80"/>
      <c r="M452" s="80"/>
      <c r="N452" s="80"/>
      <c r="O452" s="80"/>
      <c r="P452" s="81"/>
      <c r="Q452" s="35" t="str">
        <f>IF(D452="","",VLOOKUP(MONTH(D452),Listas!$C$2:$D$14,2,0))</f>
        <v/>
      </c>
      <c r="R452" s="36" t="str">
        <f t="shared" si="22"/>
        <v/>
      </c>
      <c r="S452" s="37" t="str">
        <f t="shared" si="23"/>
        <v/>
      </c>
      <c r="T452" s="37" t="str">
        <f t="shared" si="24"/>
        <v/>
      </c>
      <c r="U452" s="37" t="str">
        <f t="shared" si="25"/>
        <v/>
      </c>
      <c r="V452" s="37" t="str">
        <f t="shared" si="26"/>
        <v/>
      </c>
      <c r="W452" s="37" t="str">
        <f t="shared" si="27"/>
        <v/>
      </c>
      <c r="X452" s="37" t="str">
        <f t="shared" si="28"/>
        <v/>
      </c>
      <c r="Y452" s="37" t="str">
        <f t="shared" si="29"/>
        <v/>
      </c>
      <c r="Z452" s="38" t="str">
        <f t="shared" si="30"/>
        <v/>
      </c>
      <c r="AA452" s="39" t="str">
        <f t="shared" si="31"/>
        <v/>
      </c>
    </row>
    <row r="453" ht="15.75" customHeight="1">
      <c r="B453" s="1"/>
      <c r="C453" s="28"/>
      <c r="D453" s="79"/>
      <c r="E453" s="1"/>
      <c r="F453" s="76"/>
      <c r="G453" s="1"/>
      <c r="H453" s="1"/>
      <c r="J453" s="77"/>
      <c r="K453" s="80"/>
      <c r="L453" s="80"/>
      <c r="M453" s="80"/>
      <c r="N453" s="80"/>
      <c r="O453" s="80"/>
      <c r="P453" s="81"/>
      <c r="Q453" s="35" t="str">
        <f>IF(D453="","",VLOOKUP(MONTH(D453),Listas!$C$2:$D$14,2,0))</f>
        <v/>
      </c>
      <c r="R453" s="36" t="str">
        <f t="shared" si="22"/>
        <v/>
      </c>
      <c r="S453" s="37" t="str">
        <f t="shared" si="23"/>
        <v/>
      </c>
      <c r="T453" s="37" t="str">
        <f t="shared" si="24"/>
        <v/>
      </c>
      <c r="U453" s="37" t="str">
        <f t="shared" si="25"/>
        <v/>
      </c>
      <c r="V453" s="37" t="str">
        <f t="shared" si="26"/>
        <v/>
      </c>
      <c r="W453" s="37" t="str">
        <f t="shared" si="27"/>
        <v/>
      </c>
      <c r="X453" s="37" t="str">
        <f t="shared" si="28"/>
        <v/>
      </c>
      <c r="Y453" s="37" t="str">
        <f t="shared" si="29"/>
        <v/>
      </c>
      <c r="Z453" s="38" t="str">
        <f t="shared" si="30"/>
        <v/>
      </c>
      <c r="AA453" s="39" t="str">
        <f t="shared" si="31"/>
        <v/>
      </c>
    </row>
    <row r="454" ht="15.75" customHeight="1">
      <c r="B454" s="1"/>
      <c r="C454" s="28"/>
      <c r="D454" s="79"/>
      <c r="E454" s="1"/>
      <c r="F454" s="76"/>
      <c r="G454" s="1"/>
      <c r="H454" s="1"/>
      <c r="J454" s="77"/>
      <c r="K454" s="80"/>
      <c r="L454" s="80"/>
      <c r="M454" s="80"/>
      <c r="N454" s="80"/>
      <c r="O454" s="80"/>
      <c r="P454" s="81"/>
      <c r="Q454" s="35" t="str">
        <f>IF(D454="","",VLOOKUP(MONTH(D454),Listas!$C$2:$D$14,2,0))</f>
        <v/>
      </c>
      <c r="R454" s="36" t="str">
        <f t="shared" si="22"/>
        <v/>
      </c>
      <c r="S454" s="37" t="str">
        <f t="shared" si="23"/>
        <v/>
      </c>
      <c r="T454" s="37" t="str">
        <f t="shared" si="24"/>
        <v/>
      </c>
      <c r="U454" s="37" t="str">
        <f t="shared" si="25"/>
        <v/>
      </c>
      <c r="V454" s="37" t="str">
        <f t="shared" si="26"/>
        <v/>
      </c>
      <c r="W454" s="37" t="str">
        <f t="shared" si="27"/>
        <v/>
      </c>
      <c r="X454" s="37" t="str">
        <f t="shared" si="28"/>
        <v/>
      </c>
      <c r="Y454" s="37" t="str">
        <f t="shared" si="29"/>
        <v/>
      </c>
      <c r="Z454" s="38" t="str">
        <f t="shared" si="30"/>
        <v/>
      </c>
      <c r="AA454" s="39" t="str">
        <f t="shared" si="31"/>
        <v/>
      </c>
    </row>
    <row r="455" ht="15.75" customHeight="1">
      <c r="B455" s="1"/>
      <c r="C455" s="28"/>
      <c r="D455" s="79"/>
      <c r="E455" s="1"/>
      <c r="F455" s="76"/>
      <c r="G455" s="1"/>
      <c r="H455" s="1"/>
      <c r="J455" s="77"/>
      <c r="K455" s="80"/>
      <c r="L455" s="80"/>
      <c r="M455" s="80"/>
      <c r="N455" s="80"/>
      <c r="O455" s="80"/>
      <c r="P455" s="81"/>
      <c r="Q455" s="35" t="str">
        <f>IF(D455="","",VLOOKUP(MONTH(D455),Listas!$C$2:$D$14,2,0))</f>
        <v/>
      </c>
      <c r="R455" s="36" t="str">
        <f t="shared" si="22"/>
        <v/>
      </c>
      <c r="S455" s="37" t="str">
        <f t="shared" si="23"/>
        <v/>
      </c>
      <c r="T455" s="37" t="str">
        <f t="shared" si="24"/>
        <v/>
      </c>
      <c r="U455" s="37" t="str">
        <f t="shared" si="25"/>
        <v/>
      </c>
      <c r="V455" s="37" t="str">
        <f t="shared" si="26"/>
        <v/>
      </c>
      <c r="W455" s="37" t="str">
        <f t="shared" si="27"/>
        <v/>
      </c>
      <c r="X455" s="37" t="str">
        <f t="shared" si="28"/>
        <v/>
      </c>
      <c r="Y455" s="37" t="str">
        <f t="shared" si="29"/>
        <v/>
      </c>
      <c r="Z455" s="38" t="str">
        <f t="shared" si="30"/>
        <v/>
      </c>
      <c r="AA455" s="39" t="str">
        <f t="shared" si="31"/>
        <v/>
      </c>
    </row>
    <row r="456" ht="15.75" customHeight="1">
      <c r="B456" s="1"/>
      <c r="C456" s="28"/>
      <c r="D456" s="79"/>
      <c r="E456" s="1"/>
      <c r="F456" s="76"/>
      <c r="G456" s="1"/>
      <c r="H456" s="1"/>
      <c r="J456" s="77"/>
      <c r="K456" s="80"/>
      <c r="L456" s="80"/>
      <c r="M456" s="80"/>
      <c r="N456" s="80"/>
      <c r="O456" s="80"/>
      <c r="P456" s="81"/>
      <c r="Q456" s="35" t="str">
        <f>IF(D456="","",VLOOKUP(MONTH(D456),Listas!$C$2:$D$14,2,0))</f>
        <v/>
      </c>
      <c r="R456" s="36" t="str">
        <f t="shared" si="22"/>
        <v/>
      </c>
      <c r="S456" s="37" t="str">
        <f t="shared" si="23"/>
        <v/>
      </c>
      <c r="T456" s="37" t="str">
        <f t="shared" si="24"/>
        <v/>
      </c>
      <c r="U456" s="37" t="str">
        <f t="shared" si="25"/>
        <v/>
      </c>
      <c r="V456" s="37" t="str">
        <f t="shared" si="26"/>
        <v/>
      </c>
      <c r="W456" s="37" t="str">
        <f t="shared" si="27"/>
        <v/>
      </c>
      <c r="X456" s="37" t="str">
        <f t="shared" si="28"/>
        <v/>
      </c>
      <c r="Y456" s="37" t="str">
        <f t="shared" si="29"/>
        <v/>
      </c>
      <c r="Z456" s="38" t="str">
        <f t="shared" si="30"/>
        <v/>
      </c>
      <c r="AA456" s="39" t="str">
        <f t="shared" si="31"/>
        <v/>
      </c>
    </row>
    <row r="457" ht="15.75" customHeight="1">
      <c r="B457" s="1"/>
      <c r="C457" s="28"/>
      <c r="D457" s="79"/>
      <c r="E457" s="1"/>
      <c r="F457" s="76"/>
      <c r="G457" s="1"/>
      <c r="H457" s="1"/>
      <c r="J457" s="77"/>
      <c r="K457" s="80"/>
      <c r="L457" s="80"/>
      <c r="M457" s="80"/>
      <c r="N457" s="80"/>
      <c r="O457" s="80"/>
      <c r="P457" s="81"/>
      <c r="Q457" s="35" t="str">
        <f>IF(D457="","",VLOOKUP(MONTH(D457),Listas!$C$2:$D$14,2,0))</f>
        <v/>
      </c>
      <c r="R457" s="36" t="str">
        <f t="shared" si="22"/>
        <v/>
      </c>
      <c r="S457" s="37" t="str">
        <f t="shared" si="23"/>
        <v/>
      </c>
      <c r="T457" s="37" t="str">
        <f t="shared" si="24"/>
        <v/>
      </c>
      <c r="U457" s="37" t="str">
        <f t="shared" si="25"/>
        <v/>
      </c>
      <c r="V457" s="37" t="str">
        <f t="shared" si="26"/>
        <v/>
      </c>
      <c r="W457" s="37" t="str">
        <f t="shared" si="27"/>
        <v/>
      </c>
      <c r="X457" s="37" t="str">
        <f t="shared" si="28"/>
        <v/>
      </c>
      <c r="Y457" s="37" t="str">
        <f t="shared" si="29"/>
        <v/>
      </c>
      <c r="Z457" s="38" t="str">
        <f t="shared" si="30"/>
        <v/>
      </c>
      <c r="AA457" s="39" t="str">
        <f t="shared" si="31"/>
        <v/>
      </c>
    </row>
    <row r="458" ht="15.75" customHeight="1">
      <c r="B458" s="1"/>
      <c r="C458" s="28"/>
      <c r="D458" s="79"/>
      <c r="E458" s="1"/>
      <c r="F458" s="76"/>
      <c r="G458" s="1"/>
      <c r="H458" s="1"/>
      <c r="J458" s="77"/>
      <c r="K458" s="80"/>
      <c r="L458" s="80"/>
      <c r="M458" s="80"/>
      <c r="N458" s="80"/>
      <c r="O458" s="80"/>
      <c r="P458" s="81"/>
      <c r="Q458" s="35" t="str">
        <f>IF(D458="","",VLOOKUP(MONTH(D458),Listas!$C$2:$D$14,2,0))</f>
        <v/>
      </c>
      <c r="R458" s="36" t="str">
        <f t="shared" si="22"/>
        <v/>
      </c>
      <c r="S458" s="37" t="str">
        <f t="shared" si="23"/>
        <v/>
      </c>
      <c r="T458" s="37" t="str">
        <f t="shared" si="24"/>
        <v/>
      </c>
      <c r="U458" s="37" t="str">
        <f t="shared" si="25"/>
        <v/>
      </c>
      <c r="V458" s="37" t="str">
        <f t="shared" si="26"/>
        <v/>
      </c>
      <c r="W458" s="37" t="str">
        <f t="shared" si="27"/>
        <v/>
      </c>
      <c r="X458" s="37" t="str">
        <f t="shared" si="28"/>
        <v/>
      </c>
      <c r="Y458" s="37" t="str">
        <f t="shared" si="29"/>
        <v/>
      </c>
      <c r="Z458" s="38" t="str">
        <f t="shared" si="30"/>
        <v/>
      </c>
      <c r="AA458" s="39" t="str">
        <f t="shared" si="31"/>
        <v/>
      </c>
    </row>
    <row r="459" ht="15.75" customHeight="1">
      <c r="B459" s="1"/>
      <c r="C459" s="28"/>
      <c r="D459" s="79"/>
      <c r="E459" s="1"/>
      <c r="F459" s="76"/>
      <c r="G459" s="1"/>
      <c r="H459" s="1"/>
      <c r="J459" s="77"/>
      <c r="K459" s="80"/>
      <c r="L459" s="80"/>
      <c r="M459" s="80"/>
      <c r="N459" s="80"/>
      <c r="O459" s="80"/>
      <c r="P459" s="81"/>
      <c r="Q459" s="35" t="str">
        <f>IF(D459="","",VLOOKUP(MONTH(D459),Listas!$C$2:$D$14,2,0))</f>
        <v/>
      </c>
      <c r="R459" s="36" t="str">
        <f t="shared" si="22"/>
        <v/>
      </c>
      <c r="S459" s="37" t="str">
        <f t="shared" si="23"/>
        <v/>
      </c>
      <c r="T459" s="37" t="str">
        <f t="shared" si="24"/>
        <v/>
      </c>
      <c r="U459" s="37" t="str">
        <f t="shared" si="25"/>
        <v/>
      </c>
      <c r="V459" s="37" t="str">
        <f t="shared" si="26"/>
        <v/>
      </c>
      <c r="W459" s="37" t="str">
        <f t="shared" si="27"/>
        <v/>
      </c>
      <c r="X459" s="37" t="str">
        <f t="shared" si="28"/>
        <v/>
      </c>
      <c r="Y459" s="37" t="str">
        <f t="shared" si="29"/>
        <v/>
      </c>
      <c r="Z459" s="38" t="str">
        <f t="shared" si="30"/>
        <v/>
      </c>
      <c r="AA459" s="39" t="str">
        <f t="shared" si="31"/>
        <v/>
      </c>
    </row>
    <row r="460" ht="15.75" customHeight="1">
      <c r="B460" s="1"/>
      <c r="C460" s="28"/>
      <c r="D460" s="79"/>
      <c r="E460" s="1"/>
      <c r="F460" s="76"/>
      <c r="G460" s="1"/>
      <c r="H460" s="1"/>
      <c r="J460" s="77"/>
      <c r="K460" s="80"/>
      <c r="L460" s="80"/>
      <c r="M460" s="80"/>
      <c r="N460" s="80"/>
      <c r="O460" s="80"/>
      <c r="P460" s="81"/>
      <c r="Q460" s="35" t="str">
        <f>IF(D460="","",VLOOKUP(MONTH(D460),Listas!$C$2:$D$14,2,0))</f>
        <v/>
      </c>
      <c r="R460" s="36" t="str">
        <f t="shared" si="22"/>
        <v/>
      </c>
      <c r="S460" s="37" t="str">
        <f t="shared" si="23"/>
        <v/>
      </c>
      <c r="T460" s="37" t="str">
        <f t="shared" si="24"/>
        <v/>
      </c>
      <c r="U460" s="37" t="str">
        <f t="shared" si="25"/>
        <v/>
      </c>
      <c r="V460" s="37" t="str">
        <f t="shared" si="26"/>
        <v/>
      </c>
      <c r="W460" s="37" t="str">
        <f t="shared" si="27"/>
        <v/>
      </c>
      <c r="X460" s="37" t="str">
        <f t="shared" si="28"/>
        <v/>
      </c>
      <c r="Y460" s="37" t="str">
        <f t="shared" si="29"/>
        <v/>
      </c>
      <c r="Z460" s="38" t="str">
        <f t="shared" si="30"/>
        <v/>
      </c>
      <c r="AA460" s="39" t="str">
        <f t="shared" si="31"/>
        <v/>
      </c>
    </row>
    <row r="461" ht="15.75" customHeight="1">
      <c r="B461" s="1"/>
      <c r="C461" s="28"/>
      <c r="D461" s="79"/>
      <c r="E461" s="1"/>
      <c r="F461" s="76"/>
      <c r="G461" s="1"/>
      <c r="H461" s="1"/>
      <c r="J461" s="77"/>
      <c r="K461" s="80"/>
      <c r="L461" s="80"/>
      <c r="M461" s="80"/>
      <c r="N461" s="80"/>
      <c r="O461" s="80"/>
      <c r="P461" s="81"/>
      <c r="Q461" s="35" t="str">
        <f>IF(D461="","",VLOOKUP(MONTH(D461),Listas!$C$2:$D$14,2,0))</f>
        <v/>
      </c>
      <c r="R461" s="36" t="str">
        <f t="shared" si="22"/>
        <v/>
      </c>
      <c r="S461" s="37" t="str">
        <f t="shared" si="23"/>
        <v/>
      </c>
      <c r="T461" s="37" t="str">
        <f t="shared" si="24"/>
        <v/>
      </c>
      <c r="U461" s="37" t="str">
        <f t="shared" si="25"/>
        <v/>
      </c>
      <c r="V461" s="37" t="str">
        <f t="shared" si="26"/>
        <v/>
      </c>
      <c r="W461" s="37" t="str">
        <f t="shared" si="27"/>
        <v/>
      </c>
      <c r="X461" s="37" t="str">
        <f t="shared" si="28"/>
        <v/>
      </c>
      <c r="Y461" s="37" t="str">
        <f t="shared" si="29"/>
        <v/>
      </c>
      <c r="Z461" s="38" t="str">
        <f t="shared" si="30"/>
        <v/>
      </c>
      <c r="AA461" s="39" t="str">
        <f t="shared" si="31"/>
        <v/>
      </c>
    </row>
    <row r="462" ht="15.75" customHeight="1">
      <c r="B462" s="1"/>
      <c r="C462" s="28"/>
      <c r="D462" s="79"/>
      <c r="E462" s="1"/>
      <c r="F462" s="76"/>
      <c r="G462" s="1"/>
      <c r="H462" s="1"/>
      <c r="J462" s="77"/>
      <c r="K462" s="80"/>
      <c r="L462" s="80"/>
      <c r="M462" s="80"/>
      <c r="N462" s="80"/>
      <c r="O462" s="80"/>
      <c r="P462" s="81"/>
      <c r="Q462" s="35" t="str">
        <f>IF(D462="","",VLOOKUP(MONTH(D462),Listas!$C$2:$D$14,2,0))</f>
        <v/>
      </c>
      <c r="R462" s="36" t="str">
        <f t="shared" si="22"/>
        <v/>
      </c>
      <c r="S462" s="37" t="str">
        <f t="shared" si="23"/>
        <v/>
      </c>
      <c r="T462" s="37" t="str">
        <f t="shared" si="24"/>
        <v/>
      </c>
      <c r="U462" s="37" t="str">
        <f t="shared" si="25"/>
        <v/>
      </c>
      <c r="V462" s="37" t="str">
        <f t="shared" si="26"/>
        <v/>
      </c>
      <c r="W462" s="37" t="str">
        <f t="shared" si="27"/>
        <v/>
      </c>
      <c r="X462" s="37" t="str">
        <f t="shared" si="28"/>
        <v/>
      </c>
      <c r="Y462" s="37" t="str">
        <f t="shared" si="29"/>
        <v/>
      </c>
      <c r="Z462" s="38" t="str">
        <f t="shared" si="30"/>
        <v/>
      </c>
      <c r="AA462" s="39" t="str">
        <f t="shared" si="31"/>
        <v/>
      </c>
    </row>
    <row r="463" ht="15.75" customHeight="1">
      <c r="B463" s="1"/>
      <c r="C463" s="28"/>
      <c r="D463" s="79"/>
      <c r="E463" s="1"/>
      <c r="F463" s="76"/>
      <c r="G463" s="1"/>
      <c r="H463" s="1"/>
      <c r="J463" s="77"/>
      <c r="K463" s="80"/>
      <c r="L463" s="80"/>
      <c r="M463" s="80"/>
      <c r="N463" s="80"/>
      <c r="O463" s="80"/>
      <c r="P463" s="81"/>
      <c r="Q463" s="35" t="str">
        <f>IF(D463="","",VLOOKUP(MONTH(D463),Listas!$C$2:$D$14,2,0))</f>
        <v/>
      </c>
      <c r="R463" s="36" t="str">
        <f t="shared" si="22"/>
        <v/>
      </c>
      <c r="S463" s="37" t="str">
        <f t="shared" si="23"/>
        <v/>
      </c>
      <c r="T463" s="37" t="str">
        <f t="shared" si="24"/>
        <v/>
      </c>
      <c r="U463" s="37" t="str">
        <f t="shared" si="25"/>
        <v/>
      </c>
      <c r="V463" s="37" t="str">
        <f t="shared" si="26"/>
        <v/>
      </c>
      <c r="W463" s="37" t="str">
        <f t="shared" si="27"/>
        <v/>
      </c>
      <c r="X463" s="37" t="str">
        <f t="shared" si="28"/>
        <v/>
      </c>
      <c r="Y463" s="37" t="str">
        <f t="shared" si="29"/>
        <v/>
      </c>
      <c r="Z463" s="38" t="str">
        <f t="shared" si="30"/>
        <v/>
      </c>
      <c r="AA463" s="39" t="str">
        <f t="shared" si="31"/>
        <v/>
      </c>
    </row>
    <row r="464" ht="15.75" customHeight="1">
      <c r="B464" s="1"/>
      <c r="C464" s="28"/>
      <c r="D464" s="79"/>
      <c r="E464" s="1"/>
      <c r="F464" s="76"/>
      <c r="G464" s="1"/>
      <c r="H464" s="1"/>
      <c r="J464" s="77"/>
      <c r="K464" s="80"/>
      <c r="L464" s="80"/>
      <c r="M464" s="80"/>
      <c r="N464" s="80"/>
      <c r="O464" s="80"/>
      <c r="P464" s="81"/>
      <c r="Q464" s="35" t="str">
        <f>IF(D464="","",VLOOKUP(MONTH(D464),Listas!$C$2:$D$14,2,0))</f>
        <v/>
      </c>
      <c r="R464" s="36" t="str">
        <f t="shared" si="22"/>
        <v/>
      </c>
      <c r="S464" s="37" t="str">
        <f t="shared" si="23"/>
        <v/>
      </c>
      <c r="T464" s="37" t="str">
        <f t="shared" si="24"/>
        <v/>
      </c>
      <c r="U464" s="37" t="str">
        <f t="shared" si="25"/>
        <v/>
      </c>
      <c r="V464" s="37" t="str">
        <f t="shared" si="26"/>
        <v/>
      </c>
      <c r="W464" s="37" t="str">
        <f t="shared" si="27"/>
        <v/>
      </c>
      <c r="X464" s="37" t="str">
        <f t="shared" si="28"/>
        <v/>
      </c>
      <c r="Y464" s="37" t="str">
        <f t="shared" si="29"/>
        <v/>
      </c>
      <c r="Z464" s="38" t="str">
        <f t="shared" si="30"/>
        <v/>
      </c>
      <c r="AA464" s="39" t="str">
        <f t="shared" si="31"/>
        <v/>
      </c>
    </row>
    <row r="465" ht="15.75" customHeight="1">
      <c r="B465" s="1"/>
      <c r="C465" s="28"/>
      <c r="D465" s="79"/>
      <c r="E465" s="1"/>
      <c r="F465" s="76"/>
      <c r="G465" s="1"/>
      <c r="H465" s="1"/>
      <c r="J465" s="77"/>
      <c r="K465" s="80"/>
      <c r="L465" s="80"/>
      <c r="M465" s="80"/>
      <c r="N465" s="80"/>
      <c r="O465" s="80"/>
      <c r="P465" s="81"/>
      <c r="Q465" s="35" t="str">
        <f>IF(D465="","",VLOOKUP(MONTH(D465),Listas!$C$2:$D$14,2,0))</f>
        <v/>
      </c>
      <c r="R465" s="36" t="str">
        <f t="shared" si="22"/>
        <v/>
      </c>
      <c r="S465" s="37" t="str">
        <f t="shared" si="23"/>
        <v/>
      </c>
      <c r="T465" s="37" t="str">
        <f t="shared" si="24"/>
        <v/>
      </c>
      <c r="U465" s="37" t="str">
        <f t="shared" si="25"/>
        <v/>
      </c>
      <c r="V465" s="37" t="str">
        <f t="shared" si="26"/>
        <v/>
      </c>
      <c r="W465" s="37" t="str">
        <f t="shared" si="27"/>
        <v/>
      </c>
      <c r="X465" s="37" t="str">
        <f t="shared" si="28"/>
        <v/>
      </c>
      <c r="Y465" s="37" t="str">
        <f t="shared" si="29"/>
        <v/>
      </c>
      <c r="Z465" s="38" t="str">
        <f t="shared" si="30"/>
        <v/>
      </c>
      <c r="AA465" s="39" t="str">
        <f t="shared" si="31"/>
        <v/>
      </c>
    </row>
    <row r="466" ht="15.75" customHeight="1">
      <c r="B466" s="1"/>
      <c r="C466" s="28"/>
      <c r="D466" s="79"/>
      <c r="E466" s="1"/>
      <c r="F466" s="76"/>
      <c r="G466" s="1"/>
      <c r="H466" s="1"/>
      <c r="J466" s="77"/>
      <c r="K466" s="80"/>
      <c r="L466" s="80"/>
      <c r="M466" s="80"/>
      <c r="N466" s="80"/>
      <c r="O466" s="80"/>
      <c r="P466" s="81"/>
      <c r="Q466" s="35" t="str">
        <f>IF(D466="","",VLOOKUP(MONTH(D466),Listas!$C$2:$D$14,2,0))</f>
        <v/>
      </c>
      <c r="R466" s="36" t="str">
        <f t="shared" si="22"/>
        <v/>
      </c>
      <c r="S466" s="37" t="str">
        <f t="shared" si="23"/>
        <v/>
      </c>
      <c r="T466" s="37" t="str">
        <f t="shared" si="24"/>
        <v/>
      </c>
      <c r="U466" s="37" t="str">
        <f t="shared" si="25"/>
        <v/>
      </c>
      <c r="V466" s="37" t="str">
        <f t="shared" si="26"/>
        <v/>
      </c>
      <c r="W466" s="37" t="str">
        <f t="shared" si="27"/>
        <v/>
      </c>
      <c r="X466" s="37" t="str">
        <f t="shared" si="28"/>
        <v/>
      </c>
      <c r="Y466" s="37" t="str">
        <f t="shared" si="29"/>
        <v/>
      </c>
      <c r="Z466" s="38" t="str">
        <f t="shared" si="30"/>
        <v/>
      </c>
      <c r="AA466" s="39" t="str">
        <f t="shared" si="31"/>
        <v/>
      </c>
    </row>
    <row r="467" ht="15.75" customHeight="1">
      <c r="B467" s="1"/>
      <c r="C467" s="28"/>
      <c r="D467" s="79"/>
      <c r="E467" s="1"/>
      <c r="F467" s="76"/>
      <c r="G467" s="1"/>
      <c r="H467" s="1"/>
      <c r="J467" s="77"/>
      <c r="K467" s="80"/>
      <c r="L467" s="80"/>
      <c r="M467" s="80"/>
      <c r="N467" s="80"/>
      <c r="O467" s="80"/>
      <c r="P467" s="81"/>
      <c r="Q467" s="35" t="str">
        <f>IF(D467="","",VLOOKUP(MONTH(D467),Listas!$C$2:$D$14,2,0))</f>
        <v/>
      </c>
      <c r="R467" s="36" t="str">
        <f t="shared" si="22"/>
        <v/>
      </c>
      <c r="S467" s="37" t="str">
        <f t="shared" si="23"/>
        <v/>
      </c>
      <c r="T467" s="37" t="str">
        <f t="shared" si="24"/>
        <v/>
      </c>
      <c r="U467" s="37" t="str">
        <f t="shared" si="25"/>
        <v/>
      </c>
      <c r="V467" s="37" t="str">
        <f t="shared" si="26"/>
        <v/>
      </c>
      <c r="W467" s="37" t="str">
        <f t="shared" si="27"/>
        <v/>
      </c>
      <c r="X467" s="37" t="str">
        <f t="shared" si="28"/>
        <v/>
      </c>
      <c r="Y467" s="37" t="str">
        <f t="shared" si="29"/>
        <v/>
      </c>
      <c r="Z467" s="38" t="str">
        <f t="shared" si="30"/>
        <v/>
      </c>
      <c r="AA467" s="39" t="str">
        <f t="shared" si="31"/>
        <v/>
      </c>
    </row>
    <row r="468" ht="15.75" customHeight="1">
      <c r="B468" s="1"/>
      <c r="C468" s="28"/>
      <c r="D468" s="79"/>
      <c r="E468" s="1"/>
      <c r="F468" s="76"/>
      <c r="G468" s="1"/>
      <c r="H468" s="1"/>
      <c r="J468" s="77"/>
      <c r="K468" s="80"/>
      <c r="L468" s="80"/>
      <c r="M468" s="80"/>
      <c r="N468" s="80"/>
      <c r="O468" s="80"/>
      <c r="P468" s="81"/>
      <c r="Q468" s="35" t="str">
        <f>IF(D468="","",VLOOKUP(MONTH(D468),Listas!$C$2:$D$14,2,0))</f>
        <v/>
      </c>
      <c r="R468" s="36" t="str">
        <f t="shared" si="22"/>
        <v/>
      </c>
      <c r="S468" s="37" t="str">
        <f t="shared" si="23"/>
        <v/>
      </c>
      <c r="T468" s="37" t="str">
        <f t="shared" si="24"/>
        <v/>
      </c>
      <c r="U468" s="37" t="str">
        <f t="shared" si="25"/>
        <v/>
      </c>
      <c r="V468" s="37" t="str">
        <f t="shared" si="26"/>
        <v/>
      </c>
      <c r="W468" s="37" t="str">
        <f t="shared" si="27"/>
        <v/>
      </c>
      <c r="X468" s="37" t="str">
        <f t="shared" si="28"/>
        <v/>
      </c>
      <c r="Y468" s="37" t="str">
        <f t="shared" si="29"/>
        <v/>
      </c>
      <c r="Z468" s="38" t="str">
        <f t="shared" si="30"/>
        <v/>
      </c>
      <c r="AA468" s="39" t="str">
        <f t="shared" si="31"/>
        <v/>
      </c>
    </row>
    <row r="469" ht="15.75" customHeight="1">
      <c r="B469" s="1"/>
      <c r="C469" s="28"/>
      <c r="D469" s="79"/>
      <c r="E469" s="1"/>
      <c r="F469" s="76"/>
      <c r="G469" s="1"/>
      <c r="H469" s="1"/>
      <c r="J469" s="77"/>
      <c r="K469" s="80"/>
      <c r="L469" s="80"/>
      <c r="M469" s="80"/>
      <c r="N469" s="80"/>
      <c r="O469" s="80"/>
      <c r="P469" s="81"/>
      <c r="Q469" s="35" t="str">
        <f>IF(D469="","",VLOOKUP(MONTH(D469),Listas!$C$2:$D$14,2,0))</f>
        <v/>
      </c>
      <c r="R469" s="36" t="str">
        <f t="shared" si="22"/>
        <v/>
      </c>
      <c r="S469" s="37" t="str">
        <f t="shared" si="23"/>
        <v/>
      </c>
      <c r="T469" s="37" t="str">
        <f t="shared" si="24"/>
        <v/>
      </c>
      <c r="U469" s="37" t="str">
        <f t="shared" si="25"/>
        <v/>
      </c>
      <c r="V469" s="37" t="str">
        <f t="shared" si="26"/>
        <v/>
      </c>
      <c r="W469" s="37" t="str">
        <f t="shared" si="27"/>
        <v/>
      </c>
      <c r="X469" s="37" t="str">
        <f t="shared" si="28"/>
        <v/>
      </c>
      <c r="Y469" s="37" t="str">
        <f t="shared" si="29"/>
        <v/>
      </c>
      <c r="Z469" s="38" t="str">
        <f t="shared" si="30"/>
        <v/>
      </c>
      <c r="AA469" s="39" t="str">
        <f t="shared" si="31"/>
        <v/>
      </c>
    </row>
    <row r="470" ht="15.75" customHeight="1">
      <c r="B470" s="1"/>
      <c r="C470" s="28"/>
      <c r="D470" s="79"/>
      <c r="E470" s="1"/>
      <c r="F470" s="76"/>
      <c r="G470" s="1"/>
      <c r="H470" s="1"/>
      <c r="J470" s="77"/>
      <c r="K470" s="80"/>
      <c r="L470" s="80"/>
      <c r="M470" s="80"/>
      <c r="N470" s="80"/>
      <c r="O470" s="80"/>
      <c r="P470" s="81"/>
      <c r="Q470" s="35" t="str">
        <f>IF(D470="","",VLOOKUP(MONTH(D470),Listas!$C$2:$D$14,2,0))</f>
        <v/>
      </c>
      <c r="R470" s="36" t="str">
        <f t="shared" si="22"/>
        <v/>
      </c>
      <c r="S470" s="37" t="str">
        <f t="shared" si="23"/>
        <v/>
      </c>
      <c r="T470" s="37" t="str">
        <f t="shared" si="24"/>
        <v/>
      </c>
      <c r="U470" s="37" t="str">
        <f t="shared" si="25"/>
        <v/>
      </c>
      <c r="V470" s="37" t="str">
        <f t="shared" si="26"/>
        <v/>
      </c>
      <c r="W470" s="37" t="str">
        <f t="shared" si="27"/>
        <v/>
      </c>
      <c r="X470" s="37" t="str">
        <f t="shared" si="28"/>
        <v/>
      </c>
      <c r="Y470" s="37" t="str">
        <f t="shared" si="29"/>
        <v/>
      </c>
      <c r="Z470" s="38" t="str">
        <f t="shared" si="30"/>
        <v/>
      </c>
      <c r="AA470" s="39" t="str">
        <f t="shared" si="31"/>
        <v/>
      </c>
    </row>
    <row r="471" ht="15.75" customHeight="1">
      <c r="B471" s="1"/>
      <c r="C471" s="28"/>
      <c r="D471" s="79"/>
      <c r="E471" s="1"/>
      <c r="F471" s="76"/>
      <c r="G471" s="1"/>
      <c r="H471" s="1"/>
      <c r="J471" s="77"/>
      <c r="K471" s="80"/>
      <c r="L471" s="80"/>
      <c r="M471" s="80"/>
      <c r="N471" s="80"/>
      <c r="O471" s="80"/>
      <c r="P471" s="81"/>
      <c r="Q471" s="35" t="str">
        <f>IF(D471="","",VLOOKUP(MONTH(D471),Listas!$C$2:$D$14,2,0))</f>
        <v/>
      </c>
      <c r="R471" s="36" t="str">
        <f t="shared" si="22"/>
        <v/>
      </c>
      <c r="S471" s="37" t="str">
        <f t="shared" si="23"/>
        <v/>
      </c>
      <c r="T471" s="37" t="str">
        <f t="shared" si="24"/>
        <v/>
      </c>
      <c r="U471" s="37" t="str">
        <f t="shared" si="25"/>
        <v/>
      </c>
      <c r="V471" s="37" t="str">
        <f t="shared" si="26"/>
        <v/>
      </c>
      <c r="W471" s="37" t="str">
        <f t="shared" si="27"/>
        <v/>
      </c>
      <c r="X471" s="37" t="str">
        <f t="shared" si="28"/>
        <v/>
      </c>
      <c r="Y471" s="37" t="str">
        <f t="shared" si="29"/>
        <v/>
      </c>
      <c r="Z471" s="38" t="str">
        <f t="shared" si="30"/>
        <v/>
      </c>
      <c r="AA471" s="39" t="str">
        <f t="shared" si="31"/>
        <v/>
      </c>
    </row>
    <row r="472" ht="15.75" customHeight="1">
      <c r="B472" s="1"/>
      <c r="C472" s="28"/>
      <c r="D472" s="79"/>
      <c r="E472" s="1"/>
      <c r="F472" s="76"/>
      <c r="G472" s="1"/>
      <c r="H472" s="1"/>
      <c r="J472" s="77"/>
      <c r="K472" s="80"/>
      <c r="L472" s="80"/>
      <c r="M472" s="80"/>
      <c r="N472" s="80"/>
      <c r="O472" s="80"/>
      <c r="P472" s="81"/>
      <c r="Q472" s="35" t="str">
        <f>IF(D472="","",VLOOKUP(MONTH(D472),Listas!$C$2:$D$14,2,0))</f>
        <v/>
      </c>
      <c r="R472" s="36" t="str">
        <f t="shared" si="22"/>
        <v/>
      </c>
      <c r="S472" s="37" t="str">
        <f t="shared" si="23"/>
        <v/>
      </c>
      <c r="T472" s="37" t="str">
        <f t="shared" si="24"/>
        <v/>
      </c>
      <c r="U472" s="37" t="str">
        <f t="shared" si="25"/>
        <v/>
      </c>
      <c r="V472" s="37" t="str">
        <f t="shared" si="26"/>
        <v/>
      </c>
      <c r="W472" s="37" t="str">
        <f t="shared" si="27"/>
        <v/>
      </c>
      <c r="X472" s="37" t="str">
        <f t="shared" si="28"/>
        <v/>
      </c>
      <c r="Y472" s="37" t="str">
        <f t="shared" si="29"/>
        <v/>
      </c>
      <c r="Z472" s="38" t="str">
        <f t="shared" si="30"/>
        <v/>
      </c>
      <c r="AA472" s="39" t="str">
        <f t="shared" si="31"/>
        <v/>
      </c>
    </row>
    <row r="473" ht="15.75" customHeight="1">
      <c r="B473" s="1"/>
      <c r="C473" s="28"/>
      <c r="D473" s="79"/>
      <c r="E473" s="1"/>
      <c r="F473" s="76"/>
      <c r="G473" s="1"/>
      <c r="H473" s="1"/>
      <c r="J473" s="77"/>
      <c r="K473" s="80"/>
      <c r="L473" s="80"/>
      <c r="M473" s="80"/>
      <c r="N473" s="80"/>
      <c r="O473" s="80"/>
      <c r="P473" s="81"/>
      <c r="Q473" s="35" t="str">
        <f>IF(D473="","",VLOOKUP(MONTH(D473),Listas!$C$2:$D$14,2,0))</f>
        <v/>
      </c>
      <c r="R473" s="36" t="str">
        <f t="shared" si="22"/>
        <v/>
      </c>
      <c r="S473" s="37" t="str">
        <f t="shared" si="23"/>
        <v/>
      </c>
      <c r="T473" s="37" t="str">
        <f t="shared" si="24"/>
        <v/>
      </c>
      <c r="U473" s="37" t="str">
        <f t="shared" si="25"/>
        <v/>
      </c>
      <c r="V473" s="37" t="str">
        <f t="shared" si="26"/>
        <v/>
      </c>
      <c r="W473" s="37" t="str">
        <f t="shared" si="27"/>
        <v/>
      </c>
      <c r="X473" s="37" t="str">
        <f t="shared" si="28"/>
        <v/>
      </c>
      <c r="Y473" s="37" t="str">
        <f t="shared" si="29"/>
        <v/>
      </c>
      <c r="Z473" s="38" t="str">
        <f t="shared" si="30"/>
        <v/>
      </c>
      <c r="AA473" s="39" t="str">
        <f t="shared" si="31"/>
        <v/>
      </c>
    </row>
    <row r="474" ht="15.75" customHeight="1">
      <c r="B474" s="1"/>
      <c r="C474" s="28"/>
      <c r="D474" s="79"/>
      <c r="E474" s="1"/>
      <c r="F474" s="76"/>
      <c r="G474" s="1"/>
      <c r="H474" s="1"/>
      <c r="J474" s="77"/>
      <c r="K474" s="80"/>
      <c r="L474" s="80"/>
      <c r="M474" s="80"/>
      <c r="N474" s="80"/>
      <c r="O474" s="80"/>
      <c r="P474" s="81"/>
      <c r="Q474" s="35" t="str">
        <f>IF(D474="","",VLOOKUP(MONTH(D474),Listas!$C$2:$D$14,2,0))</f>
        <v/>
      </c>
      <c r="R474" s="36" t="str">
        <f t="shared" si="22"/>
        <v/>
      </c>
      <c r="S474" s="37" t="str">
        <f t="shared" si="23"/>
        <v/>
      </c>
      <c r="T474" s="37" t="str">
        <f t="shared" si="24"/>
        <v/>
      </c>
      <c r="U474" s="37" t="str">
        <f t="shared" si="25"/>
        <v/>
      </c>
      <c r="V474" s="37" t="str">
        <f t="shared" si="26"/>
        <v/>
      </c>
      <c r="W474" s="37" t="str">
        <f t="shared" si="27"/>
        <v/>
      </c>
      <c r="X474" s="37" t="str">
        <f t="shared" si="28"/>
        <v/>
      </c>
      <c r="Y474" s="37" t="str">
        <f t="shared" si="29"/>
        <v/>
      </c>
      <c r="Z474" s="38" t="str">
        <f t="shared" si="30"/>
        <v/>
      </c>
      <c r="AA474" s="39" t="str">
        <f t="shared" si="31"/>
        <v/>
      </c>
    </row>
    <row r="475" ht="15.75" customHeight="1">
      <c r="B475" s="1"/>
      <c r="C475" s="28"/>
      <c r="D475" s="79"/>
      <c r="E475" s="1"/>
      <c r="F475" s="76"/>
      <c r="G475" s="1"/>
      <c r="H475" s="1"/>
      <c r="J475" s="77"/>
      <c r="K475" s="80"/>
      <c r="L475" s="80"/>
      <c r="M475" s="80"/>
      <c r="N475" s="80"/>
      <c r="O475" s="80"/>
      <c r="P475" s="81"/>
      <c r="Q475" s="35" t="str">
        <f>IF(D475="","",VLOOKUP(MONTH(D475),Listas!$C$2:$D$14,2,0))</f>
        <v/>
      </c>
      <c r="R475" s="36" t="str">
        <f t="shared" si="22"/>
        <v/>
      </c>
      <c r="S475" s="37" t="str">
        <f t="shared" si="23"/>
        <v/>
      </c>
      <c r="T475" s="37" t="str">
        <f t="shared" si="24"/>
        <v/>
      </c>
      <c r="U475" s="37" t="str">
        <f t="shared" si="25"/>
        <v/>
      </c>
      <c r="V475" s="37" t="str">
        <f t="shared" si="26"/>
        <v/>
      </c>
      <c r="W475" s="37" t="str">
        <f t="shared" si="27"/>
        <v/>
      </c>
      <c r="X475" s="37" t="str">
        <f t="shared" si="28"/>
        <v/>
      </c>
      <c r="Y475" s="37" t="str">
        <f t="shared" si="29"/>
        <v/>
      </c>
      <c r="Z475" s="38" t="str">
        <f t="shared" si="30"/>
        <v/>
      </c>
      <c r="AA475" s="39" t="str">
        <f t="shared" si="31"/>
        <v/>
      </c>
    </row>
    <row r="476" ht="15.75" customHeight="1">
      <c r="B476" s="1"/>
      <c r="C476" s="28"/>
      <c r="D476" s="79"/>
      <c r="E476" s="1"/>
      <c r="F476" s="76"/>
      <c r="G476" s="1"/>
      <c r="H476" s="1"/>
      <c r="J476" s="77"/>
      <c r="K476" s="80"/>
      <c r="L476" s="80"/>
      <c r="M476" s="80"/>
      <c r="N476" s="80"/>
      <c r="O476" s="80"/>
      <c r="P476" s="81"/>
      <c r="Q476" s="35" t="str">
        <f>IF(D476="","",VLOOKUP(MONTH(D476),Listas!$C$2:$D$14,2,0))</f>
        <v/>
      </c>
      <c r="R476" s="36" t="str">
        <f t="shared" si="22"/>
        <v/>
      </c>
      <c r="S476" s="37" t="str">
        <f t="shared" si="23"/>
        <v/>
      </c>
      <c r="T476" s="37" t="str">
        <f t="shared" si="24"/>
        <v/>
      </c>
      <c r="U476" s="37" t="str">
        <f t="shared" si="25"/>
        <v/>
      </c>
      <c r="V476" s="37" t="str">
        <f t="shared" si="26"/>
        <v/>
      </c>
      <c r="W476" s="37" t="str">
        <f t="shared" si="27"/>
        <v/>
      </c>
      <c r="X476" s="37" t="str">
        <f t="shared" si="28"/>
        <v/>
      </c>
      <c r="Y476" s="37" t="str">
        <f t="shared" si="29"/>
        <v/>
      </c>
      <c r="Z476" s="38" t="str">
        <f t="shared" si="30"/>
        <v/>
      </c>
      <c r="AA476" s="39" t="str">
        <f t="shared" si="31"/>
        <v/>
      </c>
    </row>
    <row r="477" ht="15.75" customHeight="1">
      <c r="B477" s="1"/>
      <c r="C477" s="28"/>
      <c r="D477" s="79"/>
      <c r="E477" s="1"/>
      <c r="F477" s="76"/>
      <c r="G477" s="1"/>
      <c r="H477" s="1"/>
      <c r="J477" s="77"/>
      <c r="K477" s="80"/>
      <c r="L477" s="80"/>
      <c r="M477" s="80"/>
      <c r="N477" s="80"/>
      <c r="O477" s="80"/>
      <c r="P477" s="81"/>
      <c r="Q477" s="35" t="str">
        <f>IF(D477="","",VLOOKUP(MONTH(D477),Listas!$C$2:$D$14,2,0))</f>
        <v/>
      </c>
      <c r="R477" s="36" t="str">
        <f t="shared" si="22"/>
        <v/>
      </c>
      <c r="S477" s="37" t="str">
        <f t="shared" si="23"/>
        <v/>
      </c>
      <c r="T477" s="37" t="str">
        <f t="shared" si="24"/>
        <v/>
      </c>
      <c r="U477" s="37" t="str">
        <f t="shared" si="25"/>
        <v/>
      </c>
      <c r="V477" s="37" t="str">
        <f t="shared" si="26"/>
        <v/>
      </c>
      <c r="W477" s="37" t="str">
        <f t="shared" si="27"/>
        <v/>
      </c>
      <c r="X477" s="37" t="str">
        <f t="shared" si="28"/>
        <v/>
      </c>
      <c r="Y477" s="37" t="str">
        <f t="shared" si="29"/>
        <v/>
      </c>
      <c r="Z477" s="38" t="str">
        <f t="shared" si="30"/>
        <v/>
      </c>
      <c r="AA477" s="39" t="str">
        <f t="shared" si="31"/>
        <v/>
      </c>
    </row>
    <row r="478" ht="15.75" customHeight="1">
      <c r="B478" s="1"/>
      <c r="C478" s="28"/>
      <c r="D478" s="79"/>
      <c r="E478" s="1"/>
      <c r="F478" s="76"/>
      <c r="G478" s="1"/>
      <c r="H478" s="1"/>
      <c r="J478" s="77"/>
      <c r="K478" s="80"/>
      <c r="L478" s="80"/>
      <c r="M478" s="80"/>
      <c r="N478" s="80"/>
      <c r="O478" s="80"/>
      <c r="P478" s="81"/>
      <c r="Q478" s="35" t="str">
        <f>IF(D478="","",VLOOKUP(MONTH(D478),Listas!$C$2:$D$14,2,0))</f>
        <v/>
      </c>
      <c r="R478" s="36" t="str">
        <f t="shared" si="22"/>
        <v/>
      </c>
      <c r="S478" s="37" t="str">
        <f t="shared" si="23"/>
        <v/>
      </c>
      <c r="T478" s="37" t="str">
        <f t="shared" si="24"/>
        <v/>
      </c>
      <c r="U478" s="37" t="str">
        <f t="shared" si="25"/>
        <v/>
      </c>
      <c r="V478" s="37" t="str">
        <f t="shared" si="26"/>
        <v/>
      </c>
      <c r="W478" s="37" t="str">
        <f t="shared" si="27"/>
        <v/>
      </c>
      <c r="X478" s="37" t="str">
        <f t="shared" si="28"/>
        <v/>
      </c>
      <c r="Y478" s="37" t="str">
        <f t="shared" si="29"/>
        <v/>
      </c>
      <c r="Z478" s="38" t="str">
        <f t="shared" si="30"/>
        <v/>
      </c>
      <c r="AA478" s="39" t="str">
        <f t="shared" si="31"/>
        <v/>
      </c>
    </row>
    <row r="479" ht="15.75" customHeight="1">
      <c r="B479" s="1"/>
      <c r="C479" s="28"/>
      <c r="D479" s="79"/>
      <c r="E479" s="1"/>
      <c r="F479" s="76"/>
      <c r="G479" s="1"/>
      <c r="H479" s="1"/>
      <c r="J479" s="77"/>
      <c r="K479" s="80"/>
      <c r="L479" s="80"/>
      <c r="M479" s="80"/>
      <c r="N479" s="80"/>
      <c r="O479" s="80"/>
      <c r="P479" s="81"/>
      <c r="Q479" s="35" t="str">
        <f>IF(D479="","",VLOOKUP(MONTH(D479),Listas!$C$2:$D$14,2,0))</f>
        <v/>
      </c>
      <c r="R479" s="36" t="str">
        <f t="shared" si="22"/>
        <v/>
      </c>
      <c r="S479" s="37" t="str">
        <f t="shared" si="23"/>
        <v/>
      </c>
      <c r="T479" s="37" t="str">
        <f t="shared" si="24"/>
        <v/>
      </c>
      <c r="U479" s="37" t="str">
        <f t="shared" si="25"/>
        <v/>
      </c>
      <c r="V479" s="37" t="str">
        <f t="shared" si="26"/>
        <v/>
      </c>
      <c r="W479" s="37" t="str">
        <f t="shared" si="27"/>
        <v/>
      </c>
      <c r="X479" s="37" t="str">
        <f t="shared" si="28"/>
        <v/>
      </c>
      <c r="Y479" s="37" t="str">
        <f t="shared" si="29"/>
        <v/>
      </c>
      <c r="Z479" s="38" t="str">
        <f t="shared" si="30"/>
        <v/>
      </c>
      <c r="AA479" s="39" t="str">
        <f t="shared" si="31"/>
        <v/>
      </c>
    </row>
    <row r="480" ht="15.75" customHeight="1">
      <c r="B480" s="1"/>
      <c r="C480" s="28"/>
      <c r="D480" s="79"/>
      <c r="E480" s="1"/>
      <c r="F480" s="76"/>
      <c r="G480" s="1"/>
      <c r="H480" s="1"/>
      <c r="J480" s="77"/>
      <c r="K480" s="80"/>
      <c r="L480" s="80"/>
      <c r="M480" s="80"/>
      <c r="N480" s="80"/>
      <c r="O480" s="80"/>
      <c r="P480" s="81"/>
      <c r="Q480" s="35" t="str">
        <f>IF(D480="","",VLOOKUP(MONTH(D480),Listas!$C$2:$D$14,2,0))</f>
        <v/>
      </c>
      <c r="R480" s="36" t="str">
        <f t="shared" si="22"/>
        <v/>
      </c>
      <c r="S480" s="37" t="str">
        <f t="shared" si="23"/>
        <v/>
      </c>
      <c r="T480" s="37" t="str">
        <f t="shared" si="24"/>
        <v/>
      </c>
      <c r="U480" s="37" t="str">
        <f t="shared" si="25"/>
        <v/>
      </c>
      <c r="V480" s="37" t="str">
        <f t="shared" si="26"/>
        <v/>
      </c>
      <c r="W480" s="37" t="str">
        <f t="shared" si="27"/>
        <v/>
      </c>
      <c r="X480" s="37" t="str">
        <f t="shared" si="28"/>
        <v/>
      </c>
      <c r="Y480" s="37" t="str">
        <f t="shared" si="29"/>
        <v/>
      </c>
      <c r="Z480" s="38" t="str">
        <f t="shared" si="30"/>
        <v/>
      </c>
      <c r="AA480" s="39" t="str">
        <f t="shared" si="31"/>
        <v/>
      </c>
    </row>
    <row r="481" ht="15.75" customHeight="1">
      <c r="B481" s="1"/>
      <c r="C481" s="28"/>
      <c r="D481" s="79"/>
      <c r="E481" s="1"/>
      <c r="F481" s="76"/>
      <c r="G481" s="1"/>
      <c r="H481" s="1"/>
      <c r="J481" s="77"/>
      <c r="K481" s="80"/>
      <c r="L481" s="80"/>
      <c r="M481" s="80"/>
      <c r="N481" s="80"/>
      <c r="O481" s="80"/>
      <c r="P481" s="81"/>
      <c r="Q481" s="35" t="str">
        <f>IF(D481="","",VLOOKUP(MONTH(D481),Listas!$C$2:$D$14,2,0))</f>
        <v/>
      </c>
      <c r="R481" s="36" t="str">
        <f t="shared" si="22"/>
        <v/>
      </c>
      <c r="S481" s="37" t="str">
        <f t="shared" si="23"/>
        <v/>
      </c>
      <c r="T481" s="37" t="str">
        <f t="shared" si="24"/>
        <v/>
      </c>
      <c r="U481" s="37" t="str">
        <f t="shared" si="25"/>
        <v/>
      </c>
      <c r="V481" s="37" t="str">
        <f t="shared" si="26"/>
        <v/>
      </c>
      <c r="W481" s="37" t="str">
        <f t="shared" si="27"/>
        <v/>
      </c>
      <c r="X481" s="37" t="str">
        <f t="shared" si="28"/>
        <v/>
      </c>
      <c r="Y481" s="37" t="str">
        <f t="shared" si="29"/>
        <v/>
      </c>
      <c r="Z481" s="38" t="str">
        <f t="shared" si="30"/>
        <v/>
      </c>
      <c r="AA481" s="39" t="str">
        <f t="shared" si="31"/>
        <v/>
      </c>
    </row>
    <row r="482" ht="15.75" customHeight="1">
      <c r="B482" s="1"/>
      <c r="C482" s="28"/>
      <c r="D482" s="79"/>
      <c r="E482" s="1"/>
      <c r="F482" s="76"/>
      <c r="G482" s="1"/>
      <c r="H482" s="1"/>
      <c r="J482" s="77"/>
      <c r="K482" s="80"/>
      <c r="L482" s="80"/>
      <c r="M482" s="80"/>
      <c r="N482" s="80"/>
      <c r="O482" s="80"/>
      <c r="P482" s="81"/>
      <c r="Q482" s="35" t="str">
        <f>IF(D482="","",VLOOKUP(MONTH(D482),Listas!$C$2:$D$14,2,0))</f>
        <v/>
      </c>
      <c r="R482" s="36" t="str">
        <f t="shared" si="22"/>
        <v/>
      </c>
      <c r="S482" s="37" t="str">
        <f t="shared" si="23"/>
        <v/>
      </c>
      <c r="T482" s="37" t="str">
        <f t="shared" si="24"/>
        <v/>
      </c>
      <c r="U482" s="37" t="str">
        <f t="shared" si="25"/>
        <v/>
      </c>
      <c r="V482" s="37" t="str">
        <f t="shared" si="26"/>
        <v/>
      </c>
      <c r="W482" s="37" t="str">
        <f t="shared" si="27"/>
        <v/>
      </c>
      <c r="X482" s="37" t="str">
        <f t="shared" si="28"/>
        <v/>
      </c>
      <c r="Y482" s="37" t="str">
        <f t="shared" si="29"/>
        <v/>
      </c>
      <c r="Z482" s="38" t="str">
        <f t="shared" si="30"/>
        <v/>
      </c>
      <c r="AA482" s="39" t="str">
        <f t="shared" si="31"/>
        <v/>
      </c>
    </row>
    <row r="483" ht="15.75" customHeight="1">
      <c r="B483" s="1"/>
      <c r="C483" s="28"/>
      <c r="D483" s="79"/>
      <c r="E483" s="1"/>
      <c r="F483" s="76"/>
      <c r="G483" s="1"/>
      <c r="H483" s="1"/>
      <c r="J483" s="77"/>
      <c r="K483" s="80"/>
      <c r="L483" s="80"/>
      <c r="M483" s="80"/>
      <c r="N483" s="80"/>
      <c r="O483" s="80"/>
      <c r="P483" s="81"/>
      <c r="Q483" s="35" t="str">
        <f>IF(D483="","",VLOOKUP(MONTH(D483),Listas!$C$2:$D$14,2,0))</f>
        <v/>
      </c>
      <c r="R483" s="36" t="str">
        <f t="shared" si="22"/>
        <v/>
      </c>
      <c r="S483" s="37" t="str">
        <f t="shared" si="23"/>
        <v/>
      </c>
      <c r="T483" s="37" t="str">
        <f t="shared" si="24"/>
        <v/>
      </c>
      <c r="U483" s="37" t="str">
        <f t="shared" si="25"/>
        <v/>
      </c>
      <c r="V483" s="37" t="str">
        <f t="shared" si="26"/>
        <v/>
      </c>
      <c r="W483" s="37" t="str">
        <f t="shared" si="27"/>
        <v/>
      </c>
      <c r="X483" s="37" t="str">
        <f t="shared" si="28"/>
        <v/>
      </c>
      <c r="Y483" s="37" t="str">
        <f t="shared" si="29"/>
        <v/>
      </c>
      <c r="Z483" s="38" t="str">
        <f t="shared" si="30"/>
        <v/>
      </c>
      <c r="AA483" s="39" t="str">
        <f t="shared" si="31"/>
        <v/>
      </c>
    </row>
    <row r="484" ht="15.75" customHeight="1">
      <c r="B484" s="1"/>
      <c r="C484" s="28"/>
      <c r="D484" s="79"/>
      <c r="E484" s="1"/>
      <c r="F484" s="76"/>
      <c r="G484" s="1"/>
      <c r="H484" s="1"/>
      <c r="J484" s="77"/>
      <c r="K484" s="80"/>
      <c r="L484" s="80"/>
      <c r="M484" s="80"/>
      <c r="N484" s="80"/>
      <c r="O484" s="80"/>
      <c r="P484" s="81"/>
      <c r="Q484" s="35" t="str">
        <f>IF(D484="","",VLOOKUP(MONTH(D484),Listas!$C$2:$D$14,2,0))</f>
        <v/>
      </c>
      <c r="R484" s="36" t="str">
        <f t="shared" si="22"/>
        <v/>
      </c>
      <c r="S484" s="37" t="str">
        <f t="shared" si="23"/>
        <v/>
      </c>
      <c r="T484" s="37" t="str">
        <f t="shared" si="24"/>
        <v/>
      </c>
      <c r="U484" s="37" t="str">
        <f t="shared" si="25"/>
        <v/>
      </c>
      <c r="V484" s="37" t="str">
        <f t="shared" si="26"/>
        <v/>
      </c>
      <c r="W484" s="37" t="str">
        <f t="shared" si="27"/>
        <v/>
      </c>
      <c r="X484" s="37" t="str">
        <f t="shared" si="28"/>
        <v/>
      </c>
      <c r="Y484" s="37" t="str">
        <f t="shared" si="29"/>
        <v/>
      </c>
      <c r="Z484" s="38" t="str">
        <f t="shared" si="30"/>
        <v/>
      </c>
      <c r="AA484" s="39" t="str">
        <f t="shared" si="31"/>
        <v/>
      </c>
    </row>
    <row r="485" ht="15.75" customHeight="1">
      <c r="B485" s="1"/>
      <c r="C485" s="28"/>
      <c r="D485" s="79"/>
      <c r="E485" s="1"/>
      <c r="F485" s="76"/>
      <c r="G485" s="1"/>
      <c r="H485" s="1"/>
      <c r="J485" s="77"/>
      <c r="K485" s="80"/>
      <c r="L485" s="80"/>
      <c r="M485" s="80"/>
      <c r="N485" s="80"/>
      <c r="O485" s="80"/>
      <c r="P485" s="81"/>
      <c r="Q485" s="35" t="str">
        <f>IF(D485="","",VLOOKUP(MONTH(D485),Listas!$C$2:$D$14,2,0))</f>
        <v/>
      </c>
      <c r="R485" s="36" t="str">
        <f t="shared" si="22"/>
        <v/>
      </c>
      <c r="S485" s="37" t="str">
        <f t="shared" si="23"/>
        <v/>
      </c>
      <c r="T485" s="37" t="str">
        <f t="shared" si="24"/>
        <v/>
      </c>
      <c r="U485" s="37" t="str">
        <f t="shared" si="25"/>
        <v/>
      </c>
      <c r="V485" s="37" t="str">
        <f t="shared" si="26"/>
        <v/>
      </c>
      <c r="W485" s="37" t="str">
        <f t="shared" si="27"/>
        <v/>
      </c>
      <c r="X485" s="37" t="str">
        <f t="shared" si="28"/>
        <v/>
      </c>
      <c r="Y485" s="37" t="str">
        <f t="shared" si="29"/>
        <v/>
      </c>
      <c r="Z485" s="38" t="str">
        <f t="shared" si="30"/>
        <v/>
      </c>
      <c r="AA485" s="39" t="str">
        <f t="shared" si="31"/>
        <v/>
      </c>
    </row>
    <row r="486" ht="15.75" customHeight="1">
      <c r="B486" s="1"/>
      <c r="C486" s="28"/>
      <c r="D486" s="79"/>
      <c r="E486" s="1"/>
      <c r="F486" s="76"/>
      <c r="G486" s="1"/>
      <c r="H486" s="1"/>
      <c r="J486" s="77"/>
      <c r="K486" s="80"/>
      <c r="L486" s="80"/>
      <c r="M486" s="80"/>
      <c r="N486" s="80"/>
      <c r="O486" s="80"/>
      <c r="P486" s="81"/>
      <c r="Q486" s="35" t="str">
        <f>IF(D486="","",VLOOKUP(MONTH(D486),Listas!$C$2:$D$14,2,0))</f>
        <v/>
      </c>
      <c r="R486" s="36" t="str">
        <f t="shared" si="22"/>
        <v/>
      </c>
      <c r="S486" s="37" t="str">
        <f t="shared" si="23"/>
        <v/>
      </c>
      <c r="T486" s="37" t="str">
        <f t="shared" si="24"/>
        <v/>
      </c>
      <c r="U486" s="37" t="str">
        <f t="shared" si="25"/>
        <v/>
      </c>
      <c r="V486" s="37" t="str">
        <f t="shared" si="26"/>
        <v/>
      </c>
      <c r="W486" s="37" t="str">
        <f t="shared" si="27"/>
        <v/>
      </c>
      <c r="X486" s="37" t="str">
        <f t="shared" si="28"/>
        <v/>
      </c>
      <c r="Y486" s="37" t="str">
        <f t="shared" si="29"/>
        <v/>
      </c>
      <c r="Z486" s="38" t="str">
        <f t="shared" si="30"/>
        <v/>
      </c>
      <c r="AA486" s="39" t="str">
        <f t="shared" si="31"/>
        <v/>
      </c>
    </row>
    <row r="487" ht="15.75" customHeight="1">
      <c r="B487" s="1"/>
      <c r="C487" s="28"/>
      <c r="D487" s="79"/>
      <c r="E487" s="1"/>
      <c r="F487" s="76"/>
      <c r="G487" s="1"/>
      <c r="H487" s="1"/>
      <c r="J487" s="77"/>
      <c r="K487" s="80"/>
      <c r="L487" s="80"/>
      <c r="M487" s="80"/>
      <c r="N487" s="80"/>
      <c r="O487" s="80"/>
      <c r="P487" s="81"/>
      <c r="Q487" s="35" t="str">
        <f>IF(D487="","",VLOOKUP(MONTH(D487),Listas!$C$2:$D$14,2,0))</f>
        <v/>
      </c>
      <c r="R487" s="36" t="str">
        <f t="shared" si="22"/>
        <v/>
      </c>
      <c r="S487" s="37" t="str">
        <f t="shared" si="23"/>
        <v/>
      </c>
      <c r="T487" s="37" t="str">
        <f t="shared" si="24"/>
        <v/>
      </c>
      <c r="U487" s="37" t="str">
        <f t="shared" si="25"/>
        <v/>
      </c>
      <c r="V487" s="37" t="str">
        <f t="shared" si="26"/>
        <v/>
      </c>
      <c r="W487" s="37" t="str">
        <f t="shared" si="27"/>
        <v/>
      </c>
      <c r="X487" s="37" t="str">
        <f t="shared" si="28"/>
        <v/>
      </c>
      <c r="Y487" s="37" t="str">
        <f t="shared" si="29"/>
        <v/>
      </c>
      <c r="Z487" s="38" t="str">
        <f t="shared" si="30"/>
        <v/>
      </c>
      <c r="AA487" s="39" t="str">
        <f t="shared" si="31"/>
        <v/>
      </c>
    </row>
    <row r="488" ht="15.75" customHeight="1">
      <c r="B488" s="1"/>
      <c r="C488" s="28"/>
      <c r="D488" s="79"/>
      <c r="E488" s="1"/>
      <c r="F488" s="76"/>
      <c r="G488" s="1"/>
      <c r="H488" s="1"/>
      <c r="J488" s="77"/>
      <c r="K488" s="80"/>
      <c r="L488" s="80"/>
      <c r="M488" s="80"/>
      <c r="N488" s="80"/>
      <c r="O488" s="80"/>
      <c r="P488" s="81"/>
      <c r="Q488" s="35" t="str">
        <f>IF(D488="","",VLOOKUP(MONTH(D488),Listas!$C$2:$D$14,2,0))</f>
        <v/>
      </c>
      <c r="R488" s="36" t="str">
        <f t="shared" si="22"/>
        <v/>
      </c>
      <c r="S488" s="37" t="str">
        <f t="shared" si="23"/>
        <v/>
      </c>
      <c r="T488" s="37" t="str">
        <f t="shared" si="24"/>
        <v/>
      </c>
      <c r="U488" s="37" t="str">
        <f t="shared" si="25"/>
        <v/>
      </c>
      <c r="V488" s="37" t="str">
        <f t="shared" si="26"/>
        <v/>
      </c>
      <c r="W488" s="37" t="str">
        <f t="shared" si="27"/>
        <v/>
      </c>
      <c r="X488" s="37" t="str">
        <f t="shared" si="28"/>
        <v/>
      </c>
      <c r="Y488" s="37" t="str">
        <f t="shared" si="29"/>
        <v/>
      </c>
      <c r="Z488" s="38" t="str">
        <f t="shared" si="30"/>
        <v/>
      </c>
      <c r="AA488" s="39" t="str">
        <f t="shared" si="31"/>
        <v/>
      </c>
    </row>
    <row r="489" ht="15.75" customHeight="1">
      <c r="B489" s="1"/>
      <c r="C489" s="28"/>
      <c r="D489" s="79"/>
      <c r="E489" s="1"/>
      <c r="F489" s="76"/>
      <c r="G489" s="1"/>
      <c r="H489" s="1"/>
      <c r="J489" s="77"/>
      <c r="K489" s="80"/>
      <c r="L489" s="80"/>
      <c r="M489" s="80"/>
      <c r="N489" s="80"/>
      <c r="O489" s="80"/>
      <c r="P489" s="81"/>
      <c r="Q489" s="35" t="str">
        <f>IF(D489="","",VLOOKUP(MONTH(D489),Listas!$C$2:$D$14,2,0))</f>
        <v/>
      </c>
      <c r="R489" s="36" t="str">
        <f t="shared" si="22"/>
        <v/>
      </c>
      <c r="S489" s="37" t="str">
        <f t="shared" si="23"/>
        <v/>
      </c>
      <c r="T489" s="37" t="str">
        <f t="shared" si="24"/>
        <v/>
      </c>
      <c r="U489" s="37" t="str">
        <f t="shared" si="25"/>
        <v/>
      </c>
      <c r="V489" s="37" t="str">
        <f t="shared" si="26"/>
        <v/>
      </c>
      <c r="W489" s="37" t="str">
        <f t="shared" si="27"/>
        <v/>
      </c>
      <c r="X489" s="37" t="str">
        <f t="shared" si="28"/>
        <v/>
      </c>
      <c r="Y489" s="37" t="str">
        <f t="shared" si="29"/>
        <v/>
      </c>
      <c r="Z489" s="38" t="str">
        <f t="shared" si="30"/>
        <v/>
      </c>
      <c r="AA489" s="39" t="str">
        <f t="shared" si="31"/>
        <v/>
      </c>
    </row>
    <row r="490" ht="15.75" customHeight="1">
      <c r="B490" s="1"/>
      <c r="C490" s="28"/>
      <c r="D490" s="79"/>
      <c r="E490" s="1"/>
      <c r="F490" s="76"/>
      <c r="G490" s="1"/>
      <c r="H490" s="1"/>
      <c r="J490" s="77"/>
      <c r="K490" s="80"/>
      <c r="L490" s="80"/>
      <c r="M490" s="80"/>
      <c r="N490" s="80"/>
      <c r="O490" s="80"/>
      <c r="P490" s="81"/>
      <c r="Q490" s="35" t="str">
        <f>IF(D490="","",VLOOKUP(MONTH(D490),Listas!$C$2:$D$14,2,0))</f>
        <v/>
      </c>
      <c r="R490" s="36" t="str">
        <f t="shared" si="22"/>
        <v/>
      </c>
      <c r="S490" s="37" t="str">
        <f t="shared" si="23"/>
        <v/>
      </c>
      <c r="T490" s="37" t="str">
        <f t="shared" si="24"/>
        <v/>
      </c>
      <c r="U490" s="37" t="str">
        <f t="shared" si="25"/>
        <v/>
      </c>
      <c r="V490" s="37" t="str">
        <f t="shared" si="26"/>
        <v/>
      </c>
      <c r="W490" s="37" t="str">
        <f t="shared" si="27"/>
        <v/>
      </c>
      <c r="X490" s="37" t="str">
        <f t="shared" si="28"/>
        <v/>
      </c>
      <c r="Y490" s="37" t="str">
        <f t="shared" si="29"/>
        <v/>
      </c>
      <c r="Z490" s="38" t="str">
        <f t="shared" si="30"/>
        <v/>
      </c>
      <c r="AA490" s="39" t="str">
        <f t="shared" si="31"/>
        <v/>
      </c>
    </row>
    <row r="491" ht="15.75" customHeight="1">
      <c r="B491" s="1"/>
      <c r="C491" s="28"/>
      <c r="D491" s="79"/>
      <c r="E491" s="1"/>
      <c r="F491" s="76"/>
      <c r="G491" s="1"/>
      <c r="H491" s="1"/>
      <c r="J491" s="77"/>
      <c r="K491" s="80"/>
      <c r="L491" s="80"/>
      <c r="M491" s="80"/>
      <c r="N491" s="80"/>
      <c r="O491" s="80"/>
      <c r="P491" s="81"/>
      <c r="Q491" s="35" t="str">
        <f>IF(D491="","",VLOOKUP(MONTH(D491),Listas!$C$2:$D$14,2,0))</f>
        <v/>
      </c>
      <c r="R491" s="36" t="str">
        <f t="shared" si="22"/>
        <v/>
      </c>
      <c r="S491" s="37" t="str">
        <f t="shared" si="23"/>
        <v/>
      </c>
      <c r="T491" s="37" t="str">
        <f t="shared" si="24"/>
        <v/>
      </c>
      <c r="U491" s="37" t="str">
        <f t="shared" si="25"/>
        <v/>
      </c>
      <c r="V491" s="37" t="str">
        <f t="shared" si="26"/>
        <v/>
      </c>
      <c r="W491" s="37" t="str">
        <f t="shared" si="27"/>
        <v/>
      </c>
      <c r="X491" s="37" t="str">
        <f t="shared" si="28"/>
        <v/>
      </c>
      <c r="Y491" s="37" t="str">
        <f t="shared" si="29"/>
        <v/>
      </c>
      <c r="Z491" s="38" t="str">
        <f t="shared" si="30"/>
        <v/>
      </c>
      <c r="AA491" s="39" t="str">
        <f t="shared" si="31"/>
        <v/>
      </c>
    </row>
    <row r="492" ht="15.75" customHeight="1">
      <c r="B492" s="1"/>
      <c r="C492" s="28"/>
      <c r="D492" s="79"/>
      <c r="E492" s="1"/>
      <c r="F492" s="76"/>
      <c r="G492" s="1"/>
      <c r="H492" s="1"/>
      <c r="J492" s="77"/>
      <c r="K492" s="80"/>
      <c r="L492" s="80"/>
      <c r="M492" s="80"/>
      <c r="N492" s="80"/>
      <c r="O492" s="80"/>
      <c r="P492" s="81"/>
      <c r="Q492" s="35" t="str">
        <f>IF(D492="","",VLOOKUP(MONTH(D492),Listas!$C$2:$D$14,2,0))</f>
        <v/>
      </c>
      <c r="R492" s="36" t="str">
        <f t="shared" si="22"/>
        <v/>
      </c>
      <c r="S492" s="37" t="str">
        <f t="shared" si="23"/>
        <v/>
      </c>
      <c r="T492" s="37" t="str">
        <f t="shared" si="24"/>
        <v/>
      </c>
      <c r="U492" s="37" t="str">
        <f t="shared" si="25"/>
        <v/>
      </c>
      <c r="V492" s="37" t="str">
        <f t="shared" si="26"/>
        <v/>
      </c>
      <c r="W492" s="37" t="str">
        <f t="shared" si="27"/>
        <v/>
      </c>
      <c r="X492" s="37" t="str">
        <f t="shared" si="28"/>
        <v/>
      </c>
      <c r="Y492" s="37" t="str">
        <f t="shared" si="29"/>
        <v/>
      </c>
      <c r="Z492" s="38" t="str">
        <f t="shared" si="30"/>
        <v/>
      </c>
      <c r="AA492" s="39" t="str">
        <f t="shared" si="31"/>
        <v/>
      </c>
    </row>
    <row r="493" ht="15.75" customHeight="1">
      <c r="B493" s="1"/>
      <c r="C493" s="28"/>
      <c r="D493" s="79"/>
      <c r="E493" s="1"/>
      <c r="F493" s="76"/>
      <c r="G493" s="1"/>
      <c r="H493" s="1"/>
      <c r="J493" s="77"/>
      <c r="K493" s="80"/>
      <c r="L493" s="80"/>
      <c r="M493" s="80"/>
      <c r="N493" s="80"/>
      <c r="O493" s="80"/>
      <c r="P493" s="81"/>
      <c r="Q493" s="35" t="str">
        <f>IF(D493="","",VLOOKUP(MONTH(D493),Listas!$C$2:$D$14,2,0))</f>
        <v/>
      </c>
      <c r="R493" s="36" t="str">
        <f t="shared" si="22"/>
        <v/>
      </c>
      <c r="S493" s="37" t="str">
        <f t="shared" si="23"/>
        <v/>
      </c>
      <c r="T493" s="37" t="str">
        <f t="shared" si="24"/>
        <v/>
      </c>
      <c r="U493" s="37" t="str">
        <f t="shared" si="25"/>
        <v/>
      </c>
      <c r="V493" s="37" t="str">
        <f t="shared" si="26"/>
        <v/>
      </c>
      <c r="W493" s="37" t="str">
        <f t="shared" si="27"/>
        <v/>
      </c>
      <c r="X493" s="37" t="str">
        <f t="shared" si="28"/>
        <v/>
      </c>
      <c r="Y493" s="37" t="str">
        <f t="shared" si="29"/>
        <v/>
      </c>
      <c r="Z493" s="38" t="str">
        <f t="shared" si="30"/>
        <v/>
      </c>
      <c r="AA493" s="39" t="str">
        <f t="shared" si="31"/>
        <v/>
      </c>
    </row>
    <row r="494" ht="15.75" customHeight="1">
      <c r="B494" s="1"/>
      <c r="C494" s="28"/>
      <c r="D494" s="79"/>
      <c r="E494" s="1"/>
      <c r="F494" s="76"/>
      <c r="G494" s="1"/>
      <c r="H494" s="1"/>
      <c r="J494" s="77"/>
      <c r="K494" s="80"/>
      <c r="L494" s="80"/>
      <c r="M494" s="80"/>
      <c r="N494" s="80"/>
      <c r="O494" s="80"/>
      <c r="P494" s="81"/>
      <c r="Q494" s="35" t="str">
        <f>IF(D494="","",VLOOKUP(MONTH(D494),Listas!$C$2:$D$14,2,0))</f>
        <v/>
      </c>
      <c r="R494" s="36" t="str">
        <f t="shared" si="22"/>
        <v/>
      </c>
      <c r="S494" s="37" t="str">
        <f t="shared" si="23"/>
        <v/>
      </c>
      <c r="T494" s="37" t="str">
        <f t="shared" si="24"/>
        <v/>
      </c>
      <c r="U494" s="37" t="str">
        <f t="shared" si="25"/>
        <v/>
      </c>
      <c r="V494" s="37" t="str">
        <f t="shared" si="26"/>
        <v/>
      </c>
      <c r="W494" s="37" t="str">
        <f t="shared" si="27"/>
        <v/>
      </c>
      <c r="X494" s="37" t="str">
        <f t="shared" si="28"/>
        <v/>
      </c>
      <c r="Y494" s="37" t="str">
        <f t="shared" si="29"/>
        <v/>
      </c>
      <c r="Z494" s="38" t="str">
        <f t="shared" si="30"/>
        <v/>
      </c>
      <c r="AA494" s="39" t="str">
        <f t="shared" si="31"/>
        <v/>
      </c>
    </row>
    <row r="495" ht="15.75" customHeight="1">
      <c r="B495" s="1"/>
      <c r="C495" s="28"/>
      <c r="D495" s="79"/>
      <c r="E495" s="1"/>
      <c r="F495" s="76"/>
      <c r="G495" s="1"/>
      <c r="H495" s="1"/>
      <c r="J495" s="77"/>
      <c r="K495" s="80"/>
      <c r="L495" s="80"/>
      <c r="M495" s="80"/>
      <c r="N495" s="80"/>
      <c r="O495" s="80"/>
      <c r="P495" s="81"/>
      <c r="Q495" s="35" t="str">
        <f>IF(D495="","",VLOOKUP(MONTH(D495),Listas!$C$2:$D$14,2,0))</f>
        <v/>
      </c>
      <c r="R495" s="36" t="str">
        <f t="shared" si="22"/>
        <v/>
      </c>
      <c r="S495" s="37" t="str">
        <f t="shared" si="23"/>
        <v/>
      </c>
      <c r="T495" s="37" t="str">
        <f t="shared" si="24"/>
        <v/>
      </c>
      <c r="U495" s="37" t="str">
        <f t="shared" si="25"/>
        <v/>
      </c>
      <c r="V495" s="37" t="str">
        <f t="shared" si="26"/>
        <v/>
      </c>
      <c r="W495" s="37" t="str">
        <f t="shared" si="27"/>
        <v/>
      </c>
      <c r="X495" s="37" t="str">
        <f t="shared" si="28"/>
        <v/>
      </c>
      <c r="Y495" s="37" t="str">
        <f t="shared" si="29"/>
        <v/>
      </c>
      <c r="Z495" s="38" t="str">
        <f t="shared" si="30"/>
        <v/>
      </c>
      <c r="AA495" s="39" t="str">
        <f t="shared" si="31"/>
        <v/>
      </c>
    </row>
    <row r="496" ht="15.75" customHeight="1">
      <c r="B496" s="1"/>
      <c r="C496" s="28"/>
      <c r="D496" s="79"/>
      <c r="E496" s="1"/>
      <c r="F496" s="76"/>
      <c r="G496" s="1"/>
      <c r="H496" s="1"/>
      <c r="J496" s="77"/>
      <c r="K496" s="80"/>
      <c r="L496" s="80"/>
      <c r="M496" s="80"/>
      <c r="N496" s="80"/>
      <c r="O496" s="80"/>
      <c r="P496" s="81"/>
      <c r="Q496" s="35" t="str">
        <f>IF(D496="","",VLOOKUP(MONTH(D496),Listas!$C$2:$D$14,2,0))</f>
        <v/>
      </c>
      <c r="R496" s="36" t="str">
        <f t="shared" si="22"/>
        <v/>
      </c>
      <c r="S496" s="37" t="str">
        <f t="shared" si="23"/>
        <v/>
      </c>
      <c r="T496" s="37" t="str">
        <f t="shared" si="24"/>
        <v/>
      </c>
      <c r="U496" s="37" t="str">
        <f t="shared" si="25"/>
        <v/>
      </c>
      <c r="V496" s="37" t="str">
        <f t="shared" si="26"/>
        <v/>
      </c>
      <c r="W496" s="37" t="str">
        <f t="shared" si="27"/>
        <v/>
      </c>
      <c r="X496" s="37" t="str">
        <f t="shared" si="28"/>
        <v/>
      </c>
      <c r="Y496" s="37" t="str">
        <f t="shared" si="29"/>
        <v/>
      </c>
      <c r="Z496" s="38" t="str">
        <f t="shared" si="30"/>
        <v/>
      </c>
      <c r="AA496" s="39" t="str">
        <f t="shared" si="31"/>
        <v/>
      </c>
    </row>
    <row r="497" ht="15.75" customHeight="1">
      <c r="B497" s="1"/>
      <c r="C497" s="28"/>
      <c r="D497" s="79"/>
      <c r="E497" s="1"/>
      <c r="F497" s="76"/>
      <c r="G497" s="1"/>
      <c r="H497" s="1"/>
      <c r="J497" s="77"/>
      <c r="K497" s="80"/>
      <c r="L497" s="80"/>
      <c r="M497" s="80"/>
      <c r="N497" s="80"/>
      <c r="O497" s="80"/>
      <c r="P497" s="81"/>
      <c r="Q497" s="35" t="str">
        <f>IF(D497="","",VLOOKUP(MONTH(D497),Listas!$C$2:$D$14,2,0))</f>
        <v/>
      </c>
      <c r="R497" s="36" t="str">
        <f t="shared" si="22"/>
        <v/>
      </c>
      <c r="S497" s="37" t="str">
        <f t="shared" si="23"/>
        <v/>
      </c>
      <c r="T497" s="37" t="str">
        <f t="shared" si="24"/>
        <v/>
      </c>
      <c r="U497" s="37" t="str">
        <f t="shared" si="25"/>
        <v/>
      </c>
      <c r="V497" s="37" t="str">
        <f t="shared" si="26"/>
        <v/>
      </c>
      <c r="W497" s="37" t="str">
        <f t="shared" si="27"/>
        <v/>
      </c>
      <c r="X497" s="37" t="str">
        <f t="shared" si="28"/>
        <v/>
      </c>
      <c r="Y497" s="37" t="str">
        <f t="shared" si="29"/>
        <v/>
      </c>
      <c r="Z497" s="38" t="str">
        <f t="shared" si="30"/>
        <v/>
      </c>
      <c r="AA497" s="39" t="str">
        <f t="shared" si="31"/>
        <v/>
      </c>
    </row>
    <row r="498" ht="15.75" customHeight="1">
      <c r="B498" s="1"/>
      <c r="C498" s="28"/>
      <c r="D498" s="79"/>
      <c r="E498" s="1"/>
      <c r="F498" s="76"/>
      <c r="G498" s="1"/>
      <c r="H498" s="1"/>
      <c r="J498" s="77"/>
      <c r="K498" s="80"/>
      <c r="L498" s="80"/>
      <c r="M498" s="80"/>
      <c r="N498" s="80"/>
      <c r="O498" s="80"/>
      <c r="P498" s="81"/>
      <c r="Q498" s="35" t="str">
        <f>IF(D498="","",VLOOKUP(MONTH(D498),Listas!$C$2:$D$14,2,0))</f>
        <v/>
      </c>
      <c r="R498" s="36" t="str">
        <f t="shared" si="22"/>
        <v/>
      </c>
      <c r="S498" s="37" t="str">
        <f t="shared" si="23"/>
        <v/>
      </c>
      <c r="T498" s="37" t="str">
        <f t="shared" si="24"/>
        <v/>
      </c>
      <c r="U498" s="37" t="str">
        <f t="shared" si="25"/>
        <v/>
      </c>
      <c r="V498" s="37" t="str">
        <f t="shared" si="26"/>
        <v/>
      </c>
      <c r="W498" s="37" t="str">
        <f t="shared" si="27"/>
        <v/>
      </c>
      <c r="X498" s="37" t="str">
        <f t="shared" si="28"/>
        <v/>
      </c>
      <c r="Y498" s="37" t="str">
        <f t="shared" si="29"/>
        <v/>
      </c>
      <c r="Z498" s="38" t="str">
        <f t="shared" si="30"/>
        <v/>
      </c>
      <c r="AA498" s="39" t="str">
        <f t="shared" si="31"/>
        <v/>
      </c>
    </row>
    <row r="499" ht="15.75" customHeight="1">
      <c r="B499" s="1"/>
      <c r="C499" s="28"/>
      <c r="D499" s="79"/>
      <c r="E499" s="1"/>
      <c r="F499" s="76"/>
      <c r="G499" s="1"/>
      <c r="H499" s="1"/>
      <c r="J499" s="77"/>
      <c r="K499" s="80"/>
      <c r="L499" s="80"/>
      <c r="M499" s="80"/>
      <c r="N499" s="80"/>
      <c r="O499" s="80"/>
      <c r="P499" s="81"/>
      <c r="Q499" s="35" t="str">
        <f>IF(D499="","",VLOOKUP(MONTH(D499),Listas!$C$2:$D$14,2,0))</f>
        <v/>
      </c>
      <c r="R499" s="36" t="str">
        <f t="shared" si="22"/>
        <v/>
      </c>
      <c r="S499" s="37" t="str">
        <f t="shared" si="23"/>
        <v/>
      </c>
      <c r="T499" s="37" t="str">
        <f t="shared" si="24"/>
        <v/>
      </c>
      <c r="U499" s="37" t="str">
        <f t="shared" si="25"/>
        <v/>
      </c>
      <c r="V499" s="37" t="str">
        <f t="shared" si="26"/>
        <v/>
      </c>
      <c r="W499" s="37" t="str">
        <f t="shared" si="27"/>
        <v/>
      </c>
      <c r="X499" s="37" t="str">
        <f t="shared" si="28"/>
        <v/>
      </c>
      <c r="Y499" s="37" t="str">
        <f t="shared" si="29"/>
        <v/>
      </c>
      <c r="Z499" s="38" t="str">
        <f t="shared" si="30"/>
        <v/>
      </c>
      <c r="AA499" s="39" t="str">
        <f t="shared" si="31"/>
        <v/>
      </c>
    </row>
    <row r="500" ht="15.75" customHeight="1">
      <c r="B500" s="1"/>
      <c r="C500" s="28"/>
      <c r="D500" s="79"/>
      <c r="E500" s="1"/>
      <c r="F500" s="76"/>
      <c r="G500" s="1"/>
      <c r="H500" s="1"/>
      <c r="J500" s="77"/>
      <c r="K500" s="80"/>
      <c r="L500" s="80"/>
      <c r="M500" s="80"/>
      <c r="N500" s="80"/>
      <c r="O500" s="80"/>
      <c r="P500" s="81"/>
      <c r="Q500" s="35" t="str">
        <f>IF(D500="","",VLOOKUP(MONTH(D500),Listas!$C$2:$D$14,2,0))</f>
        <v/>
      </c>
      <c r="R500" s="36" t="str">
        <f t="shared" si="22"/>
        <v/>
      </c>
      <c r="S500" s="37" t="str">
        <f t="shared" si="23"/>
        <v/>
      </c>
      <c r="T500" s="37" t="str">
        <f t="shared" si="24"/>
        <v/>
      </c>
      <c r="U500" s="37" t="str">
        <f t="shared" si="25"/>
        <v/>
      </c>
      <c r="V500" s="37" t="str">
        <f t="shared" si="26"/>
        <v/>
      </c>
      <c r="W500" s="37" t="str">
        <f t="shared" si="27"/>
        <v/>
      </c>
      <c r="X500" s="37" t="str">
        <f t="shared" si="28"/>
        <v/>
      </c>
      <c r="Y500" s="37" t="str">
        <f t="shared" si="29"/>
        <v/>
      </c>
      <c r="Z500" s="38" t="str">
        <f t="shared" si="30"/>
        <v/>
      </c>
      <c r="AA500" s="39" t="str">
        <f t="shared" si="31"/>
        <v/>
      </c>
    </row>
    <row r="501" ht="15.75" customHeight="1">
      <c r="B501" s="1"/>
      <c r="C501" s="28"/>
      <c r="D501" s="79"/>
      <c r="E501" s="1"/>
      <c r="F501" s="76"/>
      <c r="G501" s="1"/>
      <c r="H501" s="1"/>
      <c r="J501" s="77"/>
      <c r="K501" s="80"/>
      <c r="L501" s="80"/>
      <c r="M501" s="80"/>
      <c r="N501" s="80"/>
      <c r="O501" s="80"/>
      <c r="P501" s="81"/>
      <c r="Q501" s="35" t="str">
        <f>IF(D501="","",VLOOKUP(MONTH(D501),Listas!$C$2:$D$14,2,0))</f>
        <v/>
      </c>
      <c r="R501" s="36" t="str">
        <f t="shared" si="22"/>
        <v/>
      </c>
      <c r="S501" s="37" t="str">
        <f t="shared" si="23"/>
        <v/>
      </c>
      <c r="T501" s="37" t="str">
        <f t="shared" si="24"/>
        <v/>
      </c>
      <c r="U501" s="37" t="str">
        <f t="shared" si="25"/>
        <v/>
      </c>
      <c r="V501" s="37" t="str">
        <f t="shared" si="26"/>
        <v/>
      </c>
      <c r="W501" s="37" t="str">
        <f t="shared" si="27"/>
        <v/>
      </c>
      <c r="X501" s="37" t="str">
        <f t="shared" si="28"/>
        <v/>
      </c>
      <c r="Y501" s="37" t="str">
        <f t="shared" si="29"/>
        <v/>
      </c>
      <c r="Z501" s="38" t="str">
        <f t="shared" si="30"/>
        <v/>
      </c>
      <c r="AA501" s="39" t="str">
        <f t="shared" si="31"/>
        <v/>
      </c>
    </row>
    <row r="502" ht="15.75" customHeight="1">
      <c r="B502" s="1"/>
      <c r="C502" s="28"/>
      <c r="D502" s="79"/>
      <c r="E502" s="1"/>
      <c r="F502" s="76"/>
      <c r="G502" s="1"/>
      <c r="H502" s="1"/>
      <c r="J502" s="77"/>
      <c r="K502" s="80"/>
      <c r="L502" s="80"/>
      <c r="M502" s="80"/>
      <c r="N502" s="80"/>
      <c r="O502" s="80"/>
      <c r="P502" s="81"/>
      <c r="Q502" s="35" t="str">
        <f>IF(D502="","",VLOOKUP(MONTH(D502),Listas!$C$2:$D$14,2,0))</f>
        <v/>
      </c>
      <c r="R502" s="36" t="str">
        <f t="shared" si="22"/>
        <v/>
      </c>
      <c r="S502" s="37" t="str">
        <f t="shared" si="23"/>
        <v/>
      </c>
      <c r="T502" s="37" t="str">
        <f t="shared" si="24"/>
        <v/>
      </c>
      <c r="U502" s="37" t="str">
        <f t="shared" si="25"/>
        <v/>
      </c>
      <c r="V502" s="37" t="str">
        <f t="shared" si="26"/>
        <v/>
      </c>
      <c r="W502" s="37" t="str">
        <f t="shared" si="27"/>
        <v/>
      </c>
      <c r="X502" s="37" t="str">
        <f t="shared" si="28"/>
        <v/>
      </c>
      <c r="Y502" s="37" t="str">
        <f t="shared" si="29"/>
        <v/>
      </c>
      <c r="Z502" s="38" t="str">
        <f t="shared" si="30"/>
        <v/>
      </c>
      <c r="AA502" s="39" t="str">
        <f t="shared" si="31"/>
        <v/>
      </c>
    </row>
    <row r="503" ht="15.75" customHeight="1">
      <c r="B503" s="1"/>
      <c r="C503" s="28"/>
      <c r="D503" s="79"/>
      <c r="E503" s="1"/>
      <c r="F503" s="76"/>
      <c r="G503" s="1"/>
      <c r="H503" s="1"/>
      <c r="J503" s="77"/>
      <c r="K503" s="80"/>
      <c r="L503" s="80"/>
      <c r="M503" s="80"/>
      <c r="N503" s="80"/>
      <c r="O503" s="80"/>
      <c r="P503" s="81"/>
      <c r="Q503" s="35" t="str">
        <f>IF(D503="","",VLOOKUP(MONTH(D503),Listas!$C$2:$D$14,2,0))</f>
        <v/>
      </c>
      <c r="R503" s="36" t="str">
        <f t="shared" si="22"/>
        <v/>
      </c>
      <c r="S503" s="37" t="str">
        <f t="shared" si="23"/>
        <v/>
      </c>
      <c r="T503" s="37" t="str">
        <f t="shared" si="24"/>
        <v/>
      </c>
      <c r="U503" s="37" t="str">
        <f t="shared" si="25"/>
        <v/>
      </c>
      <c r="V503" s="37" t="str">
        <f t="shared" si="26"/>
        <v/>
      </c>
      <c r="W503" s="37" t="str">
        <f t="shared" si="27"/>
        <v/>
      </c>
      <c r="X503" s="37" t="str">
        <f t="shared" si="28"/>
        <v/>
      </c>
      <c r="Y503" s="37" t="str">
        <f t="shared" si="29"/>
        <v/>
      </c>
      <c r="Z503" s="38" t="str">
        <f t="shared" si="30"/>
        <v/>
      </c>
      <c r="AA503" s="39" t="str">
        <f t="shared" si="31"/>
        <v/>
      </c>
    </row>
    <row r="504" ht="15.75" customHeight="1">
      <c r="B504" s="1"/>
      <c r="C504" s="28"/>
      <c r="D504" s="79"/>
      <c r="E504" s="1"/>
      <c r="F504" s="76"/>
      <c r="G504" s="1"/>
      <c r="H504" s="1"/>
      <c r="J504" s="77"/>
      <c r="K504" s="80"/>
      <c r="L504" s="80"/>
      <c r="M504" s="80"/>
      <c r="N504" s="80"/>
      <c r="O504" s="80"/>
      <c r="P504" s="81"/>
      <c r="Q504" s="35" t="str">
        <f>IF(D504="","",VLOOKUP(MONTH(D504),Listas!$C$2:$D$14,2,0))</f>
        <v/>
      </c>
      <c r="R504" s="36" t="str">
        <f t="shared" si="22"/>
        <v/>
      </c>
      <c r="S504" s="37" t="str">
        <f t="shared" si="23"/>
        <v/>
      </c>
      <c r="T504" s="37" t="str">
        <f t="shared" si="24"/>
        <v/>
      </c>
      <c r="U504" s="37" t="str">
        <f t="shared" si="25"/>
        <v/>
      </c>
      <c r="V504" s="37" t="str">
        <f t="shared" si="26"/>
        <v/>
      </c>
      <c r="W504" s="37" t="str">
        <f t="shared" si="27"/>
        <v/>
      </c>
      <c r="X504" s="37" t="str">
        <f t="shared" si="28"/>
        <v/>
      </c>
      <c r="Y504" s="37" t="str">
        <f t="shared" si="29"/>
        <v/>
      </c>
      <c r="Z504" s="38" t="str">
        <f t="shared" si="30"/>
        <v/>
      </c>
      <c r="AA504" s="39" t="str">
        <f t="shared" si="31"/>
        <v/>
      </c>
    </row>
    <row r="505" ht="15.75" customHeight="1">
      <c r="B505" s="1"/>
      <c r="C505" s="28"/>
      <c r="D505" s="79"/>
      <c r="E505" s="1"/>
      <c r="F505" s="76"/>
      <c r="G505" s="1"/>
      <c r="H505" s="1"/>
      <c r="J505" s="77"/>
      <c r="K505" s="80"/>
      <c r="L505" s="80"/>
      <c r="M505" s="80"/>
      <c r="N505" s="80"/>
      <c r="O505" s="80"/>
      <c r="P505" s="81"/>
      <c r="Q505" s="35" t="str">
        <f>IF(D505="","",VLOOKUP(MONTH(D505),Listas!$C$2:$D$14,2,0))</f>
        <v/>
      </c>
      <c r="R505" s="36" t="str">
        <f t="shared" si="22"/>
        <v/>
      </c>
      <c r="S505" s="37" t="str">
        <f t="shared" si="23"/>
        <v/>
      </c>
      <c r="T505" s="37" t="str">
        <f t="shared" si="24"/>
        <v/>
      </c>
      <c r="U505" s="37" t="str">
        <f t="shared" si="25"/>
        <v/>
      </c>
      <c r="V505" s="37" t="str">
        <f t="shared" si="26"/>
        <v/>
      </c>
      <c r="W505" s="37" t="str">
        <f t="shared" si="27"/>
        <v/>
      </c>
      <c r="X505" s="37" t="str">
        <f t="shared" si="28"/>
        <v/>
      </c>
      <c r="Y505" s="37" t="str">
        <f t="shared" si="29"/>
        <v/>
      </c>
      <c r="Z505" s="38" t="str">
        <f t="shared" si="30"/>
        <v/>
      </c>
      <c r="AA505" s="39" t="str">
        <f t="shared" si="31"/>
        <v/>
      </c>
    </row>
    <row r="506" ht="15.75" customHeight="1">
      <c r="B506" s="1"/>
      <c r="C506" s="28"/>
      <c r="D506" s="79"/>
      <c r="E506" s="1"/>
      <c r="F506" s="76"/>
      <c r="G506" s="1"/>
      <c r="H506" s="1"/>
      <c r="J506" s="77"/>
      <c r="K506" s="80"/>
      <c r="L506" s="80"/>
      <c r="M506" s="80"/>
      <c r="N506" s="80"/>
      <c r="O506" s="80"/>
      <c r="P506" s="81"/>
      <c r="Q506" s="35" t="str">
        <f>IF(D506="","",VLOOKUP(MONTH(D506),Listas!$C$2:$D$14,2,0))</f>
        <v/>
      </c>
      <c r="R506" s="36" t="str">
        <f t="shared" si="22"/>
        <v/>
      </c>
      <c r="S506" s="37" t="str">
        <f t="shared" si="23"/>
        <v/>
      </c>
      <c r="T506" s="37" t="str">
        <f t="shared" si="24"/>
        <v/>
      </c>
      <c r="U506" s="37" t="str">
        <f t="shared" si="25"/>
        <v/>
      </c>
      <c r="V506" s="37" t="str">
        <f t="shared" si="26"/>
        <v/>
      </c>
      <c r="W506" s="37" t="str">
        <f t="shared" si="27"/>
        <v/>
      </c>
      <c r="X506" s="37" t="str">
        <f t="shared" si="28"/>
        <v/>
      </c>
      <c r="Y506" s="37" t="str">
        <f t="shared" si="29"/>
        <v/>
      </c>
      <c r="Z506" s="38" t="str">
        <f t="shared" si="30"/>
        <v/>
      </c>
      <c r="AA506" s="39" t="str">
        <f t="shared" si="31"/>
        <v/>
      </c>
    </row>
    <row r="507" ht="15.75" customHeight="1">
      <c r="B507" s="1"/>
      <c r="C507" s="28"/>
      <c r="D507" s="79"/>
      <c r="E507" s="1"/>
      <c r="F507" s="76"/>
      <c r="G507" s="1"/>
      <c r="H507" s="1"/>
      <c r="J507" s="77"/>
      <c r="K507" s="80"/>
      <c r="L507" s="80"/>
      <c r="M507" s="80"/>
      <c r="N507" s="80"/>
      <c r="O507" s="80"/>
      <c r="P507" s="81"/>
      <c r="Q507" s="35" t="str">
        <f>IF(D507="","",VLOOKUP(MONTH(D507),Listas!$C$2:$D$14,2,0))</f>
        <v/>
      </c>
      <c r="R507" s="36" t="str">
        <f t="shared" si="22"/>
        <v/>
      </c>
      <c r="S507" s="37" t="str">
        <f t="shared" si="23"/>
        <v/>
      </c>
      <c r="T507" s="37" t="str">
        <f t="shared" si="24"/>
        <v/>
      </c>
      <c r="U507" s="37" t="str">
        <f t="shared" si="25"/>
        <v/>
      </c>
      <c r="V507" s="37" t="str">
        <f t="shared" si="26"/>
        <v/>
      </c>
      <c r="W507" s="37" t="str">
        <f t="shared" si="27"/>
        <v/>
      </c>
      <c r="X507" s="37" t="str">
        <f t="shared" si="28"/>
        <v/>
      </c>
      <c r="Y507" s="37" t="str">
        <f t="shared" si="29"/>
        <v/>
      </c>
      <c r="Z507" s="38" t="str">
        <f t="shared" si="30"/>
        <v/>
      </c>
      <c r="AA507" s="39" t="str">
        <f t="shared" si="31"/>
        <v/>
      </c>
    </row>
    <row r="508" ht="15.75" customHeight="1">
      <c r="B508" s="1"/>
      <c r="C508" s="28"/>
      <c r="D508" s="79"/>
      <c r="E508" s="1"/>
      <c r="F508" s="76"/>
      <c r="G508" s="1"/>
      <c r="H508" s="1"/>
      <c r="J508" s="77"/>
      <c r="K508" s="80"/>
      <c r="L508" s="80"/>
      <c r="M508" s="80"/>
      <c r="N508" s="80"/>
      <c r="O508" s="80"/>
      <c r="P508" s="81"/>
      <c r="Q508" s="35" t="str">
        <f>IF(D508="","",VLOOKUP(MONTH(D508),Listas!$C$2:$D$14,2,0))</f>
        <v/>
      </c>
      <c r="R508" s="36" t="str">
        <f t="shared" si="22"/>
        <v/>
      </c>
      <c r="S508" s="37" t="str">
        <f t="shared" si="23"/>
        <v/>
      </c>
      <c r="T508" s="37" t="str">
        <f t="shared" si="24"/>
        <v/>
      </c>
      <c r="U508" s="37" t="str">
        <f t="shared" si="25"/>
        <v/>
      </c>
      <c r="V508" s="37" t="str">
        <f t="shared" si="26"/>
        <v/>
      </c>
      <c r="W508" s="37" t="str">
        <f t="shared" si="27"/>
        <v/>
      </c>
      <c r="X508" s="37" t="str">
        <f t="shared" si="28"/>
        <v/>
      </c>
      <c r="Y508" s="37" t="str">
        <f t="shared" si="29"/>
        <v/>
      </c>
      <c r="Z508" s="38" t="str">
        <f t="shared" si="30"/>
        <v/>
      </c>
      <c r="AA508" s="39" t="str">
        <f t="shared" si="31"/>
        <v/>
      </c>
    </row>
    <row r="509" ht="15.75" customHeight="1">
      <c r="B509" s="1"/>
      <c r="C509" s="28"/>
      <c r="D509" s="79"/>
      <c r="E509" s="1"/>
      <c r="F509" s="76"/>
      <c r="G509" s="1"/>
      <c r="H509" s="1"/>
      <c r="J509" s="77"/>
      <c r="K509" s="80"/>
      <c r="L509" s="80"/>
      <c r="M509" s="80"/>
      <c r="N509" s="80"/>
      <c r="O509" s="80"/>
      <c r="P509" s="81"/>
      <c r="Q509" s="35" t="str">
        <f>IF(D509="","",VLOOKUP(MONTH(D509),Listas!$C$2:$D$14,2,0))</f>
        <v/>
      </c>
      <c r="R509" s="36" t="str">
        <f t="shared" si="22"/>
        <v/>
      </c>
      <c r="S509" s="37" t="str">
        <f t="shared" si="23"/>
        <v/>
      </c>
      <c r="T509" s="37" t="str">
        <f t="shared" si="24"/>
        <v/>
      </c>
      <c r="U509" s="37" t="str">
        <f t="shared" si="25"/>
        <v/>
      </c>
      <c r="V509" s="37" t="str">
        <f t="shared" si="26"/>
        <v/>
      </c>
      <c r="W509" s="37" t="str">
        <f t="shared" si="27"/>
        <v/>
      </c>
      <c r="X509" s="37" t="str">
        <f t="shared" si="28"/>
        <v/>
      </c>
      <c r="Y509" s="37" t="str">
        <f t="shared" si="29"/>
        <v/>
      </c>
      <c r="Z509" s="38" t="str">
        <f t="shared" si="30"/>
        <v/>
      </c>
      <c r="AA509" s="39" t="str">
        <f t="shared" si="31"/>
        <v/>
      </c>
    </row>
    <row r="510" ht="15.75" customHeight="1">
      <c r="B510" s="1"/>
      <c r="C510" s="28"/>
      <c r="D510" s="79"/>
      <c r="E510" s="1"/>
      <c r="F510" s="76"/>
      <c r="G510" s="1"/>
      <c r="H510" s="1"/>
      <c r="J510" s="77"/>
      <c r="K510" s="80"/>
      <c r="L510" s="80"/>
      <c r="M510" s="80"/>
      <c r="N510" s="80"/>
      <c r="O510" s="80"/>
      <c r="P510" s="81"/>
      <c r="Q510" s="35" t="str">
        <f>IF(D510="","",VLOOKUP(MONTH(D510),Listas!$C$2:$D$14,2,0))</f>
        <v/>
      </c>
      <c r="R510" s="36" t="str">
        <f t="shared" si="22"/>
        <v/>
      </c>
      <c r="S510" s="37" t="str">
        <f t="shared" si="23"/>
        <v/>
      </c>
      <c r="T510" s="37" t="str">
        <f t="shared" si="24"/>
        <v/>
      </c>
      <c r="U510" s="37" t="str">
        <f t="shared" si="25"/>
        <v/>
      </c>
      <c r="V510" s="37" t="str">
        <f t="shared" si="26"/>
        <v/>
      </c>
      <c r="W510" s="37" t="str">
        <f t="shared" si="27"/>
        <v/>
      </c>
      <c r="X510" s="37" t="str">
        <f t="shared" si="28"/>
        <v/>
      </c>
      <c r="Y510" s="37" t="str">
        <f t="shared" si="29"/>
        <v/>
      </c>
      <c r="Z510" s="38" t="str">
        <f t="shared" si="30"/>
        <v/>
      </c>
      <c r="AA510" s="39" t="str">
        <f t="shared" si="31"/>
        <v/>
      </c>
    </row>
    <row r="511" ht="15.75" customHeight="1">
      <c r="B511" s="1"/>
      <c r="C511" s="28"/>
      <c r="D511" s="79"/>
      <c r="E511" s="1"/>
      <c r="F511" s="76"/>
      <c r="G511" s="1"/>
      <c r="H511" s="1"/>
      <c r="J511" s="77"/>
      <c r="K511" s="80"/>
      <c r="L511" s="80"/>
      <c r="M511" s="80"/>
      <c r="N511" s="80"/>
      <c r="O511" s="80"/>
      <c r="P511" s="81"/>
      <c r="Q511" s="35" t="str">
        <f>IF(D511="","",VLOOKUP(MONTH(D511),Listas!$C$2:$D$14,2,0))</f>
        <v/>
      </c>
      <c r="R511" s="36" t="str">
        <f t="shared" si="22"/>
        <v/>
      </c>
      <c r="S511" s="37" t="str">
        <f t="shared" si="23"/>
        <v/>
      </c>
      <c r="T511" s="37" t="str">
        <f t="shared" si="24"/>
        <v/>
      </c>
      <c r="U511" s="37" t="str">
        <f t="shared" si="25"/>
        <v/>
      </c>
      <c r="V511" s="37" t="str">
        <f t="shared" si="26"/>
        <v/>
      </c>
      <c r="W511" s="37" t="str">
        <f t="shared" si="27"/>
        <v/>
      </c>
      <c r="X511" s="37" t="str">
        <f t="shared" si="28"/>
        <v/>
      </c>
      <c r="Y511" s="37" t="str">
        <f t="shared" si="29"/>
        <v/>
      </c>
      <c r="Z511" s="38" t="str">
        <f t="shared" si="30"/>
        <v/>
      </c>
      <c r="AA511" s="39" t="str">
        <f t="shared" si="31"/>
        <v/>
      </c>
    </row>
    <row r="512" ht="15.75" customHeight="1">
      <c r="B512" s="1"/>
      <c r="C512" s="28"/>
      <c r="D512" s="79"/>
      <c r="E512" s="1"/>
      <c r="F512" s="76"/>
      <c r="G512" s="1"/>
      <c r="H512" s="1"/>
      <c r="J512" s="77"/>
      <c r="K512" s="80"/>
      <c r="L512" s="80"/>
      <c r="M512" s="80"/>
      <c r="N512" s="80"/>
      <c r="O512" s="80"/>
      <c r="P512" s="81"/>
      <c r="Q512" s="35" t="str">
        <f>IF(D512="","",VLOOKUP(MONTH(D512),Listas!$C$2:$D$14,2,0))</f>
        <v/>
      </c>
      <c r="R512" s="36" t="str">
        <f t="shared" si="22"/>
        <v/>
      </c>
      <c r="S512" s="37" t="str">
        <f t="shared" si="23"/>
        <v/>
      </c>
      <c r="T512" s="37" t="str">
        <f t="shared" si="24"/>
        <v/>
      </c>
      <c r="U512" s="37" t="str">
        <f t="shared" si="25"/>
        <v/>
      </c>
      <c r="V512" s="37" t="str">
        <f t="shared" si="26"/>
        <v/>
      </c>
      <c r="W512" s="37" t="str">
        <f t="shared" si="27"/>
        <v/>
      </c>
      <c r="X512" s="37" t="str">
        <f t="shared" si="28"/>
        <v/>
      </c>
      <c r="Y512" s="37" t="str">
        <f t="shared" si="29"/>
        <v/>
      </c>
      <c r="Z512" s="38" t="str">
        <f t="shared" si="30"/>
        <v/>
      </c>
      <c r="AA512" s="39" t="str">
        <f t="shared" si="31"/>
        <v/>
      </c>
    </row>
    <row r="513" ht="15.75" customHeight="1">
      <c r="B513" s="1"/>
      <c r="C513" s="28"/>
      <c r="D513" s="79"/>
      <c r="E513" s="1"/>
      <c r="F513" s="76"/>
      <c r="G513" s="1"/>
      <c r="H513" s="1"/>
      <c r="J513" s="77"/>
      <c r="K513" s="80"/>
      <c r="L513" s="80"/>
      <c r="M513" s="80"/>
      <c r="N513" s="80"/>
      <c r="O513" s="80"/>
      <c r="P513" s="81"/>
      <c r="Q513" s="35" t="str">
        <f>IF(D513="","",VLOOKUP(MONTH(D513),Listas!$C$2:$D$14,2,0))</f>
        <v/>
      </c>
      <c r="R513" s="36" t="str">
        <f t="shared" si="22"/>
        <v/>
      </c>
      <c r="S513" s="37" t="str">
        <f t="shared" si="23"/>
        <v/>
      </c>
      <c r="T513" s="37" t="str">
        <f t="shared" si="24"/>
        <v/>
      </c>
      <c r="U513" s="37" t="str">
        <f t="shared" si="25"/>
        <v/>
      </c>
      <c r="V513" s="37" t="str">
        <f t="shared" si="26"/>
        <v/>
      </c>
      <c r="W513" s="37" t="str">
        <f t="shared" si="27"/>
        <v/>
      </c>
      <c r="X513" s="37" t="str">
        <f t="shared" si="28"/>
        <v/>
      </c>
      <c r="Y513" s="37" t="str">
        <f t="shared" si="29"/>
        <v/>
      </c>
      <c r="Z513" s="38" t="str">
        <f t="shared" si="30"/>
        <v/>
      </c>
      <c r="AA513" s="39" t="str">
        <f t="shared" si="31"/>
        <v/>
      </c>
    </row>
    <row r="514" ht="15.75" customHeight="1">
      <c r="B514" s="1"/>
      <c r="C514" s="28"/>
      <c r="D514" s="79"/>
      <c r="E514" s="1"/>
      <c r="F514" s="76"/>
      <c r="G514" s="1"/>
      <c r="H514" s="1"/>
      <c r="J514" s="77"/>
      <c r="K514" s="80"/>
      <c r="L514" s="80"/>
      <c r="M514" s="80"/>
      <c r="N514" s="80"/>
      <c r="O514" s="80"/>
      <c r="P514" s="81"/>
      <c r="Q514" s="35" t="str">
        <f>IF(D514="","",VLOOKUP(MONTH(D514),Listas!$C$2:$D$14,2,0))</f>
        <v/>
      </c>
      <c r="R514" s="36" t="str">
        <f t="shared" si="22"/>
        <v/>
      </c>
      <c r="S514" s="37" t="str">
        <f t="shared" si="23"/>
        <v/>
      </c>
      <c r="T514" s="37" t="str">
        <f t="shared" si="24"/>
        <v/>
      </c>
      <c r="U514" s="37" t="str">
        <f t="shared" si="25"/>
        <v/>
      </c>
      <c r="V514" s="37" t="str">
        <f t="shared" si="26"/>
        <v/>
      </c>
      <c r="W514" s="37" t="str">
        <f t="shared" si="27"/>
        <v/>
      </c>
      <c r="X514" s="37" t="str">
        <f t="shared" si="28"/>
        <v/>
      </c>
      <c r="Y514" s="37" t="str">
        <f t="shared" si="29"/>
        <v/>
      </c>
      <c r="Z514" s="38" t="str">
        <f t="shared" si="30"/>
        <v/>
      </c>
      <c r="AA514" s="39" t="str">
        <f t="shared" si="31"/>
        <v/>
      </c>
    </row>
    <row r="515" ht="15.75" customHeight="1">
      <c r="B515" s="1"/>
      <c r="C515" s="28"/>
      <c r="D515" s="79"/>
      <c r="E515" s="1"/>
      <c r="F515" s="76"/>
      <c r="G515" s="1"/>
      <c r="H515" s="1"/>
      <c r="J515" s="77"/>
      <c r="K515" s="80"/>
      <c r="L515" s="80"/>
      <c r="M515" s="80"/>
      <c r="N515" s="80"/>
      <c r="O515" s="80"/>
      <c r="P515" s="81"/>
      <c r="Q515" s="35" t="str">
        <f>IF(D515="","",VLOOKUP(MONTH(D515),Listas!$C$2:$D$14,2,0))</f>
        <v/>
      </c>
      <c r="R515" s="36" t="str">
        <f t="shared" si="22"/>
        <v/>
      </c>
      <c r="S515" s="37" t="str">
        <f t="shared" si="23"/>
        <v/>
      </c>
      <c r="T515" s="37" t="str">
        <f t="shared" si="24"/>
        <v/>
      </c>
      <c r="U515" s="37" t="str">
        <f t="shared" si="25"/>
        <v/>
      </c>
      <c r="V515" s="37" t="str">
        <f t="shared" si="26"/>
        <v/>
      </c>
      <c r="W515" s="37" t="str">
        <f t="shared" si="27"/>
        <v/>
      </c>
      <c r="X515" s="37" t="str">
        <f t="shared" si="28"/>
        <v/>
      </c>
      <c r="Y515" s="37" t="str">
        <f t="shared" si="29"/>
        <v/>
      </c>
      <c r="Z515" s="38" t="str">
        <f t="shared" si="30"/>
        <v/>
      </c>
      <c r="AA515" s="39" t="str">
        <f t="shared" si="31"/>
        <v/>
      </c>
    </row>
    <row r="516" ht="15.75" customHeight="1">
      <c r="B516" s="1"/>
      <c r="C516" s="28"/>
      <c r="D516" s="79"/>
      <c r="E516" s="1"/>
      <c r="F516" s="76"/>
      <c r="G516" s="1"/>
      <c r="H516" s="1"/>
      <c r="J516" s="77"/>
      <c r="K516" s="80"/>
      <c r="L516" s="80"/>
      <c r="M516" s="80"/>
      <c r="N516" s="80"/>
      <c r="O516" s="80"/>
      <c r="P516" s="81"/>
      <c r="Q516" s="35" t="str">
        <f>IF(D516="","",VLOOKUP(MONTH(D516),Listas!$C$2:$D$14,2,0))</f>
        <v/>
      </c>
      <c r="R516" s="36" t="str">
        <f t="shared" si="22"/>
        <v/>
      </c>
      <c r="S516" s="37" t="str">
        <f t="shared" si="23"/>
        <v/>
      </c>
      <c r="T516" s="37" t="str">
        <f t="shared" si="24"/>
        <v/>
      </c>
      <c r="U516" s="37" t="str">
        <f t="shared" si="25"/>
        <v/>
      </c>
      <c r="V516" s="37" t="str">
        <f t="shared" si="26"/>
        <v/>
      </c>
      <c r="W516" s="37" t="str">
        <f t="shared" si="27"/>
        <v/>
      </c>
      <c r="X516" s="37" t="str">
        <f t="shared" si="28"/>
        <v/>
      </c>
      <c r="Y516" s="37" t="str">
        <f t="shared" si="29"/>
        <v/>
      </c>
      <c r="Z516" s="38" t="str">
        <f t="shared" si="30"/>
        <v/>
      </c>
      <c r="AA516" s="39" t="str">
        <f t="shared" si="31"/>
        <v/>
      </c>
    </row>
    <row r="517" ht="15.75" customHeight="1">
      <c r="B517" s="1"/>
      <c r="C517" s="28"/>
      <c r="D517" s="79"/>
      <c r="E517" s="1"/>
      <c r="F517" s="76"/>
      <c r="G517" s="1"/>
      <c r="H517" s="1"/>
      <c r="J517" s="77"/>
      <c r="K517" s="80"/>
      <c r="L517" s="80"/>
      <c r="M517" s="80"/>
      <c r="N517" s="80"/>
      <c r="O517" s="80"/>
      <c r="P517" s="81"/>
      <c r="Q517" s="35" t="str">
        <f>IF(D517="","",VLOOKUP(MONTH(D517),Listas!$C$2:$D$14,2,0))</f>
        <v/>
      </c>
      <c r="R517" s="36" t="str">
        <f t="shared" si="22"/>
        <v/>
      </c>
      <c r="S517" s="37" t="str">
        <f t="shared" si="23"/>
        <v/>
      </c>
      <c r="T517" s="37" t="str">
        <f t="shared" si="24"/>
        <v/>
      </c>
      <c r="U517" s="37" t="str">
        <f t="shared" si="25"/>
        <v/>
      </c>
      <c r="V517" s="37" t="str">
        <f t="shared" si="26"/>
        <v/>
      </c>
      <c r="W517" s="37" t="str">
        <f t="shared" si="27"/>
        <v/>
      </c>
      <c r="X517" s="37" t="str">
        <f t="shared" si="28"/>
        <v/>
      </c>
      <c r="Y517" s="37" t="str">
        <f t="shared" si="29"/>
        <v/>
      </c>
      <c r="Z517" s="38" t="str">
        <f t="shared" si="30"/>
        <v/>
      </c>
      <c r="AA517" s="39" t="str">
        <f t="shared" si="31"/>
        <v/>
      </c>
    </row>
    <row r="518" ht="15.75" customHeight="1">
      <c r="B518" s="1"/>
      <c r="C518" s="28"/>
      <c r="D518" s="79"/>
      <c r="E518" s="1"/>
      <c r="F518" s="76"/>
      <c r="G518" s="1"/>
      <c r="H518" s="1"/>
      <c r="J518" s="77"/>
      <c r="K518" s="80"/>
      <c r="L518" s="80"/>
      <c r="M518" s="80"/>
      <c r="N518" s="80"/>
      <c r="O518" s="80"/>
      <c r="P518" s="81"/>
      <c r="Q518" s="35" t="str">
        <f>IF(D518="","",VLOOKUP(MONTH(D518),Listas!$C$2:$D$14,2,0))</f>
        <v/>
      </c>
      <c r="R518" s="36" t="str">
        <f t="shared" si="22"/>
        <v/>
      </c>
      <c r="S518" s="37" t="str">
        <f t="shared" si="23"/>
        <v/>
      </c>
      <c r="T518" s="37" t="str">
        <f t="shared" si="24"/>
        <v/>
      </c>
      <c r="U518" s="37" t="str">
        <f t="shared" si="25"/>
        <v/>
      </c>
      <c r="V518" s="37" t="str">
        <f t="shared" si="26"/>
        <v/>
      </c>
      <c r="W518" s="37" t="str">
        <f t="shared" si="27"/>
        <v/>
      </c>
      <c r="X518" s="37" t="str">
        <f t="shared" si="28"/>
        <v/>
      </c>
      <c r="Y518" s="37" t="str">
        <f t="shared" si="29"/>
        <v/>
      </c>
      <c r="Z518" s="38" t="str">
        <f t="shared" si="30"/>
        <v/>
      </c>
      <c r="AA518" s="39" t="str">
        <f t="shared" si="31"/>
        <v/>
      </c>
    </row>
    <row r="519" ht="15.75" customHeight="1">
      <c r="B519" s="1"/>
      <c r="C519" s="28"/>
      <c r="D519" s="79"/>
      <c r="E519" s="1"/>
      <c r="F519" s="76"/>
      <c r="G519" s="1"/>
      <c r="H519" s="1"/>
      <c r="J519" s="77"/>
      <c r="K519" s="80"/>
      <c r="L519" s="80"/>
      <c r="M519" s="80"/>
      <c r="N519" s="80"/>
      <c r="O519" s="80"/>
      <c r="P519" s="81"/>
      <c r="Q519" s="35" t="str">
        <f>IF(D519="","",VLOOKUP(MONTH(D519),Listas!$C$2:$D$14,2,0))</f>
        <v/>
      </c>
      <c r="R519" s="36" t="str">
        <f t="shared" si="22"/>
        <v/>
      </c>
      <c r="S519" s="37" t="str">
        <f t="shared" si="23"/>
        <v/>
      </c>
      <c r="T519" s="37" t="str">
        <f t="shared" si="24"/>
        <v/>
      </c>
      <c r="U519" s="37" t="str">
        <f t="shared" si="25"/>
        <v/>
      </c>
      <c r="V519" s="37" t="str">
        <f t="shared" si="26"/>
        <v/>
      </c>
      <c r="W519" s="37" t="str">
        <f t="shared" si="27"/>
        <v/>
      </c>
      <c r="X519" s="37" t="str">
        <f t="shared" si="28"/>
        <v/>
      </c>
      <c r="Y519" s="37" t="str">
        <f t="shared" si="29"/>
        <v/>
      </c>
      <c r="Z519" s="38" t="str">
        <f t="shared" si="30"/>
        <v/>
      </c>
      <c r="AA519" s="39" t="str">
        <f t="shared" si="31"/>
        <v/>
      </c>
    </row>
    <row r="520" ht="15.75" customHeight="1">
      <c r="B520" s="1"/>
      <c r="C520" s="28"/>
      <c r="D520" s="79"/>
      <c r="E520" s="1"/>
      <c r="F520" s="76"/>
      <c r="G520" s="1"/>
      <c r="H520" s="1"/>
      <c r="J520" s="77"/>
      <c r="K520" s="80"/>
      <c r="L520" s="80"/>
      <c r="M520" s="80"/>
      <c r="N520" s="80"/>
      <c r="O520" s="80"/>
      <c r="P520" s="81"/>
      <c r="Q520" s="35" t="str">
        <f>IF(D520="","",VLOOKUP(MONTH(D520),Listas!$C$2:$D$14,2,0))</f>
        <v/>
      </c>
      <c r="R520" s="36" t="str">
        <f t="shared" si="22"/>
        <v/>
      </c>
      <c r="S520" s="37" t="str">
        <f t="shared" si="23"/>
        <v/>
      </c>
      <c r="T520" s="37" t="str">
        <f t="shared" si="24"/>
        <v/>
      </c>
      <c r="U520" s="37" t="str">
        <f t="shared" si="25"/>
        <v/>
      </c>
      <c r="V520" s="37" t="str">
        <f t="shared" si="26"/>
        <v/>
      </c>
      <c r="W520" s="37" t="str">
        <f t="shared" si="27"/>
        <v/>
      </c>
      <c r="X520" s="37" t="str">
        <f t="shared" si="28"/>
        <v/>
      </c>
      <c r="Y520" s="37" t="str">
        <f t="shared" si="29"/>
        <v/>
      </c>
      <c r="Z520" s="38" t="str">
        <f t="shared" si="30"/>
        <v/>
      </c>
      <c r="AA520" s="39" t="str">
        <f t="shared" si="31"/>
        <v/>
      </c>
    </row>
    <row r="521" ht="15.75" customHeight="1">
      <c r="B521" s="1"/>
      <c r="C521" s="28"/>
      <c r="D521" s="79"/>
      <c r="E521" s="1"/>
      <c r="F521" s="76"/>
      <c r="G521" s="1"/>
      <c r="H521" s="1"/>
      <c r="J521" s="77"/>
      <c r="K521" s="80"/>
      <c r="L521" s="80"/>
      <c r="M521" s="80"/>
      <c r="N521" s="80"/>
      <c r="O521" s="80"/>
      <c r="P521" s="81"/>
      <c r="Q521" s="35" t="str">
        <f>IF(D521="","",VLOOKUP(MONTH(D521),Listas!$C$2:$D$14,2,0))</f>
        <v/>
      </c>
      <c r="R521" s="36" t="str">
        <f t="shared" si="22"/>
        <v/>
      </c>
      <c r="S521" s="37" t="str">
        <f t="shared" si="23"/>
        <v/>
      </c>
      <c r="T521" s="37" t="str">
        <f t="shared" si="24"/>
        <v/>
      </c>
      <c r="U521" s="37" t="str">
        <f t="shared" si="25"/>
        <v/>
      </c>
      <c r="V521" s="37" t="str">
        <f t="shared" si="26"/>
        <v/>
      </c>
      <c r="W521" s="37" t="str">
        <f t="shared" si="27"/>
        <v/>
      </c>
      <c r="X521" s="37" t="str">
        <f t="shared" si="28"/>
        <v/>
      </c>
      <c r="Y521" s="37" t="str">
        <f t="shared" si="29"/>
        <v/>
      </c>
      <c r="Z521" s="38" t="str">
        <f t="shared" si="30"/>
        <v/>
      </c>
      <c r="AA521" s="39" t="str">
        <f t="shared" si="31"/>
        <v/>
      </c>
    </row>
    <row r="522" ht="15.75" customHeight="1">
      <c r="B522" s="1"/>
      <c r="C522" s="28"/>
      <c r="D522" s="79"/>
      <c r="E522" s="1"/>
      <c r="F522" s="76"/>
      <c r="G522" s="1"/>
      <c r="H522" s="1"/>
      <c r="J522" s="77"/>
      <c r="K522" s="80"/>
      <c r="L522" s="80"/>
      <c r="M522" s="80"/>
      <c r="N522" s="80"/>
      <c r="O522" s="80"/>
      <c r="P522" s="81"/>
      <c r="Q522" s="35" t="str">
        <f>IF(D522="","",VLOOKUP(MONTH(D522),Listas!$C$2:$D$14,2,0))</f>
        <v/>
      </c>
      <c r="R522" s="36" t="str">
        <f t="shared" si="22"/>
        <v/>
      </c>
      <c r="S522" s="37" t="str">
        <f t="shared" si="23"/>
        <v/>
      </c>
      <c r="T522" s="37" t="str">
        <f t="shared" si="24"/>
        <v/>
      </c>
      <c r="U522" s="37" t="str">
        <f t="shared" si="25"/>
        <v/>
      </c>
      <c r="V522" s="37" t="str">
        <f t="shared" si="26"/>
        <v/>
      </c>
      <c r="W522" s="37" t="str">
        <f t="shared" si="27"/>
        <v/>
      </c>
      <c r="X522" s="37" t="str">
        <f t="shared" si="28"/>
        <v/>
      </c>
      <c r="Y522" s="37" t="str">
        <f t="shared" si="29"/>
        <v/>
      </c>
      <c r="Z522" s="38" t="str">
        <f t="shared" si="30"/>
        <v/>
      </c>
      <c r="AA522" s="39" t="str">
        <f t="shared" si="31"/>
        <v/>
      </c>
    </row>
    <row r="523" ht="15.75" customHeight="1">
      <c r="B523" s="1"/>
      <c r="C523" s="28"/>
      <c r="D523" s="79"/>
      <c r="E523" s="1"/>
      <c r="F523" s="76"/>
      <c r="G523" s="1"/>
      <c r="H523" s="1"/>
      <c r="J523" s="77"/>
      <c r="K523" s="80"/>
      <c r="L523" s="80"/>
      <c r="M523" s="80"/>
      <c r="N523" s="80"/>
      <c r="O523" s="80"/>
      <c r="P523" s="81"/>
      <c r="Q523" s="35" t="str">
        <f>IF(D523="","",VLOOKUP(MONTH(D523),Listas!$C$2:$D$14,2,0))</f>
        <v/>
      </c>
      <c r="R523" s="36" t="str">
        <f t="shared" si="22"/>
        <v/>
      </c>
      <c r="S523" s="37" t="str">
        <f t="shared" si="23"/>
        <v/>
      </c>
      <c r="T523" s="37" t="str">
        <f t="shared" si="24"/>
        <v/>
      </c>
      <c r="U523" s="37" t="str">
        <f t="shared" si="25"/>
        <v/>
      </c>
      <c r="V523" s="37" t="str">
        <f t="shared" si="26"/>
        <v/>
      </c>
      <c r="W523" s="37" t="str">
        <f t="shared" si="27"/>
        <v/>
      </c>
      <c r="X523" s="37" t="str">
        <f t="shared" si="28"/>
        <v/>
      </c>
      <c r="Y523" s="37" t="str">
        <f t="shared" si="29"/>
        <v/>
      </c>
      <c r="Z523" s="38" t="str">
        <f t="shared" si="30"/>
        <v/>
      </c>
      <c r="AA523" s="39" t="str">
        <f t="shared" si="31"/>
        <v/>
      </c>
    </row>
    <row r="524" ht="15.75" customHeight="1">
      <c r="B524" s="1"/>
      <c r="C524" s="28"/>
      <c r="D524" s="79"/>
      <c r="E524" s="1"/>
      <c r="F524" s="76"/>
      <c r="G524" s="1"/>
      <c r="H524" s="1"/>
      <c r="J524" s="77"/>
      <c r="K524" s="80"/>
      <c r="L524" s="80"/>
      <c r="M524" s="80"/>
      <c r="N524" s="80"/>
      <c r="O524" s="80"/>
      <c r="P524" s="81"/>
      <c r="Q524" s="35" t="str">
        <f>IF(D524="","",VLOOKUP(MONTH(D524),Listas!$C$2:$D$14,2,0))</f>
        <v/>
      </c>
      <c r="R524" s="36" t="str">
        <f t="shared" si="22"/>
        <v/>
      </c>
      <c r="S524" s="37" t="str">
        <f t="shared" si="23"/>
        <v/>
      </c>
      <c r="T524" s="37" t="str">
        <f t="shared" si="24"/>
        <v/>
      </c>
      <c r="U524" s="37" t="str">
        <f t="shared" si="25"/>
        <v/>
      </c>
      <c r="V524" s="37" t="str">
        <f t="shared" si="26"/>
        <v/>
      </c>
      <c r="W524" s="37" t="str">
        <f t="shared" si="27"/>
        <v/>
      </c>
      <c r="X524" s="37" t="str">
        <f t="shared" si="28"/>
        <v/>
      </c>
      <c r="Y524" s="37" t="str">
        <f t="shared" si="29"/>
        <v/>
      </c>
      <c r="Z524" s="38" t="str">
        <f t="shared" si="30"/>
        <v/>
      </c>
      <c r="AA524" s="39" t="str">
        <f t="shared" si="31"/>
        <v/>
      </c>
    </row>
    <row r="525" ht="15.75" customHeight="1">
      <c r="B525" s="1"/>
      <c r="C525" s="28"/>
      <c r="D525" s="79"/>
      <c r="E525" s="1"/>
      <c r="F525" s="76"/>
      <c r="G525" s="1"/>
      <c r="H525" s="1"/>
      <c r="J525" s="77"/>
      <c r="K525" s="80"/>
      <c r="L525" s="80"/>
      <c r="M525" s="80"/>
      <c r="N525" s="80"/>
      <c r="O525" s="80"/>
      <c r="P525" s="81"/>
      <c r="Q525" s="35" t="str">
        <f>IF(D525="","",VLOOKUP(MONTH(D525),Listas!$C$2:$D$14,2,0))</f>
        <v/>
      </c>
      <c r="R525" s="36" t="str">
        <f t="shared" si="22"/>
        <v/>
      </c>
      <c r="S525" s="37" t="str">
        <f t="shared" si="23"/>
        <v/>
      </c>
      <c r="T525" s="37" t="str">
        <f t="shared" si="24"/>
        <v/>
      </c>
      <c r="U525" s="37" t="str">
        <f t="shared" si="25"/>
        <v/>
      </c>
      <c r="V525" s="37" t="str">
        <f t="shared" si="26"/>
        <v/>
      </c>
      <c r="W525" s="37" t="str">
        <f t="shared" si="27"/>
        <v/>
      </c>
      <c r="X525" s="37" t="str">
        <f t="shared" si="28"/>
        <v/>
      </c>
      <c r="Y525" s="37" t="str">
        <f t="shared" si="29"/>
        <v/>
      </c>
      <c r="Z525" s="38" t="str">
        <f t="shared" si="30"/>
        <v/>
      </c>
      <c r="AA525" s="39" t="str">
        <f t="shared" si="31"/>
        <v/>
      </c>
    </row>
    <row r="526" ht="15.75" customHeight="1">
      <c r="B526" s="1"/>
      <c r="C526" s="28"/>
      <c r="D526" s="79"/>
      <c r="E526" s="1"/>
      <c r="F526" s="76"/>
      <c r="G526" s="1"/>
      <c r="H526" s="1"/>
      <c r="J526" s="77"/>
      <c r="K526" s="80"/>
      <c r="L526" s="80"/>
      <c r="M526" s="80"/>
      <c r="N526" s="80"/>
      <c r="O526" s="80"/>
      <c r="P526" s="81"/>
      <c r="Q526" s="35" t="str">
        <f>IF(D526="","",VLOOKUP(MONTH(D526),Listas!$C$2:$D$14,2,0))</f>
        <v/>
      </c>
      <c r="R526" s="36" t="str">
        <f t="shared" si="22"/>
        <v/>
      </c>
      <c r="S526" s="37" t="str">
        <f t="shared" si="23"/>
        <v/>
      </c>
      <c r="T526" s="37" t="str">
        <f t="shared" si="24"/>
        <v/>
      </c>
      <c r="U526" s="37" t="str">
        <f t="shared" si="25"/>
        <v/>
      </c>
      <c r="V526" s="37" t="str">
        <f t="shared" si="26"/>
        <v/>
      </c>
      <c r="W526" s="37" t="str">
        <f t="shared" si="27"/>
        <v/>
      </c>
      <c r="X526" s="37" t="str">
        <f t="shared" si="28"/>
        <v/>
      </c>
      <c r="Y526" s="37" t="str">
        <f t="shared" si="29"/>
        <v/>
      </c>
      <c r="Z526" s="38" t="str">
        <f t="shared" si="30"/>
        <v/>
      </c>
      <c r="AA526" s="39" t="str">
        <f t="shared" si="31"/>
        <v/>
      </c>
    </row>
    <row r="527" ht="15.75" customHeight="1">
      <c r="B527" s="1"/>
      <c r="C527" s="28"/>
      <c r="D527" s="79"/>
      <c r="E527" s="1"/>
      <c r="F527" s="76"/>
      <c r="G527" s="1"/>
      <c r="H527" s="1"/>
      <c r="J527" s="77"/>
      <c r="K527" s="80"/>
      <c r="L527" s="80"/>
      <c r="M527" s="80"/>
      <c r="N527" s="80"/>
      <c r="O527" s="80"/>
      <c r="P527" s="81"/>
      <c r="Q527" s="35" t="str">
        <f>IF(D527="","",VLOOKUP(MONTH(D527),Listas!$C$2:$D$14,2,0))</f>
        <v/>
      </c>
      <c r="R527" s="36" t="str">
        <f t="shared" si="22"/>
        <v/>
      </c>
      <c r="S527" s="37" t="str">
        <f t="shared" si="23"/>
        <v/>
      </c>
      <c r="T527" s="37" t="str">
        <f t="shared" si="24"/>
        <v/>
      </c>
      <c r="U527" s="37" t="str">
        <f t="shared" si="25"/>
        <v/>
      </c>
      <c r="V527" s="37" t="str">
        <f t="shared" si="26"/>
        <v/>
      </c>
      <c r="W527" s="37" t="str">
        <f t="shared" si="27"/>
        <v/>
      </c>
      <c r="X527" s="37" t="str">
        <f t="shared" si="28"/>
        <v/>
      </c>
      <c r="Y527" s="37" t="str">
        <f t="shared" si="29"/>
        <v/>
      </c>
      <c r="Z527" s="38" t="str">
        <f t="shared" si="30"/>
        <v/>
      </c>
      <c r="AA527" s="39" t="str">
        <f t="shared" si="31"/>
        <v/>
      </c>
    </row>
    <row r="528" ht="15.75" customHeight="1">
      <c r="B528" s="1"/>
      <c r="C528" s="28"/>
      <c r="D528" s="79"/>
      <c r="E528" s="1"/>
      <c r="F528" s="76"/>
      <c r="G528" s="1"/>
      <c r="H528" s="1"/>
      <c r="J528" s="77"/>
      <c r="K528" s="80"/>
      <c r="L528" s="80"/>
      <c r="M528" s="80"/>
      <c r="N528" s="80"/>
      <c r="O528" s="80"/>
      <c r="P528" s="81"/>
      <c r="Q528" s="35" t="str">
        <f>IF(D528="","",VLOOKUP(MONTH(D528),Listas!$C$2:$D$14,2,0))</f>
        <v/>
      </c>
      <c r="R528" s="36" t="str">
        <f t="shared" si="22"/>
        <v/>
      </c>
      <c r="S528" s="37" t="str">
        <f t="shared" si="23"/>
        <v/>
      </c>
      <c r="T528" s="37" t="str">
        <f t="shared" si="24"/>
        <v/>
      </c>
      <c r="U528" s="37" t="str">
        <f t="shared" si="25"/>
        <v/>
      </c>
      <c r="V528" s="37" t="str">
        <f t="shared" si="26"/>
        <v/>
      </c>
      <c r="W528" s="37" t="str">
        <f t="shared" si="27"/>
        <v/>
      </c>
      <c r="X528" s="37" t="str">
        <f t="shared" si="28"/>
        <v/>
      </c>
      <c r="Y528" s="37" t="str">
        <f t="shared" si="29"/>
        <v/>
      </c>
      <c r="Z528" s="38" t="str">
        <f t="shared" si="30"/>
        <v/>
      </c>
      <c r="AA528" s="39" t="str">
        <f t="shared" si="31"/>
        <v/>
      </c>
    </row>
    <row r="529" ht="15.75" customHeight="1">
      <c r="B529" s="1"/>
      <c r="C529" s="28"/>
      <c r="D529" s="79"/>
      <c r="E529" s="1"/>
      <c r="F529" s="76"/>
      <c r="G529" s="1"/>
      <c r="H529" s="1"/>
      <c r="J529" s="77"/>
      <c r="K529" s="80"/>
      <c r="L529" s="80"/>
      <c r="M529" s="80"/>
      <c r="N529" s="80"/>
      <c r="O529" s="80"/>
      <c r="P529" s="81"/>
      <c r="Q529" s="35" t="str">
        <f>IF(D529="","",VLOOKUP(MONTH(D529),Listas!$C$2:$D$14,2,0))</f>
        <v/>
      </c>
      <c r="R529" s="36" t="str">
        <f t="shared" si="22"/>
        <v/>
      </c>
      <c r="S529" s="37" t="str">
        <f t="shared" si="23"/>
        <v/>
      </c>
      <c r="T529" s="37" t="str">
        <f t="shared" si="24"/>
        <v/>
      </c>
      <c r="U529" s="37" t="str">
        <f t="shared" si="25"/>
        <v/>
      </c>
      <c r="V529" s="37" t="str">
        <f t="shared" si="26"/>
        <v/>
      </c>
      <c r="W529" s="37" t="str">
        <f t="shared" si="27"/>
        <v/>
      </c>
      <c r="X529" s="37" t="str">
        <f t="shared" si="28"/>
        <v/>
      </c>
      <c r="Y529" s="37" t="str">
        <f t="shared" si="29"/>
        <v/>
      </c>
      <c r="Z529" s="38" t="str">
        <f t="shared" si="30"/>
        <v/>
      </c>
      <c r="AA529" s="39" t="str">
        <f t="shared" si="31"/>
        <v/>
      </c>
    </row>
    <row r="530" ht="15.75" customHeight="1">
      <c r="B530" s="1"/>
      <c r="C530" s="28"/>
      <c r="D530" s="79"/>
      <c r="E530" s="1"/>
      <c r="F530" s="76"/>
      <c r="G530" s="1"/>
      <c r="H530" s="1"/>
      <c r="J530" s="77"/>
      <c r="K530" s="80"/>
      <c r="L530" s="80"/>
      <c r="M530" s="80"/>
      <c r="N530" s="80"/>
      <c r="O530" s="80"/>
      <c r="P530" s="81"/>
      <c r="Q530" s="35" t="str">
        <f>IF(D530="","",VLOOKUP(MONTH(D530),Listas!$C$2:$D$14,2,0))</f>
        <v/>
      </c>
      <c r="R530" s="36" t="str">
        <f t="shared" si="22"/>
        <v/>
      </c>
      <c r="S530" s="37" t="str">
        <f t="shared" si="23"/>
        <v/>
      </c>
      <c r="T530" s="37" t="str">
        <f t="shared" si="24"/>
        <v/>
      </c>
      <c r="U530" s="37" t="str">
        <f t="shared" si="25"/>
        <v/>
      </c>
      <c r="V530" s="37" t="str">
        <f t="shared" si="26"/>
        <v/>
      </c>
      <c r="W530" s="37" t="str">
        <f t="shared" si="27"/>
        <v/>
      </c>
      <c r="X530" s="37" t="str">
        <f t="shared" si="28"/>
        <v/>
      </c>
      <c r="Y530" s="37" t="str">
        <f t="shared" si="29"/>
        <v/>
      </c>
      <c r="Z530" s="38" t="str">
        <f t="shared" si="30"/>
        <v/>
      </c>
      <c r="AA530" s="39" t="str">
        <f t="shared" si="31"/>
        <v/>
      </c>
    </row>
    <row r="531" ht="15.75" customHeight="1">
      <c r="B531" s="1"/>
      <c r="C531" s="28"/>
      <c r="D531" s="79"/>
      <c r="E531" s="1"/>
      <c r="F531" s="76"/>
      <c r="G531" s="1"/>
      <c r="H531" s="1"/>
      <c r="J531" s="77"/>
      <c r="K531" s="80"/>
      <c r="L531" s="80"/>
      <c r="M531" s="80"/>
      <c r="N531" s="80"/>
      <c r="O531" s="80"/>
      <c r="P531" s="81"/>
      <c r="Q531" s="35" t="str">
        <f>IF(D531="","",VLOOKUP(MONTH(D531),Listas!$C$2:$D$14,2,0))</f>
        <v/>
      </c>
      <c r="R531" s="36" t="str">
        <f t="shared" si="22"/>
        <v/>
      </c>
      <c r="S531" s="37" t="str">
        <f t="shared" si="23"/>
        <v/>
      </c>
      <c r="T531" s="37" t="str">
        <f t="shared" si="24"/>
        <v/>
      </c>
      <c r="U531" s="37" t="str">
        <f t="shared" si="25"/>
        <v/>
      </c>
      <c r="V531" s="37" t="str">
        <f t="shared" si="26"/>
        <v/>
      </c>
      <c r="W531" s="37" t="str">
        <f t="shared" si="27"/>
        <v/>
      </c>
      <c r="X531" s="37" t="str">
        <f t="shared" si="28"/>
        <v/>
      </c>
      <c r="Y531" s="37" t="str">
        <f t="shared" si="29"/>
        <v/>
      </c>
      <c r="Z531" s="38" t="str">
        <f t="shared" si="30"/>
        <v/>
      </c>
      <c r="AA531" s="39" t="str">
        <f t="shared" si="31"/>
        <v/>
      </c>
    </row>
    <row r="532" ht="15.75" customHeight="1">
      <c r="B532" s="1"/>
      <c r="C532" s="28"/>
      <c r="D532" s="79"/>
      <c r="E532" s="1"/>
      <c r="F532" s="76"/>
      <c r="G532" s="1"/>
      <c r="H532" s="1"/>
      <c r="J532" s="77"/>
      <c r="K532" s="80"/>
      <c r="L532" s="80"/>
      <c r="M532" s="80"/>
      <c r="N532" s="80"/>
      <c r="O532" s="80"/>
      <c r="P532" s="81"/>
      <c r="Q532" s="35" t="str">
        <f>IF(D532="","",VLOOKUP(MONTH(D532),Listas!$C$2:$D$14,2,0))</f>
        <v/>
      </c>
      <c r="R532" s="36" t="str">
        <f t="shared" si="22"/>
        <v/>
      </c>
      <c r="S532" s="37" t="str">
        <f t="shared" si="23"/>
        <v/>
      </c>
      <c r="T532" s="37" t="str">
        <f t="shared" si="24"/>
        <v/>
      </c>
      <c r="U532" s="37" t="str">
        <f t="shared" si="25"/>
        <v/>
      </c>
      <c r="V532" s="37" t="str">
        <f t="shared" si="26"/>
        <v/>
      </c>
      <c r="W532" s="37" t="str">
        <f t="shared" si="27"/>
        <v/>
      </c>
      <c r="X532" s="37" t="str">
        <f t="shared" si="28"/>
        <v/>
      </c>
      <c r="Y532" s="37" t="str">
        <f t="shared" si="29"/>
        <v/>
      </c>
      <c r="Z532" s="38" t="str">
        <f t="shared" si="30"/>
        <v/>
      </c>
      <c r="AA532" s="39" t="str">
        <f t="shared" si="31"/>
        <v/>
      </c>
    </row>
    <row r="533" ht="15.75" customHeight="1">
      <c r="B533" s="1"/>
      <c r="C533" s="28"/>
      <c r="D533" s="79"/>
      <c r="E533" s="1"/>
      <c r="F533" s="76"/>
      <c r="G533" s="1"/>
      <c r="H533" s="1"/>
      <c r="J533" s="77"/>
      <c r="K533" s="80"/>
      <c r="L533" s="80"/>
      <c r="M533" s="80"/>
      <c r="N533" s="80"/>
      <c r="O533" s="80"/>
      <c r="P533" s="81"/>
      <c r="Q533" s="35" t="str">
        <f>IF(D533="","",VLOOKUP(MONTH(D533),Listas!$C$2:$D$14,2,0))</f>
        <v/>
      </c>
      <c r="R533" s="36" t="str">
        <f t="shared" si="22"/>
        <v/>
      </c>
      <c r="S533" s="37" t="str">
        <f t="shared" si="23"/>
        <v/>
      </c>
      <c r="T533" s="37" t="str">
        <f t="shared" si="24"/>
        <v/>
      </c>
      <c r="U533" s="37" t="str">
        <f t="shared" si="25"/>
        <v/>
      </c>
      <c r="V533" s="37" t="str">
        <f t="shared" si="26"/>
        <v/>
      </c>
      <c r="W533" s="37" t="str">
        <f t="shared" si="27"/>
        <v/>
      </c>
      <c r="X533" s="37" t="str">
        <f t="shared" si="28"/>
        <v/>
      </c>
      <c r="Y533" s="37" t="str">
        <f t="shared" si="29"/>
        <v/>
      </c>
      <c r="Z533" s="38" t="str">
        <f t="shared" si="30"/>
        <v/>
      </c>
      <c r="AA533" s="39" t="str">
        <f t="shared" si="31"/>
        <v/>
      </c>
    </row>
    <row r="534" ht="15.75" customHeight="1">
      <c r="B534" s="1"/>
      <c r="C534" s="28"/>
      <c r="D534" s="79"/>
      <c r="E534" s="1"/>
      <c r="F534" s="76"/>
      <c r="G534" s="1"/>
      <c r="H534" s="1"/>
      <c r="J534" s="77"/>
      <c r="K534" s="80"/>
      <c r="L534" s="80"/>
      <c r="M534" s="80"/>
      <c r="N534" s="80"/>
      <c r="O534" s="80"/>
      <c r="P534" s="81"/>
      <c r="Q534" s="35" t="str">
        <f>IF(D534="","",VLOOKUP(MONTH(D534),Listas!$C$2:$D$14,2,0))</f>
        <v/>
      </c>
      <c r="R534" s="36" t="str">
        <f t="shared" si="22"/>
        <v/>
      </c>
      <c r="S534" s="37" t="str">
        <f t="shared" si="23"/>
        <v/>
      </c>
      <c r="T534" s="37" t="str">
        <f t="shared" si="24"/>
        <v/>
      </c>
      <c r="U534" s="37" t="str">
        <f t="shared" si="25"/>
        <v/>
      </c>
      <c r="V534" s="37" t="str">
        <f t="shared" si="26"/>
        <v/>
      </c>
      <c r="W534" s="37" t="str">
        <f t="shared" si="27"/>
        <v/>
      </c>
      <c r="X534" s="37" t="str">
        <f t="shared" si="28"/>
        <v/>
      </c>
      <c r="Y534" s="37" t="str">
        <f t="shared" si="29"/>
        <v/>
      </c>
      <c r="Z534" s="38" t="str">
        <f t="shared" si="30"/>
        <v/>
      </c>
      <c r="AA534" s="39" t="str">
        <f t="shared" si="31"/>
        <v/>
      </c>
    </row>
    <row r="535" ht="15.75" customHeight="1">
      <c r="B535" s="1"/>
      <c r="C535" s="28"/>
      <c r="D535" s="79"/>
      <c r="E535" s="1"/>
      <c r="F535" s="76"/>
      <c r="G535" s="1"/>
      <c r="H535" s="1"/>
      <c r="J535" s="77"/>
      <c r="K535" s="80"/>
      <c r="L535" s="80"/>
      <c r="M535" s="80"/>
      <c r="N535" s="80"/>
      <c r="O535" s="80"/>
      <c r="P535" s="81"/>
      <c r="Q535" s="35" t="str">
        <f>IF(D535="","",VLOOKUP(MONTH(D535),Listas!$C$2:$D$14,2,0))</f>
        <v/>
      </c>
      <c r="R535" s="36" t="str">
        <f t="shared" si="22"/>
        <v/>
      </c>
      <c r="S535" s="37" t="str">
        <f t="shared" si="23"/>
        <v/>
      </c>
      <c r="T535" s="37" t="str">
        <f t="shared" si="24"/>
        <v/>
      </c>
      <c r="U535" s="37" t="str">
        <f t="shared" si="25"/>
        <v/>
      </c>
      <c r="V535" s="37" t="str">
        <f t="shared" si="26"/>
        <v/>
      </c>
      <c r="W535" s="37" t="str">
        <f t="shared" si="27"/>
        <v/>
      </c>
      <c r="X535" s="37" t="str">
        <f t="shared" si="28"/>
        <v/>
      </c>
      <c r="Y535" s="37" t="str">
        <f t="shared" si="29"/>
        <v/>
      </c>
      <c r="Z535" s="38" t="str">
        <f t="shared" si="30"/>
        <v/>
      </c>
      <c r="AA535" s="39" t="str">
        <f t="shared" si="31"/>
        <v/>
      </c>
    </row>
    <row r="536" ht="15.75" customHeight="1">
      <c r="B536" s="1"/>
      <c r="C536" s="28"/>
      <c r="D536" s="79"/>
      <c r="E536" s="1"/>
      <c r="F536" s="76"/>
      <c r="G536" s="1"/>
      <c r="H536" s="1"/>
      <c r="J536" s="77"/>
      <c r="K536" s="80"/>
      <c r="L536" s="80"/>
      <c r="M536" s="80"/>
      <c r="N536" s="80"/>
      <c r="O536" s="80"/>
      <c r="P536" s="81"/>
      <c r="Q536" s="35" t="str">
        <f>IF(D536="","",VLOOKUP(MONTH(D536),Listas!$C$2:$D$14,2,0))</f>
        <v/>
      </c>
      <c r="R536" s="36" t="str">
        <f t="shared" si="22"/>
        <v/>
      </c>
      <c r="S536" s="37" t="str">
        <f t="shared" si="23"/>
        <v/>
      </c>
      <c r="T536" s="37" t="str">
        <f t="shared" si="24"/>
        <v/>
      </c>
      <c r="U536" s="37" t="str">
        <f t="shared" si="25"/>
        <v/>
      </c>
      <c r="V536" s="37" t="str">
        <f t="shared" si="26"/>
        <v/>
      </c>
      <c r="W536" s="37" t="str">
        <f t="shared" si="27"/>
        <v/>
      </c>
      <c r="X536" s="37" t="str">
        <f t="shared" si="28"/>
        <v/>
      </c>
      <c r="Y536" s="37" t="str">
        <f t="shared" si="29"/>
        <v/>
      </c>
      <c r="Z536" s="38" t="str">
        <f t="shared" si="30"/>
        <v/>
      </c>
      <c r="AA536" s="39" t="str">
        <f t="shared" si="31"/>
        <v/>
      </c>
    </row>
    <row r="537" ht="15.75" customHeight="1">
      <c r="B537" s="1"/>
      <c r="C537" s="28"/>
      <c r="D537" s="79"/>
      <c r="E537" s="1"/>
      <c r="F537" s="76"/>
      <c r="G537" s="1"/>
      <c r="H537" s="1"/>
      <c r="J537" s="77"/>
      <c r="K537" s="80"/>
      <c r="L537" s="80"/>
      <c r="M537" s="80"/>
      <c r="N537" s="80"/>
      <c r="O537" s="80"/>
      <c r="P537" s="81"/>
      <c r="Q537" s="35" t="str">
        <f>IF(D537="","",VLOOKUP(MONTH(D537),Listas!$C$2:$D$14,2,0))</f>
        <v/>
      </c>
      <c r="R537" s="36" t="str">
        <f t="shared" si="22"/>
        <v/>
      </c>
      <c r="S537" s="37" t="str">
        <f t="shared" si="23"/>
        <v/>
      </c>
      <c r="T537" s="37" t="str">
        <f t="shared" si="24"/>
        <v/>
      </c>
      <c r="U537" s="37" t="str">
        <f t="shared" si="25"/>
        <v/>
      </c>
      <c r="V537" s="37" t="str">
        <f t="shared" si="26"/>
        <v/>
      </c>
      <c r="W537" s="37" t="str">
        <f t="shared" si="27"/>
        <v/>
      </c>
      <c r="X537" s="37" t="str">
        <f t="shared" si="28"/>
        <v/>
      </c>
      <c r="Y537" s="37" t="str">
        <f t="shared" si="29"/>
        <v/>
      </c>
      <c r="Z537" s="38" t="str">
        <f t="shared" si="30"/>
        <v/>
      </c>
      <c r="AA537" s="39" t="str">
        <f t="shared" si="31"/>
        <v/>
      </c>
    </row>
    <row r="538" ht="15.75" customHeight="1">
      <c r="B538" s="1"/>
      <c r="C538" s="28"/>
      <c r="D538" s="79"/>
      <c r="E538" s="1"/>
      <c r="F538" s="76"/>
      <c r="G538" s="1"/>
      <c r="H538" s="1"/>
      <c r="J538" s="77"/>
      <c r="K538" s="80"/>
      <c r="L538" s="80"/>
      <c r="M538" s="80"/>
      <c r="N538" s="80"/>
      <c r="O538" s="80"/>
      <c r="P538" s="81"/>
      <c r="Q538" s="35" t="str">
        <f>IF(D538="","",VLOOKUP(MONTH(D538),Listas!$C$2:$D$14,2,0))</f>
        <v/>
      </c>
      <c r="R538" s="36" t="str">
        <f t="shared" si="22"/>
        <v/>
      </c>
      <c r="S538" s="37" t="str">
        <f t="shared" si="23"/>
        <v/>
      </c>
      <c r="T538" s="37" t="str">
        <f t="shared" si="24"/>
        <v/>
      </c>
      <c r="U538" s="37" t="str">
        <f t="shared" si="25"/>
        <v/>
      </c>
      <c r="V538" s="37" t="str">
        <f t="shared" si="26"/>
        <v/>
      </c>
      <c r="W538" s="37" t="str">
        <f t="shared" si="27"/>
        <v/>
      </c>
      <c r="X538" s="37" t="str">
        <f t="shared" si="28"/>
        <v/>
      </c>
      <c r="Y538" s="37" t="str">
        <f t="shared" si="29"/>
        <v/>
      </c>
      <c r="Z538" s="38" t="str">
        <f t="shared" si="30"/>
        <v/>
      </c>
      <c r="AA538" s="39" t="str">
        <f t="shared" si="31"/>
        <v/>
      </c>
    </row>
    <row r="539" ht="15.75" customHeight="1">
      <c r="B539" s="1"/>
      <c r="C539" s="28"/>
      <c r="D539" s="79"/>
      <c r="E539" s="1"/>
      <c r="F539" s="76"/>
      <c r="G539" s="1"/>
      <c r="H539" s="1"/>
      <c r="J539" s="77"/>
      <c r="K539" s="80"/>
      <c r="L539" s="80"/>
      <c r="M539" s="80"/>
      <c r="N539" s="80"/>
      <c r="O539" s="80"/>
      <c r="P539" s="81"/>
      <c r="Q539" s="35" t="str">
        <f>IF(D539="","",VLOOKUP(MONTH(D539),Listas!$C$2:$D$14,2,0))</f>
        <v/>
      </c>
      <c r="R539" s="36" t="str">
        <f t="shared" si="22"/>
        <v/>
      </c>
      <c r="S539" s="37" t="str">
        <f t="shared" si="23"/>
        <v/>
      </c>
      <c r="T539" s="37" t="str">
        <f t="shared" si="24"/>
        <v/>
      </c>
      <c r="U539" s="37" t="str">
        <f t="shared" si="25"/>
        <v/>
      </c>
      <c r="V539" s="37" t="str">
        <f t="shared" si="26"/>
        <v/>
      </c>
      <c r="W539" s="37" t="str">
        <f t="shared" si="27"/>
        <v/>
      </c>
      <c r="X539" s="37" t="str">
        <f t="shared" si="28"/>
        <v/>
      </c>
      <c r="Y539" s="37" t="str">
        <f t="shared" si="29"/>
        <v/>
      </c>
      <c r="Z539" s="38" t="str">
        <f t="shared" si="30"/>
        <v/>
      </c>
      <c r="AA539" s="39" t="str">
        <f t="shared" si="31"/>
        <v/>
      </c>
    </row>
    <row r="540" ht="15.75" customHeight="1">
      <c r="B540" s="1"/>
      <c r="C540" s="28"/>
      <c r="D540" s="79"/>
      <c r="E540" s="1"/>
      <c r="F540" s="76"/>
      <c r="G540" s="1"/>
      <c r="H540" s="1"/>
      <c r="J540" s="77"/>
      <c r="K540" s="80"/>
      <c r="L540" s="80"/>
      <c r="M540" s="80"/>
      <c r="N540" s="80"/>
      <c r="O540" s="80"/>
      <c r="P540" s="81"/>
      <c r="Q540" s="35" t="str">
        <f>IF(D540="","",VLOOKUP(MONTH(D540),Listas!$C$2:$D$14,2,0))</f>
        <v/>
      </c>
      <c r="R540" s="36" t="str">
        <f t="shared" si="22"/>
        <v/>
      </c>
      <c r="S540" s="37" t="str">
        <f t="shared" si="23"/>
        <v/>
      </c>
      <c r="T540" s="37" t="str">
        <f t="shared" si="24"/>
        <v/>
      </c>
      <c r="U540" s="37" t="str">
        <f t="shared" si="25"/>
        <v/>
      </c>
      <c r="V540" s="37" t="str">
        <f t="shared" si="26"/>
        <v/>
      </c>
      <c r="W540" s="37" t="str">
        <f t="shared" si="27"/>
        <v/>
      </c>
      <c r="X540" s="37" t="str">
        <f t="shared" si="28"/>
        <v/>
      </c>
      <c r="Y540" s="37" t="str">
        <f t="shared" si="29"/>
        <v/>
      </c>
      <c r="Z540" s="38" t="str">
        <f t="shared" si="30"/>
        <v/>
      </c>
      <c r="AA540" s="39" t="str">
        <f t="shared" si="31"/>
        <v/>
      </c>
    </row>
    <row r="541" ht="15.75" customHeight="1">
      <c r="B541" s="1"/>
      <c r="C541" s="28"/>
      <c r="D541" s="79"/>
      <c r="E541" s="1"/>
      <c r="F541" s="76"/>
      <c r="G541" s="1"/>
      <c r="H541" s="1"/>
      <c r="J541" s="77"/>
      <c r="K541" s="80"/>
      <c r="L541" s="80"/>
      <c r="M541" s="80"/>
      <c r="N541" s="80"/>
      <c r="O541" s="80"/>
      <c r="P541" s="81"/>
      <c r="Q541" s="35" t="str">
        <f>IF(D541="","",VLOOKUP(MONTH(D541),Listas!$C$2:$D$14,2,0))</f>
        <v/>
      </c>
      <c r="R541" s="36" t="str">
        <f t="shared" si="22"/>
        <v/>
      </c>
      <c r="S541" s="37" t="str">
        <f t="shared" si="23"/>
        <v/>
      </c>
      <c r="T541" s="37" t="str">
        <f t="shared" si="24"/>
        <v/>
      </c>
      <c r="U541" s="37" t="str">
        <f t="shared" si="25"/>
        <v/>
      </c>
      <c r="V541" s="37" t="str">
        <f t="shared" si="26"/>
        <v/>
      </c>
      <c r="W541" s="37" t="str">
        <f t="shared" si="27"/>
        <v/>
      </c>
      <c r="X541" s="37" t="str">
        <f t="shared" si="28"/>
        <v/>
      </c>
      <c r="Y541" s="37" t="str">
        <f t="shared" si="29"/>
        <v/>
      </c>
      <c r="Z541" s="38" t="str">
        <f t="shared" si="30"/>
        <v/>
      </c>
      <c r="AA541" s="39" t="str">
        <f t="shared" si="31"/>
        <v/>
      </c>
    </row>
    <row r="542" ht="15.75" customHeight="1">
      <c r="B542" s="1"/>
      <c r="C542" s="28"/>
      <c r="D542" s="79"/>
      <c r="E542" s="1"/>
      <c r="F542" s="76"/>
      <c r="G542" s="1"/>
      <c r="H542" s="1"/>
      <c r="J542" s="77"/>
      <c r="K542" s="80"/>
      <c r="L542" s="80"/>
      <c r="M542" s="80"/>
      <c r="N542" s="80"/>
      <c r="O542" s="80"/>
      <c r="P542" s="81"/>
      <c r="Q542" s="35" t="str">
        <f>IF(D542="","",VLOOKUP(MONTH(D542),Listas!$C$2:$D$14,2,0))</f>
        <v/>
      </c>
      <c r="R542" s="36" t="str">
        <f t="shared" si="22"/>
        <v/>
      </c>
      <c r="S542" s="37" t="str">
        <f t="shared" si="23"/>
        <v/>
      </c>
      <c r="T542" s="37" t="str">
        <f t="shared" si="24"/>
        <v/>
      </c>
      <c r="U542" s="37" t="str">
        <f t="shared" si="25"/>
        <v/>
      </c>
      <c r="V542" s="37" t="str">
        <f t="shared" si="26"/>
        <v/>
      </c>
      <c r="W542" s="37" t="str">
        <f t="shared" si="27"/>
        <v/>
      </c>
      <c r="X542" s="37" t="str">
        <f t="shared" si="28"/>
        <v/>
      </c>
      <c r="Y542" s="37" t="str">
        <f t="shared" si="29"/>
        <v/>
      </c>
      <c r="Z542" s="38" t="str">
        <f t="shared" si="30"/>
        <v/>
      </c>
      <c r="AA542" s="39" t="str">
        <f t="shared" si="31"/>
        <v/>
      </c>
    </row>
    <row r="543" ht="15.75" customHeight="1">
      <c r="B543" s="1"/>
      <c r="C543" s="28"/>
      <c r="D543" s="79"/>
      <c r="E543" s="1"/>
      <c r="F543" s="76"/>
      <c r="G543" s="1"/>
      <c r="H543" s="1"/>
      <c r="J543" s="77"/>
      <c r="K543" s="80"/>
      <c r="L543" s="80"/>
      <c r="M543" s="80"/>
      <c r="N543" s="80"/>
      <c r="O543" s="80"/>
      <c r="P543" s="81"/>
      <c r="Q543" s="35" t="str">
        <f>IF(D543="","",VLOOKUP(MONTH(D543),Listas!$C$2:$D$14,2,0))</f>
        <v/>
      </c>
      <c r="R543" s="36" t="str">
        <f t="shared" si="22"/>
        <v/>
      </c>
      <c r="S543" s="37" t="str">
        <f t="shared" si="23"/>
        <v/>
      </c>
      <c r="T543" s="37" t="str">
        <f t="shared" si="24"/>
        <v/>
      </c>
      <c r="U543" s="37" t="str">
        <f t="shared" si="25"/>
        <v/>
      </c>
      <c r="V543" s="37" t="str">
        <f t="shared" si="26"/>
        <v/>
      </c>
      <c r="W543" s="37" t="str">
        <f t="shared" si="27"/>
        <v/>
      </c>
      <c r="X543" s="37" t="str">
        <f t="shared" si="28"/>
        <v/>
      </c>
      <c r="Y543" s="37" t="str">
        <f t="shared" si="29"/>
        <v/>
      </c>
      <c r="Z543" s="38" t="str">
        <f t="shared" si="30"/>
        <v/>
      </c>
      <c r="AA543" s="39" t="str">
        <f t="shared" si="31"/>
        <v/>
      </c>
    </row>
    <row r="544" ht="15.75" customHeight="1">
      <c r="B544" s="1"/>
      <c r="C544" s="28"/>
      <c r="D544" s="79"/>
      <c r="E544" s="1"/>
      <c r="F544" s="76"/>
      <c r="G544" s="1"/>
      <c r="H544" s="1"/>
      <c r="J544" s="77"/>
      <c r="K544" s="80"/>
      <c r="L544" s="80"/>
      <c r="M544" s="80"/>
      <c r="N544" s="80"/>
      <c r="O544" s="80"/>
      <c r="P544" s="81"/>
      <c r="Q544" s="35" t="str">
        <f>IF(D544="","",VLOOKUP(MONTH(D544),Listas!$C$2:$D$14,2,0))</f>
        <v/>
      </c>
      <c r="R544" s="36" t="str">
        <f t="shared" si="22"/>
        <v/>
      </c>
      <c r="S544" s="37" t="str">
        <f t="shared" si="23"/>
        <v/>
      </c>
      <c r="T544" s="37" t="str">
        <f t="shared" si="24"/>
        <v/>
      </c>
      <c r="U544" s="37" t="str">
        <f t="shared" si="25"/>
        <v/>
      </c>
      <c r="V544" s="37" t="str">
        <f t="shared" si="26"/>
        <v/>
      </c>
      <c r="W544" s="37" t="str">
        <f t="shared" si="27"/>
        <v/>
      </c>
      <c r="X544" s="37" t="str">
        <f t="shared" si="28"/>
        <v/>
      </c>
      <c r="Y544" s="37" t="str">
        <f t="shared" si="29"/>
        <v/>
      </c>
      <c r="Z544" s="38" t="str">
        <f t="shared" si="30"/>
        <v/>
      </c>
      <c r="AA544" s="39" t="str">
        <f t="shared" si="31"/>
        <v/>
      </c>
    </row>
    <row r="545" ht="15.75" customHeight="1">
      <c r="B545" s="1"/>
      <c r="C545" s="28"/>
      <c r="D545" s="79"/>
      <c r="E545" s="1"/>
      <c r="F545" s="76"/>
      <c r="G545" s="1"/>
      <c r="H545" s="1"/>
      <c r="J545" s="77"/>
      <c r="K545" s="80"/>
      <c r="L545" s="80"/>
      <c r="M545" s="80"/>
      <c r="N545" s="80"/>
      <c r="O545" s="80"/>
      <c r="P545" s="81"/>
      <c r="Q545" s="35" t="str">
        <f>IF(D545="","",VLOOKUP(MONTH(D545),Listas!$C$2:$D$14,2,0))</f>
        <v/>
      </c>
      <c r="R545" s="36" t="str">
        <f t="shared" si="22"/>
        <v/>
      </c>
      <c r="S545" s="37" t="str">
        <f t="shared" si="23"/>
        <v/>
      </c>
      <c r="T545" s="37" t="str">
        <f t="shared" si="24"/>
        <v/>
      </c>
      <c r="U545" s="37" t="str">
        <f t="shared" si="25"/>
        <v/>
      </c>
      <c r="V545" s="37" t="str">
        <f t="shared" si="26"/>
        <v/>
      </c>
      <c r="W545" s="37" t="str">
        <f t="shared" si="27"/>
        <v/>
      </c>
      <c r="X545" s="37" t="str">
        <f t="shared" si="28"/>
        <v/>
      </c>
      <c r="Y545" s="37" t="str">
        <f t="shared" si="29"/>
        <v/>
      </c>
      <c r="Z545" s="38" t="str">
        <f t="shared" si="30"/>
        <v/>
      </c>
      <c r="AA545" s="39" t="str">
        <f t="shared" si="31"/>
        <v/>
      </c>
    </row>
    <row r="546" ht="15.75" customHeight="1">
      <c r="B546" s="1"/>
      <c r="C546" s="28"/>
      <c r="D546" s="79"/>
      <c r="E546" s="1"/>
      <c r="F546" s="76"/>
      <c r="G546" s="1"/>
      <c r="H546" s="1"/>
      <c r="J546" s="77"/>
      <c r="K546" s="80"/>
      <c r="L546" s="80"/>
      <c r="M546" s="80"/>
      <c r="N546" s="80"/>
      <c r="O546" s="80"/>
      <c r="P546" s="81"/>
      <c r="Q546" s="35" t="str">
        <f>IF(D546="","",VLOOKUP(MONTH(D546),Listas!$C$2:$D$14,2,0))</f>
        <v/>
      </c>
      <c r="R546" s="36" t="str">
        <f t="shared" si="22"/>
        <v/>
      </c>
      <c r="S546" s="37" t="str">
        <f t="shared" si="23"/>
        <v/>
      </c>
      <c r="T546" s="37" t="str">
        <f t="shared" si="24"/>
        <v/>
      </c>
      <c r="U546" s="37" t="str">
        <f t="shared" si="25"/>
        <v/>
      </c>
      <c r="V546" s="37" t="str">
        <f t="shared" si="26"/>
        <v/>
      </c>
      <c r="W546" s="37" t="str">
        <f t="shared" si="27"/>
        <v/>
      </c>
      <c r="X546" s="37" t="str">
        <f t="shared" si="28"/>
        <v/>
      </c>
      <c r="Y546" s="37" t="str">
        <f t="shared" si="29"/>
        <v/>
      </c>
      <c r="Z546" s="38" t="str">
        <f t="shared" si="30"/>
        <v/>
      </c>
      <c r="AA546" s="39" t="str">
        <f t="shared" si="31"/>
        <v/>
      </c>
    </row>
    <row r="547" ht="15.75" customHeight="1">
      <c r="B547" s="1"/>
      <c r="C547" s="28"/>
      <c r="D547" s="79"/>
      <c r="E547" s="1"/>
      <c r="F547" s="76"/>
      <c r="G547" s="1"/>
      <c r="H547" s="1"/>
      <c r="J547" s="77"/>
      <c r="K547" s="80"/>
      <c r="L547" s="80"/>
      <c r="M547" s="80"/>
      <c r="N547" s="80"/>
      <c r="O547" s="80"/>
      <c r="P547" s="81"/>
      <c r="Q547" s="35" t="str">
        <f>IF(D547="","",VLOOKUP(MONTH(D547),Listas!$C$2:$D$14,2,0))</f>
        <v/>
      </c>
      <c r="R547" s="36" t="str">
        <f t="shared" si="22"/>
        <v/>
      </c>
      <c r="S547" s="37" t="str">
        <f t="shared" si="23"/>
        <v/>
      </c>
      <c r="T547" s="37" t="str">
        <f t="shared" si="24"/>
        <v/>
      </c>
      <c r="U547" s="37" t="str">
        <f t="shared" si="25"/>
        <v/>
      </c>
      <c r="V547" s="37" t="str">
        <f t="shared" si="26"/>
        <v/>
      </c>
      <c r="W547" s="37" t="str">
        <f t="shared" si="27"/>
        <v/>
      </c>
      <c r="X547" s="37" t="str">
        <f t="shared" si="28"/>
        <v/>
      </c>
      <c r="Y547" s="37" t="str">
        <f t="shared" si="29"/>
        <v/>
      </c>
      <c r="Z547" s="38" t="str">
        <f t="shared" si="30"/>
        <v/>
      </c>
      <c r="AA547" s="39" t="str">
        <f t="shared" si="31"/>
        <v/>
      </c>
    </row>
    <row r="548" ht="15.75" customHeight="1">
      <c r="B548" s="1"/>
      <c r="C548" s="28"/>
      <c r="D548" s="79"/>
      <c r="E548" s="1"/>
      <c r="F548" s="76"/>
      <c r="G548" s="1"/>
      <c r="H548" s="1"/>
      <c r="J548" s="77"/>
      <c r="K548" s="80"/>
      <c r="L548" s="80"/>
      <c r="M548" s="80"/>
      <c r="N548" s="80"/>
      <c r="O548" s="80"/>
      <c r="P548" s="81"/>
      <c r="Q548" s="35" t="str">
        <f>IF(D548="","",VLOOKUP(MONTH(D548),Listas!$C$2:$D$14,2,0))</f>
        <v/>
      </c>
      <c r="R548" s="36" t="str">
        <f t="shared" si="22"/>
        <v/>
      </c>
      <c r="S548" s="37" t="str">
        <f t="shared" si="23"/>
        <v/>
      </c>
      <c r="T548" s="37" t="str">
        <f t="shared" si="24"/>
        <v/>
      </c>
      <c r="U548" s="37" t="str">
        <f t="shared" si="25"/>
        <v/>
      </c>
      <c r="V548" s="37" t="str">
        <f t="shared" si="26"/>
        <v/>
      </c>
      <c r="W548" s="37" t="str">
        <f t="shared" si="27"/>
        <v/>
      </c>
      <c r="X548" s="37" t="str">
        <f t="shared" si="28"/>
        <v/>
      </c>
      <c r="Y548" s="37" t="str">
        <f t="shared" si="29"/>
        <v/>
      </c>
      <c r="Z548" s="38" t="str">
        <f t="shared" si="30"/>
        <v/>
      </c>
      <c r="AA548" s="39" t="str">
        <f t="shared" si="31"/>
        <v/>
      </c>
    </row>
    <row r="549" ht="15.75" customHeight="1">
      <c r="B549" s="1"/>
      <c r="C549" s="28"/>
      <c r="D549" s="79"/>
      <c r="E549" s="1"/>
      <c r="F549" s="76"/>
      <c r="G549" s="1"/>
      <c r="H549" s="1"/>
      <c r="J549" s="77"/>
      <c r="K549" s="80"/>
      <c r="L549" s="80"/>
      <c r="M549" s="80"/>
      <c r="N549" s="80"/>
      <c r="O549" s="80"/>
      <c r="P549" s="81"/>
      <c r="Q549" s="35" t="str">
        <f>IF(D549="","",VLOOKUP(MONTH(D549),Listas!$C$2:$D$14,2,0))</f>
        <v/>
      </c>
      <c r="R549" s="36" t="str">
        <f t="shared" si="22"/>
        <v/>
      </c>
      <c r="S549" s="37" t="str">
        <f t="shared" si="23"/>
        <v/>
      </c>
      <c r="T549" s="37" t="str">
        <f t="shared" si="24"/>
        <v/>
      </c>
      <c r="U549" s="37" t="str">
        <f t="shared" si="25"/>
        <v/>
      </c>
      <c r="V549" s="37" t="str">
        <f t="shared" si="26"/>
        <v/>
      </c>
      <c r="W549" s="37" t="str">
        <f t="shared" si="27"/>
        <v/>
      </c>
      <c r="X549" s="37" t="str">
        <f t="shared" si="28"/>
        <v/>
      </c>
      <c r="Y549" s="37" t="str">
        <f t="shared" si="29"/>
        <v/>
      </c>
      <c r="Z549" s="38" t="str">
        <f t="shared" si="30"/>
        <v/>
      </c>
      <c r="AA549" s="39" t="str">
        <f t="shared" si="31"/>
        <v/>
      </c>
    </row>
    <row r="550" ht="15.75" customHeight="1">
      <c r="B550" s="1"/>
      <c r="C550" s="28"/>
      <c r="D550" s="79"/>
      <c r="E550" s="1"/>
      <c r="F550" s="76"/>
      <c r="G550" s="1"/>
      <c r="H550" s="1"/>
      <c r="J550" s="77"/>
      <c r="K550" s="80"/>
      <c r="L550" s="80"/>
      <c r="M550" s="80"/>
      <c r="N550" s="80"/>
      <c r="O550" s="80"/>
      <c r="P550" s="81"/>
      <c r="Q550" s="35" t="str">
        <f>IF(D550="","",VLOOKUP(MONTH(D550),Listas!$C$2:$D$14,2,0))</f>
        <v/>
      </c>
      <c r="R550" s="36" t="str">
        <f t="shared" si="22"/>
        <v/>
      </c>
      <c r="S550" s="37" t="str">
        <f t="shared" si="23"/>
        <v/>
      </c>
      <c r="T550" s="37" t="str">
        <f t="shared" si="24"/>
        <v/>
      </c>
      <c r="U550" s="37" t="str">
        <f t="shared" si="25"/>
        <v/>
      </c>
      <c r="V550" s="37" t="str">
        <f t="shared" si="26"/>
        <v/>
      </c>
      <c r="W550" s="37" t="str">
        <f t="shared" si="27"/>
        <v/>
      </c>
      <c r="X550" s="37" t="str">
        <f t="shared" si="28"/>
        <v/>
      </c>
      <c r="Y550" s="37" t="str">
        <f t="shared" si="29"/>
        <v/>
      </c>
      <c r="Z550" s="38" t="str">
        <f t="shared" si="30"/>
        <v/>
      </c>
      <c r="AA550" s="39" t="str">
        <f t="shared" si="31"/>
        <v/>
      </c>
    </row>
    <row r="551" ht="15.75" customHeight="1">
      <c r="B551" s="1"/>
      <c r="C551" s="28"/>
      <c r="D551" s="79"/>
      <c r="E551" s="1"/>
      <c r="F551" s="76"/>
      <c r="G551" s="1"/>
      <c r="H551" s="1"/>
      <c r="J551" s="77"/>
      <c r="K551" s="80"/>
      <c r="L551" s="80"/>
      <c r="M551" s="80"/>
      <c r="N551" s="80"/>
      <c r="O551" s="80"/>
      <c r="P551" s="81"/>
      <c r="Q551" s="35" t="str">
        <f>IF(D551="","",VLOOKUP(MONTH(D551),Listas!$C$2:$D$14,2,0))</f>
        <v/>
      </c>
      <c r="R551" s="36" t="str">
        <f t="shared" si="22"/>
        <v/>
      </c>
      <c r="S551" s="37" t="str">
        <f t="shared" si="23"/>
        <v/>
      </c>
      <c r="T551" s="37" t="str">
        <f t="shared" si="24"/>
        <v/>
      </c>
      <c r="U551" s="37" t="str">
        <f t="shared" si="25"/>
        <v/>
      </c>
      <c r="V551" s="37" t="str">
        <f t="shared" si="26"/>
        <v/>
      </c>
      <c r="W551" s="37" t="str">
        <f t="shared" si="27"/>
        <v/>
      </c>
      <c r="X551" s="37" t="str">
        <f t="shared" si="28"/>
        <v/>
      </c>
      <c r="Y551" s="37" t="str">
        <f t="shared" si="29"/>
        <v/>
      </c>
      <c r="Z551" s="38" t="str">
        <f t="shared" si="30"/>
        <v/>
      </c>
      <c r="AA551" s="39" t="str">
        <f t="shared" si="31"/>
        <v/>
      </c>
    </row>
    <row r="552" ht="15.75" customHeight="1">
      <c r="B552" s="1"/>
      <c r="C552" s="28"/>
      <c r="D552" s="79"/>
      <c r="E552" s="1"/>
      <c r="F552" s="76"/>
      <c r="G552" s="1"/>
      <c r="H552" s="1"/>
      <c r="J552" s="77"/>
      <c r="K552" s="80"/>
      <c r="L552" s="80"/>
      <c r="M552" s="80"/>
      <c r="N552" s="80"/>
      <c r="O552" s="80"/>
      <c r="P552" s="81"/>
      <c r="Q552" s="35" t="str">
        <f>IF(D552="","",VLOOKUP(MONTH(D552),Listas!$C$2:$D$14,2,0))</f>
        <v/>
      </c>
      <c r="R552" s="36" t="str">
        <f t="shared" si="22"/>
        <v/>
      </c>
      <c r="S552" s="37" t="str">
        <f t="shared" si="23"/>
        <v/>
      </c>
      <c r="T552" s="37" t="str">
        <f t="shared" si="24"/>
        <v/>
      </c>
      <c r="U552" s="37" t="str">
        <f t="shared" si="25"/>
        <v/>
      </c>
      <c r="V552" s="37" t="str">
        <f t="shared" si="26"/>
        <v/>
      </c>
      <c r="W552" s="37" t="str">
        <f t="shared" si="27"/>
        <v/>
      </c>
      <c r="X552" s="37" t="str">
        <f t="shared" si="28"/>
        <v/>
      </c>
      <c r="Y552" s="37" t="str">
        <f t="shared" si="29"/>
        <v/>
      </c>
      <c r="Z552" s="38" t="str">
        <f t="shared" si="30"/>
        <v/>
      </c>
      <c r="AA552" s="39" t="str">
        <f t="shared" si="31"/>
        <v/>
      </c>
    </row>
    <row r="553" ht="15.75" customHeight="1">
      <c r="B553" s="1"/>
      <c r="C553" s="28"/>
      <c r="D553" s="79"/>
      <c r="E553" s="1"/>
      <c r="F553" s="76"/>
      <c r="G553" s="1"/>
      <c r="H553" s="1"/>
      <c r="J553" s="77"/>
      <c r="K553" s="80"/>
      <c r="L553" s="80"/>
      <c r="M553" s="80"/>
      <c r="N553" s="80"/>
      <c r="O553" s="80"/>
      <c r="P553" s="81"/>
      <c r="Q553" s="35" t="str">
        <f>IF(D553="","",VLOOKUP(MONTH(D553),Listas!$C$2:$D$14,2,0))</f>
        <v/>
      </c>
      <c r="R553" s="36" t="str">
        <f t="shared" si="22"/>
        <v/>
      </c>
      <c r="S553" s="37" t="str">
        <f t="shared" si="23"/>
        <v/>
      </c>
      <c r="T553" s="37" t="str">
        <f t="shared" si="24"/>
        <v/>
      </c>
      <c r="U553" s="37" t="str">
        <f t="shared" si="25"/>
        <v/>
      </c>
      <c r="V553" s="37" t="str">
        <f t="shared" si="26"/>
        <v/>
      </c>
      <c r="W553" s="37" t="str">
        <f t="shared" si="27"/>
        <v/>
      </c>
      <c r="X553" s="37" t="str">
        <f t="shared" si="28"/>
        <v/>
      </c>
      <c r="Y553" s="37" t="str">
        <f t="shared" si="29"/>
        <v/>
      </c>
      <c r="Z553" s="38" t="str">
        <f t="shared" si="30"/>
        <v/>
      </c>
      <c r="AA553" s="39" t="str">
        <f t="shared" si="31"/>
        <v/>
      </c>
    </row>
    <row r="554" ht="15.75" customHeight="1">
      <c r="B554" s="1"/>
      <c r="C554" s="28"/>
      <c r="D554" s="79"/>
      <c r="E554" s="1"/>
      <c r="F554" s="76"/>
      <c r="G554" s="1"/>
      <c r="H554" s="1"/>
      <c r="J554" s="77"/>
      <c r="K554" s="80"/>
      <c r="L554" s="80"/>
      <c r="M554" s="80"/>
      <c r="N554" s="80"/>
      <c r="O554" s="80"/>
      <c r="P554" s="81"/>
      <c r="Q554" s="35" t="str">
        <f>IF(D554="","",VLOOKUP(MONTH(D554),Listas!$C$2:$D$14,2,0))</f>
        <v/>
      </c>
      <c r="R554" s="36" t="str">
        <f t="shared" si="22"/>
        <v/>
      </c>
      <c r="S554" s="37" t="str">
        <f t="shared" si="23"/>
        <v/>
      </c>
      <c r="T554" s="37" t="str">
        <f t="shared" si="24"/>
        <v/>
      </c>
      <c r="U554" s="37" t="str">
        <f t="shared" si="25"/>
        <v/>
      </c>
      <c r="V554" s="37" t="str">
        <f t="shared" si="26"/>
        <v/>
      </c>
      <c r="W554" s="37" t="str">
        <f t="shared" si="27"/>
        <v/>
      </c>
      <c r="X554" s="37" t="str">
        <f t="shared" si="28"/>
        <v/>
      </c>
      <c r="Y554" s="37" t="str">
        <f t="shared" si="29"/>
        <v/>
      </c>
      <c r="Z554" s="38" t="str">
        <f t="shared" si="30"/>
        <v/>
      </c>
      <c r="AA554" s="39" t="str">
        <f t="shared" si="31"/>
        <v/>
      </c>
    </row>
    <row r="555" ht="15.75" customHeight="1">
      <c r="B555" s="1"/>
      <c r="C555" s="28"/>
      <c r="D555" s="79"/>
      <c r="E555" s="1"/>
      <c r="F555" s="76"/>
      <c r="G555" s="1"/>
      <c r="H555" s="1"/>
      <c r="J555" s="77"/>
      <c r="K555" s="80"/>
      <c r="L555" s="80"/>
      <c r="M555" s="80"/>
      <c r="N555" s="80"/>
      <c r="O555" s="80"/>
      <c r="P555" s="81"/>
      <c r="Q555" s="35" t="str">
        <f>IF(D555="","",VLOOKUP(MONTH(D555),Listas!$C$2:$D$14,2,0))</f>
        <v/>
      </c>
      <c r="R555" s="36" t="str">
        <f t="shared" si="22"/>
        <v/>
      </c>
      <c r="S555" s="37" t="str">
        <f t="shared" si="23"/>
        <v/>
      </c>
      <c r="T555" s="37" t="str">
        <f t="shared" si="24"/>
        <v/>
      </c>
      <c r="U555" s="37" t="str">
        <f t="shared" si="25"/>
        <v/>
      </c>
      <c r="V555" s="37" t="str">
        <f t="shared" si="26"/>
        <v/>
      </c>
      <c r="W555" s="37" t="str">
        <f t="shared" si="27"/>
        <v/>
      </c>
      <c r="X555" s="37" t="str">
        <f t="shared" si="28"/>
        <v/>
      </c>
      <c r="Y555" s="37" t="str">
        <f t="shared" si="29"/>
        <v/>
      </c>
      <c r="Z555" s="38" t="str">
        <f t="shared" si="30"/>
        <v/>
      </c>
      <c r="AA555" s="39" t="str">
        <f t="shared" si="31"/>
        <v/>
      </c>
    </row>
    <row r="556" ht="15.75" customHeight="1">
      <c r="B556" s="1"/>
      <c r="C556" s="28"/>
      <c r="D556" s="79"/>
      <c r="E556" s="1"/>
      <c r="F556" s="76"/>
      <c r="G556" s="1"/>
      <c r="H556" s="1"/>
      <c r="J556" s="77"/>
      <c r="K556" s="80"/>
      <c r="L556" s="80"/>
      <c r="M556" s="80"/>
      <c r="N556" s="80"/>
      <c r="O556" s="80"/>
      <c r="P556" s="81"/>
      <c r="Q556" s="35" t="str">
        <f>IF(D556="","",VLOOKUP(MONTH(D556),Listas!$C$2:$D$14,2,0))</f>
        <v/>
      </c>
      <c r="R556" s="36" t="str">
        <f t="shared" si="22"/>
        <v/>
      </c>
      <c r="S556" s="37" t="str">
        <f t="shared" si="23"/>
        <v/>
      </c>
      <c r="T556" s="37" t="str">
        <f t="shared" si="24"/>
        <v/>
      </c>
      <c r="U556" s="37" t="str">
        <f t="shared" si="25"/>
        <v/>
      </c>
      <c r="V556" s="37" t="str">
        <f t="shared" si="26"/>
        <v/>
      </c>
      <c r="W556" s="37" t="str">
        <f t="shared" si="27"/>
        <v/>
      </c>
      <c r="X556" s="37" t="str">
        <f t="shared" si="28"/>
        <v/>
      </c>
      <c r="Y556" s="37" t="str">
        <f t="shared" si="29"/>
        <v/>
      </c>
      <c r="Z556" s="38" t="str">
        <f t="shared" si="30"/>
        <v/>
      </c>
      <c r="AA556" s="39" t="str">
        <f t="shared" si="31"/>
        <v/>
      </c>
    </row>
    <row r="557" ht="15.75" customHeight="1">
      <c r="B557" s="1"/>
      <c r="C557" s="28"/>
      <c r="D557" s="79"/>
      <c r="E557" s="1"/>
      <c r="F557" s="76"/>
      <c r="G557" s="1"/>
      <c r="H557" s="1"/>
      <c r="J557" s="77"/>
      <c r="K557" s="80"/>
      <c r="L557" s="80"/>
      <c r="M557" s="80"/>
      <c r="N557" s="80"/>
      <c r="O557" s="80"/>
      <c r="P557" s="81"/>
      <c r="Q557" s="35" t="str">
        <f>IF(D557="","",VLOOKUP(MONTH(D557),Listas!$C$2:$D$14,2,0))</f>
        <v/>
      </c>
      <c r="R557" s="36" t="str">
        <f t="shared" si="22"/>
        <v/>
      </c>
      <c r="S557" s="37" t="str">
        <f t="shared" si="23"/>
        <v/>
      </c>
      <c r="T557" s="37" t="str">
        <f t="shared" si="24"/>
        <v/>
      </c>
      <c r="U557" s="37" t="str">
        <f t="shared" si="25"/>
        <v/>
      </c>
      <c r="V557" s="37" t="str">
        <f t="shared" si="26"/>
        <v/>
      </c>
      <c r="W557" s="37" t="str">
        <f t="shared" si="27"/>
        <v/>
      </c>
      <c r="X557" s="37" t="str">
        <f t="shared" si="28"/>
        <v/>
      </c>
      <c r="Y557" s="37" t="str">
        <f t="shared" si="29"/>
        <v/>
      </c>
      <c r="Z557" s="38" t="str">
        <f t="shared" si="30"/>
        <v/>
      </c>
      <c r="AA557" s="39" t="str">
        <f t="shared" si="31"/>
        <v/>
      </c>
    </row>
    <row r="558" ht="15.75" customHeight="1">
      <c r="B558" s="1"/>
      <c r="C558" s="28"/>
      <c r="D558" s="79"/>
      <c r="E558" s="1"/>
      <c r="F558" s="76"/>
      <c r="G558" s="1"/>
      <c r="H558" s="1"/>
      <c r="J558" s="77"/>
      <c r="K558" s="80"/>
      <c r="L558" s="80"/>
      <c r="M558" s="80"/>
      <c r="N558" s="80"/>
      <c r="O558" s="80"/>
      <c r="P558" s="81"/>
      <c r="Q558" s="35" t="str">
        <f>IF(D558="","",VLOOKUP(MONTH(D558),Listas!$C$2:$D$14,2,0))</f>
        <v/>
      </c>
      <c r="R558" s="36" t="str">
        <f t="shared" si="22"/>
        <v/>
      </c>
      <c r="S558" s="37" t="str">
        <f t="shared" si="23"/>
        <v/>
      </c>
      <c r="T558" s="37" t="str">
        <f t="shared" si="24"/>
        <v/>
      </c>
      <c r="U558" s="37" t="str">
        <f t="shared" si="25"/>
        <v/>
      </c>
      <c r="V558" s="37" t="str">
        <f t="shared" si="26"/>
        <v/>
      </c>
      <c r="W558" s="37" t="str">
        <f t="shared" si="27"/>
        <v/>
      </c>
      <c r="X558" s="37" t="str">
        <f t="shared" si="28"/>
        <v/>
      </c>
      <c r="Y558" s="37" t="str">
        <f t="shared" si="29"/>
        <v/>
      </c>
      <c r="Z558" s="38" t="str">
        <f t="shared" si="30"/>
        <v/>
      </c>
      <c r="AA558" s="39" t="str">
        <f t="shared" si="31"/>
        <v/>
      </c>
    </row>
    <row r="559" ht="15.75" customHeight="1">
      <c r="B559" s="1"/>
      <c r="C559" s="28"/>
      <c r="D559" s="79"/>
      <c r="E559" s="1"/>
      <c r="F559" s="76"/>
      <c r="G559" s="1"/>
      <c r="H559" s="1"/>
      <c r="J559" s="77"/>
      <c r="K559" s="80"/>
      <c r="L559" s="80"/>
      <c r="M559" s="80"/>
      <c r="N559" s="80"/>
      <c r="O559" s="80"/>
      <c r="P559" s="81"/>
      <c r="Q559" s="35" t="str">
        <f>IF(D559="","",VLOOKUP(MONTH(D559),Listas!$C$2:$D$14,2,0))</f>
        <v/>
      </c>
      <c r="R559" s="36" t="str">
        <f t="shared" si="22"/>
        <v/>
      </c>
      <c r="S559" s="37" t="str">
        <f t="shared" si="23"/>
        <v/>
      </c>
      <c r="T559" s="37" t="str">
        <f t="shared" si="24"/>
        <v/>
      </c>
      <c r="U559" s="37" t="str">
        <f t="shared" si="25"/>
        <v/>
      </c>
      <c r="V559" s="37" t="str">
        <f t="shared" si="26"/>
        <v/>
      </c>
      <c r="W559" s="37" t="str">
        <f t="shared" si="27"/>
        <v/>
      </c>
      <c r="X559" s="37" t="str">
        <f t="shared" si="28"/>
        <v/>
      </c>
      <c r="Y559" s="37" t="str">
        <f t="shared" si="29"/>
        <v/>
      </c>
      <c r="Z559" s="38" t="str">
        <f t="shared" si="30"/>
        <v/>
      </c>
      <c r="AA559" s="39" t="str">
        <f t="shared" si="31"/>
        <v/>
      </c>
    </row>
    <row r="560" ht="15.75" customHeight="1">
      <c r="B560" s="1"/>
      <c r="C560" s="28"/>
      <c r="D560" s="79"/>
      <c r="E560" s="1"/>
      <c r="F560" s="76"/>
      <c r="G560" s="1"/>
      <c r="H560" s="1"/>
      <c r="J560" s="77"/>
      <c r="K560" s="80"/>
      <c r="L560" s="80"/>
      <c r="M560" s="80"/>
      <c r="N560" s="80"/>
      <c r="O560" s="80"/>
      <c r="P560" s="81"/>
      <c r="Q560" s="35" t="str">
        <f>IF(D560="","",VLOOKUP(MONTH(D560),Listas!$C$2:$D$14,2,0))</f>
        <v/>
      </c>
      <c r="R560" s="36" t="str">
        <f t="shared" si="22"/>
        <v/>
      </c>
      <c r="S560" s="37" t="str">
        <f t="shared" si="23"/>
        <v/>
      </c>
      <c r="T560" s="37" t="str">
        <f t="shared" si="24"/>
        <v/>
      </c>
      <c r="U560" s="37" t="str">
        <f t="shared" si="25"/>
        <v/>
      </c>
      <c r="V560" s="37" t="str">
        <f t="shared" si="26"/>
        <v/>
      </c>
      <c r="W560" s="37" t="str">
        <f t="shared" si="27"/>
        <v/>
      </c>
      <c r="X560" s="37" t="str">
        <f t="shared" si="28"/>
        <v/>
      </c>
      <c r="Y560" s="37" t="str">
        <f t="shared" si="29"/>
        <v/>
      </c>
      <c r="Z560" s="38" t="str">
        <f t="shared" si="30"/>
        <v/>
      </c>
      <c r="AA560" s="39" t="str">
        <f t="shared" si="31"/>
        <v/>
      </c>
    </row>
    <row r="561" ht="15.75" customHeight="1">
      <c r="B561" s="1"/>
      <c r="C561" s="28"/>
      <c r="D561" s="79"/>
      <c r="E561" s="1"/>
      <c r="F561" s="76"/>
      <c r="G561" s="1"/>
      <c r="H561" s="1"/>
      <c r="J561" s="77"/>
      <c r="K561" s="80"/>
      <c r="L561" s="80"/>
      <c r="M561" s="80"/>
      <c r="N561" s="80"/>
      <c r="O561" s="80"/>
      <c r="P561" s="81"/>
      <c r="Q561" s="35" t="str">
        <f>IF(D561="","",VLOOKUP(MONTH(D561),Listas!$C$2:$D$14,2,0))</f>
        <v/>
      </c>
      <c r="R561" s="36" t="str">
        <f t="shared" si="22"/>
        <v/>
      </c>
      <c r="S561" s="37" t="str">
        <f t="shared" si="23"/>
        <v/>
      </c>
      <c r="T561" s="37" t="str">
        <f t="shared" si="24"/>
        <v/>
      </c>
      <c r="U561" s="37" t="str">
        <f t="shared" si="25"/>
        <v/>
      </c>
      <c r="V561" s="37" t="str">
        <f t="shared" si="26"/>
        <v/>
      </c>
      <c r="W561" s="37" t="str">
        <f t="shared" si="27"/>
        <v/>
      </c>
      <c r="X561" s="37" t="str">
        <f t="shared" si="28"/>
        <v/>
      </c>
      <c r="Y561" s="37" t="str">
        <f t="shared" si="29"/>
        <v/>
      </c>
      <c r="Z561" s="38" t="str">
        <f t="shared" si="30"/>
        <v/>
      </c>
      <c r="AA561" s="39" t="str">
        <f t="shared" si="31"/>
        <v/>
      </c>
    </row>
    <row r="562" ht="15.75" customHeight="1">
      <c r="B562" s="1"/>
      <c r="C562" s="28"/>
      <c r="D562" s="79"/>
      <c r="E562" s="1"/>
      <c r="F562" s="76"/>
      <c r="G562" s="1"/>
      <c r="H562" s="1"/>
      <c r="J562" s="77"/>
      <c r="K562" s="80"/>
      <c r="L562" s="80"/>
      <c r="M562" s="80"/>
      <c r="N562" s="80"/>
      <c r="O562" s="80"/>
      <c r="P562" s="81"/>
      <c r="Q562" s="35" t="str">
        <f>IF(D562="","",VLOOKUP(MONTH(D562),Listas!$C$2:$D$14,2,0))</f>
        <v/>
      </c>
      <c r="R562" s="36" t="str">
        <f t="shared" si="22"/>
        <v/>
      </c>
      <c r="S562" s="37" t="str">
        <f t="shared" si="23"/>
        <v/>
      </c>
      <c r="T562" s="37" t="str">
        <f t="shared" si="24"/>
        <v/>
      </c>
      <c r="U562" s="37" t="str">
        <f t="shared" si="25"/>
        <v/>
      </c>
      <c r="V562" s="37" t="str">
        <f t="shared" si="26"/>
        <v/>
      </c>
      <c r="W562" s="37" t="str">
        <f t="shared" si="27"/>
        <v/>
      </c>
      <c r="X562" s="37" t="str">
        <f t="shared" si="28"/>
        <v/>
      </c>
      <c r="Y562" s="37" t="str">
        <f t="shared" si="29"/>
        <v/>
      </c>
      <c r="Z562" s="38" t="str">
        <f t="shared" si="30"/>
        <v/>
      </c>
      <c r="AA562" s="39" t="str">
        <f t="shared" si="31"/>
        <v/>
      </c>
    </row>
    <row r="563" ht="15.75" customHeight="1">
      <c r="B563" s="1"/>
      <c r="C563" s="28"/>
      <c r="D563" s="79"/>
      <c r="E563" s="1"/>
      <c r="F563" s="76"/>
      <c r="G563" s="1"/>
      <c r="H563" s="1"/>
      <c r="J563" s="77"/>
      <c r="K563" s="80"/>
      <c r="L563" s="80"/>
      <c r="M563" s="80"/>
      <c r="N563" s="80"/>
      <c r="O563" s="80"/>
      <c r="P563" s="81"/>
      <c r="Q563" s="35" t="str">
        <f>IF(D563="","",VLOOKUP(MONTH(D563),Listas!$C$2:$D$14,2,0))</f>
        <v/>
      </c>
      <c r="R563" s="36" t="str">
        <f t="shared" si="22"/>
        <v/>
      </c>
      <c r="S563" s="37" t="str">
        <f t="shared" si="23"/>
        <v/>
      </c>
      <c r="T563" s="37" t="str">
        <f t="shared" si="24"/>
        <v/>
      </c>
      <c r="U563" s="37" t="str">
        <f t="shared" si="25"/>
        <v/>
      </c>
      <c r="V563" s="37" t="str">
        <f t="shared" si="26"/>
        <v/>
      </c>
      <c r="W563" s="37" t="str">
        <f t="shared" si="27"/>
        <v/>
      </c>
      <c r="X563" s="37" t="str">
        <f t="shared" si="28"/>
        <v/>
      </c>
      <c r="Y563" s="37" t="str">
        <f t="shared" si="29"/>
        <v/>
      </c>
      <c r="Z563" s="38" t="str">
        <f t="shared" si="30"/>
        <v/>
      </c>
      <c r="AA563" s="39" t="str">
        <f t="shared" si="31"/>
        <v/>
      </c>
    </row>
    <row r="564" ht="15.75" customHeight="1">
      <c r="B564" s="1"/>
      <c r="C564" s="28"/>
      <c r="D564" s="79"/>
      <c r="E564" s="1"/>
      <c r="F564" s="76"/>
      <c r="G564" s="1"/>
      <c r="H564" s="1"/>
      <c r="J564" s="77"/>
      <c r="K564" s="80"/>
      <c r="L564" s="80"/>
      <c r="M564" s="80"/>
      <c r="N564" s="80"/>
      <c r="O564" s="80"/>
      <c r="P564" s="81"/>
      <c r="Q564" s="35" t="str">
        <f>IF(D564="","",VLOOKUP(MONTH(D564),Listas!$C$2:$D$14,2,0))</f>
        <v/>
      </c>
      <c r="R564" s="36" t="str">
        <f t="shared" si="22"/>
        <v/>
      </c>
      <c r="S564" s="37" t="str">
        <f t="shared" si="23"/>
        <v/>
      </c>
      <c r="T564" s="37" t="str">
        <f t="shared" si="24"/>
        <v/>
      </c>
      <c r="U564" s="37" t="str">
        <f t="shared" si="25"/>
        <v/>
      </c>
      <c r="V564" s="37" t="str">
        <f t="shared" si="26"/>
        <v/>
      </c>
      <c r="W564" s="37" t="str">
        <f t="shared" si="27"/>
        <v/>
      </c>
      <c r="X564" s="37" t="str">
        <f t="shared" si="28"/>
        <v/>
      </c>
      <c r="Y564" s="37" t="str">
        <f t="shared" si="29"/>
        <v/>
      </c>
      <c r="Z564" s="38" t="str">
        <f t="shared" si="30"/>
        <v/>
      </c>
      <c r="AA564" s="39" t="str">
        <f t="shared" si="31"/>
        <v/>
      </c>
    </row>
    <row r="565" ht="15.75" customHeight="1">
      <c r="B565" s="1"/>
      <c r="C565" s="28"/>
      <c r="D565" s="79"/>
      <c r="E565" s="1"/>
      <c r="F565" s="76"/>
      <c r="G565" s="1"/>
      <c r="H565" s="1"/>
      <c r="J565" s="77"/>
      <c r="K565" s="80"/>
      <c r="L565" s="80"/>
      <c r="M565" s="80"/>
      <c r="N565" s="80"/>
      <c r="O565" s="80"/>
      <c r="P565" s="81"/>
      <c r="Q565" s="35" t="str">
        <f>IF(D565="","",VLOOKUP(MONTH(D565),Listas!$C$2:$D$14,2,0))</f>
        <v/>
      </c>
      <c r="R565" s="36" t="str">
        <f t="shared" si="22"/>
        <v/>
      </c>
      <c r="S565" s="37" t="str">
        <f t="shared" si="23"/>
        <v/>
      </c>
      <c r="T565" s="37" t="str">
        <f t="shared" si="24"/>
        <v/>
      </c>
      <c r="U565" s="37" t="str">
        <f t="shared" si="25"/>
        <v/>
      </c>
      <c r="V565" s="37" t="str">
        <f t="shared" si="26"/>
        <v/>
      </c>
      <c r="W565" s="37" t="str">
        <f t="shared" si="27"/>
        <v/>
      </c>
      <c r="X565" s="37" t="str">
        <f t="shared" si="28"/>
        <v/>
      </c>
      <c r="Y565" s="37" t="str">
        <f t="shared" si="29"/>
        <v/>
      </c>
      <c r="Z565" s="38" t="str">
        <f t="shared" si="30"/>
        <v/>
      </c>
      <c r="AA565" s="39" t="str">
        <f t="shared" si="31"/>
        <v/>
      </c>
    </row>
    <row r="566" ht="15.75" customHeight="1">
      <c r="B566" s="1"/>
      <c r="C566" s="28"/>
      <c r="D566" s="79"/>
      <c r="E566" s="1"/>
      <c r="F566" s="76"/>
      <c r="G566" s="1"/>
      <c r="H566" s="1"/>
      <c r="J566" s="77"/>
      <c r="K566" s="80"/>
      <c r="L566" s="80"/>
      <c r="M566" s="80"/>
      <c r="N566" s="80"/>
      <c r="O566" s="80"/>
      <c r="P566" s="81"/>
      <c r="Q566" s="35" t="str">
        <f>IF(D566="","",VLOOKUP(MONTH(D566),Listas!$C$2:$D$14,2,0))</f>
        <v/>
      </c>
      <c r="R566" s="36" t="str">
        <f t="shared" si="22"/>
        <v/>
      </c>
      <c r="S566" s="37" t="str">
        <f t="shared" si="23"/>
        <v/>
      </c>
      <c r="T566" s="37" t="str">
        <f t="shared" si="24"/>
        <v/>
      </c>
      <c r="U566" s="37" t="str">
        <f t="shared" si="25"/>
        <v/>
      </c>
      <c r="V566" s="37" t="str">
        <f t="shared" si="26"/>
        <v/>
      </c>
      <c r="W566" s="37" t="str">
        <f t="shared" si="27"/>
        <v/>
      </c>
      <c r="X566" s="37" t="str">
        <f t="shared" si="28"/>
        <v/>
      </c>
      <c r="Y566" s="37" t="str">
        <f t="shared" si="29"/>
        <v/>
      </c>
      <c r="Z566" s="38" t="str">
        <f t="shared" si="30"/>
        <v/>
      </c>
      <c r="AA566" s="39" t="str">
        <f t="shared" si="31"/>
        <v/>
      </c>
    </row>
    <row r="567" ht="15.75" customHeight="1">
      <c r="B567" s="1"/>
      <c r="C567" s="28"/>
      <c r="D567" s="79"/>
      <c r="E567" s="1"/>
      <c r="F567" s="76"/>
      <c r="G567" s="1"/>
      <c r="H567" s="1"/>
      <c r="J567" s="77"/>
      <c r="K567" s="80"/>
      <c r="L567" s="80"/>
      <c r="M567" s="80"/>
      <c r="N567" s="80"/>
      <c r="O567" s="80"/>
      <c r="P567" s="81"/>
      <c r="Q567" s="35" t="str">
        <f>IF(D567="","",VLOOKUP(MONTH(D567),Listas!$C$2:$D$14,2,0))</f>
        <v/>
      </c>
      <c r="R567" s="36" t="str">
        <f t="shared" si="22"/>
        <v/>
      </c>
      <c r="S567" s="37" t="str">
        <f t="shared" si="23"/>
        <v/>
      </c>
      <c r="T567" s="37" t="str">
        <f t="shared" si="24"/>
        <v/>
      </c>
      <c r="U567" s="37" t="str">
        <f t="shared" si="25"/>
        <v/>
      </c>
      <c r="V567" s="37" t="str">
        <f t="shared" si="26"/>
        <v/>
      </c>
      <c r="W567" s="37" t="str">
        <f t="shared" si="27"/>
        <v/>
      </c>
      <c r="X567" s="37" t="str">
        <f t="shared" si="28"/>
        <v/>
      </c>
      <c r="Y567" s="37" t="str">
        <f t="shared" si="29"/>
        <v/>
      </c>
      <c r="Z567" s="38" t="str">
        <f t="shared" si="30"/>
        <v/>
      </c>
      <c r="AA567" s="39" t="str">
        <f t="shared" si="31"/>
        <v/>
      </c>
    </row>
    <row r="568" ht="15.75" customHeight="1">
      <c r="B568" s="1"/>
      <c r="C568" s="28"/>
      <c r="D568" s="79"/>
      <c r="E568" s="1"/>
      <c r="F568" s="76"/>
      <c r="G568" s="1"/>
      <c r="H568" s="1"/>
      <c r="J568" s="77"/>
      <c r="K568" s="80"/>
      <c r="L568" s="80"/>
      <c r="M568" s="80"/>
      <c r="N568" s="80"/>
      <c r="O568" s="80"/>
      <c r="P568" s="81"/>
      <c r="Q568" s="35" t="str">
        <f>IF(D568="","",VLOOKUP(MONTH(D568),Listas!$C$2:$D$14,2,0))</f>
        <v/>
      </c>
      <c r="R568" s="36" t="str">
        <f t="shared" si="22"/>
        <v/>
      </c>
      <c r="S568" s="37" t="str">
        <f t="shared" si="23"/>
        <v/>
      </c>
      <c r="T568" s="37" t="str">
        <f t="shared" si="24"/>
        <v/>
      </c>
      <c r="U568" s="37" t="str">
        <f t="shared" si="25"/>
        <v/>
      </c>
      <c r="V568" s="37" t="str">
        <f t="shared" si="26"/>
        <v/>
      </c>
      <c r="W568" s="37" t="str">
        <f t="shared" si="27"/>
        <v/>
      </c>
      <c r="X568" s="37" t="str">
        <f t="shared" si="28"/>
        <v/>
      </c>
      <c r="Y568" s="37" t="str">
        <f t="shared" si="29"/>
        <v/>
      </c>
      <c r="Z568" s="38" t="str">
        <f t="shared" si="30"/>
        <v/>
      </c>
      <c r="AA568" s="39" t="str">
        <f t="shared" si="31"/>
        <v/>
      </c>
    </row>
    <row r="569" ht="15.75" customHeight="1">
      <c r="B569" s="1"/>
      <c r="C569" s="28"/>
      <c r="D569" s="79"/>
      <c r="E569" s="1"/>
      <c r="F569" s="76"/>
      <c r="G569" s="1"/>
      <c r="H569" s="1"/>
      <c r="J569" s="77"/>
      <c r="K569" s="80"/>
      <c r="L569" s="80"/>
      <c r="M569" s="80"/>
      <c r="N569" s="80"/>
      <c r="O569" s="80"/>
      <c r="P569" s="81"/>
      <c r="Q569" s="35" t="str">
        <f>IF(D569="","",VLOOKUP(MONTH(D569),Listas!$C$2:$D$14,2,0))</f>
        <v/>
      </c>
      <c r="R569" s="36" t="str">
        <f t="shared" si="22"/>
        <v/>
      </c>
      <c r="S569" s="37" t="str">
        <f t="shared" si="23"/>
        <v/>
      </c>
      <c r="T569" s="37" t="str">
        <f t="shared" si="24"/>
        <v/>
      </c>
      <c r="U569" s="37" t="str">
        <f t="shared" si="25"/>
        <v/>
      </c>
      <c r="V569" s="37" t="str">
        <f t="shared" si="26"/>
        <v/>
      </c>
      <c r="W569" s="37" t="str">
        <f t="shared" si="27"/>
        <v/>
      </c>
      <c r="X569" s="37" t="str">
        <f t="shared" si="28"/>
        <v/>
      </c>
      <c r="Y569" s="37" t="str">
        <f t="shared" si="29"/>
        <v/>
      </c>
      <c r="Z569" s="38" t="str">
        <f t="shared" si="30"/>
        <v/>
      </c>
      <c r="AA569" s="39" t="str">
        <f t="shared" si="31"/>
        <v/>
      </c>
    </row>
    <row r="570" ht="15.75" customHeight="1">
      <c r="B570" s="1"/>
      <c r="C570" s="28"/>
      <c r="D570" s="79"/>
      <c r="E570" s="1"/>
      <c r="F570" s="76"/>
      <c r="G570" s="1"/>
      <c r="H570" s="1"/>
      <c r="J570" s="77"/>
      <c r="K570" s="80"/>
      <c r="L570" s="80"/>
      <c r="M570" s="80"/>
      <c r="N570" s="80"/>
      <c r="O570" s="80"/>
      <c r="P570" s="81"/>
      <c r="Q570" s="35" t="str">
        <f>IF(D570="","",VLOOKUP(MONTH(D570),Listas!$C$2:$D$14,2,0))</f>
        <v/>
      </c>
      <c r="R570" s="36" t="str">
        <f t="shared" si="22"/>
        <v/>
      </c>
      <c r="S570" s="37" t="str">
        <f t="shared" si="23"/>
        <v/>
      </c>
      <c r="T570" s="37" t="str">
        <f t="shared" si="24"/>
        <v/>
      </c>
      <c r="U570" s="37" t="str">
        <f t="shared" si="25"/>
        <v/>
      </c>
      <c r="V570" s="37" t="str">
        <f t="shared" si="26"/>
        <v/>
      </c>
      <c r="W570" s="37" t="str">
        <f t="shared" si="27"/>
        <v/>
      </c>
      <c r="X570" s="37" t="str">
        <f t="shared" si="28"/>
        <v/>
      </c>
      <c r="Y570" s="37" t="str">
        <f t="shared" si="29"/>
        <v/>
      </c>
      <c r="Z570" s="38" t="str">
        <f t="shared" si="30"/>
        <v/>
      </c>
      <c r="AA570" s="39" t="str">
        <f t="shared" si="31"/>
        <v/>
      </c>
    </row>
    <row r="571" ht="15.75" customHeight="1">
      <c r="B571" s="1"/>
      <c r="C571" s="28"/>
      <c r="D571" s="79"/>
      <c r="E571" s="1"/>
      <c r="F571" s="76"/>
      <c r="G571" s="1"/>
      <c r="H571" s="1"/>
      <c r="J571" s="77"/>
      <c r="K571" s="80"/>
      <c r="L571" s="80"/>
      <c r="M571" s="80"/>
      <c r="N571" s="80"/>
      <c r="O571" s="80"/>
      <c r="P571" s="81"/>
      <c r="Q571" s="35" t="str">
        <f>IF(D571="","",VLOOKUP(MONTH(D571),Listas!$C$2:$D$14,2,0))</f>
        <v/>
      </c>
      <c r="R571" s="36" t="str">
        <f t="shared" si="22"/>
        <v/>
      </c>
      <c r="S571" s="37" t="str">
        <f t="shared" si="23"/>
        <v/>
      </c>
      <c r="T571" s="37" t="str">
        <f t="shared" si="24"/>
        <v/>
      </c>
      <c r="U571" s="37" t="str">
        <f t="shared" si="25"/>
        <v/>
      </c>
      <c r="V571" s="37" t="str">
        <f t="shared" si="26"/>
        <v/>
      </c>
      <c r="W571" s="37" t="str">
        <f t="shared" si="27"/>
        <v/>
      </c>
      <c r="X571" s="37" t="str">
        <f t="shared" si="28"/>
        <v/>
      </c>
      <c r="Y571" s="37" t="str">
        <f t="shared" si="29"/>
        <v/>
      </c>
      <c r="Z571" s="38" t="str">
        <f t="shared" si="30"/>
        <v/>
      </c>
      <c r="AA571" s="39" t="str">
        <f t="shared" si="31"/>
        <v/>
      </c>
    </row>
    <row r="572" ht="15.75" customHeight="1">
      <c r="B572" s="1"/>
      <c r="C572" s="28"/>
      <c r="D572" s="79"/>
      <c r="E572" s="1"/>
      <c r="F572" s="76"/>
      <c r="G572" s="1"/>
      <c r="H572" s="1"/>
      <c r="J572" s="77"/>
      <c r="K572" s="80"/>
      <c r="L572" s="80"/>
      <c r="M572" s="80"/>
      <c r="N572" s="80"/>
      <c r="O572" s="80"/>
      <c r="P572" s="81"/>
      <c r="Q572" s="35" t="str">
        <f>IF(D572="","",VLOOKUP(MONTH(D572),Listas!$C$2:$D$14,2,0))</f>
        <v/>
      </c>
      <c r="R572" s="36" t="str">
        <f t="shared" si="22"/>
        <v/>
      </c>
      <c r="S572" s="37" t="str">
        <f t="shared" si="23"/>
        <v/>
      </c>
      <c r="T572" s="37" t="str">
        <f t="shared" si="24"/>
        <v/>
      </c>
      <c r="U572" s="37" t="str">
        <f t="shared" si="25"/>
        <v/>
      </c>
      <c r="V572" s="37" t="str">
        <f t="shared" si="26"/>
        <v/>
      </c>
      <c r="W572" s="37" t="str">
        <f t="shared" si="27"/>
        <v/>
      </c>
      <c r="X572" s="37" t="str">
        <f t="shared" si="28"/>
        <v/>
      </c>
      <c r="Y572" s="37" t="str">
        <f t="shared" si="29"/>
        <v/>
      </c>
      <c r="Z572" s="38" t="str">
        <f t="shared" si="30"/>
        <v/>
      </c>
      <c r="AA572" s="39" t="str">
        <f t="shared" si="31"/>
        <v/>
      </c>
    </row>
    <row r="573" ht="15.75" customHeight="1">
      <c r="B573" s="1"/>
      <c r="C573" s="28"/>
      <c r="D573" s="79"/>
      <c r="E573" s="1"/>
      <c r="F573" s="76"/>
      <c r="G573" s="1"/>
      <c r="H573" s="1"/>
      <c r="J573" s="77"/>
      <c r="K573" s="80"/>
      <c r="L573" s="80"/>
      <c r="M573" s="80"/>
      <c r="N573" s="80"/>
      <c r="O573" s="80"/>
      <c r="P573" s="81"/>
      <c r="Q573" s="35" t="str">
        <f>IF(D573="","",VLOOKUP(MONTH(D573),Listas!$C$2:$D$14,2,0))</f>
        <v/>
      </c>
      <c r="R573" s="36" t="str">
        <f t="shared" si="22"/>
        <v/>
      </c>
      <c r="S573" s="37" t="str">
        <f t="shared" si="23"/>
        <v/>
      </c>
      <c r="T573" s="37" t="str">
        <f t="shared" si="24"/>
        <v/>
      </c>
      <c r="U573" s="37" t="str">
        <f t="shared" si="25"/>
        <v/>
      </c>
      <c r="V573" s="37" t="str">
        <f t="shared" si="26"/>
        <v/>
      </c>
      <c r="W573" s="37" t="str">
        <f t="shared" si="27"/>
        <v/>
      </c>
      <c r="X573" s="37" t="str">
        <f t="shared" si="28"/>
        <v/>
      </c>
      <c r="Y573" s="37" t="str">
        <f t="shared" si="29"/>
        <v/>
      </c>
      <c r="Z573" s="38" t="str">
        <f t="shared" si="30"/>
        <v/>
      </c>
      <c r="AA573" s="39" t="str">
        <f t="shared" si="31"/>
        <v/>
      </c>
    </row>
    <row r="574" ht="15.75" customHeight="1">
      <c r="B574" s="1"/>
      <c r="C574" s="28"/>
      <c r="D574" s="79"/>
      <c r="E574" s="1"/>
      <c r="F574" s="76"/>
      <c r="G574" s="1"/>
      <c r="H574" s="1"/>
      <c r="J574" s="77"/>
      <c r="K574" s="80"/>
      <c r="L574" s="80"/>
      <c r="M574" s="80"/>
      <c r="N574" s="80"/>
      <c r="O574" s="80"/>
      <c r="P574" s="81"/>
      <c r="Q574" s="35" t="str">
        <f>IF(D574="","",VLOOKUP(MONTH(D574),Listas!$C$2:$D$14,2,0))</f>
        <v/>
      </c>
      <c r="R574" s="36" t="str">
        <f t="shared" si="22"/>
        <v/>
      </c>
      <c r="S574" s="37" t="str">
        <f t="shared" si="23"/>
        <v/>
      </c>
      <c r="T574" s="37" t="str">
        <f t="shared" si="24"/>
        <v/>
      </c>
      <c r="U574" s="37" t="str">
        <f t="shared" si="25"/>
        <v/>
      </c>
      <c r="V574" s="37" t="str">
        <f t="shared" si="26"/>
        <v/>
      </c>
      <c r="W574" s="37" t="str">
        <f t="shared" si="27"/>
        <v/>
      </c>
      <c r="X574" s="37" t="str">
        <f t="shared" si="28"/>
        <v/>
      </c>
      <c r="Y574" s="37" t="str">
        <f t="shared" si="29"/>
        <v/>
      </c>
      <c r="Z574" s="38" t="str">
        <f t="shared" si="30"/>
        <v/>
      </c>
      <c r="AA574" s="39" t="str">
        <f t="shared" si="31"/>
        <v/>
      </c>
    </row>
    <row r="575" ht="15.75" customHeight="1">
      <c r="B575" s="1"/>
      <c r="C575" s="28"/>
      <c r="D575" s="79"/>
      <c r="E575" s="1"/>
      <c r="F575" s="76"/>
      <c r="G575" s="1"/>
      <c r="H575" s="1"/>
      <c r="J575" s="77"/>
      <c r="K575" s="80"/>
      <c r="L575" s="80"/>
      <c r="M575" s="80"/>
      <c r="N575" s="80"/>
      <c r="O575" s="80"/>
      <c r="P575" s="81"/>
      <c r="Q575" s="35" t="str">
        <f>IF(D575="","",VLOOKUP(MONTH(D575),Listas!$C$2:$D$14,2,0))</f>
        <v/>
      </c>
      <c r="R575" s="36" t="str">
        <f t="shared" si="22"/>
        <v/>
      </c>
      <c r="S575" s="37" t="str">
        <f t="shared" si="23"/>
        <v/>
      </c>
      <c r="T575" s="37" t="str">
        <f t="shared" si="24"/>
        <v/>
      </c>
      <c r="U575" s="37" t="str">
        <f t="shared" si="25"/>
        <v/>
      </c>
      <c r="V575" s="37" t="str">
        <f t="shared" si="26"/>
        <v/>
      </c>
      <c r="W575" s="37" t="str">
        <f t="shared" si="27"/>
        <v/>
      </c>
      <c r="X575" s="37" t="str">
        <f t="shared" si="28"/>
        <v/>
      </c>
      <c r="Y575" s="37" t="str">
        <f t="shared" si="29"/>
        <v/>
      </c>
      <c r="Z575" s="38" t="str">
        <f t="shared" si="30"/>
        <v/>
      </c>
      <c r="AA575" s="39" t="str">
        <f t="shared" si="31"/>
        <v/>
      </c>
    </row>
    <row r="576" ht="15.75" customHeight="1">
      <c r="B576" s="1"/>
      <c r="C576" s="28"/>
      <c r="D576" s="79"/>
      <c r="E576" s="1"/>
      <c r="F576" s="76"/>
      <c r="G576" s="1"/>
      <c r="H576" s="1"/>
      <c r="J576" s="77"/>
      <c r="K576" s="80"/>
      <c r="L576" s="80"/>
      <c r="M576" s="80"/>
      <c r="N576" s="80"/>
      <c r="O576" s="80"/>
      <c r="P576" s="81"/>
      <c r="Q576" s="35" t="str">
        <f>IF(D576="","",VLOOKUP(MONTH(D576),Listas!$C$2:$D$14,2,0))</f>
        <v/>
      </c>
      <c r="R576" s="36" t="str">
        <f t="shared" si="22"/>
        <v/>
      </c>
      <c r="S576" s="37" t="str">
        <f t="shared" si="23"/>
        <v/>
      </c>
      <c r="T576" s="37" t="str">
        <f t="shared" si="24"/>
        <v/>
      </c>
      <c r="U576" s="37" t="str">
        <f t="shared" si="25"/>
        <v/>
      </c>
      <c r="V576" s="37" t="str">
        <f t="shared" si="26"/>
        <v/>
      </c>
      <c r="W576" s="37" t="str">
        <f t="shared" si="27"/>
        <v/>
      </c>
      <c r="X576" s="37" t="str">
        <f t="shared" si="28"/>
        <v/>
      </c>
      <c r="Y576" s="37" t="str">
        <f t="shared" si="29"/>
        <v/>
      </c>
      <c r="Z576" s="38" t="str">
        <f t="shared" si="30"/>
        <v/>
      </c>
      <c r="AA576" s="39" t="str">
        <f t="shared" si="31"/>
        <v/>
      </c>
    </row>
    <row r="577" ht="15.75" customHeight="1">
      <c r="B577" s="1"/>
      <c r="C577" s="28"/>
      <c r="D577" s="79"/>
      <c r="E577" s="1"/>
      <c r="F577" s="76"/>
      <c r="G577" s="1"/>
      <c r="H577" s="1"/>
      <c r="J577" s="77"/>
      <c r="K577" s="80"/>
      <c r="L577" s="80"/>
      <c r="M577" s="80"/>
      <c r="N577" s="80"/>
      <c r="O577" s="80"/>
      <c r="P577" s="81"/>
      <c r="Q577" s="35" t="str">
        <f>IF(D577="","",VLOOKUP(MONTH(D577),Listas!$C$2:$D$14,2,0))</f>
        <v/>
      </c>
      <c r="R577" s="36" t="str">
        <f t="shared" si="22"/>
        <v/>
      </c>
      <c r="S577" s="37" t="str">
        <f t="shared" si="23"/>
        <v/>
      </c>
      <c r="T577" s="37" t="str">
        <f t="shared" si="24"/>
        <v/>
      </c>
      <c r="U577" s="37" t="str">
        <f t="shared" si="25"/>
        <v/>
      </c>
      <c r="V577" s="37" t="str">
        <f t="shared" si="26"/>
        <v/>
      </c>
      <c r="W577" s="37" t="str">
        <f t="shared" si="27"/>
        <v/>
      </c>
      <c r="X577" s="37" t="str">
        <f t="shared" si="28"/>
        <v/>
      </c>
      <c r="Y577" s="37" t="str">
        <f t="shared" si="29"/>
        <v/>
      </c>
      <c r="Z577" s="38" t="str">
        <f t="shared" si="30"/>
        <v/>
      </c>
      <c r="AA577" s="39" t="str">
        <f t="shared" si="31"/>
        <v/>
      </c>
    </row>
    <row r="578" ht="15.75" customHeight="1">
      <c r="B578" s="1"/>
      <c r="C578" s="28"/>
      <c r="D578" s="79"/>
      <c r="E578" s="1"/>
      <c r="F578" s="76"/>
      <c r="G578" s="1"/>
      <c r="H578" s="1"/>
      <c r="J578" s="77"/>
      <c r="K578" s="80"/>
      <c r="L578" s="80"/>
      <c r="M578" s="80"/>
      <c r="N578" s="80"/>
      <c r="O578" s="80"/>
      <c r="P578" s="81"/>
      <c r="Q578" s="35" t="str">
        <f>IF(D578="","",VLOOKUP(MONTH(D578),Listas!$C$2:$D$14,2,0))</f>
        <v/>
      </c>
      <c r="R578" s="36" t="str">
        <f t="shared" si="22"/>
        <v/>
      </c>
      <c r="S578" s="37" t="str">
        <f t="shared" si="23"/>
        <v/>
      </c>
      <c r="T578" s="37" t="str">
        <f t="shared" si="24"/>
        <v/>
      </c>
      <c r="U578" s="37" t="str">
        <f t="shared" si="25"/>
        <v/>
      </c>
      <c r="V578" s="37" t="str">
        <f t="shared" si="26"/>
        <v/>
      </c>
      <c r="W578" s="37" t="str">
        <f t="shared" si="27"/>
        <v/>
      </c>
      <c r="X578" s="37" t="str">
        <f t="shared" si="28"/>
        <v/>
      </c>
      <c r="Y578" s="37" t="str">
        <f t="shared" si="29"/>
        <v/>
      </c>
      <c r="Z578" s="38" t="str">
        <f t="shared" si="30"/>
        <v/>
      </c>
      <c r="AA578" s="39" t="str">
        <f t="shared" si="31"/>
        <v/>
      </c>
    </row>
    <row r="579" ht="15.75" customHeight="1">
      <c r="B579" s="1"/>
      <c r="C579" s="28"/>
      <c r="D579" s="79"/>
      <c r="E579" s="1"/>
      <c r="F579" s="76"/>
      <c r="G579" s="1"/>
      <c r="H579" s="1"/>
      <c r="J579" s="77"/>
      <c r="K579" s="80"/>
      <c r="L579" s="80"/>
      <c r="M579" s="80"/>
      <c r="N579" s="80"/>
      <c r="O579" s="80"/>
      <c r="P579" s="81"/>
      <c r="Q579" s="35" t="str">
        <f>IF(D579="","",VLOOKUP(MONTH(D579),Listas!$C$2:$D$14,2,0))</f>
        <v/>
      </c>
      <c r="R579" s="36" t="str">
        <f t="shared" si="22"/>
        <v/>
      </c>
      <c r="S579" s="37" t="str">
        <f t="shared" si="23"/>
        <v/>
      </c>
      <c r="T579" s="37" t="str">
        <f t="shared" si="24"/>
        <v/>
      </c>
      <c r="U579" s="37" t="str">
        <f t="shared" si="25"/>
        <v/>
      </c>
      <c r="V579" s="37" t="str">
        <f t="shared" si="26"/>
        <v/>
      </c>
      <c r="W579" s="37" t="str">
        <f t="shared" si="27"/>
        <v/>
      </c>
      <c r="X579" s="37" t="str">
        <f t="shared" si="28"/>
        <v/>
      </c>
      <c r="Y579" s="37" t="str">
        <f t="shared" si="29"/>
        <v/>
      </c>
      <c r="Z579" s="38" t="str">
        <f t="shared" si="30"/>
        <v/>
      </c>
      <c r="AA579" s="39" t="str">
        <f t="shared" si="31"/>
        <v/>
      </c>
    </row>
    <row r="580" ht="15.75" customHeight="1">
      <c r="B580" s="1"/>
      <c r="C580" s="28"/>
      <c r="D580" s="79"/>
      <c r="E580" s="1"/>
      <c r="F580" s="76"/>
      <c r="G580" s="1"/>
      <c r="H580" s="1"/>
      <c r="J580" s="77"/>
      <c r="K580" s="80"/>
      <c r="L580" s="80"/>
      <c r="M580" s="80"/>
      <c r="N580" s="80"/>
      <c r="O580" s="80"/>
      <c r="P580" s="81"/>
      <c r="Q580" s="35" t="str">
        <f>IF(D580="","",VLOOKUP(MONTH(D580),Listas!$C$2:$D$14,2,0))</f>
        <v/>
      </c>
      <c r="R580" s="36" t="str">
        <f t="shared" si="22"/>
        <v/>
      </c>
      <c r="S580" s="37" t="str">
        <f t="shared" si="23"/>
        <v/>
      </c>
      <c r="T580" s="37" t="str">
        <f t="shared" si="24"/>
        <v/>
      </c>
      <c r="U580" s="37" t="str">
        <f t="shared" si="25"/>
        <v/>
      </c>
      <c r="V580" s="37" t="str">
        <f t="shared" si="26"/>
        <v/>
      </c>
      <c r="W580" s="37" t="str">
        <f t="shared" si="27"/>
        <v/>
      </c>
      <c r="X580" s="37" t="str">
        <f t="shared" si="28"/>
        <v/>
      </c>
      <c r="Y580" s="37" t="str">
        <f t="shared" si="29"/>
        <v/>
      </c>
      <c r="Z580" s="38" t="str">
        <f t="shared" si="30"/>
        <v/>
      </c>
      <c r="AA580" s="39" t="str">
        <f t="shared" si="31"/>
        <v/>
      </c>
    </row>
    <row r="581" ht="15.75" customHeight="1">
      <c r="B581" s="1"/>
      <c r="C581" s="28"/>
      <c r="D581" s="79"/>
      <c r="E581" s="1"/>
      <c r="F581" s="76"/>
      <c r="G581" s="1"/>
      <c r="H581" s="1"/>
      <c r="J581" s="77"/>
      <c r="K581" s="80"/>
      <c r="L581" s="80"/>
      <c r="M581" s="80"/>
      <c r="N581" s="80"/>
      <c r="O581" s="80"/>
      <c r="P581" s="81"/>
      <c r="Q581" s="35" t="str">
        <f>IF(D581="","",VLOOKUP(MONTH(D581),Listas!$C$2:$D$14,2,0))</f>
        <v/>
      </c>
      <c r="R581" s="36" t="str">
        <f t="shared" si="22"/>
        <v/>
      </c>
      <c r="S581" s="37" t="str">
        <f t="shared" si="23"/>
        <v/>
      </c>
      <c r="T581" s="37" t="str">
        <f t="shared" si="24"/>
        <v/>
      </c>
      <c r="U581" s="37" t="str">
        <f t="shared" si="25"/>
        <v/>
      </c>
      <c r="V581" s="37" t="str">
        <f t="shared" si="26"/>
        <v/>
      </c>
      <c r="W581" s="37" t="str">
        <f t="shared" si="27"/>
        <v/>
      </c>
      <c r="X581" s="37" t="str">
        <f t="shared" si="28"/>
        <v/>
      </c>
      <c r="Y581" s="37" t="str">
        <f t="shared" si="29"/>
        <v/>
      </c>
      <c r="Z581" s="38" t="str">
        <f t="shared" si="30"/>
        <v/>
      </c>
      <c r="AA581" s="39" t="str">
        <f t="shared" si="31"/>
        <v/>
      </c>
    </row>
    <row r="582" ht="15.75" customHeight="1">
      <c r="B582" s="1"/>
      <c r="C582" s="28"/>
      <c r="D582" s="79"/>
      <c r="E582" s="1"/>
      <c r="F582" s="76"/>
      <c r="G582" s="1"/>
      <c r="H582" s="1"/>
      <c r="J582" s="77"/>
      <c r="K582" s="80"/>
      <c r="L582" s="80"/>
      <c r="M582" s="80"/>
      <c r="N582" s="80"/>
      <c r="O582" s="80"/>
      <c r="P582" s="81"/>
      <c r="Q582" s="35" t="str">
        <f>IF(D582="","",VLOOKUP(MONTH(D582),Listas!$C$2:$D$14,2,0))</f>
        <v/>
      </c>
      <c r="R582" s="36" t="str">
        <f t="shared" si="22"/>
        <v/>
      </c>
      <c r="S582" s="37" t="str">
        <f t="shared" si="23"/>
        <v/>
      </c>
      <c r="T582" s="37" t="str">
        <f t="shared" si="24"/>
        <v/>
      </c>
      <c r="U582" s="37" t="str">
        <f t="shared" si="25"/>
        <v/>
      </c>
      <c r="V582" s="37" t="str">
        <f t="shared" si="26"/>
        <v/>
      </c>
      <c r="W582" s="37" t="str">
        <f t="shared" si="27"/>
        <v/>
      </c>
      <c r="X582" s="37" t="str">
        <f t="shared" si="28"/>
        <v/>
      </c>
      <c r="Y582" s="37" t="str">
        <f t="shared" si="29"/>
        <v/>
      </c>
      <c r="Z582" s="38" t="str">
        <f t="shared" si="30"/>
        <v/>
      </c>
      <c r="AA582" s="39" t="str">
        <f t="shared" si="31"/>
        <v/>
      </c>
    </row>
    <row r="583" ht="15.75" customHeight="1">
      <c r="B583" s="1"/>
      <c r="C583" s="28"/>
      <c r="D583" s="79"/>
      <c r="E583" s="1"/>
      <c r="F583" s="76"/>
      <c r="G583" s="1"/>
      <c r="H583" s="1"/>
      <c r="J583" s="77"/>
      <c r="K583" s="80"/>
      <c r="L583" s="80"/>
      <c r="M583" s="80"/>
      <c r="N583" s="80"/>
      <c r="O583" s="80"/>
      <c r="P583" s="81"/>
      <c r="Q583" s="35" t="str">
        <f>IF(D583="","",VLOOKUP(MONTH(D583),Listas!$C$2:$D$14,2,0))</f>
        <v/>
      </c>
      <c r="R583" s="36" t="str">
        <f t="shared" si="22"/>
        <v/>
      </c>
      <c r="S583" s="37" t="str">
        <f t="shared" si="23"/>
        <v/>
      </c>
      <c r="T583" s="37" t="str">
        <f t="shared" si="24"/>
        <v/>
      </c>
      <c r="U583" s="37" t="str">
        <f t="shared" si="25"/>
        <v/>
      </c>
      <c r="V583" s="37" t="str">
        <f t="shared" si="26"/>
        <v/>
      </c>
      <c r="W583" s="37" t="str">
        <f t="shared" si="27"/>
        <v/>
      </c>
      <c r="X583" s="37" t="str">
        <f t="shared" si="28"/>
        <v/>
      </c>
      <c r="Y583" s="37" t="str">
        <f t="shared" si="29"/>
        <v/>
      </c>
      <c r="Z583" s="38" t="str">
        <f t="shared" si="30"/>
        <v/>
      </c>
      <c r="AA583" s="39" t="str">
        <f t="shared" si="31"/>
        <v/>
      </c>
    </row>
    <row r="584" ht="15.75" customHeight="1">
      <c r="B584" s="1"/>
      <c r="C584" s="28"/>
      <c r="D584" s="79"/>
      <c r="E584" s="1"/>
      <c r="F584" s="76"/>
      <c r="G584" s="1"/>
      <c r="H584" s="1"/>
      <c r="J584" s="77"/>
      <c r="K584" s="80"/>
      <c r="L584" s="80"/>
      <c r="M584" s="80"/>
      <c r="N584" s="80"/>
      <c r="O584" s="80"/>
      <c r="P584" s="81"/>
      <c r="Q584" s="35" t="str">
        <f>IF(D584="","",VLOOKUP(MONTH(D584),Listas!$C$2:$D$14,2,0))</f>
        <v/>
      </c>
      <c r="R584" s="36" t="str">
        <f t="shared" si="22"/>
        <v/>
      </c>
      <c r="S584" s="37" t="str">
        <f t="shared" si="23"/>
        <v/>
      </c>
      <c r="T584" s="37" t="str">
        <f t="shared" si="24"/>
        <v/>
      </c>
      <c r="U584" s="37" t="str">
        <f t="shared" si="25"/>
        <v/>
      </c>
      <c r="V584" s="37" t="str">
        <f t="shared" si="26"/>
        <v/>
      </c>
      <c r="W584" s="37" t="str">
        <f t="shared" si="27"/>
        <v/>
      </c>
      <c r="X584" s="37" t="str">
        <f t="shared" si="28"/>
        <v/>
      </c>
      <c r="Y584" s="37" t="str">
        <f t="shared" si="29"/>
        <v/>
      </c>
      <c r="Z584" s="38" t="str">
        <f t="shared" si="30"/>
        <v/>
      </c>
      <c r="AA584" s="39" t="str">
        <f t="shared" si="31"/>
        <v/>
      </c>
    </row>
    <row r="585" ht="15.75" customHeight="1">
      <c r="B585" s="1"/>
      <c r="C585" s="28"/>
      <c r="D585" s="79"/>
      <c r="E585" s="1"/>
      <c r="F585" s="76"/>
      <c r="G585" s="1"/>
      <c r="H585" s="1"/>
      <c r="J585" s="77"/>
      <c r="K585" s="80"/>
      <c r="L585" s="80"/>
      <c r="M585" s="80"/>
      <c r="N585" s="80"/>
      <c r="O585" s="80"/>
      <c r="P585" s="81"/>
      <c r="Q585" s="35" t="str">
        <f>IF(D585="","",VLOOKUP(MONTH(D585),Listas!$C$2:$D$14,2,0))</f>
        <v/>
      </c>
      <c r="R585" s="36" t="str">
        <f t="shared" si="22"/>
        <v/>
      </c>
      <c r="S585" s="37" t="str">
        <f t="shared" si="23"/>
        <v/>
      </c>
      <c r="T585" s="37" t="str">
        <f t="shared" si="24"/>
        <v/>
      </c>
      <c r="U585" s="37" t="str">
        <f t="shared" si="25"/>
        <v/>
      </c>
      <c r="V585" s="37" t="str">
        <f t="shared" si="26"/>
        <v/>
      </c>
      <c r="W585" s="37" t="str">
        <f t="shared" si="27"/>
        <v/>
      </c>
      <c r="X585" s="37" t="str">
        <f t="shared" si="28"/>
        <v/>
      </c>
      <c r="Y585" s="37" t="str">
        <f t="shared" si="29"/>
        <v/>
      </c>
      <c r="Z585" s="38" t="str">
        <f t="shared" si="30"/>
        <v/>
      </c>
      <c r="AA585" s="39" t="str">
        <f t="shared" si="31"/>
        <v/>
      </c>
    </row>
    <row r="586" ht="15.75" customHeight="1">
      <c r="B586" s="1"/>
      <c r="C586" s="28"/>
      <c r="D586" s="79"/>
      <c r="E586" s="1"/>
      <c r="F586" s="76"/>
      <c r="G586" s="1"/>
      <c r="H586" s="1"/>
      <c r="J586" s="77"/>
      <c r="K586" s="80"/>
      <c r="L586" s="80"/>
      <c r="M586" s="80"/>
      <c r="N586" s="80"/>
      <c r="O586" s="80"/>
      <c r="P586" s="81"/>
      <c r="Q586" s="35" t="str">
        <f>IF(D586="","",VLOOKUP(MONTH(D586),Listas!$C$2:$D$14,2,0))</f>
        <v/>
      </c>
      <c r="R586" s="36" t="str">
        <f t="shared" si="22"/>
        <v/>
      </c>
      <c r="S586" s="37" t="str">
        <f t="shared" si="23"/>
        <v/>
      </c>
      <c r="T586" s="37" t="str">
        <f t="shared" si="24"/>
        <v/>
      </c>
      <c r="U586" s="37" t="str">
        <f t="shared" si="25"/>
        <v/>
      </c>
      <c r="V586" s="37" t="str">
        <f t="shared" si="26"/>
        <v/>
      </c>
      <c r="W586" s="37" t="str">
        <f t="shared" si="27"/>
        <v/>
      </c>
      <c r="X586" s="37" t="str">
        <f t="shared" si="28"/>
        <v/>
      </c>
      <c r="Y586" s="37" t="str">
        <f t="shared" si="29"/>
        <v/>
      </c>
      <c r="Z586" s="38" t="str">
        <f t="shared" si="30"/>
        <v/>
      </c>
      <c r="AA586" s="39" t="str">
        <f t="shared" si="31"/>
        <v/>
      </c>
    </row>
    <row r="587" ht="15.75" customHeight="1">
      <c r="B587" s="1"/>
      <c r="C587" s="28"/>
      <c r="D587" s="79"/>
      <c r="E587" s="1"/>
      <c r="F587" s="76"/>
      <c r="G587" s="1"/>
      <c r="H587" s="1"/>
      <c r="J587" s="77"/>
      <c r="K587" s="80"/>
      <c r="L587" s="80"/>
      <c r="M587" s="80"/>
      <c r="N587" s="80"/>
      <c r="O587" s="80"/>
      <c r="P587" s="81"/>
      <c r="Q587" s="35" t="str">
        <f>IF(D587="","",VLOOKUP(MONTH(D587),Listas!$C$2:$D$14,2,0))</f>
        <v/>
      </c>
      <c r="R587" s="36" t="str">
        <f t="shared" si="22"/>
        <v/>
      </c>
      <c r="S587" s="37" t="str">
        <f t="shared" si="23"/>
        <v/>
      </c>
      <c r="T587" s="37" t="str">
        <f t="shared" si="24"/>
        <v/>
      </c>
      <c r="U587" s="37" t="str">
        <f t="shared" si="25"/>
        <v/>
      </c>
      <c r="V587" s="37" t="str">
        <f t="shared" si="26"/>
        <v/>
      </c>
      <c r="W587" s="37" t="str">
        <f t="shared" si="27"/>
        <v/>
      </c>
      <c r="X587" s="37" t="str">
        <f t="shared" si="28"/>
        <v/>
      </c>
      <c r="Y587" s="37" t="str">
        <f t="shared" si="29"/>
        <v/>
      </c>
      <c r="Z587" s="38" t="str">
        <f t="shared" si="30"/>
        <v/>
      </c>
      <c r="AA587" s="39" t="str">
        <f t="shared" si="31"/>
        <v/>
      </c>
    </row>
    <row r="588" ht="15.75" customHeight="1">
      <c r="B588" s="1"/>
      <c r="C588" s="28"/>
      <c r="D588" s="79"/>
      <c r="E588" s="1"/>
      <c r="F588" s="76"/>
      <c r="G588" s="1"/>
      <c r="H588" s="1"/>
      <c r="J588" s="77"/>
      <c r="K588" s="80"/>
      <c r="L588" s="80"/>
      <c r="M588" s="80"/>
      <c r="N588" s="80"/>
      <c r="O588" s="80"/>
      <c r="P588" s="81"/>
      <c r="Q588" s="35" t="str">
        <f>IF(D588="","",VLOOKUP(MONTH(D588),Listas!$C$2:$D$14,2,0))</f>
        <v/>
      </c>
      <c r="R588" s="36" t="str">
        <f t="shared" si="22"/>
        <v/>
      </c>
      <c r="S588" s="37" t="str">
        <f t="shared" si="23"/>
        <v/>
      </c>
      <c r="T588" s="37" t="str">
        <f t="shared" si="24"/>
        <v/>
      </c>
      <c r="U588" s="37" t="str">
        <f t="shared" si="25"/>
        <v/>
      </c>
      <c r="V588" s="37" t="str">
        <f t="shared" si="26"/>
        <v/>
      </c>
      <c r="W588" s="37" t="str">
        <f t="shared" si="27"/>
        <v/>
      </c>
      <c r="X588" s="37" t="str">
        <f t="shared" si="28"/>
        <v/>
      </c>
      <c r="Y588" s="37" t="str">
        <f t="shared" si="29"/>
        <v/>
      </c>
      <c r="Z588" s="38" t="str">
        <f t="shared" si="30"/>
        <v/>
      </c>
      <c r="AA588" s="39" t="str">
        <f t="shared" si="31"/>
        <v/>
      </c>
    </row>
    <row r="589" ht="15.75" customHeight="1">
      <c r="B589" s="1"/>
      <c r="C589" s="28"/>
      <c r="D589" s="79"/>
      <c r="E589" s="1"/>
      <c r="F589" s="76"/>
      <c r="G589" s="1"/>
      <c r="H589" s="1"/>
      <c r="J589" s="77"/>
      <c r="K589" s="80"/>
      <c r="L589" s="80"/>
      <c r="M589" s="80"/>
      <c r="N589" s="80"/>
      <c r="O589" s="80"/>
      <c r="P589" s="81"/>
      <c r="Q589" s="35" t="str">
        <f>IF(D589="","",VLOOKUP(MONTH(D589),Listas!$C$2:$D$14,2,0))</f>
        <v/>
      </c>
      <c r="R589" s="36" t="str">
        <f t="shared" si="22"/>
        <v/>
      </c>
      <c r="S589" s="37" t="str">
        <f t="shared" si="23"/>
        <v/>
      </c>
      <c r="T589" s="37" t="str">
        <f t="shared" si="24"/>
        <v/>
      </c>
      <c r="U589" s="37" t="str">
        <f t="shared" si="25"/>
        <v/>
      </c>
      <c r="V589" s="37" t="str">
        <f t="shared" si="26"/>
        <v/>
      </c>
      <c r="W589" s="37" t="str">
        <f t="shared" si="27"/>
        <v/>
      </c>
      <c r="X589" s="37" t="str">
        <f t="shared" si="28"/>
        <v/>
      </c>
      <c r="Y589" s="37" t="str">
        <f t="shared" si="29"/>
        <v/>
      </c>
      <c r="Z589" s="38" t="str">
        <f t="shared" si="30"/>
        <v/>
      </c>
      <c r="AA589" s="39" t="str">
        <f t="shared" si="31"/>
        <v/>
      </c>
    </row>
    <row r="590" ht="15.75" customHeight="1">
      <c r="B590" s="1"/>
      <c r="C590" s="28"/>
      <c r="D590" s="79"/>
      <c r="E590" s="1"/>
      <c r="F590" s="76"/>
      <c r="G590" s="1"/>
      <c r="H590" s="1"/>
      <c r="J590" s="77"/>
      <c r="K590" s="80"/>
      <c r="L590" s="80"/>
      <c r="M590" s="80"/>
      <c r="N590" s="80"/>
      <c r="O590" s="80"/>
      <c r="P590" s="81"/>
      <c r="Q590" s="35" t="str">
        <f>IF(D590="","",VLOOKUP(MONTH(D590),Listas!$C$2:$D$14,2,0))</f>
        <v/>
      </c>
      <c r="R590" s="36" t="str">
        <f t="shared" si="22"/>
        <v/>
      </c>
      <c r="S590" s="37" t="str">
        <f t="shared" si="23"/>
        <v/>
      </c>
      <c r="T590" s="37" t="str">
        <f t="shared" si="24"/>
        <v/>
      </c>
      <c r="U590" s="37" t="str">
        <f t="shared" si="25"/>
        <v/>
      </c>
      <c r="V590" s="37" t="str">
        <f t="shared" si="26"/>
        <v/>
      </c>
      <c r="W590" s="37" t="str">
        <f t="shared" si="27"/>
        <v/>
      </c>
      <c r="X590" s="37" t="str">
        <f t="shared" si="28"/>
        <v/>
      </c>
      <c r="Y590" s="37" t="str">
        <f t="shared" si="29"/>
        <v/>
      </c>
      <c r="Z590" s="38" t="str">
        <f t="shared" si="30"/>
        <v/>
      </c>
      <c r="AA590" s="39" t="str">
        <f t="shared" si="31"/>
        <v/>
      </c>
    </row>
    <row r="591" ht="15.75" customHeight="1">
      <c r="B591" s="1"/>
      <c r="C591" s="28"/>
      <c r="D591" s="79"/>
      <c r="E591" s="1"/>
      <c r="F591" s="76"/>
      <c r="G591" s="1"/>
      <c r="H591" s="1"/>
      <c r="J591" s="77"/>
      <c r="K591" s="80"/>
      <c r="L591" s="80"/>
      <c r="M591" s="80"/>
      <c r="N591" s="80"/>
      <c r="O591" s="80"/>
      <c r="P591" s="81"/>
      <c r="Q591" s="35" t="str">
        <f>IF(D591="","",VLOOKUP(MONTH(D591),Listas!$C$2:$D$14,2,0))</f>
        <v/>
      </c>
      <c r="R591" s="36" t="str">
        <f t="shared" si="22"/>
        <v/>
      </c>
      <c r="S591" s="37" t="str">
        <f t="shared" si="23"/>
        <v/>
      </c>
      <c r="T591" s="37" t="str">
        <f t="shared" si="24"/>
        <v/>
      </c>
      <c r="U591" s="37" t="str">
        <f t="shared" si="25"/>
        <v/>
      </c>
      <c r="V591" s="37" t="str">
        <f t="shared" si="26"/>
        <v/>
      </c>
      <c r="W591" s="37" t="str">
        <f t="shared" si="27"/>
        <v/>
      </c>
      <c r="X591" s="37" t="str">
        <f t="shared" si="28"/>
        <v/>
      </c>
      <c r="Y591" s="37" t="str">
        <f t="shared" si="29"/>
        <v/>
      </c>
      <c r="Z591" s="38" t="str">
        <f t="shared" si="30"/>
        <v/>
      </c>
      <c r="AA591" s="39" t="str">
        <f t="shared" si="31"/>
        <v/>
      </c>
    </row>
    <row r="592" ht="15.75" customHeight="1">
      <c r="B592" s="1"/>
      <c r="C592" s="28"/>
      <c r="D592" s="79"/>
      <c r="E592" s="1"/>
      <c r="F592" s="76"/>
      <c r="G592" s="1"/>
      <c r="H592" s="1"/>
      <c r="J592" s="77"/>
      <c r="K592" s="80"/>
      <c r="L592" s="80"/>
      <c r="M592" s="80"/>
      <c r="N592" s="80"/>
      <c r="O592" s="80"/>
      <c r="P592" s="81"/>
      <c r="Q592" s="35" t="str">
        <f>IF(D592="","",VLOOKUP(MONTH(D592),Listas!$C$2:$D$14,2,0))</f>
        <v/>
      </c>
      <c r="R592" s="36" t="str">
        <f t="shared" si="22"/>
        <v/>
      </c>
      <c r="S592" s="37" t="str">
        <f t="shared" si="23"/>
        <v/>
      </c>
      <c r="T592" s="37" t="str">
        <f t="shared" si="24"/>
        <v/>
      </c>
      <c r="U592" s="37" t="str">
        <f t="shared" si="25"/>
        <v/>
      </c>
      <c r="V592" s="37" t="str">
        <f t="shared" si="26"/>
        <v/>
      </c>
      <c r="W592" s="37" t="str">
        <f t="shared" si="27"/>
        <v/>
      </c>
      <c r="X592" s="37" t="str">
        <f t="shared" si="28"/>
        <v/>
      </c>
      <c r="Y592" s="37" t="str">
        <f t="shared" si="29"/>
        <v/>
      </c>
      <c r="Z592" s="38" t="str">
        <f t="shared" si="30"/>
        <v/>
      </c>
      <c r="AA592" s="39" t="str">
        <f t="shared" si="31"/>
        <v/>
      </c>
    </row>
    <row r="593" ht="15.75" customHeight="1">
      <c r="B593" s="1"/>
      <c r="C593" s="28"/>
      <c r="D593" s="79"/>
      <c r="E593" s="1"/>
      <c r="F593" s="76"/>
      <c r="G593" s="1"/>
      <c r="H593" s="1"/>
      <c r="J593" s="77"/>
      <c r="K593" s="80"/>
      <c r="L593" s="80"/>
      <c r="M593" s="80"/>
      <c r="N593" s="80"/>
      <c r="O593" s="80"/>
      <c r="P593" s="81"/>
      <c r="Q593" s="35" t="str">
        <f>IF(D593="","",VLOOKUP(MONTH(D593),Listas!$C$2:$D$14,2,0))</f>
        <v/>
      </c>
      <c r="R593" s="36" t="str">
        <f t="shared" si="22"/>
        <v/>
      </c>
      <c r="S593" s="37" t="str">
        <f t="shared" si="23"/>
        <v/>
      </c>
      <c r="T593" s="37" t="str">
        <f t="shared" si="24"/>
        <v/>
      </c>
      <c r="U593" s="37" t="str">
        <f t="shared" si="25"/>
        <v/>
      </c>
      <c r="V593" s="37" t="str">
        <f t="shared" si="26"/>
        <v/>
      </c>
      <c r="W593" s="37" t="str">
        <f t="shared" si="27"/>
        <v/>
      </c>
      <c r="X593" s="37" t="str">
        <f t="shared" si="28"/>
        <v/>
      </c>
      <c r="Y593" s="37" t="str">
        <f t="shared" si="29"/>
        <v/>
      </c>
      <c r="Z593" s="38" t="str">
        <f t="shared" si="30"/>
        <v/>
      </c>
      <c r="AA593" s="39" t="str">
        <f t="shared" si="31"/>
        <v/>
      </c>
    </row>
    <row r="594" ht="15.75" customHeight="1">
      <c r="B594" s="1"/>
      <c r="C594" s="28"/>
      <c r="D594" s="79"/>
      <c r="E594" s="1"/>
      <c r="F594" s="76"/>
      <c r="G594" s="1"/>
      <c r="H594" s="1"/>
      <c r="J594" s="77"/>
      <c r="K594" s="80"/>
      <c r="L594" s="80"/>
      <c r="M594" s="80"/>
      <c r="N594" s="80"/>
      <c r="O594" s="80"/>
      <c r="P594" s="81"/>
      <c r="Q594" s="35" t="str">
        <f>IF(D594="","",VLOOKUP(MONTH(D594),Listas!$C$2:$D$14,2,0))</f>
        <v/>
      </c>
      <c r="R594" s="36" t="str">
        <f t="shared" si="22"/>
        <v/>
      </c>
      <c r="S594" s="37" t="str">
        <f t="shared" si="23"/>
        <v/>
      </c>
      <c r="T594" s="37" t="str">
        <f t="shared" si="24"/>
        <v/>
      </c>
      <c r="U594" s="37" t="str">
        <f t="shared" si="25"/>
        <v/>
      </c>
      <c r="V594" s="37" t="str">
        <f t="shared" si="26"/>
        <v/>
      </c>
      <c r="W594" s="37" t="str">
        <f t="shared" si="27"/>
        <v/>
      </c>
      <c r="X594" s="37" t="str">
        <f t="shared" si="28"/>
        <v/>
      </c>
      <c r="Y594" s="37" t="str">
        <f t="shared" si="29"/>
        <v/>
      </c>
      <c r="Z594" s="38" t="str">
        <f t="shared" si="30"/>
        <v/>
      </c>
      <c r="AA594" s="39" t="str">
        <f t="shared" si="31"/>
        <v/>
      </c>
    </row>
    <row r="595" ht="15.75" customHeight="1">
      <c r="B595" s="1"/>
      <c r="C595" s="28"/>
      <c r="D595" s="79"/>
      <c r="E595" s="1"/>
      <c r="F595" s="76"/>
      <c r="G595" s="1"/>
      <c r="H595" s="1"/>
      <c r="J595" s="77"/>
      <c r="K595" s="80"/>
      <c r="L595" s="80"/>
      <c r="M595" s="80"/>
      <c r="N595" s="80"/>
      <c r="O595" s="80"/>
      <c r="P595" s="81"/>
      <c r="Q595" s="35" t="str">
        <f>IF(D595="","",VLOOKUP(MONTH(D595),Listas!$C$2:$D$14,2,0))</f>
        <v/>
      </c>
      <c r="R595" s="36" t="str">
        <f t="shared" si="22"/>
        <v/>
      </c>
      <c r="S595" s="37" t="str">
        <f t="shared" si="23"/>
        <v/>
      </c>
      <c r="T595" s="37" t="str">
        <f t="shared" si="24"/>
        <v/>
      </c>
      <c r="U595" s="37" t="str">
        <f t="shared" si="25"/>
        <v/>
      </c>
      <c r="V595" s="37" t="str">
        <f t="shared" si="26"/>
        <v/>
      </c>
      <c r="W595" s="37" t="str">
        <f t="shared" si="27"/>
        <v/>
      </c>
      <c r="X595" s="37" t="str">
        <f t="shared" si="28"/>
        <v/>
      </c>
      <c r="Y595" s="37" t="str">
        <f t="shared" si="29"/>
        <v/>
      </c>
      <c r="Z595" s="38" t="str">
        <f t="shared" si="30"/>
        <v/>
      </c>
      <c r="AA595" s="39" t="str">
        <f t="shared" si="31"/>
        <v/>
      </c>
    </row>
    <row r="596" ht="15.75" customHeight="1">
      <c r="B596" s="1"/>
      <c r="C596" s="28"/>
      <c r="D596" s="79"/>
      <c r="E596" s="1"/>
      <c r="F596" s="76"/>
      <c r="G596" s="1"/>
      <c r="H596" s="1"/>
      <c r="J596" s="77"/>
      <c r="K596" s="80"/>
      <c r="L596" s="80"/>
      <c r="M596" s="80"/>
      <c r="N596" s="80"/>
      <c r="O596" s="80"/>
      <c r="P596" s="81"/>
      <c r="Q596" s="35" t="str">
        <f>IF(D596="","",VLOOKUP(MONTH(D596),Listas!$C$2:$D$14,2,0))</f>
        <v/>
      </c>
      <c r="R596" s="36" t="str">
        <f t="shared" si="22"/>
        <v/>
      </c>
      <c r="S596" s="37" t="str">
        <f t="shared" si="23"/>
        <v/>
      </c>
      <c r="T596" s="37" t="str">
        <f t="shared" si="24"/>
        <v/>
      </c>
      <c r="U596" s="37" t="str">
        <f t="shared" si="25"/>
        <v/>
      </c>
      <c r="V596" s="37" t="str">
        <f t="shared" si="26"/>
        <v/>
      </c>
      <c r="W596" s="37" t="str">
        <f t="shared" si="27"/>
        <v/>
      </c>
      <c r="X596" s="37" t="str">
        <f t="shared" si="28"/>
        <v/>
      </c>
      <c r="Y596" s="37" t="str">
        <f t="shared" si="29"/>
        <v/>
      </c>
      <c r="Z596" s="38" t="str">
        <f t="shared" si="30"/>
        <v/>
      </c>
      <c r="AA596" s="39" t="str">
        <f t="shared" si="31"/>
        <v/>
      </c>
    </row>
    <row r="597" ht="15.75" customHeight="1">
      <c r="B597" s="1"/>
      <c r="C597" s="28"/>
      <c r="D597" s="79"/>
      <c r="E597" s="1"/>
      <c r="F597" s="76"/>
      <c r="G597" s="1"/>
      <c r="H597" s="1"/>
      <c r="J597" s="77"/>
      <c r="K597" s="80"/>
      <c r="L597" s="80"/>
      <c r="M597" s="80"/>
      <c r="N597" s="80"/>
      <c r="O597" s="80"/>
      <c r="P597" s="81"/>
      <c r="Q597" s="35" t="str">
        <f>IF(D597="","",VLOOKUP(MONTH(D597),Listas!$C$2:$D$14,2,0))</f>
        <v/>
      </c>
      <c r="R597" s="36" t="str">
        <f t="shared" si="22"/>
        <v/>
      </c>
      <c r="S597" s="37" t="str">
        <f t="shared" si="23"/>
        <v/>
      </c>
      <c r="T597" s="37" t="str">
        <f t="shared" si="24"/>
        <v/>
      </c>
      <c r="U597" s="37" t="str">
        <f t="shared" si="25"/>
        <v/>
      </c>
      <c r="V597" s="37" t="str">
        <f t="shared" si="26"/>
        <v/>
      </c>
      <c r="W597" s="37" t="str">
        <f t="shared" si="27"/>
        <v/>
      </c>
      <c r="X597" s="37" t="str">
        <f t="shared" si="28"/>
        <v/>
      </c>
      <c r="Y597" s="37" t="str">
        <f t="shared" si="29"/>
        <v/>
      </c>
      <c r="Z597" s="38" t="str">
        <f t="shared" si="30"/>
        <v/>
      </c>
      <c r="AA597" s="39" t="str">
        <f t="shared" si="31"/>
        <v/>
      </c>
    </row>
    <row r="598" ht="15.75" customHeight="1">
      <c r="B598" s="1"/>
      <c r="C598" s="28"/>
      <c r="D598" s="79"/>
      <c r="E598" s="1"/>
      <c r="F598" s="76"/>
      <c r="G598" s="1"/>
      <c r="H598" s="1"/>
      <c r="J598" s="77"/>
      <c r="K598" s="80"/>
      <c r="L598" s="80"/>
      <c r="M598" s="80"/>
      <c r="N598" s="80"/>
      <c r="O598" s="80"/>
      <c r="P598" s="81"/>
      <c r="Q598" s="35" t="str">
        <f>IF(D598="","",VLOOKUP(MONTH(D598),Listas!$C$2:$D$14,2,0))</f>
        <v/>
      </c>
      <c r="R598" s="36" t="str">
        <f t="shared" si="22"/>
        <v/>
      </c>
      <c r="S598" s="37" t="str">
        <f t="shared" si="23"/>
        <v/>
      </c>
      <c r="T598" s="37" t="str">
        <f t="shared" si="24"/>
        <v/>
      </c>
      <c r="U598" s="37" t="str">
        <f t="shared" si="25"/>
        <v/>
      </c>
      <c r="V598" s="37" t="str">
        <f t="shared" si="26"/>
        <v/>
      </c>
      <c r="W598" s="37" t="str">
        <f t="shared" si="27"/>
        <v/>
      </c>
      <c r="X598" s="37" t="str">
        <f t="shared" si="28"/>
        <v/>
      </c>
      <c r="Y598" s="37" t="str">
        <f t="shared" si="29"/>
        <v/>
      </c>
      <c r="Z598" s="38" t="str">
        <f t="shared" si="30"/>
        <v/>
      </c>
      <c r="AA598" s="39" t="str">
        <f t="shared" si="31"/>
        <v/>
      </c>
    </row>
    <row r="599" ht="15.75" customHeight="1">
      <c r="B599" s="1"/>
      <c r="C599" s="28"/>
      <c r="D599" s="79"/>
      <c r="E599" s="1"/>
      <c r="F599" s="76"/>
      <c r="G599" s="1"/>
      <c r="H599" s="1"/>
      <c r="J599" s="77"/>
      <c r="K599" s="80"/>
      <c r="L599" s="80"/>
      <c r="M599" s="80"/>
      <c r="N599" s="80"/>
      <c r="O599" s="80"/>
      <c r="P599" s="81"/>
      <c r="Q599" s="35" t="str">
        <f>IF(D599="","",VLOOKUP(MONTH(D599),Listas!$C$2:$D$14,2,0))</f>
        <v/>
      </c>
      <c r="R599" s="36" t="str">
        <f t="shared" si="22"/>
        <v/>
      </c>
      <c r="S599" s="37" t="str">
        <f t="shared" si="23"/>
        <v/>
      </c>
      <c r="T599" s="37" t="str">
        <f t="shared" si="24"/>
        <v/>
      </c>
      <c r="U599" s="37" t="str">
        <f t="shared" si="25"/>
        <v/>
      </c>
      <c r="V599" s="37" t="str">
        <f t="shared" si="26"/>
        <v/>
      </c>
      <c r="W599" s="37" t="str">
        <f t="shared" si="27"/>
        <v/>
      </c>
      <c r="X599" s="37" t="str">
        <f t="shared" si="28"/>
        <v/>
      </c>
      <c r="Y599" s="37" t="str">
        <f t="shared" si="29"/>
        <v/>
      </c>
      <c r="Z599" s="38" t="str">
        <f t="shared" si="30"/>
        <v/>
      </c>
      <c r="AA599" s="39" t="str">
        <f t="shared" si="31"/>
        <v/>
      </c>
    </row>
    <row r="600" ht="15.75" customHeight="1">
      <c r="B600" s="1"/>
      <c r="C600" s="28"/>
      <c r="D600" s="79"/>
      <c r="E600" s="1"/>
      <c r="F600" s="76"/>
      <c r="G600" s="1"/>
      <c r="H600" s="1"/>
      <c r="J600" s="77"/>
      <c r="K600" s="80"/>
      <c r="L600" s="80"/>
      <c r="M600" s="80"/>
      <c r="N600" s="80"/>
      <c r="O600" s="80"/>
      <c r="P600" s="81"/>
      <c r="Q600" s="35" t="str">
        <f>IF(D600="","",VLOOKUP(MONTH(D600),Listas!$C$2:$D$14,2,0))</f>
        <v/>
      </c>
      <c r="R600" s="36" t="str">
        <f t="shared" si="22"/>
        <v/>
      </c>
      <c r="S600" s="37" t="str">
        <f t="shared" si="23"/>
        <v/>
      </c>
      <c r="T600" s="37" t="str">
        <f t="shared" si="24"/>
        <v/>
      </c>
      <c r="U600" s="37" t="str">
        <f t="shared" si="25"/>
        <v/>
      </c>
      <c r="V600" s="37" t="str">
        <f t="shared" si="26"/>
        <v/>
      </c>
      <c r="W600" s="37" t="str">
        <f t="shared" si="27"/>
        <v/>
      </c>
      <c r="X600" s="37" t="str">
        <f t="shared" si="28"/>
        <v/>
      </c>
      <c r="Y600" s="37" t="str">
        <f t="shared" si="29"/>
        <v/>
      </c>
      <c r="Z600" s="38" t="str">
        <f t="shared" si="30"/>
        <v/>
      </c>
      <c r="AA600" s="39" t="str">
        <f t="shared" si="31"/>
        <v/>
      </c>
    </row>
    <row r="601" ht="15.75" customHeight="1">
      <c r="B601" s="1"/>
      <c r="C601" s="28"/>
      <c r="D601" s="79"/>
      <c r="E601" s="1"/>
      <c r="F601" s="76"/>
      <c r="G601" s="1"/>
      <c r="H601" s="1"/>
      <c r="J601" s="77"/>
      <c r="K601" s="80"/>
      <c r="L601" s="80"/>
      <c r="M601" s="80"/>
      <c r="N601" s="80"/>
      <c r="O601" s="80"/>
      <c r="P601" s="81"/>
      <c r="Q601" s="35" t="str">
        <f>IF(D601="","",VLOOKUP(MONTH(D601),Listas!$C$2:$D$14,2,0))</f>
        <v/>
      </c>
      <c r="R601" s="36" t="str">
        <f t="shared" si="22"/>
        <v/>
      </c>
      <c r="S601" s="37" t="str">
        <f t="shared" si="23"/>
        <v/>
      </c>
      <c r="T601" s="37" t="str">
        <f t="shared" si="24"/>
        <v/>
      </c>
      <c r="U601" s="37" t="str">
        <f t="shared" si="25"/>
        <v/>
      </c>
      <c r="V601" s="37" t="str">
        <f t="shared" si="26"/>
        <v/>
      </c>
      <c r="W601" s="37" t="str">
        <f t="shared" si="27"/>
        <v/>
      </c>
      <c r="X601" s="37" t="str">
        <f t="shared" si="28"/>
        <v/>
      </c>
      <c r="Y601" s="37" t="str">
        <f t="shared" si="29"/>
        <v/>
      </c>
      <c r="Z601" s="38" t="str">
        <f t="shared" si="30"/>
        <v/>
      </c>
      <c r="AA601" s="39" t="str">
        <f t="shared" si="31"/>
        <v/>
      </c>
    </row>
    <row r="602" ht="15.75" customHeight="1">
      <c r="B602" s="1"/>
      <c r="C602" s="28"/>
      <c r="D602" s="79"/>
      <c r="E602" s="1"/>
      <c r="F602" s="76"/>
      <c r="G602" s="1"/>
      <c r="H602" s="1"/>
      <c r="J602" s="77"/>
      <c r="K602" s="80"/>
      <c r="L602" s="80"/>
      <c r="M602" s="80"/>
      <c r="N602" s="80"/>
      <c r="O602" s="80"/>
      <c r="P602" s="81"/>
      <c r="Q602" s="35" t="str">
        <f>IF(D602="","",VLOOKUP(MONTH(D602),Listas!$C$2:$D$14,2,0))</f>
        <v/>
      </c>
      <c r="R602" s="36" t="str">
        <f t="shared" si="22"/>
        <v/>
      </c>
      <c r="S602" s="37" t="str">
        <f t="shared" si="23"/>
        <v/>
      </c>
      <c r="T602" s="37" t="str">
        <f t="shared" si="24"/>
        <v/>
      </c>
      <c r="U602" s="37" t="str">
        <f t="shared" si="25"/>
        <v/>
      </c>
      <c r="V602" s="37" t="str">
        <f t="shared" si="26"/>
        <v/>
      </c>
      <c r="W602" s="37" t="str">
        <f t="shared" si="27"/>
        <v/>
      </c>
      <c r="X602" s="37" t="str">
        <f t="shared" si="28"/>
        <v/>
      </c>
      <c r="Y602" s="37" t="str">
        <f t="shared" si="29"/>
        <v/>
      </c>
      <c r="Z602" s="38" t="str">
        <f t="shared" si="30"/>
        <v/>
      </c>
      <c r="AA602" s="39" t="str">
        <f t="shared" si="31"/>
        <v/>
      </c>
    </row>
    <row r="603" ht="15.75" customHeight="1">
      <c r="B603" s="1"/>
      <c r="C603" s="28"/>
      <c r="D603" s="79"/>
      <c r="E603" s="1"/>
      <c r="F603" s="76"/>
      <c r="G603" s="1"/>
      <c r="H603" s="1"/>
      <c r="J603" s="77"/>
      <c r="K603" s="80"/>
      <c r="L603" s="80"/>
      <c r="M603" s="80"/>
      <c r="N603" s="80"/>
      <c r="O603" s="80"/>
      <c r="P603" s="81"/>
      <c r="Q603" s="35" t="str">
        <f>IF(D603="","",VLOOKUP(MONTH(D603),Listas!$C$2:$D$14,2,0))</f>
        <v/>
      </c>
      <c r="R603" s="36" t="str">
        <f t="shared" si="22"/>
        <v/>
      </c>
      <c r="S603" s="37" t="str">
        <f t="shared" si="23"/>
        <v/>
      </c>
      <c r="T603" s="37" t="str">
        <f t="shared" si="24"/>
        <v/>
      </c>
      <c r="U603" s="37" t="str">
        <f t="shared" si="25"/>
        <v/>
      </c>
      <c r="V603" s="37" t="str">
        <f t="shared" si="26"/>
        <v/>
      </c>
      <c r="W603" s="37" t="str">
        <f t="shared" si="27"/>
        <v/>
      </c>
      <c r="X603" s="37" t="str">
        <f t="shared" si="28"/>
        <v/>
      </c>
      <c r="Y603" s="37" t="str">
        <f t="shared" si="29"/>
        <v/>
      </c>
      <c r="Z603" s="38" t="str">
        <f t="shared" si="30"/>
        <v/>
      </c>
      <c r="AA603" s="39" t="str">
        <f t="shared" si="31"/>
        <v/>
      </c>
    </row>
    <row r="604" ht="15.75" customHeight="1">
      <c r="B604" s="1"/>
      <c r="C604" s="28"/>
      <c r="D604" s="79"/>
      <c r="E604" s="1"/>
      <c r="F604" s="76"/>
      <c r="G604" s="1"/>
      <c r="H604" s="1"/>
      <c r="J604" s="77"/>
      <c r="K604" s="80"/>
      <c r="L604" s="80"/>
      <c r="M604" s="80"/>
      <c r="N604" s="80"/>
      <c r="O604" s="80"/>
      <c r="P604" s="81"/>
      <c r="Q604" s="35" t="str">
        <f>IF(D604="","",VLOOKUP(MONTH(D604),Listas!$C$2:$D$14,2,0))</f>
        <v/>
      </c>
      <c r="R604" s="36" t="str">
        <f t="shared" si="22"/>
        <v/>
      </c>
      <c r="S604" s="37" t="str">
        <f t="shared" si="23"/>
        <v/>
      </c>
      <c r="T604" s="37" t="str">
        <f t="shared" si="24"/>
        <v/>
      </c>
      <c r="U604" s="37" t="str">
        <f t="shared" si="25"/>
        <v/>
      </c>
      <c r="V604" s="37" t="str">
        <f t="shared" si="26"/>
        <v/>
      </c>
      <c r="W604" s="37" t="str">
        <f t="shared" si="27"/>
        <v/>
      </c>
      <c r="X604" s="37" t="str">
        <f t="shared" si="28"/>
        <v/>
      </c>
      <c r="Y604" s="37" t="str">
        <f t="shared" si="29"/>
        <v/>
      </c>
      <c r="Z604" s="38" t="str">
        <f t="shared" si="30"/>
        <v/>
      </c>
      <c r="AA604" s="39" t="str">
        <f t="shared" si="31"/>
        <v/>
      </c>
    </row>
    <row r="605" ht="15.75" customHeight="1">
      <c r="B605" s="1"/>
      <c r="C605" s="28"/>
      <c r="D605" s="79"/>
      <c r="E605" s="1"/>
      <c r="F605" s="76"/>
      <c r="G605" s="1"/>
      <c r="H605" s="1"/>
      <c r="J605" s="77"/>
      <c r="K605" s="80"/>
      <c r="L605" s="80"/>
      <c r="M605" s="80"/>
      <c r="N605" s="80"/>
      <c r="O605" s="80"/>
      <c r="P605" s="81"/>
      <c r="Q605" s="35" t="str">
        <f>IF(D605="","",VLOOKUP(MONTH(D605),Listas!$C$2:$D$14,2,0))</f>
        <v/>
      </c>
      <c r="R605" s="36" t="str">
        <f t="shared" si="22"/>
        <v/>
      </c>
      <c r="S605" s="37" t="str">
        <f t="shared" si="23"/>
        <v/>
      </c>
      <c r="T605" s="37" t="str">
        <f t="shared" si="24"/>
        <v/>
      </c>
      <c r="U605" s="37" t="str">
        <f t="shared" si="25"/>
        <v/>
      </c>
      <c r="V605" s="37" t="str">
        <f t="shared" si="26"/>
        <v/>
      </c>
      <c r="W605" s="37" t="str">
        <f t="shared" si="27"/>
        <v/>
      </c>
      <c r="X605" s="37" t="str">
        <f t="shared" si="28"/>
        <v/>
      </c>
      <c r="Y605" s="37" t="str">
        <f t="shared" si="29"/>
        <v/>
      </c>
      <c r="Z605" s="38" t="str">
        <f t="shared" si="30"/>
        <v/>
      </c>
      <c r="AA605" s="39" t="str">
        <f t="shared" si="31"/>
        <v/>
      </c>
    </row>
    <row r="606" ht="15.75" customHeight="1">
      <c r="B606" s="1"/>
      <c r="C606" s="28"/>
      <c r="D606" s="79"/>
      <c r="E606" s="1"/>
      <c r="F606" s="76"/>
      <c r="G606" s="1"/>
      <c r="H606" s="1"/>
      <c r="J606" s="77"/>
      <c r="K606" s="80"/>
      <c r="L606" s="80"/>
      <c r="M606" s="80"/>
      <c r="N606" s="80"/>
      <c r="O606" s="80"/>
      <c r="P606" s="81"/>
      <c r="Q606" s="35" t="str">
        <f>IF(D606="","",VLOOKUP(MONTH(D606),Listas!$C$2:$D$14,2,0))</f>
        <v/>
      </c>
      <c r="R606" s="36" t="str">
        <f t="shared" si="22"/>
        <v/>
      </c>
      <c r="S606" s="37" t="str">
        <f t="shared" si="23"/>
        <v/>
      </c>
      <c r="T606" s="37" t="str">
        <f t="shared" si="24"/>
        <v/>
      </c>
      <c r="U606" s="37" t="str">
        <f t="shared" si="25"/>
        <v/>
      </c>
      <c r="V606" s="37" t="str">
        <f t="shared" si="26"/>
        <v/>
      </c>
      <c r="W606" s="37" t="str">
        <f t="shared" si="27"/>
        <v/>
      </c>
      <c r="X606" s="37" t="str">
        <f t="shared" si="28"/>
        <v/>
      </c>
      <c r="Y606" s="37" t="str">
        <f t="shared" si="29"/>
        <v/>
      </c>
      <c r="Z606" s="38" t="str">
        <f t="shared" si="30"/>
        <v/>
      </c>
      <c r="AA606" s="39" t="str">
        <f t="shared" si="31"/>
        <v/>
      </c>
    </row>
    <row r="607" ht="15.75" customHeight="1">
      <c r="B607" s="1"/>
      <c r="C607" s="28"/>
      <c r="D607" s="79"/>
      <c r="E607" s="1"/>
      <c r="F607" s="76"/>
      <c r="G607" s="1"/>
      <c r="H607" s="1"/>
      <c r="J607" s="77"/>
      <c r="K607" s="80"/>
      <c r="L607" s="80"/>
      <c r="M607" s="80"/>
      <c r="N607" s="80"/>
      <c r="O607" s="80"/>
      <c r="P607" s="81"/>
      <c r="Q607" s="35" t="str">
        <f>IF(D607="","",VLOOKUP(MONTH(D607),Listas!$C$2:$D$14,2,0))</f>
        <v/>
      </c>
      <c r="R607" s="36" t="str">
        <f t="shared" si="22"/>
        <v/>
      </c>
      <c r="S607" s="37" t="str">
        <f t="shared" si="23"/>
        <v/>
      </c>
      <c r="T607" s="37" t="str">
        <f t="shared" si="24"/>
        <v/>
      </c>
      <c r="U607" s="37" t="str">
        <f t="shared" si="25"/>
        <v/>
      </c>
      <c r="V607" s="37" t="str">
        <f t="shared" si="26"/>
        <v/>
      </c>
      <c r="W607" s="37" t="str">
        <f t="shared" si="27"/>
        <v/>
      </c>
      <c r="X607" s="37" t="str">
        <f t="shared" si="28"/>
        <v/>
      </c>
      <c r="Y607" s="37" t="str">
        <f t="shared" si="29"/>
        <v/>
      </c>
      <c r="Z607" s="38" t="str">
        <f t="shared" si="30"/>
        <v/>
      </c>
      <c r="AA607" s="39" t="str">
        <f t="shared" si="31"/>
        <v/>
      </c>
    </row>
    <row r="608" ht="15.75" customHeight="1">
      <c r="B608" s="1"/>
      <c r="C608" s="28"/>
      <c r="D608" s="79"/>
      <c r="E608" s="1"/>
      <c r="F608" s="76"/>
      <c r="G608" s="1"/>
      <c r="H608" s="1"/>
      <c r="J608" s="77"/>
      <c r="K608" s="80"/>
      <c r="L608" s="80"/>
      <c r="M608" s="80"/>
      <c r="N608" s="80"/>
      <c r="O608" s="80"/>
      <c r="P608" s="81"/>
      <c r="Q608" s="35" t="str">
        <f>IF(D608="","",VLOOKUP(MONTH(D608),Listas!$C$2:$D$14,2,0))</f>
        <v/>
      </c>
      <c r="R608" s="36" t="str">
        <f t="shared" si="22"/>
        <v/>
      </c>
      <c r="S608" s="37" t="str">
        <f t="shared" si="23"/>
        <v/>
      </c>
      <c r="T608" s="37" t="str">
        <f t="shared" si="24"/>
        <v/>
      </c>
      <c r="U608" s="37" t="str">
        <f t="shared" si="25"/>
        <v/>
      </c>
      <c r="V608" s="37" t="str">
        <f t="shared" si="26"/>
        <v/>
      </c>
      <c r="W608" s="37" t="str">
        <f t="shared" si="27"/>
        <v/>
      </c>
      <c r="X608" s="37" t="str">
        <f t="shared" si="28"/>
        <v/>
      </c>
      <c r="Y608" s="37" t="str">
        <f t="shared" si="29"/>
        <v/>
      </c>
      <c r="Z608" s="38" t="str">
        <f t="shared" si="30"/>
        <v/>
      </c>
      <c r="AA608" s="39" t="str">
        <f t="shared" si="31"/>
        <v/>
      </c>
    </row>
    <row r="609" ht="15.75" customHeight="1">
      <c r="B609" s="1"/>
      <c r="C609" s="28"/>
      <c r="D609" s="79"/>
      <c r="E609" s="1"/>
      <c r="F609" s="76"/>
      <c r="G609" s="1"/>
      <c r="H609" s="1"/>
      <c r="J609" s="77"/>
      <c r="K609" s="80"/>
      <c r="L609" s="80"/>
      <c r="M609" s="80"/>
      <c r="N609" s="80"/>
      <c r="O609" s="80"/>
      <c r="P609" s="81"/>
      <c r="Q609" s="35" t="str">
        <f>IF(D609="","",VLOOKUP(MONTH(D609),Listas!$C$2:$D$14,2,0))</f>
        <v/>
      </c>
      <c r="R609" s="36" t="str">
        <f t="shared" si="22"/>
        <v/>
      </c>
      <c r="S609" s="37" t="str">
        <f t="shared" si="23"/>
        <v/>
      </c>
      <c r="T609" s="37" t="str">
        <f t="shared" si="24"/>
        <v/>
      </c>
      <c r="U609" s="37" t="str">
        <f t="shared" si="25"/>
        <v/>
      </c>
      <c r="V609" s="37" t="str">
        <f t="shared" si="26"/>
        <v/>
      </c>
      <c r="W609" s="37" t="str">
        <f t="shared" si="27"/>
        <v/>
      </c>
      <c r="X609" s="37" t="str">
        <f t="shared" si="28"/>
        <v/>
      </c>
      <c r="Y609" s="37" t="str">
        <f t="shared" si="29"/>
        <v/>
      </c>
      <c r="Z609" s="38" t="str">
        <f t="shared" si="30"/>
        <v/>
      </c>
      <c r="AA609" s="39" t="str">
        <f t="shared" si="31"/>
        <v/>
      </c>
    </row>
    <row r="610" ht="15.75" customHeight="1">
      <c r="B610" s="1"/>
      <c r="C610" s="28"/>
      <c r="D610" s="79"/>
      <c r="E610" s="1"/>
      <c r="F610" s="76"/>
      <c r="G610" s="1"/>
      <c r="H610" s="1"/>
      <c r="J610" s="77"/>
      <c r="K610" s="80"/>
      <c r="L610" s="80"/>
      <c r="M610" s="80"/>
      <c r="N610" s="80"/>
      <c r="O610" s="80"/>
      <c r="P610" s="81"/>
      <c r="Q610" s="35" t="str">
        <f>IF(D610="","",VLOOKUP(MONTH(D610),Listas!$C$2:$D$14,2,0))</f>
        <v/>
      </c>
      <c r="R610" s="36" t="str">
        <f t="shared" si="22"/>
        <v/>
      </c>
      <c r="S610" s="37" t="str">
        <f t="shared" si="23"/>
        <v/>
      </c>
      <c r="T610" s="37" t="str">
        <f t="shared" si="24"/>
        <v/>
      </c>
      <c r="U610" s="37" t="str">
        <f t="shared" si="25"/>
        <v/>
      </c>
      <c r="V610" s="37" t="str">
        <f t="shared" si="26"/>
        <v/>
      </c>
      <c r="W610" s="37" t="str">
        <f t="shared" si="27"/>
        <v/>
      </c>
      <c r="X610" s="37" t="str">
        <f t="shared" si="28"/>
        <v/>
      </c>
      <c r="Y610" s="37" t="str">
        <f t="shared" si="29"/>
        <v/>
      </c>
      <c r="Z610" s="38" t="str">
        <f t="shared" si="30"/>
        <v/>
      </c>
      <c r="AA610" s="39" t="str">
        <f t="shared" si="31"/>
        <v/>
      </c>
    </row>
    <row r="611" ht="15.75" customHeight="1">
      <c r="B611" s="1"/>
      <c r="C611" s="28"/>
      <c r="D611" s="79"/>
      <c r="E611" s="1"/>
      <c r="F611" s="76"/>
      <c r="G611" s="1"/>
      <c r="H611" s="1"/>
      <c r="J611" s="77"/>
      <c r="K611" s="80"/>
      <c r="L611" s="80"/>
      <c r="M611" s="80"/>
      <c r="N611" s="80"/>
      <c r="O611" s="80"/>
      <c r="P611" s="81"/>
      <c r="Q611" s="35" t="str">
        <f>IF(D611="","",VLOOKUP(MONTH(D611),Listas!$C$2:$D$14,2,0))</f>
        <v/>
      </c>
      <c r="R611" s="36" t="str">
        <f t="shared" si="22"/>
        <v/>
      </c>
      <c r="S611" s="37" t="str">
        <f t="shared" si="23"/>
        <v/>
      </c>
      <c r="T611" s="37" t="str">
        <f t="shared" si="24"/>
        <v/>
      </c>
      <c r="U611" s="37" t="str">
        <f t="shared" si="25"/>
        <v/>
      </c>
      <c r="V611" s="37" t="str">
        <f t="shared" si="26"/>
        <v/>
      </c>
      <c r="W611" s="37" t="str">
        <f t="shared" si="27"/>
        <v/>
      </c>
      <c r="X611" s="37" t="str">
        <f t="shared" si="28"/>
        <v/>
      </c>
      <c r="Y611" s="37" t="str">
        <f t="shared" si="29"/>
        <v/>
      </c>
      <c r="Z611" s="38" t="str">
        <f t="shared" si="30"/>
        <v/>
      </c>
      <c r="AA611" s="39" t="str">
        <f t="shared" si="31"/>
        <v/>
      </c>
    </row>
    <row r="612" ht="15.75" customHeight="1">
      <c r="B612" s="1"/>
      <c r="C612" s="28"/>
      <c r="D612" s="79"/>
      <c r="E612" s="1"/>
      <c r="F612" s="76"/>
      <c r="G612" s="1"/>
      <c r="H612" s="1"/>
      <c r="J612" s="77"/>
      <c r="K612" s="80"/>
      <c r="L612" s="80"/>
      <c r="M612" s="80"/>
      <c r="N612" s="80"/>
      <c r="O612" s="80"/>
      <c r="P612" s="81"/>
      <c r="Q612" s="35" t="str">
        <f>IF(D612="","",VLOOKUP(MONTH(D612),Listas!$C$2:$D$14,2,0))</f>
        <v/>
      </c>
      <c r="R612" s="36" t="str">
        <f t="shared" si="22"/>
        <v/>
      </c>
      <c r="S612" s="37" t="str">
        <f t="shared" si="23"/>
        <v/>
      </c>
      <c r="T612" s="37" t="str">
        <f t="shared" si="24"/>
        <v/>
      </c>
      <c r="U612" s="37" t="str">
        <f t="shared" si="25"/>
        <v/>
      </c>
      <c r="V612" s="37" t="str">
        <f t="shared" si="26"/>
        <v/>
      </c>
      <c r="W612" s="37" t="str">
        <f t="shared" si="27"/>
        <v/>
      </c>
      <c r="X612" s="37" t="str">
        <f t="shared" si="28"/>
        <v/>
      </c>
      <c r="Y612" s="37" t="str">
        <f t="shared" si="29"/>
        <v/>
      </c>
      <c r="Z612" s="38" t="str">
        <f t="shared" si="30"/>
        <v/>
      </c>
      <c r="AA612" s="39" t="str">
        <f t="shared" si="31"/>
        <v/>
      </c>
    </row>
    <row r="613" ht="15.75" customHeight="1">
      <c r="B613" s="1"/>
      <c r="C613" s="28"/>
      <c r="D613" s="79"/>
      <c r="E613" s="1"/>
      <c r="F613" s="76"/>
      <c r="G613" s="1"/>
      <c r="H613" s="1"/>
      <c r="J613" s="77"/>
      <c r="K613" s="80"/>
      <c r="L613" s="80"/>
      <c r="M613" s="80"/>
      <c r="N613" s="80"/>
      <c r="O613" s="80"/>
      <c r="P613" s="81"/>
      <c r="Q613" s="35" t="str">
        <f>IF(D613="","",VLOOKUP(MONTH(D613),Listas!$C$2:$D$14,2,0))</f>
        <v/>
      </c>
      <c r="R613" s="36" t="str">
        <f t="shared" si="22"/>
        <v/>
      </c>
      <c r="S613" s="37" t="str">
        <f t="shared" si="23"/>
        <v/>
      </c>
      <c r="T613" s="37" t="str">
        <f t="shared" si="24"/>
        <v/>
      </c>
      <c r="U613" s="37" t="str">
        <f t="shared" si="25"/>
        <v/>
      </c>
      <c r="V613" s="37" t="str">
        <f t="shared" si="26"/>
        <v/>
      </c>
      <c r="W613" s="37" t="str">
        <f t="shared" si="27"/>
        <v/>
      </c>
      <c r="X613" s="37" t="str">
        <f t="shared" si="28"/>
        <v/>
      </c>
      <c r="Y613" s="37" t="str">
        <f t="shared" si="29"/>
        <v/>
      </c>
      <c r="Z613" s="38" t="str">
        <f t="shared" si="30"/>
        <v/>
      </c>
      <c r="AA613" s="39" t="str">
        <f t="shared" si="31"/>
        <v/>
      </c>
    </row>
    <row r="614" ht="15.75" customHeight="1">
      <c r="B614" s="1"/>
      <c r="C614" s="28"/>
      <c r="D614" s="79"/>
      <c r="E614" s="1"/>
      <c r="F614" s="76"/>
      <c r="G614" s="1"/>
      <c r="H614" s="1"/>
      <c r="J614" s="77"/>
      <c r="K614" s="80"/>
      <c r="L614" s="80"/>
      <c r="M614" s="80"/>
      <c r="N614" s="80"/>
      <c r="O614" s="80"/>
      <c r="P614" s="81"/>
      <c r="Q614" s="35" t="str">
        <f>IF(D614="","",VLOOKUP(MONTH(D614),Listas!$C$2:$D$14,2,0))</f>
        <v/>
      </c>
      <c r="R614" s="36" t="str">
        <f t="shared" si="22"/>
        <v/>
      </c>
      <c r="S614" s="37" t="str">
        <f t="shared" si="23"/>
        <v/>
      </c>
      <c r="T614" s="37" t="str">
        <f t="shared" si="24"/>
        <v/>
      </c>
      <c r="U614" s="37" t="str">
        <f t="shared" si="25"/>
        <v/>
      </c>
      <c r="V614" s="37" t="str">
        <f t="shared" si="26"/>
        <v/>
      </c>
      <c r="W614" s="37" t="str">
        <f t="shared" si="27"/>
        <v/>
      </c>
      <c r="X614" s="37" t="str">
        <f t="shared" si="28"/>
        <v/>
      </c>
      <c r="Y614" s="37" t="str">
        <f t="shared" si="29"/>
        <v/>
      </c>
      <c r="Z614" s="38" t="str">
        <f t="shared" si="30"/>
        <v/>
      </c>
      <c r="AA614" s="39" t="str">
        <f t="shared" si="31"/>
        <v/>
      </c>
    </row>
    <row r="615" ht="15.75" customHeight="1">
      <c r="B615" s="1"/>
      <c r="C615" s="28"/>
      <c r="D615" s="79"/>
      <c r="E615" s="1"/>
      <c r="F615" s="76"/>
      <c r="G615" s="1"/>
      <c r="H615" s="1"/>
      <c r="J615" s="77"/>
      <c r="K615" s="80"/>
      <c r="L615" s="80"/>
      <c r="M615" s="80"/>
      <c r="N615" s="80"/>
      <c r="O615" s="80"/>
      <c r="P615" s="81"/>
      <c r="Q615" s="35" t="str">
        <f>IF(D615="","",VLOOKUP(MONTH(D615),Listas!$C$2:$D$14,2,0))</f>
        <v/>
      </c>
      <c r="R615" s="36" t="str">
        <f t="shared" si="22"/>
        <v/>
      </c>
      <c r="S615" s="37" t="str">
        <f t="shared" si="23"/>
        <v/>
      </c>
      <c r="T615" s="37" t="str">
        <f t="shared" si="24"/>
        <v/>
      </c>
      <c r="U615" s="37" t="str">
        <f t="shared" si="25"/>
        <v/>
      </c>
      <c r="V615" s="37" t="str">
        <f t="shared" si="26"/>
        <v/>
      </c>
      <c r="W615" s="37" t="str">
        <f t="shared" si="27"/>
        <v/>
      </c>
      <c r="X615" s="37" t="str">
        <f t="shared" si="28"/>
        <v/>
      </c>
      <c r="Y615" s="37" t="str">
        <f t="shared" si="29"/>
        <v/>
      </c>
      <c r="Z615" s="38" t="str">
        <f t="shared" si="30"/>
        <v/>
      </c>
      <c r="AA615" s="39" t="str">
        <f t="shared" si="31"/>
        <v/>
      </c>
    </row>
    <row r="616" ht="15.75" customHeight="1">
      <c r="B616" s="1"/>
      <c r="C616" s="28"/>
      <c r="D616" s="79"/>
      <c r="E616" s="1"/>
      <c r="F616" s="76"/>
      <c r="G616" s="1"/>
      <c r="H616" s="1"/>
      <c r="J616" s="77"/>
      <c r="K616" s="80"/>
      <c r="L616" s="80"/>
      <c r="M616" s="80"/>
      <c r="N616" s="80"/>
      <c r="O616" s="80"/>
      <c r="P616" s="81"/>
      <c r="Q616" s="35" t="str">
        <f>IF(D616="","",VLOOKUP(MONTH(D616),Listas!$C$2:$D$14,2,0))</f>
        <v/>
      </c>
      <c r="R616" s="36" t="str">
        <f t="shared" si="22"/>
        <v/>
      </c>
      <c r="S616" s="37" t="str">
        <f t="shared" si="23"/>
        <v/>
      </c>
      <c r="T616" s="37" t="str">
        <f t="shared" si="24"/>
        <v/>
      </c>
      <c r="U616" s="37" t="str">
        <f t="shared" si="25"/>
        <v/>
      </c>
      <c r="V616" s="37" t="str">
        <f t="shared" si="26"/>
        <v/>
      </c>
      <c r="W616" s="37" t="str">
        <f t="shared" si="27"/>
        <v/>
      </c>
      <c r="X616" s="37" t="str">
        <f t="shared" si="28"/>
        <v/>
      </c>
      <c r="Y616" s="37" t="str">
        <f t="shared" si="29"/>
        <v/>
      </c>
      <c r="Z616" s="38" t="str">
        <f t="shared" si="30"/>
        <v/>
      </c>
      <c r="AA616" s="39" t="str">
        <f t="shared" si="31"/>
        <v/>
      </c>
    </row>
    <row r="617" ht="15.75" customHeight="1">
      <c r="B617" s="1"/>
      <c r="C617" s="28"/>
      <c r="D617" s="79"/>
      <c r="E617" s="1"/>
      <c r="F617" s="76"/>
      <c r="G617" s="1"/>
      <c r="H617" s="1"/>
      <c r="J617" s="77"/>
      <c r="K617" s="80"/>
      <c r="L617" s="80"/>
      <c r="M617" s="80"/>
      <c r="N617" s="80"/>
      <c r="O617" s="80"/>
      <c r="P617" s="81"/>
      <c r="Q617" s="35" t="str">
        <f>IF(D617="","",VLOOKUP(MONTH(D617),Listas!$C$2:$D$14,2,0))</f>
        <v/>
      </c>
      <c r="R617" s="36" t="str">
        <f t="shared" si="22"/>
        <v/>
      </c>
      <c r="S617" s="37" t="str">
        <f t="shared" si="23"/>
        <v/>
      </c>
      <c r="T617" s="37" t="str">
        <f t="shared" si="24"/>
        <v/>
      </c>
      <c r="U617" s="37" t="str">
        <f t="shared" si="25"/>
        <v/>
      </c>
      <c r="V617" s="37" t="str">
        <f t="shared" si="26"/>
        <v/>
      </c>
      <c r="W617" s="37" t="str">
        <f t="shared" si="27"/>
        <v/>
      </c>
      <c r="X617" s="37" t="str">
        <f t="shared" si="28"/>
        <v/>
      </c>
      <c r="Y617" s="37" t="str">
        <f t="shared" si="29"/>
        <v/>
      </c>
      <c r="Z617" s="38" t="str">
        <f t="shared" si="30"/>
        <v/>
      </c>
      <c r="AA617" s="39" t="str">
        <f t="shared" si="31"/>
        <v/>
      </c>
    </row>
    <row r="618" ht="15.75" customHeight="1">
      <c r="B618" s="1"/>
      <c r="C618" s="28"/>
      <c r="D618" s="79"/>
      <c r="E618" s="1"/>
      <c r="F618" s="76"/>
      <c r="G618" s="1"/>
      <c r="H618" s="1"/>
      <c r="J618" s="77"/>
      <c r="K618" s="80"/>
      <c r="L618" s="80"/>
      <c r="M618" s="80"/>
      <c r="N618" s="80"/>
      <c r="O618" s="80"/>
      <c r="P618" s="81"/>
      <c r="Q618" s="35" t="str">
        <f>IF(D618="","",VLOOKUP(MONTH(D618),Listas!$C$2:$D$14,2,0))</f>
        <v/>
      </c>
      <c r="R618" s="36" t="str">
        <f t="shared" si="22"/>
        <v/>
      </c>
      <c r="S618" s="37" t="str">
        <f t="shared" si="23"/>
        <v/>
      </c>
      <c r="T618" s="37" t="str">
        <f t="shared" si="24"/>
        <v/>
      </c>
      <c r="U618" s="37" t="str">
        <f t="shared" si="25"/>
        <v/>
      </c>
      <c r="V618" s="37" t="str">
        <f t="shared" si="26"/>
        <v/>
      </c>
      <c r="W618" s="37" t="str">
        <f t="shared" si="27"/>
        <v/>
      </c>
      <c r="X618" s="37" t="str">
        <f t="shared" si="28"/>
        <v/>
      </c>
      <c r="Y618" s="37" t="str">
        <f t="shared" si="29"/>
        <v/>
      </c>
      <c r="Z618" s="38" t="str">
        <f t="shared" si="30"/>
        <v/>
      </c>
      <c r="AA618" s="39" t="str">
        <f t="shared" si="31"/>
        <v/>
      </c>
    </row>
    <row r="619" ht="15.75" customHeight="1">
      <c r="B619" s="1"/>
      <c r="C619" s="28"/>
      <c r="D619" s="79"/>
      <c r="E619" s="1"/>
      <c r="F619" s="76"/>
      <c r="G619" s="1"/>
      <c r="H619" s="1"/>
      <c r="J619" s="77"/>
      <c r="K619" s="80"/>
      <c r="L619" s="80"/>
      <c r="M619" s="80"/>
      <c r="N619" s="80"/>
      <c r="O619" s="80"/>
      <c r="P619" s="81"/>
      <c r="Q619" s="35" t="str">
        <f>IF(D619="","",VLOOKUP(MONTH(D619),Listas!$C$2:$D$14,2,0))</f>
        <v/>
      </c>
      <c r="R619" s="36" t="str">
        <f t="shared" si="22"/>
        <v/>
      </c>
      <c r="S619" s="37" t="str">
        <f t="shared" si="23"/>
        <v/>
      </c>
      <c r="T619" s="37" t="str">
        <f t="shared" si="24"/>
        <v/>
      </c>
      <c r="U619" s="37" t="str">
        <f t="shared" si="25"/>
        <v/>
      </c>
      <c r="V619" s="37" t="str">
        <f t="shared" si="26"/>
        <v/>
      </c>
      <c r="W619" s="37" t="str">
        <f t="shared" si="27"/>
        <v/>
      </c>
      <c r="X619" s="37" t="str">
        <f t="shared" si="28"/>
        <v/>
      </c>
      <c r="Y619" s="37" t="str">
        <f t="shared" si="29"/>
        <v/>
      </c>
      <c r="Z619" s="38" t="str">
        <f t="shared" si="30"/>
        <v/>
      </c>
      <c r="AA619" s="39" t="str">
        <f t="shared" si="31"/>
        <v/>
      </c>
    </row>
    <row r="620" ht="15.75" customHeight="1">
      <c r="B620" s="1"/>
      <c r="C620" s="28"/>
      <c r="D620" s="79"/>
      <c r="E620" s="1"/>
      <c r="F620" s="76"/>
      <c r="G620" s="1"/>
      <c r="H620" s="1"/>
      <c r="J620" s="77"/>
      <c r="K620" s="80"/>
      <c r="L620" s="80"/>
      <c r="M620" s="80"/>
      <c r="N620" s="80"/>
      <c r="O620" s="80"/>
      <c r="P620" s="81"/>
      <c r="Q620" s="35" t="str">
        <f>IF(D620="","",VLOOKUP(MONTH(D620),Listas!$C$2:$D$14,2,0))</f>
        <v/>
      </c>
      <c r="R620" s="36" t="str">
        <f t="shared" si="22"/>
        <v/>
      </c>
      <c r="S620" s="37" t="str">
        <f t="shared" si="23"/>
        <v/>
      </c>
      <c r="T620" s="37" t="str">
        <f t="shared" si="24"/>
        <v/>
      </c>
      <c r="U620" s="37" t="str">
        <f t="shared" si="25"/>
        <v/>
      </c>
      <c r="V620" s="37" t="str">
        <f t="shared" si="26"/>
        <v/>
      </c>
      <c r="W620" s="37" t="str">
        <f t="shared" si="27"/>
        <v/>
      </c>
      <c r="X620" s="37" t="str">
        <f t="shared" si="28"/>
        <v/>
      </c>
      <c r="Y620" s="37" t="str">
        <f t="shared" si="29"/>
        <v/>
      </c>
      <c r="Z620" s="38" t="str">
        <f t="shared" si="30"/>
        <v/>
      </c>
      <c r="AA620" s="39" t="str">
        <f t="shared" si="31"/>
        <v/>
      </c>
    </row>
    <row r="621" ht="15.75" customHeight="1">
      <c r="B621" s="1"/>
      <c r="C621" s="28"/>
      <c r="D621" s="79"/>
      <c r="E621" s="1"/>
      <c r="F621" s="76"/>
      <c r="G621" s="1"/>
      <c r="H621" s="1"/>
      <c r="J621" s="77"/>
      <c r="K621" s="80"/>
      <c r="L621" s="80"/>
      <c r="M621" s="80"/>
      <c r="N621" s="80"/>
      <c r="O621" s="80"/>
      <c r="P621" s="81"/>
      <c r="Q621" s="35" t="str">
        <f>IF(D621="","",VLOOKUP(MONTH(D621),Listas!$C$2:$D$14,2,0))</f>
        <v/>
      </c>
      <c r="R621" s="36" t="str">
        <f t="shared" si="22"/>
        <v/>
      </c>
      <c r="S621" s="37" t="str">
        <f t="shared" si="23"/>
        <v/>
      </c>
      <c r="T621" s="37" t="str">
        <f t="shared" si="24"/>
        <v/>
      </c>
      <c r="U621" s="37" t="str">
        <f t="shared" si="25"/>
        <v/>
      </c>
      <c r="V621" s="37" t="str">
        <f t="shared" si="26"/>
        <v/>
      </c>
      <c r="W621" s="37" t="str">
        <f t="shared" si="27"/>
        <v/>
      </c>
      <c r="X621" s="37" t="str">
        <f t="shared" si="28"/>
        <v/>
      </c>
      <c r="Y621" s="37" t="str">
        <f t="shared" si="29"/>
        <v/>
      </c>
      <c r="Z621" s="38" t="str">
        <f t="shared" si="30"/>
        <v/>
      </c>
      <c r="AA621" s="39" t="str">
        <f t="shared" si="31"/>
        <v/>
      </c>
    </row>
    <row r="622" ht="15.75" customHeight="1">
      <c r="B622" s="1"/>
      <c r="C622" s="28"/>
      <c r="D622" s="79"/>
      <c r="E622" s="1"/>
      <c r="F622" s="76"/>
      <c r="G622" s="1"/>
      <c r="H622" s="1"/>
      <c r="J622" s="77"/>
      <c r="K622" s="80"/>
      <c r="L622" s="80"/>
      <c r="M622" s="80"/>
      <c r="N622" s="80"/>
      <c r="O622" s="80"/>
      <c r="P622" s="81"/>
      <c r="Q622" s="35" t="str">
        <f>IF(D622="","",VLOOKUP(MONTH(D622),Listas!$C$2:$D$14,2,0))</f>
        <v/>
      </c>
      <c r="R622" s="36" t="str">
        <f t="shared" si="22"/>
        <v/>
      </c>
      <c r="S622" s="37" t="str">
        <f t="shared" si="23"/>
        <v/>
      </c>
      <c r="T622" s="37" t="str">
        <f t="shared" si="24"/>
        <v/>
      </c>
      <c r="U622" s="37" t="str">
        <f t="shared" si="25"/>
        <v/>
      </c>
      <c r="V622" s="37" t="str">
        <f t="shared" si="26"/>
        <v/>
      </c>
      <c r="W622" s="37" t="str">
        <f t="shared" si="27"/>
        <v/>
      </c>
      <c r="X622" s="37" t="str">
        <f t="shared" si="28"/>
        <v/>
      </c>
      <c r="Y622" s="37" t="str">
        <f t="shared" si="29"/>
        <v/>
      </c>
      <c r="Z622" s="38" t="str">
        <f t="shared" si="30"/>
        <v/>
      </c>
      <c r="AA622" s="39" t="str">
        <f t="shared" si="31"/>
        <v/>
      </c>
    </row>
    <row r="623" ht="15.75" customHeight="1">
      <c r="B623" s="1"/>
      <c r="C623" s="28"/>
      <c r="D623" s="79"/>
      <c r="E623" s="1"/>
      <c r="F623" s="76"/>
      <c r="G623" s="1"/>
      <c r="H623" s="1"/>
      <c r="J623" s="77"/>
      <c r="K623" s="80"/>
      <c r="L623" s="80"/>
      <c r="M623" s="80"/>
      <c r="N623" s="80"/>
      <c r="O623" s="80"/>
      <c r="P623" s="81"/>
      <c r="Q623" s="35" t="str">
        <f>IF(D623="","",VLOOKUP(MONTH(D623),Listas!$C$2:$D$14,2,0))</f>
        <v/>
      </c>
      <c r="R623" s="36" t="str">
        <f t="shared" si="22"/>
        <v/>
      </c>
      <c r="S623" s="37" t="str">
        <f t="shared" si="23"/>
        <v/>
      </c>
      <c r="T623" s="37" t="str">
        <f t="shared" si="24"/>
        <v/>
      </c>
      <c r="U623" s="37" t="str">
        <f t="shared" si="25"/>
        <v/>
      </c>
      <c r="V623" s="37" t="str">
        <f t="shared" si="26"/>
        <v/>
      </c>
      <c r="W623" s="37" t="str">
        <f t="shared" si="27"/>
        <v/>
      </c>
      <c r="X623" s="37" t="str">
        <f t="shared" si="28"/>
        <v/>
      </c>
      <c r="Y623" s="37" t="str">
        <f t="shared" si="29"/>
        <v/>
      </c>
      <c r="Z623" s="38" t="str">
        <f t="shared" si="30"/>
        <v/>
      </c>
      <c r="AA623" s="39" t="str">
        <f t="shared" si="31"/>
        <v/>
      </c>
    </row>
    <row r="624" ht="15.75" customHeight="1">
      <c r="B624" s="1"/>
      <c r="C624" s="28"/>
      <c r="D624" s="79"/>
      <c r="E624" s="1"/>
      <c r="F624" s="76"/>
      <c r="G624" s="1"/>
      <c r="H624" s="1"/>
      <c r="J624" s="77"/>
      <c r="K624" s="80"/>
      <c r="L624" s="80"/>
      <c r="M624" s="80"/>
      <c r="N624" s="80"/>
      <c r="O624" s="80"/>
      <c r="P624" s="81"/>
      <c r="Q624" s="35" t="str">
        <f>IF(D624="","",VLOOKUP(MONTH(D624),Listas!$C$2:$D$14,2,0))</f>
        <v/>
      </c>
      <c r="R624" s="36" t="str">
        <f t="shared" si="22"/>
        <v/>
      </c>
      <c r="S624" s="37" t="str">
        <f t="shared" si="23"/>
        <v/>
      </c>
      <c r="T624" s="37" t="str">
        <f t="shared" si="24"/>
        <v/>
      </c>
      <c r="U624" s="37" t="str">
        <f t="shared" si="25"/>
        <v/>
      </c>
      <c r="V624" s="37" t="str">
        <f t="shared" si="26"/>
        <v/>
      </c>
      <c r="W624" s="37" t="str">
        <f t="shared" si="27"/>
        <v/>
      </c>
      <c r="X624" s="37" t="str">
        <f t="shared" si="28"/>
        <v/>
      </c>
      <c r="Y624" s="37" t="str">
        <f t="shared" si="29"/>
        <v/>
      </c>
      <c r="Z624" s="38" t="str">
        <f t="shared" si="30"/>
        <v/>
      </c>
      <c r="AA624" s="39" t="str">
        <f t="shared" si="31"/>
        <v/>
      </c>
    </row>
    <row r="625" ht="15.75" customHeight="1">
      <c r="B625" s="1"/>
      <c r="C625" s="28"/>
      <c r="D625" s="79"/>
      <c r="E625" s="1"/>
      <c r="F625" s="76"/>
      <c r="G625" s="1"/>
      <c r="H625" s="1"/>
      <c r="J625" s="77"/>
      <c r="K625" s="80"/>
      <c r="L625" s="80"/>
      <c r="M625" s="80"/>
      <c r="N625" s="80"/>
      <c r="O625" s="80"/>
      <c r="P625" s="81"/>
      <c r="Q625" s="35" t="str">
        <f>IF(D625="","",VLOOKUP(MONTH(D625),Listas!$C$2:$D$14,2,0))</f>
        <v/>
      </c>
      <c r="R625" s="36" t="str">
        <f t="shared" si="22"/>
        <v/>
      </c>
      <c r="S625" s="37" t="str">
        <f t="shared" si="23"/>
        <v/>
      </c>
      <c r="T625" s="37" t="str">
        <f t="shared" si="24"/>
        <v/>
      </c>
      <c r="U625" s="37" t="str">
        <f t="shared" si="25"/>
        <v/>
      </c>
      <c r="V625" s="37" t="str">
        <f t="shared" si="26"/>
        <v/>
      </c>
      <c r="W625" s="37" t="str">
        <f t="shared" si="27"/>
        <v/>
      </c>
      <c r="X625" s="37" t="str">
        <f t="shared" si="28"/>
        <v/>
      </c>
      <c r="Y625" s="37" t="str">
        <f t="shared" si="29"/>
        <v/>
      </c>
      <c r="Z625" s="38" t="str">
        <f t="shared" si="30"/>
        <v/>
      </c>
      <c r="AA625" s="39" t="str">
        <f t="shared" si="31"/>
        <v/>
      </c>
    </row>
    <row r="626" ht="15.75" customHeight="1">
      <c r="B626" s="1"/>
      <c r="C626" s="28"/>
      <c r="D626" s="79"/>
      <c r="E626" s="1"/>
      <c r="F626" s="76"/>
      <c r="G626" s="1"/>
      <c r="H626" s="1"/>
      <c r="J626" s="77"/>
      <c r="K626" s="80"/>
      <c r="L626" s="80"/>
      <c r="M626" s="80"/>
      <c r="N626" s="80"/>
      <c r="O626" s="80"/>
      <c r="P626" s="81"/>
      <c r="Q626" s="35" t="str">
        <f>IF(D626="","",VLOOKUP(MONTH(D626),Listas!$C$2:$D$14,2,0))</f>
        <v/>
      </c>
      <c r="R626" s="36" t="str">
        <f t="shared" si="22"/>
        <v/>
      </c>
      <c r="S626" s="37" t="str">
        <f t="shared" si="23"/>
        <v/>
      </c>
      <c r="T626" s="37" t="str">
        <f t="shared" si="24"/>
        <v/>
      </c>
      <c r="U626" s="37" t="str">
        <f t="shared" si="25"/>
        <v/>
      </c>
      <c r="V626" s="37" t="str">
        <f t="shared" si="26"/>
        <v/>
      </c>
      <c r="W626" s="37" t="str">
        <f t="shared" si="27"/>
        <v/>
      </c>
      <c r="X626" s="37" t="str">
        <f t="shared" si="28"/>
        <v/>
      </c>
      <c r="Y626" s="37" t="str">
        <f t="shared" si="29"/>
        <v/>
      </c>
      <c r="Z626" s="38" t="str">
        <f t="shared" si="30"/>
        <v/>
      </c>
      <c r="AA626" s="39" t="str">
        <f t="shared" si="31"/>
        <v/>
      </c>
    </row>
    <row r="627" ht="15.75" customHeight="1">
      <c r="B627" s="1"/>
      <c r="C627" s="28"/>
      <c r="D627" s="79"/>
      <c r="E627" s="1"/>
      <c r="F627" s="76"/>
      <c r="G627" s="1"/>
      <c r="H627" s="1"/>
      <c r="J627" s="77"/>
      <c r="K627" s="80"/>
      <c r="L627" s="80"/>
      <c r="M627" s="80"/>
      <c r="N627" s="80"/>
      <c r="O627" s="80"/>
      <c r="P627" s="81"/>
      <c r="Q627" s="35" t="str">
        <f>IF(D627="","",VLOOKUP(MONTH(D627),Listas!$C$2:$D$14,2,0))</f>
        <v/>
      </c>
      <c r="R627" s="36" t="str">
        <f t="shared" si="22"/>
        <v/>
      </c>
      <c r="S627" s="37" t="str">
        <f t="shared" si="23"/>
        <v/>
      </c>
      <c r="T627" s="37" t="str">
        <f t="shared" si="24"/>
        <v/>
      </c>
      <c r="U627" s="37" t="str">
        <f t="shared" si="25"/>
        <v/>
      </c>
      <c r="V627" s="37" t="str">
        <f t="shared" si="26"/>
        <v/>
      </c>
      <c r="W627" s="37" t="str">
        <f t="shared" si="27"/>
        <v/>
      </c>
      <c r="X627" s="37" t="str">
        <f t="shared" si="28"/>
        <v/>
      </c>
      <c r="Y627" s="37" t="str">
        <f t="shared" si="29"/>
        <v/>
      </c>
      <c r="Z627" s="38" t="str">
        <f t="shared" si="30"/>
        <v/>
      </c>
      <c r="AA627" s="39" t="str">
        <f t="shared" si="31"/>
        <v/>
      </c>
    </row>
    <row r="628" ht="15.75" customHeight="1">
      <c r="B628" s="1"/>
      <c r="C628" s="28"/>
      <c r="D628" s="79"/>
      <c r="E628" s="1"/>
      <c r="F628" s="76"/>
      <c r="G628" s="1"/>
      <c r="H628" s="1"/>
      <c r="J628" s="77"/>
      <c r="K628" s="80"/>
      <c r="L628" s="80"/>
      <c r="M628" s="80"/>
      <c r="N628" s="80"/>
      <c r="O628" s="80"/>
      <c r="P628" s="81"/>
      <c r="Q628" s="35" t="str">
        <f>IF(D628="","",VLOOKUP(MONTH(D628),Listas!$C$2:$D$14,2,0))</f>
        <v/>
      </c>
      <c r="R628" s="36" t="str">
        <f t="shared" si="22"/>
        <v/>
      </c>
      <c r="S628" s="37" t="str">
        <f t="shared" si="23"/>
        <v/>
      </c>
      <c r="T628" s="37" t="str">
        <f t="shared" si="24"/>
        <v/>
      </c>
      <c r="U628" s="37" t="str">
        <f t="shared" si="25"/>
        <v/>
      </c>
      <c r="V628" s="37" t="str">
        <f t="shared" si="26"/>
        <v/>
      </c>
      <c r="W628" s="37" t="str">
        <f t="shared" si="27"/>
        <v/>
      </c>
      <c r="X628" s="37" t="str">
        <f t="shared" si="28"/>
        <v/>
      </c>
      <c r="Y628" s="37" t="str">
        <f t="shared" si="29"/>
        <v/>
      </c>
      <c r="Z628" s="38" t="str">
        <f t="shared" si="30"/>
        <v/>
      </c>
      <c r="AA628" s="39" t="str">
        <f t="shared" si="31"/>
        <v/>
      </c>
    </row>
    <row r="629" ht="15.75" customHeight="1">
      <c r="B629" s="1"/>
      <c r="C629" s="28"/>
      <c r="D629" s="79"/>
      <c r="E629" s="1"/>
      <c r="F629" s="76"/>
      <c r="G629" s="1"/>
      <c r="H629" s="1"/>
      <c r="J629" s="77"/>
      <c r="K629" s="80"/>
      <c r="L629" s="80"/>
      <c r="M629" s="80"/>
      <c r="N629" s="80"/>
      <c r="O629" s="80"/>
      <c r="P629" s="81"/>
      <c r="Q629" s="35" t="str">
        <f>IF(D629="","",VLOOKUP(MONTH(D629),Listas!$C$2:$D$14,2,0))</f>
        <v/>
      </c>
      <c r="R629" s="36" t="str">
        <f t="shared" si="22"/>
        <v/>
      </c>
      <c r="S629" s="37" t="str">
        <f t="shared" si="23"/>
        <v/>
      </c>
      <c r="T629" s="37" t="str">
        <f t="shared" si="24"/>
        <v/>
      </c>
      <c r="U629" s="37" t="str">
        <f t="shared" si="25"/>
        <v/>
      </c>
      <c r="V629" s="37" t="str">
        <f t="shared" si="26"/>
        <v/>
      </c>
      <c r="W629" s="37" t="str">
        <f t="shared" si="27"/>
        <v/>
      </c>
      <c r="X629" s="37" t="str">
        <f t="shared" si="28"/>
        <v/>
      </c>
      <c r="Y629" s="37" t="str">
        <f t="shared" si="29"/>
        <v/>
      </c>
      <c r="Z629" s="38" t="str">
        <f t="shared" si="30"/>
        <v/>
      </c>
      <c r="AA629" s="39" t="str">
        <f t="shared" si="31"/>
        <v/>
      </c>
    </row>
    <row r="630" ht="15.75" customHeight="1">
      <c r="B630" s="1"/>
      <c r="C630" s="28"/>
      <c r="D630" s="79"/>
      <c r="E630" s="1"/>
      <c r="F630" s="76"/>
      <c r="G630" s="1"/>
      <c r="H630" s="1"/>
      <c r="J630" s="77"/>
      <c r="K630" s="80"/>
      <c r="L630" s="80"/>
      <c r="M630" s="80"/>
      <c r="N630" s="80"/>
      <c r="O630" s="80"/>
      <c r="P630" s="81"/>
      <c r="Q630" s="35" t="str">
        <f>IF(D630="","",VLOOKUP(MONTH(D630),Listas!$C$2:$D$14,2,0))</f>
        <v/>
      </c>
      <c r="R630" s="36" t="str">
        <f t="shared" si="22"/>
        <v/>
      </c>
      <c r="S630" s="37" t="str">
        <f t="shared" si="23"/>
        <v/>
      </c>
      <c r="T630" s="37" t="str">
        <f t="shared" si="24"/>
        <v/>
      </c>
      <c r="U630" s="37" t="str">
        <f t="shared" si="25"/>
        <v/>
      </c>
      <c r="V630" s="37" t="str">
        <f t="shared" si="26"/>
        <v/>
      </c>
      <c r="W630" s="37" t="str">
        <f t="shared" si="27"/>
        <v/>
      </c>
      <c r="X630" s="37" t="str">
        <f t="shared" si="28"/>
        <v/>
      </c>
      <c r="Y630" s="37" t="str">
        <f t="shared" si="29"/>
        <v/>
      </c>
      <c r="Z630" s="38" t="str">
        <f t="shared" si="30"/>
        <v/>
      </c>
      <c r="AA630" s="39" t="str">
        <f t="shared" si="31"/>
        <v/>
      </c>
    </row>
    <row r="631" ht="15.75" customHeight="1">
      <c r="B631" s="1"/>
      <c r="C631" s="28"/>
      <c r="D631" s="79"/>
      <c r="E631" s="1"/>
      <c r="F631" s="76"/>
      <c r="G631" s="1"/>
      <c r="H631" s="1"/>
      <c r="J631" s="77"/>
      <c r="K631" s="80"/>
      <c r="L631" s="80"/>
      <c r="M631" s="80"/>
      <c r="N631" s="80"/>
      <c r="O631" s="80"/>
      <c r="P631" s="81"/>
      <c r="Q631" s="35" t="str">
        <f>IF(D631="","",VLOOKUP(MONTH(D631),Listas!$C$2:$D$14,2,0))</f>
        <v/>
      </c>
      <c r="R631" s="36" t="str">
        <f t="shared" si="22"/>
        <v/>
      </c>
      <c r="S631" s="37" t="str">
        <f t="shared" si="23"/>
        <v/>
      </c>
      <c r="T631" s="37" t="str">
        <f t="shared" si="24"/>
        <v/>
      </c>
      <c r="U631" s="37" t="str">
        <f t="shared" si="25"/>
        <v/>
      </c>
      <c r="V631" s="37" t="str">
        <f t="shared" si="26"/>
        <v/>
      </c>
      <c r="W631" s="37" t="str">
        <f t="shared" si="27"/>
        <v/>
      </c>
      <c r="X631" s="37" t="str">
        <f t="shared" si="28"/>
        <v/>
      </c>
      <c r="Y631" s="37" t="str">
        <f t="shared" si="29"/>
        <v/>
      </c>
      <c r="Z631" s="38" t="str">
        <f t="shared" si="30"/>
        <v/>
      </c>
      <c r="AA631" s="39" t="str">
        <f t="shared" si="31"/>
        <v/>
      </c>
    </row>
    <row r="632" ht="15.75" customHeight="1">
      <c r="B632" s="1"/>
      <c r="C632" s="28"/>
      <c r="D632" s="79"/>
      <c r="E632" s="1"/>
      <c r="F632" s="76"/>
      <c r="G632" s="1"/>
      <c r="H632" s="1"/>
      <c r="J632" s="77"/>
      <c r="K632" s="80"/>
      <c r="L632" s="80"/>
      <c r="M632" s="80"/>
      <c r="N632" s="80"/>
      <c r="O632" s="80"/>
      <c r="P632" s="81"/>
      <c r="Q632" s="35" t="str">
        <f>IF(D632="","",VLOOKUP(MONTH(D632),Listas!$C$2:$D$14,2,0))</f>
        <v/>
      </c>
      <c r="R632" s="36" t="str">
        <f t="shared" si="22"/>
        <v/>
      </c>
      <c r="S632" s="37" t="str">
        <f t="shared" si="23"/>
        <v/>
      </c>
      <c r="T632" s="37" t="str">
        <f t="shared" si="24"/>
        <v/>
      </c>
      <c r="U632" s="37" t="str">
        <f t="shared" si="25"/>
        <v/>
      </c>
      <c r="V632" s="37" t="str">
        <f t="shared" si="26"/>
        <v/>
      </c>
      <c r="W632" s="37" t="str">
        <f t="shared" si="27"/>
        <v/>
      </c>
      <c r="X632" s="37" t="str">
        <f t="shared" si="28"/>
        <v/>
      </c>
      <c r="Y632" s="37" t="str">
        <f t="shared" si="29"/>
        <v/>
      </c>
      <c r="Z632" s="38" t="str">
        <f t="shared" si="30"/>
        <v/>
      </c>
      <c r="AA632" s="39" t="str">
        <f t="shared" si="31"/>
        <v/>
      </c>
    </row>
    <row r="633" ht="15.75" customHeight="1">
      <c r="B633" s="1"/>
      <c r="C633" s="28"/>
      <c r="D633" s="79"/>
      <c r="E633" s="1"/>
      <c r="F633" s="76"/>
      <c r="G633" s="1"/>
      <c r="H633" s="1"/>
      <c r="J633" s="77"/>
      <c r="K633" s="80"/>
      <c r="L633" s="80"/>
      <c r="M633" s="80"/>
      <c r="N633" s="80"/>
      <c r="O633" s="80"/>
      <c r="P633" s="81"/>
      <c r="Q633" s="35" t="str">
        <f>IF(D633="","",VLOOKUP(MONTH(D633),Listas!$C$2:$D$14,2,0))</f>
        <v/>
      </c>
      <c r="R633" s="36" t="str">
        <f t="shared" si="22"/>
        <v/>
      </c>
      <c r="S633" s="37" t="str">
        <f t="shared" si="23"/>
        <v/>
      </c>
      <c r="T633" s="37" t="str">
        <f t="shared" si="24"/>
        <v/>
      </c>
      <c r="U633" s="37" t="str">
        <f t="shared" si="25"/>
        <v/>
      </c>
      <c r="V633" s="37" t="str">
        <f t="shared" si="26"/>
        <v/>
      </c>
      <c r="W633" s="37" t="str">
        <f t="shared" si="27"/>
        <v/>
      </c>
      <c r="X633" s="37" t="str">
        <f t="shared" si="28"/>
        <v/>
      </c>
      <c r="Y633" s="37" t="str">
        <f t="shared" si="29"/>
        <v/>
      </c>
      <c r="Z633" s="38" t="str">
        <f t="shared" si="30"/>
        <v/>
      </c>
      <c r="AA633" s="39" t="str">
        <f t="shared" si="31"/>
        <v/>
      </c>
    </row>
    <row r="634" ht="15.75" customHeight="1">
      <c r="B634" s="1"/>
      <c r="C634" s="28"/>
      <c r="D634" s="79"/>
      <c r="E634" s="1"/>
      <c r="F634" s="76"/>
      <c r="G634" s="1"/>
      <c r="H634" s="1"/>
      <c r="J634" s="77"/>
      <c r="K634" s="80"/>
      <c r="L634" s="80"/>
      <c r="M634" s="80"/>
      <c r="N634" s="80"/>
      <c r="O634" s="80"/>
      <c r="P634" s="81"/>
      <c r="Q634" s="35" t="str">
        <f>IF(D634="","",VLOOKUP(MONTH(D634),Listas!$C$2:$D$14,2,0))</f>
        <v/>
      </c>
      <c r="R634" s="36" t="str">
        <f t="shared" si="22"/>
        <v/>
      </c>
      <c r="S634" s="37" t="str">
        <f t="shared" si="23"/>
        <v/>
      </c>
      <c r="T634" s="37" t="str">
        <f t="shared" si="24"/>
        <v/>
      </c>
      <c r="U634" s="37" t="str">
        <f t="shared" si="25"/>
        <v/>
      </c>
      <c r="V634" s="37" t="str">
        <f t="shared" si="26"/>
        <v/>
      </c>
      <c r="W634" s="37" t="str">
        <f t="shared" si="27"/>
        <v/>
      </c>
      <c r="X634" s="37" t="str">
        <f t="shared" si="28"/>
        <v/>
      </c>
      <c r="Y634" s="37" t="str">
        <f t="shared" si="29"/>
        <v/>
      </c>
      <c r="Z634" s="38" t="str">
        <f t="shared" si="30"/>
        <v/>
      </c>
      <c r="AA634" s="39" t="str">
        <f t="shared" si="31"/>
        <v/>
      </c>
    </row>
    <row r="635" ht="15.75" customHeight="1">
      <c r="B635" s="1"/>
      <c r="C635" s="28"/>
      <c r="D635" s="79"/>
      <c r="E635" s="1"/>
      <c r="F635" s="76"/>
      <c r="G635" s="1"/>
      <c r="H635" s="1"/>
      <c r="J635" s="77"/>
      <c r="K635" s="80"/>
      <c r="L635" s="80"/>
      <c r="M635" s="80"/>
      <c r="N635" s="80"/>
      <c r="O635" s="80"/>
      <c r="P635" s="81"/>
      <c r="Q635" s="35" t="str">
        <f>IF(D635="","",VLOOKUP(MONTH(D635),Listas!$C$2:$D$14,2,0))</f>
        <v/>
      </c>
      <c r="R635" s="36" t="str">
        <f t="shared" si="22"/>
        <v/>
      </c>
      <c r="S635" s="37" t="str">
        <f t="shared" si="23"/>
        <v/>
      </c>
      <c r="T635" s="37" t="str">
        <f t="shared" si="24"/>
        <v/>
      </c>
      <c r="U635" s="37" t="str">
        <f t="shared" si="25"/>
        <v/>
      </c>
      <c r="V635" s="37" t="str">
        <f t="shared" si="26"/>
        <v/>
      </c>
      <c r="W635" s="37" t="str">
        <f t="shared" si="27"/>
        <v/>
      </c>
      <c r="X635" s="37" t="str">
        <f t="shared" si="28"/>
        <v/>
      </c>
      <c r="Y635" s="37" t="str">
        <f t="shared" si="29"/>
        <v/>
      </c>
      <c r="Z635" s="38" t="str">
        <f t="shared" si="30"/>
        <v/>
      </c>
      <c r="AA635" s="39" t="str">
        <f t="shared" si="31"/>
        <v/>
      </c>
    </row>
    <row r="636" ht="15.75" customHeight="1">
      <c r="B636" s="1"/>
      <c r="C636" s="28"/>
      <c r="D636" s="79"/>
      <c r="E636" s="1"/>
      <c r="F636" s="76"/>
      <c r="G636" s="1"/>
      <c r="H636" s="1"/>
      <c r="J636" s="77"/>
      <c r="K636" s="80"/>
      <c r="L636" s="80"/>
      <c r="M636" s="80"/>
      <c r="N636" s="80"/>
      <c r="O636" s="80"/>
      <c r="P636" s="81"/>
      <c r="Q636" s="35" t="str">
        <f>IF(D636="","",VLOOKUP(MONTH(D636),Listas!$C$2:$D$14,2,0))</f>
        <v/>
      </c>
      <c r="R636" s="36" t="str">
        <f t="shared" si="22"/>
        <v/>
      </c>
      <c r="S636" s="37" t="str">
        <f t="shared" si="23"/>
        <v/>
      </c>
      <c r="T636" s="37" t="str">
        <f t="shared" si="24"/>
        <v/>
      </c>
      <c r="U636" s="37" t="str">
        <f t="shared" si="25"/>
        <v/>
      </c>
      <c r="V636" s="37" t="str">
        <f t="shared" si="26"/>
        <v/>
      </c>
      <c r="W636" s="37" t="str">
        <f t="shared" si="27"/>
        <v/>
      </c>
      <c r="X636" s="37" t="str">
        <f t="shared" si="28"/>
        <v/>
      </c>
      <c r="Y636" s="37" t="str">
        <f t="shared" si="29"/>
        <v/>
      </c>
      <c r="Z636" s="38" t="str">
        <f t="shared" si="30"/>
        <v/>
      </c>
      <c r="AA636" s="39" t="str">
        <f t="shared" si="31"/>
        <v/>
      </c>
    </row>
    <row r="637" ht="15.75" customHeight="1">
      <c r="B637" s="1"/>
      <c r="C637" s="28"/>
      <c r="D637" s="79"/>
      <c r="E637" s="1"/>
      <c r="F637" s="76"/>
      <c r="G637" s="1"/>
      <c r="H637" s="1"/>
      <c r="J637" s="77"/>
      <c r="K637" s="80"/>
      <c r="L637" s="80"/>
      <c r="M637" s="80"/>
      <c r="N637" s="80"/>
      <c r="O637" s="80"/>
      <c r="P637" s="81"/>
      <c r="Q637" s="35" t="str">
        <f>IF(D637="","",VLOOKUP(MONTH(D637),Listas!$C$2:$D$14,2,0))</f>
        <v/>
      </c>
      <c r="R637" s="36" t="str">
        <f t="shared" si="22"/>
        <v/>
      </c>
      <c r="S637" s="37" t="str">
        <f t="shared" si="23"/>
        <v/>
      </c>
      <c r="T637" s="37" t="str">
        <f t="shared" si="24"/>
        <v/>
      </c>
      <c r="U637" s="37" t="str">
        <f t="shared" si="25"/>
        <v/>
      </c>
      <c r="V637" s="37" t="str">
        <f t="shared" si="26"/>
        <v/>
      </c>
      <c r="W637" s="37" t="str">
        <f t="shared" si="27"/>
        <v/>
      </c>
      <c r="X637" s="37" t="str">
        <f t="shared" si="28"/>
        <v/>
      </c>
      <c r="Y637" s="37" t="str">
        <f t="shared" si="29"/>
        <v/>
      </c>
      <c r="Z637" s="38" t="str">
        <f t="shared" si="30"/>
        <v/>
      </c>
      <c r="AA637" s="39" t="str">
        <f t="shared" si="31"/>
        <v/>
      </c>
    </row>
    <row r="638" ht="15.75" customHeight="1">
      <c r="B638" s="1"/>
      <c r="C638" s="28"/>
      <c r="D638" s="79"/>
      <c r="E638" s="1"/>
      <c r="F638" s="76"/>
      <c r="G638" s="1"/>
      <c r="H638" s="1"/>
      <c r="J638" s="77"/>
      <c r="K638" s="80"/>
      <c r="L638" s="80"/>
      <c r="M638" s="80"/>
      <c r="N638" s="80"/>
      <c r="O638" s="80"/>
      <c r="P638" s="81"/>
      <c r="Q638" s="35" t="str">
        <f>IF(D638="","",VLOOKUP(MONTH(D638),Listas!$C$2:$D$14,2,0))</f>
        <v/>
      </c>
      <c r="R638" s="36" t="str">
        <f t="shared" si="22"/>
        <v/>
      </c>
      <c r="S638" s="37" t="str">
        <f t="shared" si="23"/>
        <v/>
      </c>
      <c r="T638" s="37" t="str">
        <f t="shared" si="24"/>
        <v/>
      </c>
      <c r="U638" s="37" t="str">
        <f t="shared" si="25"/>
        <v/>
      </c>
      <c r="V638" s="37" t="str">
        <f t="shared" si="26"/>
        <v/>
      </c>
      <c r="W638" s="37" t="str">
        <f t="shared" si="27"/>
        <v/>
      </c>
      <c r="X638" s="37" t="str">
        <f t="shared" si="28"/>
        <v/>
      </c>
      <c r="Y638" s="37" t="str">
        <f t="shared" si="29"/>
        <v/>
      </c>
      <c r="Z638" s="38" t="str">
        <f t="shared" si="30"/>
        <v/>
      </c>
      <c r="AA638" s="39" t="str">
        <f t="shared" si="31"/>
        <v/>
      </c>
    </row>
    <row r="639" ht="15.75" customHeight="1">
      <c r="B639" s="1"/>
      <c r="C639" s="28"/>
      <c r="D639" s="79"/>
      <c r="E639" s="1"/>
      <c r="F639" s="76"/>
      <c r="G639" s="1"/>
      <c r="H639" s="1"/>
      <c r="J639" s="77"/>
      <c r="K639" s="80"/>
      <c r="L639" s="80"/>
      <c r="M639" s="80"/>
      <c r="N639" s="80"/>
      <c r="O639" s="80"/>
      <c r="P639" s="81"/>
      <c r="Q639" s="35" t="str">
        <f>IF(D639="","",VLOOKUP(MONTH(D639),Listas!$C$2:$D$14,2,0))</f>
        <v/>
      </c>
      <c r="R639" s="36" t="str">
        <f t="shared" si="22"/>
        <v/>
      </c>
      <c r="S639" s="37" t="str">
        <f t="shared" si="23"/>
        <v/>
      </c>
      <c r="T639" s="37" t="str">
        <f t="shared" si="24"/>
        <v/>
      </c>
      <c r="U639" s="37" t="str">
        <f t="shared" si="25"/>
        <v/>
      </c>
      <c r="V639" s="37" t="str">
        <f t="shared" si="26"/>
        <v/>
      </c>
      <c r="W639" s="37" t="str">
        <f t="shared" si="27"/>
        <v/>
      </c>
      <c r="X639" s="37" t="str">
        <f t="shared" si="28"/>
        <v/>
      </c>
      <c r="Y639" s="37" t="str">
        <f t="shared" si="29"/>
        <v/>
      </c>
      <c r="Z639" s="38" t="str">
        <f t="shared" si="30"/>
        <v/>
      </c>
      <c r="AA639" s="39" t="str">
        <f t="shared" si="31"/>
        <v/>
      </c>
    </row>
    <row r="640" ht="15.75" customHeight="1">
      <c r="B640" s="1"/>
      <c r="C640" s="28"/>
      <c r="D640" s="79"/>
      <c r="E640" s="1"/>
      <c r="F640" s="76"/>
      <c r="G640" s="1"/>
      <c r="H640" s="1"/>
      <c r="J640" s="77"/>
      <c r="K640" s="80"/>
      <c r="L640" s="80"/>
      <c r="M640" s="80"/>
      <c r="N640" s="80"/>
      <c r="O640" s="80"/>
      <c r="P640" s="81"/>
      <c r="Q640" s="35" t="str">
        <f>IF(D640="","",VLOOKUP(MONTH(D640),Listas!$C$2:$D$14,2,0))</f>
        <v/>
      </c>
      <c r="R640" s="36" t="str">
        <f t="shared" si="22"/>
        <v/>
      </c>
      <c r="S640" s="37" t="str">
        <f t="shared" si="23"/>
        <v/>
      </c>
      <c r="T640" s="37" t="str">
        <f t="shared" si="24"/>
        <v/>
      </c>
      <c r="U640" s="37" t="str">
        <f t="shared" si="25"/>
        <v/>
      </c>
      <c r="V640" s="37" t="str">
        <f t="shared" si="26"/>
        <v/>
      </c>
      <c r="W640" s="37" t="str">
        <f t="shared" si="27"/>
        <v/>
      </c>
      <c r="X640" s="37" t="str">
        <f t="shared" si="28"/>
        <v/>
      </c>
      <c r="Y640" s="37" t="str">
        <f t="shared" si="29"/>
        <v/>
      </c>
      <c r="Z640" s="38" t="str">
        <f t="shared" si="30"/>
        <v/>
      </c>
      <c r="AA640" s="39" t="str">
        <f t="shared" si="31"/>
        <v/>
      </c>
    </row>
    <row r="641" ht="15.75" customHeight="1">
      <c r="B641" s="1"/>
      <c r="C641" s="28"/>
      <c r="D641" s="79"/>
      <c r="E641" s="1"/>
      <c r="F641" s="76"/>
      <c r="G641" s="1"/>
      <c r="H641" s="1"/>
      <c r="J641" s="77"/>
      <c r="K641" s="80"/>
      <c r="L641" s="80"/>
      <c r="M641" s="80"/>
      <c r="N641" s="80"/>
      <c r="O641" s="80"/>
      <c r="P641" s="81"/>
      <c r="Q641" s="35" t="str">
        <f>IF(D641="","",VLOOKUP(MONTH(D641),Listas!$C$2:$D$14,2,0))</f>
        <v/>
      </c>
      <c r="R641" s="36" t="str">
        <f t="shared" si="22"/>
        <v/>
      </c>
      <c r="S641" s="37" t="str">
        <f t="shared" si="23"/>
        <v/>
      </c>
      <c r="T641" s="37" t="str">
        <f t="shared" si="24"/>
        <v/>
      </c>
      <c r="U641" s="37" t="str">
        <f t="shared" si="25"/>
        <v/>
      </c>
      <c r="V641" s="37" t="str">
        <f t="shared" si="26"/>
        <v/>
      </c>
      <c r="W641" s="37" t="str">
        <f t="shared" si="27"/>
        <v/>
      </c>
      <c r="X641" s="37" t="str">
        <f t="shared" si="28"/>
        <v/>
      </c>
      <c r="Y641" s="37" t="str">
        <f t="shared" si="29"/>
        <v/>
      </c>
      <c r="Z641" s="38" t="str">
        <f t="shared" si="30"/>
        <v/>
      </c>
      <c r="AA641" s="39" t="str">
        <f t="shared" si="31"/>
        <v/>
      </c>
    </row>
    <row r="642" ht="15.75" customHeight="1">
      <c r="B642" s="1"/>
      <c r="C642" s="28"/>
      <c r="D642" s="79"/>
      <c r="E642" s="1"/>
      <c r="F642" s="76"/>
      <c r="G642" s="1"/>
      <c r="H642" s="1"/>
      <c r="J642" s="77"/>
      <c r="K642" s="80"/>
      <c r="L642" s="80"/>
      <c r="M642" s="80"/>
      <c r="N642" s="80"/>
      <c r="O642" s="80"/>
      <c r="P642" s="81"/>
      <c r="Q642" s="35" t="str">
        <f>IF(D642="","",VLOOKUP(MONTH(D642),Listas!$C$2:$D$14,2,0))</f>
        <v/>
      </c>
      <c r="R642" s="36" t="str">
        <f t="shared" si="22"/>
        <v/>
      </c>
      <c r="S642" s="37" t="str">
        <f t="shared" si="23"/>
        <v/>
      </c>
      <c r="T642" s="37" t="str">
        <f t="shared" si="24"/>
        <v/>
      </c>
      <c r="U642" s="37" t="str">
        <f t="shared" si="25"/>
        <v/>
      </c>
      <c r="V642" s="37" t="str">
        <f t="shared" si="26"/>
        <v/>
      </c>
      <c r="W642" s="37" t="str">
        <f t="shared" si="27"/>
        <v/>
      </c>
      <c r="X642" s="37" t="str">
        <f t="shared" si="28"/>
        <v/>
      </c>
      <c r="Y642" s="37" t="str">
        <f t="shared" si="29"/>
        <v/>
      </c>
      <c r="Z642" s="38" t="str">
        <f t="shared" si="30"/>
        <v/>
      </c>
      <c r="AA642" s="39" t="str">
        <f t="shared" si="31"/>
        <v/>
      </c>
    </row>
    <row r="643" ht="15.75" customHeight="1">
      <c r="B643" s="1"/>
      <c r="C643" s="28"/>
      <c r="D643" s="79"/>
      <c r="E643" s="1"/>
      <c r="F643" s="76"/>
      <c r="G643" s="1"/>
      <c r="H643" s="1"/>
      <c r="J643" s="77"/>
      <c r="K643" s="80"/>
      <c r="L643" s="80"/>
      <c r="M643" s="80"/>
      <c r="N643" s="80"/>
      <c r="O643" s="80"/>
      <c r="P643" s="81"/>
      <c r="Q643" s="35" t="str">
        <f>IF(D643="","",VLOOKUP(MONTH(D643),Listas!$C$2:$D$14,2,0))</f>
        <v/>
      </c>
      <c r="R643" s="36" t="str">
        <f t="shared" si="22"/>
        <v/>
      </c>
      <c r="S643" s="37" t="str">
        <f t="shared" si="23"/>
        <v/>
      </c>
      <c r="T643" s="37" t="str">
        <f t="shared" si="24"/>
        <v/>
      </c>
      <c r="U643" s="37" t="str">
        <f t="shared" si="25"/>
        <v/>
      </c>
      <c r="V643" s="37" t="str">
        <f t="shared" si="26"/>
        <v/>
      </c>
      <c r="W643" s="37" t="str">
        <f t="shared" si="27"/>
        <v/>
      </c>
      <c r="X643" s="37" t="str">
        <f t="shared" si="28"/>
        <v/>
      </c>
      <c r="Y643" s="37" t="str">
        <f t="shared" si="29"/>
        <v/>
      </c>
      <c r="Z643" s="38" t="str">
        <f t="shared" si="30"/>
        <v/>
      </c>
      <c r="AA643" s="39" t="str">
        <f t="shared" si="31"/>
        <v/>
      </c>
    </row>
    <row r="644" ht="15.75" customHeight="1">
      <c r="B644" s="1"/>
      <c r="C644" s="28"/>
      <c r="D644" s="79"/>
      <c r="E644" s="1"/>
      <c r="F644" s="76"/>
      <c r="G644" s="1"/>
      <c r="H644" s="1"/>
      <c r="J644" s="77"/>
      <c r="K644" s="80"/>
      <c r="L644" s="80"/>
      <c r="M644" s="80"/>
      <c r="N644" s="80"/>
      <c r="O644" s="80"/>
      <c r="P644" s="81"/>
      <c r="Q644" s="35" t="str">
        <f>IF(D644="","",VLOOKUP(MONTH(D644),Listas!$C$2:$D$14,2,0))</f>
        <v/>
      </c>
      <c r="R644" s="36" t="str">
        <f t="shared" si="22"/>
        <v/>
      </c>
      <c r="S644" s="37" t="str">
        <f t="shared" si="23"/>
        <v/>
      </c>
      <c r="T644" s="37" t="str">
        <f t="shared" si="24"/>
        <v/>
      </c>
      <c r="U644" s="37" t="str">
        <f t="shared" si="25"/>
        <v/>
      </c>
      <c r="V644" s="37" t="str">
        <f t="shared" si="26"/>
        <v/>
      </c>
      <c r="W644" s="37" t="str">
        <f t="shared" si="27"/>
        <v/>
      </c>
      <c r="X644" s="37" t="str">
        <f t="shared" si="28"/>
        <v/>
      </c>
      <c r="Y644" s="37" t="str">
        <f t="shared" si="29"/>
        <v/>
      </c>
      <c r="Z644" s="38" t="str">
        <f t="shared" si="30"/>
        <v/>
      </c>
      <c r="AA644" s="39" t="str">
        <f t="shared" si="31"/>
        <v/>
      </c>
    </row>
    <row r="645" ht="15.75" customHeight="1">
      <c r="B645" s="1"/>
      <c r="C645" s="28"/>
      <c r="D645" s="79"/>
      <c r="E645" s="1"/>
      <c r="F645" s="76"/>
      <c r="G645" s="1"/>
      <c r="H645" s="1"/>
      <c r="J645" s="77"/>
      <c r="K645" s="80"/>
      <c r="L645" s="80"/>
      <c r="M645" s="80"/>
      <c r="N645" s="80"/>
      <c r="O645" s="80"/>
      <c r="P645" s="81"/>
      <c r="Q645" s="35" t="str">
        <f>IF(D645="","",VLOOKUP(MONTH(D645),Listas!$C$2:$D$14,2,0))</f>
        <v/>
      </c>
      <c r="R645" s="36" t="str">
        <f t="shared" si="22"/>
        <v/>
      </c>
      <c r="S645" s="37" t="str">
        <f t="shared" si="23"/>
        <v/>
      </c>
      <c r="T645" s="37" t="str">
        <f t="shared" si="24"/>
        <v/>
      </c>
      <c r="U645" s="37" t="str">
        <f t="shared" si="25"/>
        <v/>
      </c>
      <c r="V645" s="37" t="str">
        <f t="shared" si="26"/>
        <v/>
      </c>
      <c r="W645" s="37" t="str">
        <f t="shared" si="27"/>
        <v/>
      </c>
      <c r="X645" s="37" t="str">
        <f t="shared" si="28"/>
        <v/>
      </c>
      <c r="Y645" s="37" t="str">
        <f t="shared" si="29"/>
        <v/>
      </c>
      <c r="Z645" s="38" t="str">
        <f t="shared" si="30"/>
        <v/>
      </c>
      <c r="AA645" s="39" t="str">
        <f t="shared" si="31"/>
        <v/>
      </c>
    </row>
    <row r="646" ht="15.75" customHeight="1">
      <c r="B646" s="1"/>
      <c r="C646" s="28"/>
      <c r="D646" s="79"/>
      <c r="E646" s="1"/>
      <c r="F646" s="76"/>
      <c r="G646" s="1"/>
      <c r="H646" s="1"/>
      <c r="J646" s="77"/>
      <c r="K646" s="80"/>
      <c r="L646" s="80"/>
      <c r="M646" s="80"/>
      <c r="N646" s="80"/>
      <c r="O646" s="80"/>
      <c r="P646" s="81"/>
      <c r="Q646" s="35" t="str">
        <f>IF(D646="","",VLOOKUP(MONTH(D646),Listas!$C$2:$D$14,2,0))</f>
        <v/>
      </c>
      <c r="R646" s="36" t="str">
        <f t="shared" si="22"/>
        <v/>
      </c>
      <c r="S646" s="37" t="str">
        <f t="shared" si="23"/>
        <v/>
      </c>
      <c r="T646" s="37" t="str">
        <f t="shared" si="24"/>
        <v/>
      </c>
      <c r="U646" s="37" t="str">
        <f t="shared" si="25"/>
        <v/>
      </c>
      <c r="V646" s="37" t="str">
        <f t="shared" si="26"/>
        <v/>
      </c>
      <c r="W646" s="37" t="str">
        <f t="shared" si="27"/>
        <v/>
      </c>
      <c r="X646" s="37" t="str">
        <f t="shared" si="28"/>
        <v/>
      </c>
      <c r="Y646" s="37" t="str">
        <f t="shared" si="29"/>
        <v/>
      </c>
      <c r="Z646" s="38" t="str">
        <f t="shared" si="30"/>
        <v/>
      </c>
      <c r="AA646" s="39" t="str">
        <f t="shared" si="31"/>
        <v/>
      </c>
    </row>
    <row r="647" ht="15.75" customHeight="1">
      <c r="B647" s="1"/>
      <c r="C647" s="28"/>
      <c r="D647" s="79"/>
      <c r="E647" s="1"/>
      <c r="F647" s="76"/>
      <c r="G647" s="1"/>
      <c r="H647" s="1"/>
      <c r="J647" s="77"/>
      <c r="K647" s="80"/>
      <c r="L647" s="80"/>
      <c r="M647" s="80"/>
      <c r="N647" s="80"/>
      <c r="O647" s="80"/>
      <c r="P647" s="81"/>
      <c r="Q647" s="35" t="str">
        <f>IF(D647="","",VLOOKUP(MONTH(D647),Listas!$C$2:$D$14,2,0))</f>
        <v/>
      </c>
      <c r="R647" s="36" t="str">
        <f t="shared" si="22"/>
        <v/>
      </c>
      <c r="S647" s="37" t="str">
        <f t="shared" si="23"/>
        <v/>
      </c>
      <c r="T647" s="37" t="str">
        <f t="shared" si="24"/>
        <v/>
      </c>
      <c r="U647" s="37" t="str">
        <f t="shared" si="25"/>
        <v/>
      </c>
      <c r="V647" s="37" t="str">
        <f t="shared" si="26"/>
        <v/>
      </c>
      <c r="W647" s="37" t="str">
        <f t="shared" si="27"/>
        <v/>
      </c>
      <c r="X647" s="37" t="str">
        <f t="shared" si="28"/>
        <v/>
      </c>
      <c r="Y647" s="37" t="str">
        <f t="shared" si="29"/>
        <v/>
      </c>
      <c r="Z647" s="38" t="str">
        <f t="shared" si="30"/>
        <v/>
      </c>
      <c r="AA647" s="39" t="str">
        <f t="shared" si="31"/>
        <v/>
      </c>
    </row>
    <row r="648" ht="15.75" customHeight="1">
      <c r="B648" s="1"/>
      <c r="C648" s="28"/>
      <c r="D648" s="79"/>
      <c r="E648" s="1"/>
      <c r="F648" s="76"/>
      <c r="G648" s="1"/>
      <c r="H648" s="1"/>
      <c r="J648" s="77"/>
      <c r="K648" s="80"/>
      <c r="L648" s="80"/>
      <c r="M648" s="80"/>
      <c r="N648" s="80"/>
      <c r="O648" s="80"/>
      <c r="P648" s="81"/>
      <c r="Q648" s="35" t="str">
        <f>IF(D648="","",VLOOKUP(MONTH(D648),Listas!$C$2:$D$14,2,0))</f>
        <v/>
      </c>
      <c r="R648" s="36" t="str">
        <f t="shared" si="22"/>
        <v/>
      </c>
      <c r="S648" s="37" t="str">
        <f t="shared" si="23"/>
        <v/>
      </c>
      <c r="T648" s="37" t="str">
        <f t="shared" si="24"/>
        <v/>
      </c>
      <c r="U648" s="37" t="str">
        <f t="shared" si="25"/>
        <v/>
      </c>
      <c r="V648" s="37" t="str">
        <f t="shared" si="26"/>
        <v/>
      </c>
      <c r="W648" s="37" t="str">
        <f t="shared" si="27"/>
        <v/>
      </c>
      <c r="X648" s="37" t="str">
        <f t="shared" si="28"/>
        <v/>
      </c>
      <c r="Y648" s="37" t="str">
        <f t="shared" si="29"/>
        <v/>
      </c>
      <c r="Z648" s="38" t="str">
        <f t="shared" si="30"/>
        <v/>
      </c>
      <c r="AA648" s="39" t="str">
        <f t="shared" si="31"/>
        <v/>
      </c>
    </row>
    <row r="649" ht="15.75" customHeight="1">
      <c r="B649" s="1"/>
      <c r="C649" s="28"/>
      <c r="D649" s="79"/>
      <c r="E649" s="1"/>
      <c r="F649" s="76"/>
      <c r="G649" s="1"/>
      <c r="H649" s="1"/>
      <c r="J649" s="77"/>
      <c r="K649" s="80"/>
      <c r="L649" s="80"/>
      <c r="M649" s="80"/>
      <c r="N649" s="80"/>
      <c r="O649" s="80"/>
      <c r="P649" s="81"/>
      <c r="Q649" s="35" t="str">
        <f>IF(D649="","",VLOOKUP(MONTH(D649),Listas!$C$2:$D$14,2,0))</f>
        <v/>
      </c>
      <c r="R649" s="36" t="str">
        <f t="shared" si="22"/>
        <v/>
      </c>
      <c r="S649" s="37" t="str">
        <f t="shared" si="23"/>
        <v/>
      </c>
      <c r="T649" s="37" t="str">
        <f t="shared" si="24"/>
        <v/>
      </c>
      <c r="U649" s="37" t="str">
        <f t="shared" si="25"/>
        <v/>
      </c>
      <c r="V649" s="37" t="str">
        <f t="shared" si="26"/>
        <v/>
      </c>
      <c r="W649" s="37" t="str">
        <f t="shared" si="27"/>
        <v/>
      </c>
      <c r="X649" s="37" t="str">
        <f t="shared" si="28"/>
        <v/>
      </c>
      <c r="Y649" s="37" t="str">
        <f t="shared" si="29"/>
        <v/>
      </c>
      <c r="Z649" s="38" t="str">
        <f t="shared" si="30"/>
        <v/>
      </c>
      <c r="AA649" s="39" t="str">
        <f t="shared" si="31"/>
        <v/>
      </c>
    </row>
    <row r="650" ht="15.75" customHeight="1">
      <c r="B650" s="1"/>
      <c r="C650" s="28"/>
      <c r="D650" s="79"/>
      <c r="E650" s="1"/>
      <c r="F650" s="76"/>
      <c r="G650" s="1"/>
      <c r="H650" s="1"/>
      <c r="J650" s="77"/>
      <c r="K650" s="80"/>
      <c r="L650" s="80"/>
      <c r="M650" s="80"/>
      <c r="N650" s="80"/>
      <c r="O650" s="80"/>
      <c r="P650" s="81"/>
      <c r="Q650" s="35" t="str">
        <f>IF(D650="","",VLOOKUP(MONTH(D650),Listas!$C$2:$D$14,2,0))</f>
        <v/>
      </c>
      <c r="R650" s="36" t="str">
        <f t="shared" si="22"/>
        <v/>
      </c>
      <c r="S650" s="37" t="str">
        <f t="shared" si="23"/>
        <v/>
      </c>
      <c r="T650" s="37" t="str">
        <f t="shared" si="24"/>
        <v/>
      </c>
      <c r="U650" s="37" t="str">
        <f t="shared" si="25"/>
        <v/>
      </c>
      <c r="V650" s="37" t="str">
        <f t="shared" si="26"/>
        <v/>
      </c>
      <c r="W650" s="37" t="str">
        <f t="shared" si="27"/>
        <v/>
      </c>
      <c r="X650" s="37" t="str">
        <f t="shared" si="28"/>
        <v/>
      </c>
      <c r="Y650" s="37" t="str">
        <f t="shared" si="29"/>
        <v/>
      </c>
      <c r="Z650" s="38" t="str">
        <f t="shared" si="30"/>
        <v/>
      </c>
      <c r="AA650" s="39" t="str">
        <f t="shared" si="31"/>
        <v/>
      </c>
    </row>
    <row r="651" ht="15.75" customHeight="1">
      <c r="B651" s="1"/>
      <c r="C651" s="28"/>
      <c r="D651" s="79"/>
      <c r="E651" s="1"/>
      <c r="F651" s="76"/>
      <c r="G651" s="1"/>
      <c r="H651" s="1"/>
      <c r="J651" s="77"/>
      <c r="K651" s="80"/>
      <c r="L651" s="80"/>
      <c r="M651" s="80"/>
      <c r="N651" s="80"/>
      <c r="O651" s="80"/>
      <c r="P651" s="81"/>
      <c r="Q651" s="35" t="str">
        <f>IF(D651="","",VLOOKUP(MONTH(D651),Listas!$C$2:$D$14,2,0))</f>
        <v/>
      </c>
      <c r="R651" s="36" t="str">
        <f t="shared" si="22"/>
        <v/>
      </c>
      <c r="S651" s="37" t="str">
        <f t="shared" si="23"/>
        <v/>
      </c>
      <c r="T651" s="37" t="str">
        <f t="shared" si="24"/>
        <v/>
      </c>
      <c r="U651" s="37" t="str">
        <f t="shared" si="25"/>
        <v/>
      </c>
      <c r="V651" s="37" t="str">
        <f t="shared" si="26"/>
        <v/>
      </c>
      <c r="W651" s="37" t="str">
        <f t="shared" si="27"/>
        <v/>
      </c>
      <c r="X651" s="37" t="str">
        <f t="shared" si="28"/>
        <v/>
      </c>
      <c r="Y651" s="37" t="str">
        <f t="shared" si="29"/>
        <v/>
      </c>
      <c r="Z651" s="38" t="str">
        <f t="shared" si="30"/>
        <v/>
      </c>
      <c r="AA651" s="39" t="str">
        <f t="shared" si="31"/>
        <v/>
      </c>
    </row>
    <row r="652" ht="15.75" customHeight="1">
      <c r="B652" s="1"/>
      <c r="C652" s="28"/>
      <c r="D652" s="79"/>
      <c r="E652" s="1"/>
      <c r="F652" s="76"/>
      <c r="G652" s="1"/>
      <c r="H652" s="1"/>
      <c r="J652" s="77"/>
      <c r="K652" s="80"/>
      <c r="L652" s="80"/>
      <c r="M652" s="80"/>
      <c r="N652" s="80"/>
      <c r="O652" s="80"/>
      <c r="P652" s="81"/>
      <c r="Q652" s="35" t="str">
        <f>IF(D652="","",VLOOKUP(MONTH(D652),Listas!$C$2:$D$14,2,0))</f>
        <v/>
      </c>
      <c r="R652" s="36" t="str">
        <f t="shared" si="22"/>
        <v/>
      </c>
      <c r="S652" s="37" t="str">
        <f t="shared" si="23"/>
        <v/>
      </c>
      <c r="T652" s="37" t="str">
        <f t="shared" si="24"/>
        <v/>
      </c>
      <c r="U652" s="37" t="str">
        <f t="shared" si="25"/>
        <v/>
      </c>
      <c r="V652" s="37" t="str">
        <f t="shared" si="26"/>
        <v/>
      </c>
      <c r="W652" s="37" t="str">
        <f t="shared" si="27"/>
        <v/>
      </c>
      <c r="X652" s="37" t="str">
        <f t="shared" si="28"/>
        <v/>
      </c>
      <c r="Y652" s="37" t="str">
        <f t="shared" si="29"/>
        <v/>
      </c>
      <c r="Z652" s="38" t="str">
        <f t="shared" si="30"/>
        <v/>
      </c>
      <c r="AA652" s="39" t="str">
        <f t="shared" si="31"/>
        <v/>
      </c>
    </row>
    <row r="653" ht="15.75" customHeight="1">
      <c r="B653" s="1"/>
      <c r="C653" s="28"/>
      <c r="D653" s="79"/>
      <c r="E653" s="1"/>
      <c r="F653" s="76"/>
      <c r="G653" s="1"/>
      <c r="H653" s="1"/>
      <c r="J653" s="77"/>
      <c r="K653" s="80"/>
      <c r="L653" s="80"/>
      <c r="M653" s="80"/>
      <c r="N653" s="80"/>
      <c r="O653" s="80"/>
      <c r="P653" s="81"/>
      <c r="Q653" s="35" t="str">
        <f>IF(D653="","",VLOOKUP(MONTH(D653),Listas!$C$2:$D$14,2,0))</f>
        <v/>
      </c>
      <c r="R653" s="36" t="str">
        <f t="shared" si="22"/>
        <v/>
      </c>
      <c r="S653" s="37" t="str">
        <f t="shared" si="23"/>
        <v/>
      </c>
      <c r="T653" s="37" t="str">
        <f t="shared" si="24"/>
        <v/>
      </c>
      <c r="U653" s="37" t="str">
        <f t="shared" si="25"/>
        <v/>
      </c>
      <c r="V653" s="37" t="str">
        <f t="shared" si="26"/>
        <v/>
      </c>
      <c r="W653" s="37" t="str">
        <f t="shared" si="27"/>
        <v/>
      </c>
      <c r="X653" s="37" t="str">
        <f t="shared" si="28"/>
        <v/>
      </c>
      <c r="Y653" s="37" t="str">
        <f t="shared" si="29"/>
        <v/>
      </c>
      <c r="Z653" s="38" t="str">
        <f t="shared" si="30"/>
        <v/>
      </c>
      <c r="AA653" s="39" t="str">
        <f t="shared" si="31"/>
        <v/>
      </c>
    </row>
    <row r="654" ht="15.75" customHeight="1">
      <c r="B654" s="1"/>
      <c r="C654" s="28"/>
      <c r="D654" s="79"/>
      <c r="E654" s="1"/>
      <c r="F654" s="76"/>
      <c r="G654" s="1"/>
      <c r="H654" s="1"/>
      <c r="J654" s="77"/>
      <c r="K654" s="80"/>
      <c r="L654" s="80"/>
      <c r="M654" s="80"/>
      <c r="N654" s="80"/>
      <c r="O654" s="80"/>
      <c r="P654" s="81"/>
      <c r="Q654" s="35" t="str">
        <f>IF(D654="","",VLOOKUP(MONTH(D654),Listas!$C$2:$D$14,2,0))</f>
        <v/>
      </c>
      <c r="R654" s="36" t="str">
        <f t="shared" si="22"/>
        <v/>
      </c>
      <c r="S654" s="37" t="str">
        <f t="shared" si="23"/>
        <v/>
      </c>
      <c r="T654" s="37" t="str">
        <f t="shared" si="24"/>
        <v/>
      </c>
      <c r="U654" s="37" t="str">
        <f t="shared" si="25"/>
        <v/>
      </c>
      <c r="V654" s="37" t="str">
        <f t="shared" si="26"/>
        <v/>
      </c>
      <c r="W654" s="37" t="str">
        <f t="shared" si="27"/>
        <v/>
      </c>
      <c r="X654" s="37" t="str">
        <f t="shared" si="28"/>
        <v/>
      </c>
      <c r="Y654" s="37" t="str">
        <f t="shared" si="29"/>
        <v/>
      </c>
      <c r="Z654" s="38" t="str">
        <f t="shared" si="30"/>
        <v/>
      </c>
      <c r="AA654" s="39" t="str">
        <f t="shared" si="31"/>
        <v/>
      </c>
    </row>
    <row r="655" ht="15.75" customHeight="1">
      <c r="B655" s="1"/>
      <c r="C655" s="28"/>
      <c r="D655" s="79"/>
      <c r="E655" s="1"/>
      <c r="F655" s="76"/>
      <c r="G655" s="1"/>
      <c r="H655" s="1"/>
      <c r="J655" s="77"/>
      <c r="K655" s="80"/>
      <c r="L655" s="80"/>
      <c r="M655" s="80"/>
      <c r="N655" s="80"/>
      <c r="O655" s="80"/>
      <c r="P655" s="81"/>
      <c r="Q655" s="35" t="str">
        <f>IF(D655="","",VLOOKUP(MONTH(D655),Listas!$C$2:$D$14,2,0))</f>
        <v/>
      </c>
      <c r="R655" s="36" t="str">
        <f t="shared" si="22"/>
        <v/>
      </c>
      <c r="S655" s="37" t="str">
        <f t="shared" si="23"/>
        <v/>
      </c>
      <c r="T655" s="37" t="str">
        <f t="shared" si="24"/>
        <v/>
      </c>
      <c r="U655" s="37" t="str">
        <f t="shared" si="25"/>
        <v/>
      </c>
      <c r="V655" s="37" t="str">
        <f t="shared" si="26"/>
        <v/>
      </c>
      <c r="W655" s="37" t="str">
        <f t="shared" si="27"/>
        <v/>
      </c>
      <c r="X655" s="37" t="str">
        <f t="shared" si="28"/>
        <v/>
      </c>
      <c r="Y655" s="37" t="str">
        <f t="shared" si="29"/>
        <v/>
      </c>
      <c r="Z655" s="38" t="str">
        <f t="shared" si="30"/>
        <v/>
      </c>
      <c r="AA655" s="39" t="str">
        <f t="shared" si="31"/>
        <v/>
      </c>
    </row>
    <row r="656" ht="15.75" customHeight="1">
      <c r="B656" s="1"/>
      <c r="C656" s="28"/>
      <c r="D656" s="79"/>
      <c r="E656" s="1"/>
      <c r="F656" s="76"/>
      <c r="G656" s="1"/>
      <c r="H656" s="1"/>
      <c r="J656" s="77"/>
      <c r="K656" s="80"/>
      <c r="L656" s="80"/>
      <c r="M656" s="80"/>
      <c r="N656" s="80"/>
      <c r="O656" s="80"/>
      <c r="P656" s="81"/>
      <c r="Q656" s="35" t="str">
        <f>IF(D656="","",VLOOKUP(MONTH(D656),Listas!$C$2:$D$14,2,0))</f>
        <v/>
      </c>
      <c r="R656" s="36" t="str">
        <f t="shared" si="22"/>
        <v/>
      </c>
      <c r="S656" s="37" t="str">
        <f t="shared" si="23"/>
        <v/>
      </c>
      <c r="T656" s="37" t="str">
        <f t="shared" si="24"/>
        <v/>
      </c>
      <c r="U656" s="37" t="str">
        <f t="shared" si="25"/>
        <v/>
      </c>
      <c r="V656" s="37" t="str">
        <f t="shared" si="26"/>
        <v/>
      </c>
      <c r="W656" s="37" t="str">
        <f t="shared" si="27"/>
        <v/>
      </c>
      <c r="X656" s="37" t="str">
        <f t="shared" si="28"/>
        <v/>
      </c>
      <c r="Y656" s="37" t="str">
        <f t="shared" si="29"/>
        <v/>
      </c>
      <c r="Z656" s="38" t="str">
        <f t="shared" si="30"/>
        <v/>
      </c>
      <c r="AA656" s="39" t="str">
        <f t="shared" si="31"/>
        <v/>
      </c>
    </row>
    <row r="657" ht="15.75" customHeight="1">
      <c r="B657" s="1"/>
      <c r="C657" s="28"/>
      <c r="D657" s="79"/>
      <c r="E657" s="1"/>
      <c r="F657" s="76"/>
      <c r="G657" s="1"/>
      <c r="H657" s="1"/>
      <c r="J657" s="77"/>
      <c r="K657" s="80"/>
      <c r="L657" s="80"/>
      <c r="M657" s="80"/>
      <c r="N657" s="80"/>
      <c r="O657" s="80"/>
      <c r="P657" s="81"/>
      <c r="Q657" s="35" t="str">
        <f>IF(D657="","",VLOOKUP(MONTH(D657),Listas!$C$2:$D$14,2,0))</f>
        <v/>
      </c>
      <c r="R657" s="36" t="str">
        <f t="shared" si="22"/>
        <v/>
      </c>
      <c r="S657" s="37" t="str">
        <f t="shared" si="23"/>
        <v/>
      </c>
      <c r="T657" s="37" t="str">
        <f t="shared" si="24"/>
        <v/>
      </c>
      <c r="U657" s="37" t="str">
        <f t="shared" si="25"/>
        <v/>
      </c>
      <c r="V657" s="37" t="str">
        <f t="shared" si="26"/>
        <v/>
      </c>
      <c r="W657" s="37" t="str">
        <f t="shared" si="27"/>
        <v/>
      </c>
      <c r="X657" s="37" t="str">
        <f t="shared" si="28"/>
        <v/>
      </c>
      <c r="Y657" s="37" t="str">
        <f t="shared" si="29"/>
        <v/>
      </c>
      <c r="Z657" s="38" t="str">
        <f t="shared" si="30"/>
        <v/>
      </c>
      <c r="AA657" s="39" t="str">
        <f t="shared" si="31"/>
        <v/>
      </c>
    </row>
    <row r="658" ht="15.75" customHeight="1">
      <c r="B658" s="1"/>
      <c r="C658" s="28"/>
      <c r="D658" s="79"/>
      <c r="E658" s="1"/>
      <c r="F658" s="76"/>
      <c r="G658" s="1"/>
      <c r="H658" s="1"/>
      <c r="J658" s="77"/>
      <c r="K658" s="80"/>
      <c r="L658" s="80"/>
      <c r="M658" s="80"/>
      <c r="N658" s="80"/>
      <c r="O658" s="80"/>
      <c r="P658" s="81"/>
      <c r="Q658" s="35" t="str">
        <f>IF(D658="","",VLOOKUP(MONTH(D658),Listas!$C$2:$D$14,2,0))</f>
        <v/>
      </c>
      <c r="R658" s="36" t="str">
        <f t="shared" si="22"/>
        <v/>
      </c>
      <c r="S658" s="37" t="str">
        <f t="shared" si="23"/>
        <v/>
      </c>
      <c r="T658" s="37" t="str">
        <f t="shared" si="24"/>
        <v/>
      </c>
      <c r="U658" s="37" t="str">
        <f t="shared" si="25"/>
        <v/>
      </c>
      <c r="V658" s="37" t="str">
        <f t="shared" si="26"/>
        <v/>
      </c>
      <c r="W658" s="37" t="str">
        <f t="shared" si="27"/>
        <v/>
      </c>
      <c r="X658" s="37" t="str">
        <f t="shared" si="28"/>
        <v/>
      </c>
      <c r="Y658" s="37" t="str">
        <f t="shared" si="29"/>
        <v/>
      </c>
      <c r="Z658" s="38" t="str">
        <f t="shared" si="30"/>
        <v/>
      </c>
      <c r="AA658" s="39" t="str">
        <f t="shared" si="31"/>
        <v/>
      </c>
    </row>
    <row r="659" ht="15.75" customHeight="1">
      <c r="B659" s="1"/>
      <c r="C659" s="28"/>
      <c r="D659" s="79"/>
      <c r="E659" s="1"/>
      <c r="F659" s="76"/>
      <c r="G659" s="1"/>
      <c r="H659" s="1"/>
      <c r="J659" s="77"/>
      <c r="K659" s="80"/>
      <c r="L659" s="80"/>
      <c r="M659" s="80"/>
      <c r="N659" s="80"/>
      <c r="O659" s="80"/>
      <c r="P659" s="81"/>
      <c r="Q659" s="35" t="str">
        <f>IF(D659="","",VLOOKUP(MONTH(D659),Listas!$C$2:$D$14,2,0))</f>
        <v/>
      </c>
      <c r="R659" s="36" t="str">
        <f t="shared" si="22"/>
        <v/>
      </c>
      <c r="S659" s="37" t="str">
        <f t="shared" si="23"/>
        <v/>
      </c>
      <c r="T659" s="37" t="str">
        <f t="shared" si="24"/>
        <v/>
      </c>
      <c r="U659" s="37" t="str">
        <f t="shared" si="25"/>
        <v/>
      </c>
      <c r="V659" s="37" t="str">
        <f t="shared" si="26"/>
        <v/>
      </c>
      <c r="W659" s="37" t="str">
        <f t="shared" si="27"/>
        <v/>
      </c>
      <c r="X659" s="37" t="str">
        <f t="shared" si="28"/>
        <v/>
      </c>
      <c r="Y659" s="37" t="str">
        <f t="shared" si="29"/>
        <v/>
      </c>
      <c r="Z659" s="38" t="str">
        <f t="shared" si="30"/>
        <v/>
      </c>
      <c r="AA659" s="39" t="str">
        <f t="shared" si="31"/>
        <v/>
      </c>
    </row>
    <row r="660" ht="15.75" customHeight="1">
      <c r="B660" s="1"/>
      <c r="C660" s="28"/>
      <c r="D660" s="79"/>
      <c r="E660" s="1"/>
      <c r="F660" s="76"/>
      <c r="G660" s="1"/>
      <c r="H660" s="1"/>
      <c r="J660" s="77"/>
      <c r="K660" s="80"/>
      <c r="L660" s="80"/>
      <c r="M660" s="80"/>
      <c r="N660" s="80"/>
      <c r="O660" s="80"/>
      <c r="P660" s="81"/>
      <c r="Q660" s="35" t="str">
        <f>IF(D660="","",VLOOKUP(MONTH(D660),Listas!$C$2:$D$14,2,0))</f>
        <v/>
      </c>
      <c r="R660" s="36" t="str">
        <f t="shared" si="22"/>
        <v/>
      </c>
      <c r="S660" s="37" t="str">
        <f t="shared" si="23"/>
        <v/>
      </c>
      <c r="T660" s="37" t="str">
        <f t="shared" si="24"/>
        <v/>
      </c>
      <c r="U660" s="37" t="str">
        <f t="shared" si="25"/>
        <v/>
      </c>
      <c r="V660" s="37" t="str">
        <f t="shared" si="26"/>
        <v/>
      </c>
      <c r="W660" s="37" t="str">
        <f t="shared" si="27"/>
        <v/>
      </c>
      <c r="X660" s="37" t="str">
        <f t="shared" si="28"/>
        <v/>
      </c>
      <c r="Y660" s="37" t="str">
        <f t="shared" si="29"/>
        <v/>
      </c>
      <c r="Z660" s="38" t="str">
        <f t="shared" si="30"/>
        <v/>
      </c>
      <c r="AA660" s="39" t="str">
        <f t="shared" si="31"/>
        <v/>
      </c>
    </row>
    <row r="661" ht="15.75" customHeight="1">
      <c r="B661" s="1"/>
      <c r="C661" s="28"/>
      <c r="D661" s="79"/>
      <c r="E661" s="1"/>
      <c r="F661" s="76"/>
      <c r="G661" s="1"/>
      <c r="H661" s="1"/>
      <c r="J661" s="77"/>
      <c r="K661" s="80"/>
      <c r="L661" s="80"/>
      <c r="M661" s="80"/>
      <c r="N661" s="80"/>
      <c r="O661" s="80"/>
      <c r="P661" s="81"/>
      <c r="Q661" s="35" t="str">
        <f>IF(D661="","",VLOOKUP(MONTH(D661),Listas!$C$2:$D$14,2,0))</f>
        <v/>
      </c>
      <c r="R661" s="36" t="str">
        <f t="shared" si="22"/>
        <v/>
      </c>
      <c r="S661" s="37" t="str">
        <f t="shared" si="23"/>
        <v/>
      </c>
      <c r="T661" s="37" t="str">
        <f t="shared" si="24"/>
        <v/>
      </c>
      <c r="U661" s="37" t="str">
        <f t="shared" si="25"/>
        <v/>
      </c>
      <c r="V661" s="37" t="str">
        <f t="shared" si="26"/>
        <v/>
      </c>
      <c r="W661" s="37" t="str">
        <f t="shared" si="27"/>
        <v/>
      </c>
      <c r="X661" s="37" t="str">
        <f t="shared" si="28"/>
        <v/>
      </c>
      <c r="Y661" s="37" t="str">
        <f t="shared" si="29"/>
        <v/>
      </c>
      <c r="Z661" s="38" t="str">
        <f t="shared" si="30"/>
        <v/>
      </c>
      <c r="AA661" s="39" t="str">
        <f t="shared" si="31"/>
        <v/>
      </c>
    </row>
    <row r="662" ht="15.75" customHeight="1">
      <c r="B662" s="1"/>
      <c r="C662" s="28"/>
      <c r="D662" s="79"/>
      <c r="E662" s="1"/>
      <c r="F662" s="76"/>
      <c r="G662" s="1"/>
      <c r="H662" s="1"/>
      <c r="J662" s="77"/>
      <c r="K662" s="80"/>
      <c r="L662" s="80"/>
      <c r="M662" s="80"/>
      <c r="N662" s="80"/>
      <c r="O662" s="80"/>
      <c r="P662" s="81"/>
      <c r="Q662" s="35" t="str">
        <f>IF(D662="","",VLOOKUP(MONTH(D662),Listas!$C$2:$D$14,2,0))</f>
        <v/>
      </c>
      <c r="R662" s="36" t="str">
        <f t="shared" si="22"/>
        <v/>
      </c>
      <c r="S662" s="37" t="str">
        <f t="shared" si="23"/>
        <v/>
      </c>
      <c r="T662" s="37" t="str">
        <f t="shared" si="24"/>
        <v/>
      </c>
      <c r="U662" s="37" t="str">
        <f t="shared" si="25"/>
        <v/>
      </c>
      <c r="V662" s="37" t="str">
        <f t="shared" si="26"/>
        <v/>
      </c>
      <c r="W662" s="37" t="str">
        <f t="shared" si="27"/>
        <v/>
      </c>
      <c r="X662" s="37" t="str">
        <f t="shared" si="28"/>
        <v/>
      </c>
      <c r="Y662" s="37" t="str">
        <f t="shared" si="29"/>
        <v/>
      </c>
      <c r="Z662" s="38" t="str">
        <f t="shared" si="30"/>
        <v/>
      </c>
      <c r="AA662" s="39" t="str">
        <f t="shared" si="31"/>
        <v/>
      </c>
    </row>
    <row r="663" ht="15.75" customHeight="1">
      <c r="B663" s="1"/>
      <c r="C663" s="28"/>
      <c r="D663" s="79"/>
      <c r="E663" s="1"/>
      <c r="F663" s="76"/>
      <c r="G663" s="1"/>
      <c r="H663" s="1"/>
      <c r="J663" s="77"/>
      <c r="K663" s="80"/>
      <c r="L663" s="80"/>
      <c r="M663" s="80"/>
      <c r="N663" s="80"/>
      <c r="O663" s="80"/>
      <c r="P663" s="81"/>
      <c r="Q663" s="35" t="str">
        <f>IF(D663="","",VLOOKUP(MONTH(D663),Listas!$C$2:$D$14,2,0))</f>
        <v/>
      </c>
      <c r="R663" s="36" t="str">
        <f t="shared" si="22"/>
        <v/>
      </c>
      <c r="S663" s="37" t="str">
        <f t="shared" si="23"/>
        <v/>
      </c>
      <c r="T663" s="37" t="str">
        <f t="shared" si="24"/>
        <v/>
      </c>
      <c r="U663" s="37" t="str">
        <f t="shared" si="25"/>
        <v/>
      </c>
      <c r="V663" s="37" t="str">
        <f t="shared" si="26"/>
        <v/>
      </c>
      <c r="W663" s="37" t="str">
        <f t="shared" si="27"/>
        <v/>
      </c>
      <c r="X663" s="37" t="str">
        <f t="shared" si="28"/>
        <v/>
      </c>
      <c r="Y663" s="37" t="str">
        <f t="shared" si="29"/>
        <v/>
      </c>
      <c r="Z663" s="38" t="str">
        <f t="shared" si="30"/>
        <v/>
      </c>
      <c r="AA663" s="39" t="str">
        <f t="shared" si="31"/>
        <v/>
      </c>
    </row>
    <row r="664" ht="15.75" customHeight="1">
      <c r="B664" s="1"/>
      <c r="C664" s="28"/>
      <c r="D664" s="79"/>
      <c r="E664" s="1"/>
      <c r="F664" s="76"/>
      <c r="G664" s="1"/>
      <c r="H664" s="1"/>
      <c r="J664" s="77"/>
      <c r="K664" s="80"/>
      <c r="L664" s="80"/>
      <c r="M664" s="80"/>
      <c r="N664" s="80"/>
      <c r="O664" s="80"/>
      <c r="P664" s="81"/>
      <c r="Q664" s="35" t="str">
        <f>IF(D664="","",VLOOKUP(MONTH(D664),Listas!$C$2:$D$14,2,0))</f>
        <v/>
      </c>
      <c r="R664" s="36" t="str">
        <f t="shared" si="22"/>
        <v/>
      </c>
      <c r="S664" s="37" t="str">
        <f t="shared" si="23"/>
        <v/>
      </c>
      <c r="T664" s="37" t="str">
        <f t="shared" si="24"/>
        <v/>
      </c>
      <c r="U664" s="37" t="str">
        <f t="shared" si="25"/>
        <v/>
      </c>
      <c r="V664" s="37" t="str">
        <f t="shared" si="26"/>
        <v/>
      </c>
      <c r="W664" s="37" t="str">
        <f t="shared" si="27"/>
        <v/>
      </c>
      <c r="X664" s="37" t="str">
        <f t="shared" si="28"/>
        <v/>
      </c>
      <c r="Y664" s="37" t="str">
        <f t="shared" si="29"/>
        <v/>
      </c>
      <c r="Z664" s="38" t="str">
        <f t="shared" si="30"/>
        <v/>
      </c>
      <c r="AA664" s="39" t="str">
        <f t="shared" si="31"/>
        <v/>
      </c>
    </row>
    <row r="665" ht="15.75" customHeight="1">
      <c r="B665" s="1"/>
      <c r="C665" s="28"/>
      <c r="D665" s="79"/>
      <c r="E665" s="1"/>
      <c r="F665" s="76"/>
      <c r="G665" s="1"/>
      <c r="H665" s="1"/>
      <c r="J665" s="77"/>
      <c r="K665" s="80"/>
      <c r="L665" s="80"/>
      <c r="M665" s="80"/>
      <c r="N665" s="80"/>
      <c r="O665" s="80"/>
      <c r="P665" s="81"/>
      <c r="Q665" s="35" t="str">
        <f>IF(D665="","",VLOOKUP(MONTH(D665),Listas!$C$2:$D$14,2,0))</f>
        <v/>
      </c>
      <c r="R665" s="36" t="str">
        <f t="shared" si="22"/>
        <v/>
      </c>
      <c r="S665" s="37" t="str">
        <f t="shared" si="23"/>
        <v/>
      </c>
      <c r="T665" s="37" t="str">
        <f t="shared" si="24"/>
        <v/>
      </c>
      <c r="U665" s="37" t="str">
        <f t="shared" si="25"/>
        <v/>
      </c>
      <c r="V665" s="37" t="str">
        <f t="shared" si="26"/>
        <v/>
      </c>
      <c r="W665" s="37" t="str">
        <f t="shared" si="27"/>
        <v/>
      </c>
      <c r="X665" s="37" t="str">
        <f t="shared" si="28"/>
        <v/>
      </c>
      <c r="Y665" s="37" t="str">
        <f t="shared" si="29"/>
        <v/>
      </c>
      <c r="Z665" s="38" t="str">
        <f t="shared" si="30"/>
        <v/>
      </c>
      <c r="AA665" s="39" t="str">
        <f t="shared" si="31"/>
        <v/>
      </c>
    </row>
    <row r="666" ht="15.75" customHeight="1">
      <c r="B666" s="1"/>
      <c r="C666" s="28"/>
      <c r="D666" s="79"/>
      <c r="E666" s="1"/>
      <c r="F666" s="76"/>
      <c r="G666" s="1"/>
      <c r="H666" s="1"/>
      <c r="J666" s="77"/>
      <c r="K666" s="80"/>
      <c r="L666" s="80"/>
      <c r="M666" s="80"/>
      <c r="N666" s="80"/>
      <c r="O666" s="80"/>
      <c r="P666" s="81"/>
      <c r="Q666" s="35" t="str">
        <f>IF(D666="","",VLOOKUP(MONTH(D666),Listas!$C$2:$D$14,2,0))</f>
        <v/>
      </c>
      <c r="R666" s="36" t="str">
        <f t="shared" si="22"/>
        <v/>
      </c>
      <c r="S666" s="37" t="str">
        <f t="shared" si="23"/>
        <v/>
      </c>
      <c r="T666" s="37" t="str">
        <f t="shared" si="24"/>
        <v/>
      </c>
      <c r="U666" s="37" t="str">
        <f t="shared" si="25"/>
        <v/>
      </c>
      <c r="V666" s="37" t="str">
        <f t="shared" si="26"/>
        <v/>
      </c>
      <c r="W666" s="37" t="str">
        <f t="shared" si="27"/>
        <v/>
      </c>
      <c r="X666" s="37" t="str">
        <f t="shared" si="28"/>
        <v/>
      </c>
      <c r="Y666" s="37" t="str">
        <f t="shared" si="29"/>
        <v/>
      </c>
      <c r="Z666" s="38" t="str">
        <f t="shared" si="30"/>
        <v/>
      </c>
      <c r="AA666" s="39" t="str">
        <f t="shared" si="31"/>
        <v/>
      </c>
    </row>
    <row r="667" ht="15.75" customHeight="1">
      <c r="B667" s="1"/>
      <c r="C667" s="28"/>
      <c r="D667" s="79"/>
      <c r="E667" s="1"/>
      <c r="F667" s="76"/>
      <c r="G667" s="1"/>
      <c r="H667" s="1"/>
      <c r="J667" s="77"/>
      <c r="K667" s="80"/>
      <c r="L667" s="80"/>
      <c r="M667" s="80"/>
      <c r="N667" s="80"/>
      <c r="O667" s="80"/>
      <c r="P667" s="81"/>
      <c r="Q667" s="35" t="str">
        <f>IF(D667="","",VLOOKUP(MONTH(D667),Listas!$C$2:$D$14,2,0))</f>
        <v/>
      </c>
      <c r="R667" s="36" t="str">
        <f t="shared" si="22"/>
        <v/>
      </c>
      <c r="S667" s="37" t="str">
        <f t="shared" si="23"/>
        <v/>
      </c>
      <c r="T667" s="37" t="str">
        <f t="shared" si="24"/>
        <v/>
      </c>
      <c r="U667" s="37" t="str">
        <f t="shared" si="25"/>
        <v/>
      </c>
      <c r="V667" s="37" t="str">
        <f t="shared" si="26"/>
        <v/>
      </c>
      <c r="W667" s="37" t="str">
        <f t="shared" si="27"/>
        <v/>
      </c>
      <c r="X667" s="37" t="str">
        <f t="shared" si="28"/>
        <v/>
      </c>
      <c r="Y667" s="37" t="str">
        <f t="shared" si="29"/>
        <v/>
      </c>
      <c r="Z667" s="38" t="str">
        <f t="shared" si="30"/>
        <v/>
      </c>
      <c r="AA667" s="39" t="str">
        <f t="shared" si="31"/>
        <v/>
      </c>
    </row>
    <row r="668" ht="15.75" customHeight="1">
      <c r="B668" s="1"/>
      <c r="C668" s="28"/>
      <c r="D668" s="79"/>
      <c r="E668" s="1"/>
      <c r="F668" s="76"/>
      <c r="G668" s="1"/>
      <c r="H668" s="1"/>
      <c r="J668" s="77"/>
      <c r="K668" s="80"/>
      <c r="L668" s="80"/>
      <c r="M668" s="80"/>
      <c r="N668" s="80"/>
      <c r="O668" s="80"/>
      <c r="P668" s="81"/>
      <c r="Q668" s="35" t="str">
        <f>IF(D668="","",VLOOKUP(MONTH(D668),Listas!$C$2:$D$14,2,0))</f>
        <v/>
      </c>
      <c r="R668" s="36" t="str">
        <f t="shared" si="22"/>
        <v/>
      </c>
      <c r="S668" s="37" t="str">
        <f t="shared" si="23"/>
        <v/>
      </c>
      <c r="T668" s="37" t="str">
        <f t="shared" si="24"/>
        <v/>
      </c>
      <c r="U668" s="37" t="str">
        <f t="shared" si="25"/>
        <v/>
      </c>
      <c r="V668" s="37" t="str">
        <f t="shared" si="26"/>
        <v/>
      </c>
      <c r="W668" s="37" t="str">
        <f t="shared" si="27"/>
        <v/>
      </c>
      <c r="X668" s="37" t="str">
        <f t="shared" si="28"/>
        <v/>
      </c>
      <c r="Y668" s="37" t="str">
        <f t="shared" si="29"/>
        <v/>
      </c>
      <c r="Z668" s="38" t="str">
        <f t="shared" si="30"/>
        <v/>
      </c>
      <c r="AA668" s="39" t="str">
        <f t="shared" si="31"/>
        <v/>
      </c>
    </row>
    <row r="669" ht="15.75" customHeight="1">
      <c r="B669" s="1"/>
      <c r="C669" s="28"/>
      <c r="D669" s="79"/>
      <c r="E669" s="1"/>
      <c r="F669" s="76"/>
      <c r="G669" s="1"/>
      <c r="H669" s="1"/>
      <c r="J669" s="77"/>
      <c r="K669" s="80"/>
      <c r="L669" s="80"/>
      <c r="M669" s="80"/>
      <c r="N669" s="80"/>
      <c r="O669" s="80"/>
      <c r="P669" s="81"/>
      <c r="Q669" s="35" t="str">
        <f>IF(D669="","",VLOOKUP(MONTH(D669),Listas!$C$2:$D$14,2,0))</f>
        <v/>
      </c>
      <c r="R669" s="36" t="str">
        <f t="shared" si="22"/>
        <v/>
      </c>
      <c r="S669" s="37" t="str">
        <f t="shared" si="23"/>
        <v/>
      </c>
      <c r="T669" s="37" t="str">
        <f t="shared" si="24"/>
        <v/>
      </c>
      <c r="U669" s="37" t="str">
        <f t="shared" si="25"/>
        <v/>
      </c>
      <c r="V669" s="37" t="str">
        <f t="shared" si="26"/>
        <v/>
      </c>
      <c r="W669" s="37" t="str">
        <f t="shared" si="27"/>
        <v/>
      </c>
      <c r="X669" s="37" t="str">
        <f t="shared" si="28"/>
        <v/>
      </c>
      <c r="Y669" s="37" t="str">
        <f t="shared" si="29"/>
        <v/>
      </c>
      <c r="Z669" s="38" t="str">
        <f t="shared" si="30"/>
        <v/>
      </c>
      <c r="AA669" s="39" t="str">
        <f t="shared" si="31"/>
        <v/>
      </c>
    </row>
    <row r="670" ht="15.75" customHeight="1">
      <c r="B670" s="1"/>
      <c r="C670" s="28"/>
      <c r="D670" s="79"/>
      <c r="E670" s="1"/>
      <c r="F670" s="76"/>
      <c r="G670" s="1"/>
      <c r="H670" s="1"/>
      <c r="J670" s="77"/>
      <c r="K670" s="80"/>
      <c r="L670" s="80"/>
      <c r="M670" s="80"/>
      <c r="N670" s="80"/>
      <c r="O670" s="80"/>
      <c r="P670" s="81"/>
      <c r="Q670" s="35" t="str">
        <f>IF(D670="","",VLOOKUP(MONTH(D670),Listas!$C$2:$D$14,2,0))</f>
        <v/>
      </c>
      <c r="R670" s="36" t="str">
        <f t="shared" si="22"/>
        <v/>
      </c>
      <c r="S670" s="37" t="str">
        <f t="shared" si="23"/>
        <v/>
      </c>
      <c r="T670" s="37" t="str">
        <f t="shared" si="24"/>
        <v/>
      </c>
      <c r="U670" s="37" t="str">
        <f t="shared" si="25"/>
        <v/>
      </c>
      <c r="V670" s="37" t="str">
        <f t="shared" si="26"/>
        <v/>
      </c>
      <c r="W670" s="37" t="str">
        <f t="shared" si="27"/>
        <v/>
      </c>
      <c r="X670" s="37" t="str">
        <f t="shared" si="28"/>
        <v/>
      </c>
      <c r="Y670" s="37" t="str">
        <f t="shared" si="29"/>
        <v/>
      </c>
      <c r="Z670" s="38" t="str">
        <f t="shared" si="30"/>
        <v/>
      </c>
      <c r="AA670" s="39" t="str">
        <f t="shared" si="31"/>
        <v/>
      </c>
    </row>
    <row r="671" ht="15.75" customHeight="1">
      <c r="B671" s="1"/>
      <c r="C671" s="28"/>
      <c r="D671" s="79"/>
      <c r="E671" s="1"/>
      <c r="F671" s="76"/>
      <c r="G671" s="1"/>
      <c r="H671" s="1"/>
      <c r="J671" s="77"/>
      <c r="K671" s="80"/>
      <c r="L671" s="80"/>
      <c r="M671" s="80"/>
      <c r="N671" s="80"/>
      <c r="O671" s="80"/>
      <c r="P671" s="81"/>
      <c r="Q671" s="35" t="str">
        <f>IF(D671="","",VLOOKUP(MONTH(D671),Listas!$C$2:$D$14,2,0))</f>
        <v/>
      </c>
      <c r="R671" s="36" t="str">
        <f t="shared" si="22"/>
        <v/>
      </c>
      <c r="S671" s="37" t="str">
        <f t="shared" si="23"/>
        <v/>
      </c>
      <c r="T671" s="37" t="str">
        <f t="shared" si="24"/>
        <v/>
      </c>
      <c r="U671" s="37" t="str">
        <f t="shared" si="25"/>
        <v/>
      </c>
      <c r="V671" s="37" t="str">
        <f t="shared" si="26"/>
        <v/>
      </c>
      <c r="W671" s="37" t="str">
        <f t="shared" si="27"/>
        <v/>
      </c>
      <c r="X671" s="37" t="str">
        <f t="shared" si="28"/>
        <v/>
      </c>
      <c r="Y671" s="37" t="str">
        <f t="shared" si="29"/>
        <v/>
      </c>
      <c r="Z671" s="38" t="str">
        <f t="shared" si="30"/>
        <v/>
      </c>
      <c r="AA671" s="39" t="str">
        <f t="shared" si="31"/>
        <v/>
      </c>
    </row>
    <row r="672" ht="15.75" customHeight="1">
      <c r="B672" s="1"/>
      <c r="C672" s="28"/>
      <c r="D672" s="79"/>
      <c r="E672" s="1"/>
      <c r="F672" s="76"/>
      <c r="G672" s="1"/>
      <c r="H672" s="1"/>
      <c r="J672" s="77"/>
      <c r="K672" s="80"/>
      <c r="L672" s="80"/>
      <c r="M672" s="80"/>
      <c r="N672" s="80"/>
      <c r="O672" s="80"/>
      <c r="P672" s="81"/>
      <c r="Q672" s="35" t="str">
        <f>IF(D672="","",VLOOKUP(MONTH(D672),Listas!$C$2:$D$14,2,0))</f>
        <v/>
      </c>
      <c r="R672" s="36" t="str">
        <f t="shared" si="22"/>
        <v/>
      </c>
      <c r="S672" s="37" t="str">
        <f t="shared" si="23"/>
        <v/>
      </c>
      <c r="T672" s="37" t="str">
        <f t="shared" si="24"/>
        <v/>
      </c>
      <c r="U672" s="37" t="str">
        <f t="shared" si="25"/>
        <v/>
      </c>
      <c r="V672" s="37" t="str">
        <f t="shared" si="26"/>
        <v/>
      </c>
      <c r="W672" s="37" t="str">
        <f t="shared" si="27"/>
        <v/>
      </c>
      <c r="X672" s="37" t="str">
        <f t="shared" si="28"/>
        <v/>
      </c>
      <c r="Y672" s="37" t="str">
        <f t="shared" si="29"/>
        <v/>
      </c>
      <c r="Z672" s="38" t="str">
        <f t="shared" si="30"/>
        <v/>
      </c>
      <c r="AA672" s="39" t="str">
        <f t="shared" si="31"/>
        <v/>
      </c>
    </row>
    <row r="673" ht="15.75" customHeight="1">
      <c r="B673" s="1"/>
      <c r="C673" s="28"/>
      <c r="D673" s="79"/>
      <c r="E673" s="1"/>
      <c r="F673" s="76"/>
      <c r="G673" s="1"/>
      <c r="H673" s="1"/>
      <c r="J673" s="77"/>
      <c r="K673" s="80"/>
      <c r="L673" s="80"/>
      <c r="M673" s="80"/>
      <c r="N673" s="80"/>
      <c r="O673" s="80"/>
      <c r="P673" s="81"/>
      <c r="Q673" s="35" t="str">
        <f>IF(D673="","",VLOOKUP(MONTH(D673),Listas!$C$2:$D$14,2,0))</f>
        <v/>
      </c>
      <c r="R673" s="36" t="str">
        <f t="shared" si="22"/>
        <v/>
      </c>
      <c r="S673" s="37" t="str">
        <f t="shared" si="23"/>
        <v/>
      </c>
      <c r="T673" s="37" t="str">
        <f t="shared" si="24"/>
        <v/>
      </c>
      <c r="U673" s="37" t="str">
        <f t="shared" si="25"/>
        <v/>
      </c>
      <c r="V673" s="37" t="str">
        <f t="shared" si="26"/>
        <v/>
      </c>
      <c r="W673" s="37" t="str">
        <f t="shared" si="27"/>
        <v/>
      </c>
      <c r="X673" s="37" t="str">
        <f t="shared" si="28"/>
        <v/>
      </c>
      <c r="Y673" s="37" t="str">
        <f t="shared" si="29"/>
        <v/>
      </c>
      <c r="Z673" s="38" t="str">
        <f t="shared" si="30"/>
        <v/>
      </c>
      <c r="AA673" s="39" t="str">
        <f t="shared" si="31"/>
        <v/>
      </c>
    </row>
    <row r="674" ht="15.75" customHeight="1">
      <c r="B674" s="1"/>
      <c r="C674" s="28"/>
      <c r="D674" s="79"/>
      <c r="E674" s="1"/>
      <c r="F674" s="76"/>
      <c r="G674" s="1"/>
      <c r="H674" s="1"/>
      <c r="J674" s="77"/>
      <c r="K674" s="80"/>
      <c r="L674" s="80"/>
      <c r="M674" s="80"/>
      <c r="N674" s="80"/>
      <c r="O674" s="80"/>
      <c r="P674" s="81"/>
      <c r="Q674" s="35" t="str">
        <f>IF(D674="","",VLOOKUP(MONTH(D674),Listas!$C$2:$D$14,2,0))</f>
        <v/>
      </c>
      <c r="R674" s="36" t="str">
        <f t="shared" si="22"/>
        <v/>
      </c>
      <c r="S674" s="37" t="str">
        <f t="shared" si="23"/>
        <v/>
      </c>
      <c r="T674" s="37" t="str">
        <f t="shared" si="24"/>
        <v/>
      </c>
      <c r="U674" s="37" t="str">
        <f t="shared" si="25"/>
        <v/>
      </c>
      <c r="V674" s="37" t="str">
        <f t="shared" si="26"/>
        <v/>
      </c>
      <c r="W674" s="37" t="str">
        <f t="shared" si="27"/>
        <v/>
      </c>
      <c r="X674" s="37" t="str">
        <f t="shared" si="28"/>
        <v/>
      </c>
      <c r="Y674" s="37" t="str">
        <f t="shared" si="29"/>
        <v/>
      </c>
      <c r="Z674" s="38" t="str">
        <f t="shared" si="30"/>
        <v/>
      </c>
      <c r="AA674" s="39" t="str">
        <f t="shared" si="31"/>
        <v/>
      </c>
    </row>
    <row r="675" ht="15.75" customHeight="1">
      <c r="B675" s="1"/>
      <c r="C675" s="28"/>
      <c r="D675" s="79"/>
      <c r="E675" s="1"/>
      <c r="F675" s="76"/>
      <c r="G675" s="1"/>
      <c r="H675" s="1"/>
      <c r="J675" s="77"/>
      <c r="K675" s="80"/>
      <c r="L675" s="80"/>
      <c r="M675" s="80"/>
      <c r="N675" s="80"/>
      <c r="O675" s="80"/>
      <c r="P675" s="81"/>
      <c r="Q675" s="35" t="str">
        <f>IF(D675="","",VLOOKUP(MONTH(D675),Listas!$C$2:$D$14,2,0))</f>
        <v/>
      </c>
      <c r="R675" s="36" t="str">
        <f t="shared" si="22"/>
        <v/>
      </c>
      <c r="S675" s="37" t="str">
        <f t="shared" si="23"/>
        <v/>
      </c>
      <c r="T675" s="37" t="str">
        <f t="shared" si="24"/>
        <v/>
      </c>
      <c r="U675" s="37" t="str">
        <f t="shared" si="25"/>
        <v/>
      </c>
      <c r="V675" s="37" t="str">
        <f t="shared" si="26"/>
        <v/>
      </c>
      <c r="W675" s="37" t="str">
        <f t="shared" si="27"/>
        <v/>
      </c>
      <c r="X675" s="37" t="str">
        <f t="shared" si="28"/>
        <v/>
      </c>
      <c r="Y675" s="37" t="str">
        <f t="shared" si="29"/>
        <v/>
      </c>
      <c r="Z675" s="38" t="str">
        <f t="shared" si="30"/>
        <v/>
      </c>
      <c r="AA675" s="39" t="str">
        <f t="shared" si="31"/>
        <v/>
      </c>
    </row>
    <row r="676" ht="15.75" customHeight="1">
      <c r="B676" s="1"/>
      <c r="C676" s="28"/>
      <c r="D676" s="79"/>
      <c r="E676" s="1"/>
      <c r="F676" s="76"/>
      <c r="G676" s="1"/>
      <c r="H676" s="1"/>
      <c r="J676" s="77"/>
      <c r="K676" s="80"/>
      <c r="L676" s="80"/>
      <c r="M676" s="80"/>
      <c r="N676" s="80"/>
      <c r="O676" s="80"/>
      <c r="P676" s="81"/>
      <c r="Q676" s="35" t="str">
        <f>IF(D676="","",VLOOKUP(MONTH(D676),Listas!$C$2:$D$14,2,0))</f>
        <v/>
      </c>
      <c r="R676" s="36" t="str">
        <f t="shared" si="22"/>
        <v/>
      </c>
      <c r="S676" s="37" t="str">
        <f t="shared" si="23"/>
        <v/>
      </c>
      <c r="T676" s="37" t="str">
        <f t="shared" si="24"/>
        <v/>
      </c>
      <c r="U676" s="37" t="str">
        <f t="shared" si="25"/>
        <v/>
      </c>
      <c r="V676" s="37" t="str">
        <f t="shared" si="26"/>
        <v/>
      </c>
      <c r="W676" s="37" t="str">
        <f t="shared" si="27"/>
        <v/>
      </c>
      <c r="X676" s="37" t="str">
        <f t="shared" si="28"/>
        <v/>
      </c>
      <c r="Y676" s="37" t="str">
        <f t="shared" si="29"/>
        <v/>
      </c>
      <c r="Z676" s="38" t="str">
        <f t="shared" si="30"/>
        <v/>
      </c>
      <c r="AA676" s="39" t="str">
        <f t="shared" si="31"/>
        <v/>
      </c>
    </row>
    <row r="677" ht="15.75" customHeight="1">
      <c r="B677" s="1"/>
      <c r="C677" s="28"/>
      <c r="D677" s="79"/>
      <c r="E677" s="1"/>
      <c r="F677" s="76"/>
      <c r="G677" s="1"/>
      <c r="H677" s="1"/>
      <c r="J677" s="77"/>
      <c r="K677" s="80"/>
      <c r="L677" s="80"/>
      <c r="M677" s="80"/>
      <c r="N677" s="80"/>
      <c r="O677" s="80"/>
      <c r="P677" s="81"/>
      <c r="Q677" s="35" t="str">
        <f>IF(D677="","",VLOOKUP(MONTH(D677),Listas!$C$2:$D$14,2,0))</f>
        <v/>
      </c>
      <c r="R677" s="36" t="str">
        <f t="shared" si="22"/>
        <v/>
      </c>
      <c r="S677" s="37" t="str">
        <f t="shared" si="23"/>
        <v/>
      </c>
      <c r="T677" s="37" t="str">
        <f t="shared" si="24"/>
        <v/>
      </c>
      <c r="U677" s="37" t="str">
        <f t="shared" si="25"/>
        <v/>
      </c>
      <c r="V677" s="37" t="str">
        <f t="shared" si="26"/>
        <v/>
      </c>
      <c r="W677" s="37" t="str">
        <f t="shared" si="27"/>
        <v/>
      </c>
      <c r="X677" s="37" t="str">
        <f t="shared" si="28"/>
        <v/>
      </c>
      <c r="Y677" s="37" t="str">
        <f t="shared" si="29"/>
        <v/>
      </c>
      <c r="Z677" s="38" t="str">
        <f t="shared" si="30"/>
        <v/>
      </c>
      <c r="AA677" s="39" t="str">
        <f t="shared" si="31"/>
        <v/>
      </c>
    </row>
    <row r="678" ht="15.75" customHeight="1">
      <c r="B678" s="1"/>
      <c r="C678" s="28"/>
      <c r="D678" s="79"/>
      <c r="E678" s="1"/>
      <c r="F678" s="76"/>
      <c r="G678" s="1"/>
      <c r="H678" s="1"/>
      <c r="J678" s="77"/>
      <c r="K678" s="80"/>
      <c r="L678" s="80"/>
      <c r="M678" s="80"/>
      <c r="N678" s="80"/>
      <c r="O678" s="80"/>
      <c r="P678" s="81"/>
      <c r="Q678" s="35" t="str">
        <f>IF(D678="","",VLOOKUP(MONTH(D678),Listas!$C$2:$D$14,2,0))</f>
        <v/>
      </c>
      <c r="R678" s="36" t="str">
        <f t="shared" si="22"/>
        <v/>
      </c>
      <c r="S678" s="37" t="str">
        <f t="shared" si="23"/>
        <v/>
      </c>
      <c r="T678" s="37" t="str">
        <f t="shared" si="24"/>
        <v/>
      </c>
      <c r="U678" s="37" t="str">
        <f t="shared" si="25"/>
        <v/>
      </c>
      <c r="V678" s="37" t="str">
        <f t="shared" si="26"/>
        <v/>
      </c>
      <c r="W678" s="37" t="str">
        <f t="shared" si="27"/>
        <v/>
      </c>
      <c r="X678" s="37" t="str">
        <f t="shared" si="28"/>
        <v/>
      </c>
      <c r="Y678" s="37" t="str">
        <f t="shared" si="29"/>
        <v/>
      </c>
      <c r="Z678" s="38" t="str">
        <f t="shared" si="30"/>
        <v/>
      </c>
      <c r="AA678" s="39" t="str">
        <f t="shared" si="31"/>
        <v/>
      </c>
    </row>
    <row r="679" ht="15.75" customHeight="1">
      <c r="B679" s="1"/>
      <c r="C679" s="28"/>
      <c r="D679" s="79"/>
      <c r="E679" s="1"/>
      <c r="F679" s="76"/>
      <c r="G679" s="1"/>
      <c r="H679" s="1"/>
      <c r="J679" s="77"/>
      <c r="K679" s="80"/>
      <c r="L679" s="80"/>
      <c r="M679" s="80"/>
      <c r="N679" s="80"/>
      <c r="O679" s="80"/>
      <c r="P679" s="81"/>
      <c r="Q679" s="35" t="str">
        <f>IF(D679="","",VLOOKUP(MONTH(D679),Listas!$C$2:$D$14,2,0))</f>
        <v/>
      </c>
      <c r="R679" s="36" t="str">
        <f t="shared" si="22"/>
        <v/>
      </c>
      <c r="S679" s="37" t="str">
        <f t="shared" si="23"/>
        <v/>
      </c>
      <c r="T679" s="37" t="str">
        <f t="shared" si="24"/>
        <v/>
      </c>
      <c r="U679" s="37" t="str">
        <f t="shared" si="25"/>
        <v/>
      </c>
      <c r="V679" s="37" t="str">
        <f t="shared" si="26"/>
        <v/>
      </c>
      <c r="W679" s="37" t="str">
        <f t="shared" si="27"/>
        <v/>
      </c>
      <c r="X679" s="37" t="str">
        <f t="shared" si="28"/>
        <v/>
      </c>
      <c r="Y679" s="37" t="str">
        <f t="shared" si="29"/>
        <v/>
      </c>
      <c r="Z679" s="38" t="str">
        <f t="shared" si="30"/>
        <v/>
      </c>
      <c r="AA679" s="39" t="str">
        <f t="shared" si="31"/>
        <v/>
      </c>
    </row>
    <row r="680" ht="15.75" customHeight="1">
      <c r="B680" s="1"/>
      <c r="C680" s="28"/>
      <c r="D680" s="79"/>
      <c r="E680" s="1"/>
      <c r="F680" s="76"/>
      <c r="G680" s="1"/>
      <c r="H680" s="1"/>
      <c r="J680" s="77"/>
      <c r="K680" s="80"/>
      <c r="L680" s="80"/>
      <c r="M680" s="80"/>
      <c r="N680" s="80"/>
      <c r="O680" s="80"/>
      <c r="P680" s="81"/>
      <c r="Q680" s="35" t="str">
        <f>IF(D680="","",VLOOKUP(MONTH(D680),Listas!$C$2:$D$14,2,0))</f>
        <v/>
      </c>
      <c r="R680" s="36" t="str">
        <f t="shared" si="22"/>
        <v/>
      </c>
      <c r="S680" s="37" t="str">
        <f t="shared" si="23"/>
        <v/>
      </c>
      <c r="T680" s="37" t="str">
        <f t="shared" si="24"/>
        <v/>
      </c>
      <c r="U680" s="37" t="str">
        <f t="shared" si="25"/>
        <v/>
      </c>
      <c r="V680" s="37" t="str">
        <f t="shared" si="26"/>
        <v/>
      </c>
      <c r="W680" s="37" t="str">
        <f t="shared" si="27"/>
        <v/>
      </c>
      <c r="X680" s="37" t="str">
        <f t="shared" si="28"/>
        <v/>
      </c>
      <c r="Y680" s="37" t="str">
        <f t="shared" si="29"/>
        <v/>
      </c>
      <c r="Z680" s="38" t="str">
        <f t="shared" si="30"/>
        <v/>
      </c>
      <c r="AA680" s="39" t="str">
        <f t="shared" si="31"/>
        <v/>
      </c>
    </row>
    <row r="681" ht="15.75" customHeight="1">
      <c r="B681" s="1"/>
      <c r="C681" s="28"/>
      <c r="D681" s="79"/>
      <c r="E681" s="1"/>
      <c r="F681" s="76"/>
      <c r="G681" s="1"/>
      <c r="H681" s="1"/>
      <c r="J681" s="77"/>
      <c r="K681" s="80"/>
      <c r="L681" s="80"/>
      <c r="M681" s="80"/>
      <c r="N681" s="80"/>
      <c r="O681" s="80"/>
      <c r="P681" s="81"/>
      <c r="Q681" s="35" t="str">
        <f>IF(D681="","",VLOOKUP(MONTH(D681),Listas!$C$2:$D$14,2,0))</f>
        <v/>
      </c>
      <c r="R681" s="36" t="str">
        <f t="shared" si="22"/>
        <v/>
      </c>
      <c r="S681" s="37" t="str">
        <f t="shared" si="23"/>
        <v/>
      </c>
      <c r="T681" s="37" t="str">
        <f t="shared" si="24"/>
        <v/>
      </c>
      <c r="U681" s="37" t="str">
        <f t="shared" si="25"/>
        <v/>
      </c>
      <c r="V681" s="37" t="str">
        <f t="shared" si="26"/>
        <v/>
      </c>
      <c r="W681" s="37" t="str">
        <f t="shared" si="27"/>
        <v/>
      </c>
      <c r="X681" s="37" t="str">
        <f t="shared" si="28"/>
        <v/>
      </c>
      <c r="Y681" s="37" t="str">
        <f t="shared" si="29"/>
        <v/>
      </c>
      <c r="Z681" s="38" t="str">
        <f t="shared" si="30"/>
        <v/>
      </c>
      <c r="AA681" s="39" t="str">
        <f t="shared" si="31"/>
        <v/>
      </c>
    </row>
    <row r="682" ht="15.75" customHeight="1">
      <c r="B682" s="1"/>
      <c r="C682" s="28"/>
      <c r="D682" s="79"/>
      <c r="E682" s="1"/>
      <c r="F682" s="76"/>
      <c r="G682" s="1"/>
      <c r="H682" s="1"/>
      <c r="J682" s="77"/>
      <c r="K682" s="80"/>
      <c r="L682" s="80"/>
      <c r="M682" s="80"/>
      <c r="N682" s="80"/>
      <c r="O682" s="80"/>
      <c r="P682" s="81"/>
      <c r="Q682" s="35" t="str">
        <f>IF(D682="","",VLOOKUP(MONTH(D682),Listas!$C$2:$D$14,2,0))</f>
        <v/>
      </c>
      <c r="R682" s="36" t="str">
        <f t="shared" si="22"/>
        <v/>
      </c>
      <c r="S682" s="37" t="str">
        <f t="shared" si="23"/>
        <v/>
      </c>
      <c r="T682" s="37" t="str">
        <f t="shared" si="24"/>
        <v/>
      </c>
      <c r="U682" s="37" t="str">
        <f t="shared" si="25"/>
        <v/>
      </c>
      <c r="V682" s="37" t="str">
        <f t="shared" si="26"/>
        <v/>
      </c>
      <c r="W682" s="37" t="str">
        <f t="shared" si="27"/>
        <v/>
      </c>
      <c r="X682" s="37" t="str">
        <f t="shared" si="28"/>
        <v/>
      </c>
      <c r="Y682" s="37" t="str">
        <f t="shared" si="29"/>
        <v/>
      </c>
      <c r="Z682" s="38" t="str">
        <f t="shared" si="30"/>
        <v/>
      </c>
      <c r="AA682" s="39" t="str">
        <f t="shared" si="31"/>
        <v/>
      </c>
    </row>
    <row r="683" ht="15.75" customHeight="1">
      <c r="B683" s="1"/>
      <c r="C683" s="28"/>
      <c r="D683" s="79"/>
      <c r="E683" s="1"/>
      <c r="F683" s="76"/>
      <c r="G683" s="1"/>
      <c r="H683" s="1"/>
      <c r="J683" s="77"/>
      <c r="K683" s="80"/>
      <c r="L683" s="80"/>
      <c r="M683" s="80"/>
      <c r="N683" s="80"/>
      <c r="O683" s="80"/>
      <c r="P683" s="81"/>
      <c r="Q683" s="35" t="str">
        <f>IF(D683="","",VLOOKUP(MONTH(D683),Listas!$C$2:$D$14,2,0))</f>
        <v/>
      </c>
      <c r="R683" s="36" t="str">
        <f t="shared" si="22"/>
        <v/>
      </c>
      <c r="S683" s="37" t="str">
        <f t="shared" si="23"/>
        <v/>
      </c>
      <c r="T683" s="37" t="str">
        <f t="shared" si="24"/>
        <v/>
      </c>
      <c r="U683" s="37" t="str">
        <f t="shared" si="25"/>
        <v/>
      </c>
      <c r="V683" s="37" t="str">
        <f t="shared" si="26"/>
        <v/>
      </c>
      <c r="W683" s="37" t="str">
        <f t="shared" si="27"/>
        <v/>
      </c>
      <c r="X683" s="37" t="str">
        <f t="shared" si="28"/>
        <v/>
      </c>
      <c r="Y683" s="37" t="str">
        <f t="shared" si="29"/>
        <v/>
      </c>
      <c r="Z683" s="38" t="str">
        <f t="shared" si="30"/>
        <v/>
      </c>
      <c r="AA683" s="39" t="str">
        <f t="shared" si="31"/>
        <v/>
      </c>
    </row>
    <row r="684" ht="15.75" customHeight="1">
      <c r="B684" s="1"/>
      <c r="C684" s="28"/>
      <c r="D684" s="79"/>
      <c r="E684" s="1"/>
      <c r="F684" s="76"/>
      <c r="G684" s="1"/>
      <c r="H684" s="1"/>
      <c r="J684" s="77"/>
      <c r="K684" s="80"/>
      <c r="L684" s="80"/>
      <c r="M684" s="80"/>
      <c r="N684" s="80"/>
      <c r="O684" s="80"/>
      <c r="P684" s="81"/>
      <c r="Q684" s="35" t="str">
        <f>IF(D684="","",VLOOKUP(MONTH(D684),Listas!$C$2:$D$14,2,0))</f>
        <v/>
      </c>
      <c r="R684" s="36" t="str">
        <f t="shared" si="22"/>
        <v/>
      </c>
      <c r="S684" s="37" t="str">
        <f t="shared" si="23"/>
        <v/>
      </c>
      <c r="T684" s="37" t="str">
        <f t="shared" si="24"/>
        <v/>
      </c>
      <c r="U684" s="37" t="str">
        <f t="shared" si="25"/>
        <v/>
      </c>
      <c r="V684" s="37" t="str">
        <f t="shared" si="26"/>
        <v/>
      </c>
      <c r="W684" s="37" t="str">
        <f t="shared" si="27"/>
        <v/>
      </c>
      <c r="X684" s="37" t="str">
        <f t="shared" si="28"/>
        <v/>
      </c>
      <c r="Y684" s="37" t="str">
        <f t="shared" si="29"/>
        <v/>
      </c>
      <c r="Z684" s="38" t="str">
        <f t="shared" si="30"/>
        <v/>
      </c>
      <c r="AA684" s="39" t="str">
        <f t="shared" si="31"/>
        <v/>
      </c>
    </row>
    <row r="685" ht="15.75" customHeight="1">
      <c r="B685" s="1"/>
      <c r="C685" s="28"/>
      <c r="D685" s="79"/>
      <c r="E685" s="1"/>
      <c r="F685" s="76"/>
      <c r="G685" s="1"/>
      <c r="H685" s="1"/>
      <c r="J685" s="77"/>
      <c r="K685" s="80"/>
      <c r="L685" s="80"/>
      <c r="M685" s="80"/>
      <c r="N685" s="80"/>
      <c r="O685" s="80"/>
      <c r="P685" s="81"/>
      <c r="Q685" s="35" t="str">
        <f>IF(D685="","",VLOOKUP(MONTH(D685),Listas!$C$2:$D$14,2,0))</f>
        <v/>
      </c>
      <c r="R685" s="36" t="str">
        <f t="shared" si="22"/>
        <v/>
      </c>
      <c r="S685" s="37" t="str">
        <f t="shared" si="23"/>
        <v/>
      </c>
      <c r="T685" s="37" t="str">
        <f t="shared" si="24"/>
        <v/>
      </c>
      <c r="U685" s="37" t="str">
        <f t="shared" si="25"/>
        <v/>
      </c>
      <c r="V685" s="37" t="str">
        <f t="shared" si="26"/>
        <v/>
      </c>
      <c r="W685" s="37" t="str">
        <f t="shared" si="27"/>
        <v/>
      </c>
      <c r="X685" s="37" t="str">
        <f t="shared" si="28"/>
        <v/>
      </c>
      <c r="Y685" s="37" t="str">
        <f t="shared" si="29"/>
        <v/>
      </c>
      <c r="Z685" s="38" t="str">
        <f t="shared" si="30"/>
        <v/>
      </c>
      <c r="AA685" s="39" t="str">
        <f t="shared" si="31"/>
        <v/>
      </c>
    </row>
    <row r="686" ht="15.75" customHeight="1">
      <c r="B686" s="1"/>
      <c r="C686" s="28"/>
      <c r="D686" s="79"/>
      <c r="E686" s="1"/>
      <c r="F686" s="76"/>
      <c r="G686" s="1"/>
      <c r="H686" s="1"/>
      <c r="J686" s="77"/>
      <c r="K686" s="80"/>
      <c r="L686" s="80"/>
      <c r="M686" s="80"/>
      <c r="N686" s="80"/>
      <c r="O686" s="80"/>
      <c r="P686" s="81"/>
      <c r="Q686" s="35" t="str">
        <f>IF(D686="","",VLOOKUP(MONTH(D686),Listas!$C$2:$D$14,2,0))</f>
        <v/>
      </c>
      <c r="R686" s="36" t="str">
        <f t="shared" si="22"/>
        <v/>
      </c>
      <c r="S686" s="37" t="str">
        <f t="shared" si="23"/>
        <v/>
      </c>
      <c r="T686" s="37" t="str">
        <f t="shared" si="24"/>
        <v/>
      </c>
      <c r="U686" s="37" t="str">
        <f t="shared" si="25"/>
        <v/>
      </c>
      <c r="V686" s="37" t="str">
        <f t="shared" si="26"/>
        <v/>
      </c>
      <c r="W686" s="37" t="str">
        <f t="shared" si="27"/>
        <v/>
      </c>
      <c r="X686" s="37" t="str">
        <f t="shared" si="28"/>
        <v/>
      </c>
      <c r="Y686" s="37" t="str">
        <f t="shared" si="29"/>
        <v/>
      </c>
      <c r="Z686" s="38" t="str">
        <f t="shared" si="30"/>
        <v/>
      </c>
      <c r="AA686" s="39" t="str">
        <f t="shared" si="31"/>
        <v/>
      </c>
    </row>
    <row r="687" ht="15.75" customHeight="1">
      <c r="B687" s="1"/>
      <c r="C687" s="28"/>
      <c r="D687" s="79"/>
      <c r="E687" s="1"/>
      <c r="F687" s="76"/>
      <c r="G687" s="1"/>
      <c r="H687" s="1"/>
      <c r="J687" s="77"/>
      <c r="K687" s="80"/>
      <c r="L687" s="80"/>
      <c r="M687" s="80"/>
      <c r="N687" s="80"/>
      <c r="O687" s="80"/>
      <c r="P687" s="81"/>
      <c r="Q687" s="35" t="str">
        <f>IF(D687="","",VLOOKUP(MONTH(D687),Listas!$C$2:$D$14,2,0))</f>
        <v/>
      </c>
      <c r="R687" s="36" t="str">
        <f t="shared" si="22"/>
        <v/>
      </c>
      <c r="S687" s="37" t="str">
        <f t="shared" si="23"/>
        <v/>
      </c>
      <c r="T687" s="37" t="str">
        <f t="shared" si="24"/>
        <v/>
      </c>
      <c r="U687" s="37" t="str">
        <f t="shared" si="25"/>
        <v/>
      </c>
      <c r="V687" s="37" t="str">
        <f t="shared" si="26"/>
        <v/>
      </c>
      <c r="W687" s="37" t="str">
        <f t="shared" si="27"/>
        <v/>
      </c>
      <c r="X687" s="37" t="str">
        <f t="shared" si="28"/>
        <v/>
      </c>
      <c r="Y687" s="37" t="str">
        <f t="shared" si="29"/>
        <v/>
      </c>
      <c r="Z687" s="38" t="str">
        <f t="shared" si="30"/>
        <v/>
      </c>
      <c r="AA687" s="39" t="str">
        <f t="shared" si="31"/>
        <v/>
      </c>
    </row>
    <row r="688" ht="15.75" customHeight="1">
      <c r="B688" s="1"/>
      <c r="C688" s="28"/>
      <c r="D688" s="79"/>
      <c r="E688" s="1"/>
      <c r="F688" s="76"/>
      <c r="G688" s="1"/>
      <c r="H688" s="1"/>
      <c r="J688" s="77"/>
      <c r="K688" s="80"/>
      <c r="L688" s="80"/>
      <c r="M688" s="80"/>
      <c r="N688" s="80"/>
      <c r="O688" s="80"/>
      <c r="P688" s="81"/>
      <c r="Q688" s="35" t="str">
        <f>IF(D688="","",VLOOKUP(MONTH(D688),Listas!$C$2:$D$14,2,0))</f>
        <v/>
      </c>
      <c r="R688" s="36" t="str">
        <f t="shared" si="22"/>
        <v/>
      </c>
      <c r="S688" s="37" t="str">
        <f t="shared" si="23"/>
        <v/>
      </c>
      <c r="T688" s="37" t="str">
        <f t="shared" si="24"/>
        <v/>
      </c>
      <c r="U688" s="37" t="str">
        <f t="shared" si="25"/>
        <v/>
      </c>
      <c r="V688" s="37" t="str">
        <f t="shared" si="26"/>
        <v/>
      </c>
      <c r="W688" s="37" t="str">
        <f t="shared" si="27"/>
        <v/>
      </c>
      <c r="X688" s="37" t="str">
        <f t="shared" si="28"/>
        <v/>
      </c>
      <c r="Y688" s="37" t="str">
        <f t="shared" si="29"/>
        <v/>
      </c>
      <c r="Z688" s="38" t="str">
        <f t="shared" si="30"/>
        <v/>
      </c>
      <c r="AA688" s="39" t="str">
        <f t="shared" si="31"/>
        <v/>
      </c>
    </row>
    <row r="689" ht="15.75" customHeight="1">
      <c r="B689" s="1"/>
      <c r="C689" s="28"/>
      <c r="D689" s="79"/>
      <c r="E689" s="1"/>
      <c r="F689" s="76"/>
      <c r="G689" s="1"/>
      <c r="H689" s="1"/>
      <c r="J689" s="77"/>
      <c r="K689" s="80"/>
      <c r="L689" s="80"/>
      <c r="M689" s="80"/>
      <c r="N689" s="80"/>
      <c r="O689" s="80"/>
      <c r="P689" s="81"/>
      <c r="Q689" s="35" t="str">
        <f>IF(D689="","",VLOOKUP(MONTH(D689),Listas!$C$2:$D$14,2,0))</f>
        <v/>
      </c>
      <c r="R689" s="36" t="str">
        <f t="shared" si="22"/>
        <v/>
      </c>
      <c r="S689" s="37" t="str">
        <f t="shared" si="23"/>
        <v/>
      </c>
      <c r="T689" s="37" t="str">
        <f t="shared" si="24"/>
        <v/>
      </c>
      <c r="U689" s="37" t="str">
        <f t="shared" si="25"/>
        <v/>
      </c>
      <c r="V689" s="37" t="str">
        <f t="shared" si="26"/>
        <v/>
      </c>
      <c r="W689" s="37" t="str">
        <f t="shared" si="27"/>
        <v/>
      </c>
      <c r="X689" s="37" t="str">
        <f t="shared" si="28"/>
        <v/>
      </c>
      <c r="Y689" s="37" t="str">
        <f t="shared" si="29"/>
        <v/>
      </c>
      <c r="Z689" s="38" t="str">
        <f t="shared" si="30"/>
        <v/>
      </c>
      <c r="AA689" s="39" t="str">
        <f t="shared" si="31"/>
        <v/>
      </c>
    </row>
    <row r="690" ht="15.75" customHeight="1">
      <c r="B690" s="1"/>
      <c r="C690" s="28"/>
      <c r="D690" s="79"/>
      <c r="E690" s="1"/>
      <c r="F690" s="76"/>
      <c r="G690" s="1"/>
      <c r="H690" s="1"/>
      <c r="J690" s="77"/>
      <c r="K690" s="80"/>
      <c r="L690" s="80"/>
      <c r="M690" s="80"/>
      <c r="N690" s="80"/>
      <c r="O690" s="80"/>
      <c r="P690" s="81"/>
      <c r="Q690" s="35" t="str">
        <f>IF(D690="","",VLOOKUP(MONTH(D690),Listas!$C$2:$D$14,2,0))</f>
        <v/>
      </c>
      <c r="R690" s="36" t="str">
        <f t="shared" si="22"/>
        <v/>
      </c>
      <c r="S690" s="37" t="str">
        <f t="shared" si="23"/>
        <v/>
      </c>
      <c r="T690" s="37" t="str">
        <f t="shared" si="24"/>
        <v/>
      </c>
      <c r="U690" s="37" t="str">
        <f t="shared" si="25"/>
        <v/>
      </c>
      <c r="V690" s="37" t="str">
        <f t="shared" si="26"/>
        <v/>
      </c>
      <c r="W690" s="37" t="str">
        <f t="shared" si="27"/>
        <v/>
      </c>
      <c r="X690" s="37" t="str">
        <f t="shared" si="28"/>
        <v/>
      </c>
      <c r="Y690" s="37" t="str">
        <f t="shared" si="29"/>
        <v/>
      </c>
      <c r="Z690" s="38" t="str">
        <f t="shared" si="30"/>
        <v/>
      </c>
      <c r="AA690" s="39" t="str">
        <f t="shared" si="31"/>
        <v/>
      </c>
    </row>
    <row r="691" ht="15.75" customHeight="1">
      <c r="B691" s="1"/>
      <c r="C691" s="28"/>
      <c r="D691" s="79"/>
      <c r="E691" s="1"/>
      <c r="F691" s="76"/>
      <c r="G691" s="1"/>
      <c r="H691" s="1"/>
      <c r="J691" s="77"/>
      <c r="K691" s="80"/>
      <c r="L691" s="80"/>
      <c r="M691" s="80"/>
      <c r="N691" s="80"/>
      <c r="O691" s="80"/>
      <c r="P691" s="81"/>
      <c r="Q691" s="35" t="str">
        <f>IF(D691="","",VLOOKUP(MONTH(D691),Listas!$C$2:$D$14,2,0))</f>
        <v/>
      </c>
      <c r="R691" s="36" t="str">
        <f t="shared" si="22"/>
        <v/>
      </c>
      <c r="S691" s="37" t="str">
        <f t="shared" si="23"/>
        <v/>
      </c>
      <c r="T691" s="37" t="str">
        <f t="shared" si="24"/>
        <v/>
      </c>
      <c r="U691" s="37" t="str">
        <f t="shared" si="25"/>
        <v/>
      </c>
      <c r="V691" s="37" t="str">
        <f t="shared" si="26"/>
        <v/>
      </c>
      <c r="W691" s="37" t="str">
        <f t="shared" si="27"/>
        <v/>
      </c>
      <c r="X691" s="37" t="str">
        <f t="shared" si="28"/>
        <v/>
      </c>
      <c r="Y691" s="37" t="str">
        <f t="shared" si="29"/>
        <v/>
      </c>
      <c r="Z691" s="38" t="str">
        <f t="shared" si="30"/>
        <v/>
      </c>
      <c r="AA691" s="39" t="str">
        <f t="shared" si="31"/>
        <v/>
      </c>
    </row>
    <row r="692" ht="15.75" customHeight="1">
      <c r="B692" s="1"/>
      <c r="C692" s="28"/>
      <c r="D692" s="79"/>
      <c r="E692" s="1"/>
      <c r="F692" s="76"/>
      <c r="G692" s="1"/>
      <c r="H692" s="1"/>
      <c r="J692" s="77"/>
      <c r="K692" s="80"/>
      <c r="L692" s="80"/>
      <c r="M692" s="80"/>
      <c r="N692" s="80"/>
      <c r="O692" s="80"/>
      <c r="P692" s="81"/>
      <c r="Q692" s="35" t="str">
        <f>IF(D692="","",VLOOKUP(MONTH(D692),Listas!$C$2:$D$14,2,0))</f>
        <v/>
      </c>
      <c r="R692" s="36" t="str">
        <f t="shared" si="22"/>
        <v/>
      </c>
      <c r="S692" s="37" t="str">
        <f t="shared" si="23"/>
        <v/>
      </c>
      <c r="T692" s="37" t="str">
        <f t="shared" si="24"/>
        <v/>
      </c>
      <c r="U692" s="37" t="str">
        <f t="shared" si="25"/>
        <v/>
      </c>
      <c r="V692" s="37" t="str">
        <f t="shared" si="26"/>
        <v/>
      </c>
      <c r="W692" s="37" t="str">
        <f t="shared" si="27"/>
        <v/>
      </c>
      <c r="X692" s="37" t="str">
        <f t="shared" si="28"/>
        <v/>
      </c>
      <c r="Y692" s="37" t="str">
        <f t="shared" si="29"/>
        <v/>
      </c>
      <c r="Z692" s="38" t="str">
        <f t="shared" si="30"/>
        <v/>
      </c>
      <c r="AA692" s="39" t="str">
        <f t="shared" si="31"/>
        <v/>
      </c>
    </row>
    <row r="693" ht="15.75" customHeight="1">
      <c r="B693" s="1"/>
      <c r="C693" s="28"/>
      <c r="D693" s="79"/>
      <c r="E693" s="1"/>
      <c r="F693" s="76"/>
      <c r="G693" s="1"/>
      <c r="H693" s="1"/>
      <c r="J693" s="77"/>
      <c r="K693" s="80"/>
      <c r="L693" s="80"/>
      <c r="M693" s="80"/>
      <c r="N693" s="80"/>
      <c r="O693" s="80"/>
      <c r="P693" s="81"/>
      <c r="Q693" s="35" t="str">
        <f>IF(D693="","",VLOOKUP(MONTH(D693),Listas!$C$2:$D$14,2,0))</f>
        <v/>
      </c>
      <c r="R693" s="36" t="str">
        <f t="shared" si="22"/>
        <v/>
      </c>
      <c r="S693" s="37" t="str">
        <f t="shared" si="23"/>
        <v/>
      </c>
      <c r="T693" s="37" t="str">
        <f t="shared" si="24"/>
        <v/>
      </c>
      <c r="U693" s="37" t="str">
        <f t="shared" si="25"/>
        <v/>
      </c>
      <c r="V693" s="37" t="str">
        <f t="shared" si="26"/>
        <v/>
      </c>
      <c r="W693" s="37" t="str">
        <f t="shared" si="27"/>
        <v/>
      </c>
      <c r="X693" s="37" t="str">
        <f t="shared" si="28"/>
        <v/>
      </c>
      <c r="Y693" s="37" t="str">
        <f t="shared" si="29"/>
        <v/>
      </c>
      <c r="Z693" s="38" t="str">
        <f t="shared" si="30"/>
        <v/>
      </c>
      <c r="AA693" s="39" t="str">
        <f t="shared" si="31"/>
        <v/>
      </c>
    </row>
    <row r="694" ht="15.75" customHeight="1">
      <c r="B694" s="1"/>
      <c r="C694" s="28"/>
      <c r="D694" s="79"/>
      <c r="E694" s="1"/>
      <c r="F694" s="76"/>
      <c r="G694" s="1"/>
      <c r="H694" s="1"/>
      <c r="J694" s="77"/>
      <c r="K694" s="80"/>
      <c r="L694" s="80"/>
      <c r="M694" s="80"/>
      <c r="N694" s="80"/>
      <c r="O694" s="80"/>
      <c r="P694" s="81"/>
      <c r="Q694" s="35" t="str">
        <f>IF(D694="","",VLOOKUP(MONTH(D694),Listas!$C$2:$D$14,2,0))</f>
        <v/>
      </c>
      <c r="R694" s="36" t="str">
        <f t="shared" si="22"/>
        <v/>
      </c>
      <c r="S694" s="37" t="str">
        <f t="shared" si="23"/>
        <v/>
      </c>
      <c r="T694" s="37" t="str">
        <f t="shared" si="24"/>
        <v/>
      </c>
      <c r="U694" s="37" t="str">
        <f t="shared" si="25"/>
        <v/>
      </c>
      <c r="V694" s="37" t="str">
        <f t="shared" si="26"/>
        <v/>
      </c>
      <c r="W694" s="37" t="str">
        <f t="shared" si="27"/>
        <v/>
      </c>
      <c r="X694" s="37" t="str">
        <f t="shared" si="28"/>
        <v/>
      </c>
      <c r="Y694" s="37" t="str">
        <f t="shared" si="29"/>
        <v/>
      </c>
      <c r="Z694" s="38" t="str">
        <f t="shared" si="30"/>
        <v/>
      </c>
      <c r="AA694" s="39" t="str">
        <f t="shared" si="31"/>
        <v/>
      </c>
    </row>
    <row r="695" ht="15.75" customHeight="1">
      <c r="B695" s="1"/>
      <c r="C695" s="28"/>
      <c r="D695" s="79"/>
      <c r="E695" s="1"/>
      <c r="F695" s="76"/>
      <c r="G695" s="1"/>
      <c r="H695" s="1"/>
      <c r="J695" s="77"/>
      <c r="K695" s="80"/>
      <c r="L695" s="80"/>
      <c r="M695" s="80"/>
      <c r="N695" s="80"/>
      <c r="O695" s="80"/>
      <c r="P695" s="81"/>
      <c r="Q695" s="35" t="str">
        <f>IF(D695="","",VLOOKUP(MONTH(D695),Listas!$C$2:$D$14,2,0))</f>
        <v/>
      </c>
      <c r="R695" s="36" t="str">
        <f t="shared" si="22"/>
        <v/>
      </c>
      <c r="S695" s="37" t="str">
        <f t="shared" si="23"/>
        <v/>
      </c>
      <c r="T695" s="37" t="str">
        <f t="shared" si="24"/>
        <v/>
      </c>
      <c r="U695" s="37" t="str">
        <f t="shared" si="25"/>
        <v/>
      </c>
      <c r="V695" s="37" t="str">
        <f t="shared" si="26"/>
        <v/>
      </c>
      <c r="W695" s="37" t="str">
        <f t="shared" si="27"/>
        <v/>
      </c>
      <c r="X695" s="37" t="str">
        <f t="shared" si="28"/>
        <v/>
      </c>
      <c r="Y695" s="37" t="str">
        <f t="shared" si="29"/>
        <v/>
      </c>
      <c r="Z695" s="38" t="str">
        <f t="shared" si="30"/>
        <v/>
      </c>
      <c r="AA695" s="39" t="str">
        <f t="shared" si="31"/>
        <v/>
      </c>
    </row>
    <row r="696" ht="15.75" customHeight="1">
      <c r="B696" s="1"/>
      <c r="C696" s="28"/>
      <c r="D696" s="79"/>
      <c r="E696" s="1"/>
      <c r="F696" s="76"/>
      <c r="G696" s="1"/>
      <c r="H696" s="1"/>
      <c r="J696" s="77"/>
      <c r="K696" s="80"/>
      <c r="L696" s="80"/>
      <c r="M696" s="80"/>
      <c r="N696" s="80"/>
      <c r="O696" s="80"/>
      <c r="P696" s="81"/>
      <c r="Q696" s="35" t="str">
        <f>IF(D696="","",VLOOKUP(MONTH(D696),Listas!$C$2:$D$14,2,0))</f>
        <v/>
      </c>
      <c r="R696" s="36" t="str">
        <f t="shared" si="22"/>
        <v/>
      </c>
      <c r="S696" s="37" t="str">
        <f t="shared" si="23"/>
        <v/>
      </c>
      <c r="T696" s="37" t="str">
        <f t="shared" si="24"/>
        <v/>
      </c>
      <c r="U696" s="37" t="str">
        <f t="shared" si="25"/>
        <v/>
      </c>
      <c r="V696" s="37" t="str">
        <f t="shared" si="26"/>
        <v/>
      </c>
      <c r="W696" s="37" t="str">
        <f t="shared" si="27"/>
        <v/>
      </c>
      <c r="X696" s="37" t="str">
        <f t="shared" si="28"/>
        <v/>
      </c>
      <c r="Y696" s="37" t="str">
        <f t="shared" si="29"/>
        <v/>
      </c>
      <c r="Z696" s="38" t="str">
        <f t="shared" si="30"/>
        <v/>
      </c>
      <c r="AA696" s="39" t="str">
        <f t="shared" si="31"/>
        <v/>
      </c>
    </row>
    <row r="697" ht="15.75" customHeight="1">
      <c r="B697" s="1"/>
      <c r="C697" s="28"/>
      <c r="D697" s="79"/>
      <c r="E697" s="1"/>
      <c r="F697" s="76"/>
      <c r="G697" s="1"/>
      <c r="H697" s="1"/>
      <c r="J697" s="77"/>
      <c r="K697" s="80"/>
      <c r="L697" s="80"/>
      <c r="M697" s="80"/>
      <c r="N697" s="80"/>
      <c r="O697" s="80"/>
      <c r="P697" s="81"/>
      <c r="Q697" s="35" t="str">
        <f>IF(D697="","",VLOOKUP(MONTH(D697),Listas!$C$2:$D$14,2,0))</f>
        <v/>
      </c>
      <c r="R697" s="36" t="str">
        <f t="shared" si="22"/>
        <v/>
      </c>
      <c r="S697" s="37" t="str">
        <f t="shared" si="23"/>
        <v/>
      </c>
      <c r="T697" s="37" t="str">
        <f t="shared" si="24"/>
        <v/>
      </c>
      <c r="U697" s="37" t="str">
        <f t="shared" si="25"/>
        <v/>
      </c>
      <c r="V697" s="37" t="str">
        <f t="shared" si="26"/>
        <v/>
      </c>
      <c r="W697" s="37" t="str">
        <f t="shared" si="27"/>
        <v/>
      </c>
      <c r="X697" s="37" t="str">
        <f t="shared" si="28"/>
        <v/>
      </c>
      <c r="Y697" s="37" t="str">
        <f t="shared" si="29"/>
        <v/>
      </c>
      <c r="Z697" s="38" t="str">
        <f t="shared" si="30"/>
        <v/>
      </c>
      <c r="AA697" s="39" t="str">
        <f t="shared" si="31"/>
        <v/>
      </c>
    </row>
    <row r="698" ht="15.75" customHeight="1">
      <c r="B698" s="1"/>
      <c r="C698" s="28"/>
      <c r="D698" s="79"/>
      <c r="E698" s="1"/>
      <c r="F698" s="76"/>
      <c r="G698" s="1"/>
      <c r="H698" s="1"/>
      <c r="J698" s="77"/>
      <c r="K698" s="80"/>
      <c r="L698" s="80"/>
      <c r="M698" s="80"/>
      <c r="N698" s="80"/>
      <c r="O698" s="80"/>
      <c r="P698" s="81"/>
      <c r="Q698" s="35" t="str">
        <f>IF(D698="","",VLOOKUP(MONTH(D698),Listas!$C$2:$D$14,2,0))</f>
        <v/>
      </c>
      <c r="R698" s="36" t="str">
        <f t="shared" si="22"/>
        <v/>
      </c>
      <c r="S698" s="37" t="str">
        <f t="shared" si="23"/>
        <v/>
      </c>
      <c r="T698" s="37" t="str">
        <f t="shared" si="24"/>
        <v/>
      </c>
      <c r="U698" s="37" t="str">
        <f t="shared" si="25"/>
        <v/>
      </c>
      <c r="V698" s="37" t="str">
        <f t="shared" si="26"/>
        <v/>
      </c>
      <c r="W698" s="37" t="str">
        <f t="shared" si="27"/>
        <v/>
      </c>
      <c r="X698" s="37" t="str">
        <f t="shared" si="28"/>
        <v/>
      </c>
      <c r="Y698" s="37" t="str">
        <f t="shared" si="29"/>
        <v/>
      </c>
      <c r="Z698" s="38" t="str">
        <f t="shared" si="30"/>
        <v/>
      </c>
      <c r="AA698" s="39" t="str">
        <f t="shared" si="31"/>
        <v/>
      </c>
    </row>
    <row r="699" ht="15.75" customHeight="1">
      <c r="B699" s="1"/>
      <c r="C699" s="28"/>
      <c r="D699" s="79"/>
      <c r="E699" s="1"/>
      <c r="F699" s="76"/>
      <c r="G699" s="1"/>
      <c r="H699" s="1"/>
      <c r="J699" s="77"/>
      <c r="K699" s="80"/>
      <c r="L699" s="80"/>
      <c r="M699" s="80"/>
      <c r="N699" s="80"/>
      <c r="O699" s="80"/>
      <c r="P699" s="81"/>
      <c r="Q699" s="35" t="str">
        <f>IF(D699="","",VLOOKUP(MONTH(D699),Listas!$C$2:$D$14,2,0))</f>
        <v/>
      </c>
      <c r="R699" s="36" t="str">
        <f t="shared" si="22"/>
        <v/>
      </c>
      <c r="S699" s="37" t="str">
        <f t="shared" si="23"/>
        <v/>
      </c>
      <c r="T699" s="37" t="str">
        <f t="shared" si="24"/>
        <v/>
      </c>
      <c r="U699" s="37" t="str">
        <f t="shared" si="25"/>
        <v/>
      </c>
      <c r="V699" s="37" t="str">
        <f t="shared" si="26"/>
        <v/>
      </c>
      <c r="W699" s="37" t="str">
        <f t="shared" si="27"/>
        <v/>
      </c>
      <c r="X699" s="37" t="str">
        <f t="shared" si="28"/>
        <v/>
      </c>
      <c r="Y699" s="37" t="str">
        <f t="shared" si="29"/>
        <v/>
      </c>
      <c r="Z699" s="38" t="str">
        <f t="shared" si="30"/>
        <v/>
      </c>
      <c r="AA699" s="39" t="str">
        <f t="shared" si="31"/>
        <v/>
      </c>
    </row>
    <row r="700" ht="15.75" customHeight="1">
      <c r="B700" s="1"/>
      <c r="C700" s="28"/>
      <c r="D700" s="79"/>
      <c r="E700" s="1"/>
      <c r="F700" s="76"/>
      <c r="G700" s="1"/>
      <c r="H700" s="1"/>
      <c r="J700" s="77"/>
      <c r="K700" s="80"/>
      <c r="L700" s="80"/>
      <c r="M700" s="80"/>
      <c r="N700" s="80"/>
      <c r="O700" s="80"/>
      <c r="P700" s="81"/>
      <c r="Q700" s="35" t="str">
        <f>IF(D700="","",VLOOKUP(MONTH(D700),Listas!$C$2:$D$14,2,0))</f>
        <v/>
      </c>
      <c r="R700" s="36" t="str">
        <f t="shared" si="22"/>
        <v/>
      </c>
      <c r="S700" s="37" t="str">
        <f t="shared" si="23"/>
        <v/>
      </c>
      <c r="T700" s="37" t="str">
        <f t="shared" si="24"/>
        <v/>
      </c>
      <c r="U700" s="37" t="str">
        <f t="shared" si="25"/>
        <v/>
      </c>
      <c r="V700" s="37" t="str">
        <f t="shared" si="26"/>
        <v/>
      </c>
      <c r="W700" s="37" t="str">
        <f t="shared" si="27"/>
        <v/>
      </c>
      <c r="X700" s="37" t="str">
        <f t="shared" si="28"/>
        <v/>
      </c>
      <c r="Y700" s="37" t="str">
        <f t="shared" si="29"/>
        <v/>
      </c>
      <c r="Z700" s="38" t="str">
        <f t="shared" si="30"/>
        <v/>
      </c>
      <c r="AA700" s="39" t="str">
        <f t="shared" si="31"/>
        <v/>
      </c>
    </row>
    <row r="701" ht="15.75" customHeight="1">
      <c r="B701" s="1"/>
      <c r="C701" s="28"/>
      <c r="D701" s="79"/>
      <c r="E701" s="1"/>
      <c r="F701" s="76"/>
      <c r="G701" s="1"/>
      <c r="H701" s="1"/>
      <c r="J701" s="77"/>
      <c r="K701" s="80"/>
      <c r="L701" s="80"/>
      <c r="M701" s="80"/>
      <c r="N701" s="80"/>
      <c r="O701" s="80"/>
      <c r="P701" s="81"/>
      <c r="Q701" s="35" t="str">
        <f>IF(D701="","",VLOOKUP(MONTH(D701),Listas!$C$2:$D$14,2,0))</f>
        <v/>
      </c>
      <c r="R701" s="36" t="str">
        <f t="shared" si="22"/>
        <v/>
      </c>
      <c r="S701" s="37" t="str">
        <f t="shared" si="23"/>
        <v/>
      </c>
      <c r="T701" s="37" t="str">
        <f t="shared" si="24"/>
        <v/>
      </c>
      <c r="U701" s="37" t="str">
        <f t="shared" si="25"/>
        <v/>
      </c>
      <c r="V701" s="37" t="str">
        <f t="shared" si="26"/>
        <v/>
      </c>
      <c r="W701" s="37" t="str">
        <f t="shared" si="27"/>
        <v/>
      </c>
      <c r="X701" s="37" t="str">
        <f t="shared" si="28"/>
        <v/>
      </c>
      <c r="Y701" s="37" t="str">
        <f t="shared" si="29"/>
        <v/>
      </c>
      <c r="Z701" s="38" t="str">
        <f t="shared" si="30"/>
        <v/>
      </c>
      <c r="AA701" s="39" t="str">
        <f t="shared" si="31"/>
        <v/>
      </c>
    </row>
    <row r="702" ht="15.75" customHeight="1">
      <c r="B702" s="1"/>
      <c r="C702" s="28"/>
      <c r="D702" s="79"/>
      <c r="E702" s="1"/>
      <c r="F702" s="76"/>
      <c r="G702" s="1"/>
      <c r="H702" s="1"/>
      <c r="J702" s="77"/>
      <c r="K702" s="80"/>
      <c r="L702" s="80"/>
      <c r="M702" s="80"/>
      <c r="N702" s="80"/>
      <c r="O702" s="80"/>
      <c r="P702" s="81"/>
      <c r="Q702" s="35" t="str">
        <f>IF(D702="","",VLOOKUP(MONTH(D702),Listas!$C$2:$D$14,2,0))</f>
        <v/>
      </c>
      <c r="R702" s="36" t="str">
        <f t="shared" si="22"/>
        <v/>
      </c>
      <c r="S702" s="37" t="str">
        <f t="shared" si="23"/>
        <v/>
      </c>
      <c r="T702" s="37" t="str">
        <f t="shared" si="24"/>
        <v/>
      </c>
      <c r="U702" s="37" t="str">
        <f t="shared" si="25"/>
        <v/>
      </c>
      <c r="V702" s="37" t="str">
        <f t="shared" si="26"/>
        <v/>
      </c>
      <c r="W702" s="37" t="str">
        <f t="shared" si="27"/>
        <v/>
      </c>
      <c r="X702" s="37" t="str">
        <f t="shared" si="28"/>
        <v/>
      </c>
      <c r="Y702" s="37" t="str">
        <f t="shared" si="29"/>
        <v/>
      </c>
      <c r="Z702" s="38" t="str">
        <f t="shared" si="30"/>
        <v/>
      </c>
      <c r="AA702" s="39" t="str">
        <f t="shared" si="31"/>
        <v/>
      </c>
    </row>
    <row r="703" ht="15.75" customHeight="1">
      <c r="B703" s="1"/>
      <c r="C703" s="28"/>
      <c r="D703" s="79"/>
      <c r="E703" s="1"/>
      <c r="F703" s="76"/>
      <c r="G703" s="1"/>
      <c r="H703" s="1"/>
      <c r="J703" s="77"/>
      <c r="K703" s="80"/>
      <c r="L703" s="80"/>
      <c r="M703" s="80"/>
      <c r="N703" s="80"/>
      <c r="O703" s="80"/>
      <c r="P703" s="81"/>
      <c r="Q703" s="35" t="str">
        <f>IF(D703="","",VLOOKUP(MONTH(D703),Listas!$C$2:$D$14,2,0))</f>
        <v/>
      </c>
      <c r="R703" s="36" t="str">
        <f t="shared" si="22"/>
        <v/>
      </c>
      <c r="S703" s="37" t="str">
        <f t="shared" si="23"/>
        <v/>
      </c>
      <c r="T703" s="37" t="str">
        <f t="shared" si="24"/>
        <v/>
      </c>
      <c r="U703" s="37" t="str">
        <f t="shared" si="25"/>
        <v/>
      </c>
      <c r="V703" s="37" t="str">
        <f t="shared" si="26"/>
        <v/>
      </c>
      <c r="W703" s="37" t="str">
        <f t="shared" si="27"/>
        <v/>
      </c>
      <c r="X703" s="37" t="str">
        <f t="shared" si="28"/>
        <v/>
      </c>
      <c r="Y703" s="37" t="str">
        <f t="shared" si="29"/>
        <v/>
      </c>
      <c r="Z703" s="38" t="str">
        <f t="shared" si="30"/>
        <v/>
      </c>
      <c r="AA703" s="39" t="str">
        <f t="shared" si="31"/>
        <v/>
      </c>
    </row>
    <row r="704" ht="15.75" customHeight="1">
      <c r="B704" s="1"/>
      <c r="C704" s="28"/>
      <c r="D704" s="79"/>
      <c r="E704" s="1"/>
      <c r="F704" s="76"/>
      <c r="G704" s="1"/>
      <c r="H704" s="1"/>
      <c r="J704" s="77"/>
      <c r="K704" s="80"/>
      <c r="L704" s="80"/>
      <c r="M704" s="80"/>
      <c r="N704" s="80"/>
      <c r="O704" s="80"/>
      <c r="P704" s="81"/>
      <c r="Q704" s="35" t="str">
        <f>IF(D704="","",VLOOKUP(MONTH(D704),Listas!$C$2:$D$14,2,0))</f>
        <v/>
      </c>
      <c r="R704" s="36" t="str">
        <f t="shared" si="22"/>
        <v/>
      </c>
      <c r="S704" s="37" t="str">
        <f t="shared" si="23"/>
        <v/>
      </c>
      <c r="T704" s="37" t="str">
        <f t="shared" si="24"/>
        <v/>
      </c>
      <c r="U704" s="37" t="str">
        <f t="shared" si="25"/>
        <v/>
      </c>
      <c r="V704" s="37" t="str">
        <f t="shared" si="26"/>
        <v/>
      </c>
      <c r="W704" s="37" t="str">
        <f t="shared" si="27"/>
        <v/>
      </c>
      <c r="X704" s="37" t="str">
        <f t="shared" si="28"/>
        <v/>
      </c>
      <c r="Y704" s="37" t="str">
        <f t="shared" si="29"/>
        <v/>
      </c>
      <c r="Z704" s="38" t="str">
        <f t="shared" si="30"/>
        <v/>
      </c>
      <c r="AA704" s="39" t="str">
        <f t="shared" si="31"/>
        <v/>
      </c>
    </row>
    <row r="705" ht="15.75" customHeight="1">
      <c r="B705" s="1"/>
      <c r="C705" s="28"/>
      <c r="D705" s="79"/>
      <c r="E705" s="1"/>
      <c r="F705" s="76"/>
      <c r="G705" s="1"/>
      <c r="H705" s="1"/>
      <c r="J705" s="77"/>
      <c r="K705" s="80"/>
      <c r="L705" s="80"/>
      <c r="M705" s="80"/>
      <c r="N705" s="80"/>
      <c r="O705" s="80"/>
      <c r="P705" s="81"/>
      <c r="Q705" s="35" t="str">
        <f>IF(D705="","",VLOOKUP(MONTH(D705),Listas!$C$2:$D$14,2,0))</f>
        <v/>
      </c>
      <c r="R705" s="36" t="str">
        <f t="shared" si="22"/>
        <v/>
      </c>
      <c r="S705" s="37" t="str">
        <f t="shared" si="23"/>
        <v/>
      </c>
      <c r="T705" s="37" t="str">
        <f t="shared" si="24"/>
        <v/>
      </c>
      <c r="U705" s="37" t="str">
        <f t="shared" si="25"/>
        <v/>
      </c>
      <c r="V705" s="37" t="str">
        <f t="shared" si="26"/>
        <v/>
      </c>
      <c r="W705" s="37" t="str">
        <f t="shared" si="27"/>
        <v/>
      </c>
      <c r="X705" s="37" t="str">
        <f t="shared" si="28"/>
        <v/>
      </c>
      <c r="Y705" s="37" t="str">
        <f t="shared" si="29"/>
        <v/>
      </c>
      <c r="Z705" s="38" t="str">
        <f t="shared" si="30"/>
        <v/>
      </c>
      <c r="AA705" s="39" t="str">
        <f t="shared" si="31"/>
        <v/>
      </c>
    </row>
    <row r="706" ht="15.75" customHeight="1">
      <c r="B706" s="1"/>
      <c r="C706" s="28"/>
      <c r="D706" s="79"/>
      <c r="E706" s="1"/>
      <c r="F706" s="76"/>
      <c r="G706" s="1"/>
      <c r="H706" s="1"/>
      <c r="J706" s="77"/>
      <c r="K706" s="80"/>
      <c r="L706" s="80"/>
      <c r="M706" s="80"/>
      <c r="N706" s="80"/>
      <c r="O706" s="80"/>
      <c r="P706" s="81"/>
      <c r="Q706" s="35" t="str">
        <f>IF(D706="","",VLOOKUP(MONTH(D706),Listas!$C$2:$D$14,2,0))</f>
        <v/>
      </c>
      <c r="R706" s="36" t="str">
        <f t="shared" si="22"/>
        <v/>
      </c>
      <c r="S706" s="37" t="str">
        <f t="shared" si="23"/>
        <v/>
      </c>
      <c r="T706" s="37" t="str">
        <f t="shared" si="24"/>
        <v/>
      </c>
      <c r="U706" s="37" t="str">
        <f t="shared" si="25"/>
        <v/>
      </c>
      <c r="V706" s="37" t="str">
        <f t="shared" si="26"/>
        <v/>
      </c>
      <c r="W706" s="37" t="str">
        <f t="shared" si="27"/>
        <v/>
      </c>
      <c r="X706" s="37" t="str">
        <f t="shared" si="28"/>
        <v/>
      </c>
      <c r="Y706" s="37" t="str">
        <f t="shared" si="29"/>
        <v/>
      </c>
      <c r="Z706" s="38" t="str">
        <f t="shared" si="30"/>
        <v/>
      </c>
      <c r="AA706" s="39" t="str">
        <f t="shared" si="31"/>
        <v/>
      </c>
    </row>
    <row r="707" ht="15.75" customHeight="1">
      <c r="B707" s="1"/>
      <c r="C707" s="28"/>
      <c r="D707" s="79"/>
      <c r="E707" s="1"/>
      <c r="F707" s="76"/>
      <c r="G707" s="1"/>
      <c r="H707" s="1"/>
      <c r="J707" s="77"/>
      <c r="K707" s="80"/>
      <c r="L707" s="80"/>
      <c r="M707" s="80"/>
      <c r="N707" s="80"/>
      <c r="O707" s="80"/>
      <c r="P707" s="81"/>
      <c r="Q707" s="35" t="str">
        <f>IF(D707="","",VLOOKUP(MONTH(D707),Listas!$C$2:$D$14,2,0))</f>
        <v/>
      </c>
      <c r="R707" s="36" t="str">
        <f t="shared" si="22"/>
        <v/>
      </c>
      <c r="S707" s="37" t="str">
        <f t="shared" si="23"/>
        <v/>
      </c>
      <c r="T707" s="37" t="str">
        <f t="shared" si="24"/>
        <v/>
      </c>
      <c r="U707" s="37" t="str">
        <f t="shared" si="25"/>
        <v/>
      </c>
      <c r="V707" s="37" t="str">
        <f t="shared" si="26"/>
        <v/>
      </c>
      <c r="W707" s="37" t="str">
        <f t="shared" si="27"/>
        <v/>
      </c>
      <c r="X707" s="37" t="str">
        <f t="shared" si="28"/>
        <v/>
      </c>
      <c r="Y707" s="37" t="str">
        <f t="shared" si="29"/>
        <v/>
      </c>
      <c r="Z707" s="38" t="str">
        <f t="shared" si="30"/>
        <v/>
      </c>
      <c r="AA707" s="39" t="str">
        <f t="shared" si="31"/>
        <v/>
      </c>
    </row>
    <row r="708" ht="15.75" customHeight="1">
      <c r="B708" s="1"/>
      <c r="C708" s="28"/>
      <c r="D708" s="79"/>
      <c r="E708" s="1"/>
      <c r="F708" s="76"/>
      <c r="G708" s="1"/>
      <c r="H708" s="1"/>
      <c r="J708" s="77"/>
      <c r="K708" s="80"/>
      <c r="L708" s="80"/>
      <c r="M708" s="80"/>
      <c r="N708" s="80"/>
      <c r="O708" s="80"/>
      <c r="P708" s="81"/>
      <c r="Q708" s="35" t="str">
        <f>IF(D708="","",VLOOKUP(MONTH(D708),Listas!$C$2:$D$14,2,0))</f>
        <v/>
      </c>
      <c r="R708" s="36" t="str">
        <f t="shared" si="22"/>
        <v/>
      </c>
      <c r="S708" s="37" t="str">
        <f t="shared" si="23"/>
        <v/>
      </c>
      <c r="T708" s="37" t="str">
        <f t="shared" si="24"/>
        <v/>
      </c>
      <c r="U708" s="37" t="str">
        <f t="shared" si="25"/>
        <v/>
      </c>
      <c r="V708" s="37" t="str">
        <f t="shared" si="26"/>
        <v/>
      </c>
      <c r="W708" s="37" t="str">
        <f t="shared" si="27"/>
        <v/>
      </c>
      <c r="X708" s="37" t="str">
        <f t="shared" si="28"/>
        <v/>
      </c>
      <c r="Y708" s="37" t="str">
        <f t="shared" si="29"/>
        <v/>
      </c>
      <c r="Z708" s="38" t="str">
        <f t="shared" si="30"/>
        <v/>
      </c>
      <c r="AA708" s="39" t="str">
        <f t="shared" si="31"/>
        <v/>
      </c>
    </row>
    <row r="709" ht="15.75" customHeight="1">
      <c r="B709" s="1"/>
      <c r="C709" s="28"/>
      <c r="D709" s="79"/>
      <c r="E709" s="1"/>
      <c r="F709" s="76"/>
      <c r="G709" s="1"/>
      <c r="H709" s="1"/>
      <c r="J709" s="77"/>
      <c r="K709" s="80"/>
      <c r="L709" s="80"/>
      <c r="M709" s="80"/>
      <c r="N709" s="80"/>
      <c r="O709" s="80"/>
      <c r="P709" s="81"/>
      <c r="Q709" s="35" t="str">
        <f>IF(D709="","",VLOOKUP(MONTH(D709),Listas!$C$2:$D$14,2,0))</f>
        <v/>
      </c>
      <c r="R709" s="36" t="str">
        <f t="shared" si="22"/>
        <v/>
      </c>
      <c r="S709" s="37" t="str">
        <f t="shared" si="23"/>
        <v/>
      </c>
      <c r="T709" s="37" t="str">
        <f t="shared" si="24"/>
        <v/>
      </c>
      <c r="U709" s="37" t="str">
        <f t="shared" si="25"/>
        <v/>
      </c>
      <c r="V709" s="37" t="str">
        <f t="shared" si="26"/>
        <v/>
      </c>
      <c r="W709" s="37" t="str">
        <f t="shared" si="27"/>
        <v/>
      </c>
      <c r="X709" s="37" t="str">
        <f t="shared" si="28"/>
        <v/>
      </c>
      <c r="Y709" s="37" t="str">
        <f t="shared" si="29"/>
        <v/>
      </c>
      <c r="Z709" s="38" t="str">
        <f t="shared" si="30"/>
        <v/>
      </c>
      <c r="AA709" s="39" t="str">
        <f t="shared" si="31"/>
        <v/>
      </c>
    </row>
    <row r="710" ht="15.75" customHeight="1">
      <c r="B710" s="1"/>
      <c r="C710" s="28"/>
      <c r="D710" s="79"/>
      <c r="E710" s="1"/>
      <c r="F710" s="76"/>
      <c r="G710" s="1"/>
      <c r="H710" s="1"/>
      <c r="J710" s="77"/>
      <c r="K710" s="80"/>
      <c r="L710" s="80"/>
      <c r="M710" s="80"/>
      <c r="N710" s="80"/>
      <c r="O710" s="80"/>
      <c r="P710" s="81"/>
      <c r="Q710" s="35" t="str">
        <f>IF(D710="","",VLOOKUP(MONTH(D710),Listas!$C$2:$D$14,2,0))</f>
        <v/>
      </c>
      <c r="R710" s="36" t="str">
        <f t="shared" si="22"/>
        <v/>
      </c>
      <c r="S710" s="37" t="str">
        <f t="shared" si="23"/>
        <v/>
      </c>
      <c r="T710" s="37" t="str">
        <f t="shared" si="24"/>
        <v/>
      </c>
      <c r="U710" s="37" t="str">
        <f t="shared" si="25"/>
        <v/>
      </c>
      <c r="V710" s="37" t="str">
        <f t="shared" si="26"/>
        <v/>
      </c>
      <c r="W710" s="37" t="str">
        <f t="shared" si="27"/>
        <v/>
      </c>
      <c r="X710" s="37" t="str">
        <f t="shared" si="28"/>
        <v/>
      </c>
      <c r="Y710" s="37" t="str">
        <f t="shared" si="29"/>
        <v/>
      </c>
      <c r="Z710" s="38" t="str">
        <f t="shared" si="30"/>
        <v/>
      </c>
      <c r="AA710" s="39" t="str">
        <f t="shared" si="31"/>
        <v/>
      </c>
    </row>
    <row r="711" ht="15.75" customHeight="1">
      <c r="B711" s="1"/>
      <c r="C711" s="28"/>
      <c r="D711" s="79"/>
      <c r="E711" s="1"/>
      <c r="F711" s="76"/>
      <c r="G711" s="1"/>
      <c r="H711" s="1"/>
      <c r="J711" s="77"/>
      <c r="K711" s="80"/>
      <c r="L711" s="80"/>
      <c r="M711" s="80"/>
      <c r="N711" s="80"/>
      <c r="O711" s="80"/>
      <c r="P711" s="81"/>
      <c r="Q711" s="35" t="str">
        <f>IF(D711="","",VLOOKUP(MONTH(D711),Listas!$C$2:$D$14,2,0))</f>
        <v/>
      </c>
      <c r="R711" s="36" t="str">
        <f t="shared" si="22"/>
        <v/>
      </c>
      <c r="S711" s="37" t="str">
        <f t="shared" si="23"/>
        <v/>
      </c>
      <c r="T711" s="37" t="str">
        <f t="shared" si="24"/>
        <v/>
      </c>
      <c r="U711" s="37" t="str">
        <f t="shared" si="25"/>
        <v/>
      </c>
      <c r="V711" s="37" t="str">
        <f t="shared" si="26"/>
        <v/>
      </c>
      <c r="W711" s="37" t="str">
        <f t="shared" si="27"/>
        <v/>
      </c>
      <c r="X711" s="37" t="str">
        <f t="shared" si="28"/>
        <v/>
      </c>
      <c r="Y711" s="37" t="str">
        <f t="shared" si="29"/>
        <v/>
      </c>
      <c r="Z711" s="38" t="str">
        <f t="shared" si="30"/>
        <v/>
      </c>
      <c r="AA711" s="39" t="str">
        <f t="shared" si="31"/>
        <v/>
      </c>
    </row>
    <row r="712" ht="15.75" customHeight="1">
      <c r="B712" s="1"/>
      <c r="C712" s="28"/>
      <c r="D712" s="79"/>
      <c r="E712" s="1"/>
      <c r="F712" s="76"/>
      <c r="G712" s="1"/>
      <c r="H712" s="1"/>
      <c r="J712" s="77"/>
      <c r="K712" s="80"/>
      <c r="L712" s="80"/>
      <c r="M712" s="80"/>
      <c r="N712" s="80"/>
      <c r="O712" s="80"/>
      <c r="P712" s="81"/>
      <c r="Q712" s="35" t="str">
        <f>IF(D712="","",VLOOKUP(MONTH(D712),Listas!$C$2:$D$14,2,0))</f>
        <v/>
      </c>
      <c r="R712" s="36" t="str">
        <f t="shared" si="22"/>
        <v/>
      </c>
      <c r="S712" s="37" t="str">
        <f t="shared" si="23"/>
        <v/>
      </c>
      <c r="T712" s="37" t="str">
        <f t="shared" si="24"/>
        <v/>
      </c>
      <c r="U712" s="37" t="str">
        <f t="shared" si="25"/>
        <v/>
      </c>
      <c r="V712" s="37" t="str">
        <f t="shared" si="26"/>
        <v/>
      </c>
      <c r="W712" s="37" t="str">
        <f t="shared" si="27"/>
        <v/>
      </c>
      <c r="X712" s="37" t="str">
        <f t="shared" si="28"/>
        <v/>
      </c>
      <c r="Y712" s="37" t="str">
        <f t="shared" si="29"/>
        <v/>
      </c>
      <c r="Z712" s="38" t="str">
        <f t="shared" si="30"/>
        <v/>
      </c>
      <c r="AA712" s="39" t="str">
        <f t="shared" si="31"/>
        <v/>
      </c>
    </row>
    <row r="713" ht="15.75" customHeight="1">
      <c r="B713" s="1"/>
      <c r="C713" s="28"/>
      <c r="D713" s="79"/>
      <c r="E713" s="1"/>
      <c r="F713" s="76"/>
      <c r="G713" s="1"/>
      <c r="H713" s="1"/>
      <c r="J713" s="77"/>
      <c r="K713" s="80"/>
      <c r="L713" s="80"/>
      <c r="M713" s="80"/>
      <c r="N713" s="80"/>
      <c r="O713" s="80"/>
      <c r="P713" s="81"/>
      <c r="Q713" s="35" t="str">
        <f>IF(D713="","",VLOOKUP(MONTH(D713),Listas!$C$2:$D$14,2,0))</f>
        <v/>
      </c>
      <c r="R713" s="36" t="str">
        <f t="shared" si="22"/>
        <v/>
      </c>
      <c r="S713" s="37" t="str">
        <f t="shared" si="23"/>
        <v/>
      </c>
      <c r="T713" s="37" t="str">
        <f t="shared" si="24"/>
        <v/>
      </c>
      <c r="U713" s="37" t="str">
        <f t="shared" si="25"/>
        <v/>
      </c>
      <c r="V713" s="37" t="str">
        <f t="shared" si="26"/>
        <v/>
      </c>
      <c r="W713" s="37" t="str">
        <f t="shared" si="27"/>
        <v/>
      </c>
      <c r="X713" s="37" t="str">
        <f t="shared" si="28"/>
        <v/>
      </c>
      <c r="Y713" s="37" t="str">
        <f t="shared" si="29"/>
        <v/>
      </c>
      <c r="Z713" s="38" t="str">
        <f t="shared" si="30"/>
        <v/>
      </c>
      <c r="AA713" s="39" t="str">
        <f t="shared" si="31"/>
        <v/>
      </c>
    </row>
    <row r="714" ht="15.75" customHeight="1">
      <c r="B714" s="1"/>
      <c r="C714" s="28"/>
      <c r="D714" s="79"/>
      <c r="E714" s="1"/>
      <c r="F714" s="76"/>
      <c r="G714" s="1"/>
      <c r="H714" s="1"/>
      <c r="J714" s="77"/>
      <c r="K714" s="80"/>
      <c r="L714" s="80"/>
      <c r="M714" s="80"/>
      <c r="N714" s="80"/>
      <c r="O714" s="80"/>
      <c r="P714" s="81"/>
      <c r="Q714" s="35" t="str">
        <f>IF(D714="","",VLOOKUP(MONTH(D714),Listas!$C$2:$D$14,2,0))</f>
        <v/>
      </c>
      <c r="R714" s="36" t="str">
        <f t="shared" si="22"/>
        <v/>
      </c>
      <c r="S714" s="37" t="str">
        <f t="shared" si="23"/>
        <v/>
      </c>
      <c r="T714" s="37" t="str">
        <f t="shared" si="24"/>
        <v/>
      </c>
      <c r="U714" s="37" t="str">
        <f t="shared" si="25"/>
        <v/>
      </c>
      <c r="V714" s="37" t="str">
        <f t="shared" si="26"/>
        <v/>
      </c>
      <c r="W714" s="37" t="str">
        <f t="shared" si="27"/>
        <v/>
      </c>
      <c r="X714" s="37" t="str">
        <f t="shared" si="28"/>
        <v/>
      </c>
      <c r="Y714" s="37" t="str">
        <f t="shared" si="29"/>
        <v/>
      </c>
      <c r="Z714" s="38" t="str">
        <f t="shared" si="30"/>
        <v/>
      </c>
      <c r="AA714" s="39" t="str">
        <f t="shared" si="31"/>
        <v/>
      </c>
    </row>
    <row r="715" ht="15.75" customHeight="1">
      <c r="B715" s="1"/>
      <c r="C715" s="28"/>
      <c r="D715" s="79"/>
      <c r="E715" s="1"/>
      <c r="F715" s="76"/>
      <c r="G715" s="1"/>
      <c r="H715" s="1"/>
      <c r="J715" s="77"/>
      <c r="K715" s="80"/>
      <c r="L715" s="80"/>
      <c r="M715" s="80"/>
      <c r="N715" s="80"/>
      <c r="O715" s="80"/>
      <c r="P715" s="81"/>
      <c r="Q715" s="35" t="str">
        <f>IF(D715="","",VLOOKUP(MONTH(D715),Listas!$C$2:$D$14,2,0))</f>
        <v/>
      </c>
      <c r="R715" s="36" t="str">
        <f t="shared" si="22"/>
        <v/>
      </c>
      <c r="S715" s="37" t="str">
        <f t="shared" si="23"/>
        <v/>
      </c>
      <c r="T715" s="37" t="str">
        <f t="shared" si="24"/>
        <v/>
      </c>
      <c r="U715" s="37" t="str">
        <f t="shared" si="25"/>
        <v/>
      </c>
      <c r="V715" s="37" t="str">
        <f t="shared" si="26"/>
        <v/>
      </c>
      <c r="W715" s="37" t="str">
        <f t="shared" si="27"/>
        <v/>
      </c>
      <c r="X715" s="37" t="str">
        <f t="shared" si="28"/>
        <v/>
      </c>
      <c r="Y715" s="37" t="str">
        <f t="shared" si="29"/>
        <v/>
      </c>
      <c r="Z715" s="38" t="str">
        <f t="shared" si="30"/>
        <v/>
      </c>
      <c r="AA715" s="39" t="str">
        <f t="shared" si="31"/>
        <v/>
      </c>
    </row>
    <row r="716" ht="15.75" customHeight="1">
      <c r="B716" s="1"/>
      <c r="C716" s="28"/>
      <c r="D716" s="79"/>
      <c r="E716" s="1"/>
      <c r="F716" s="76"/>
      <c r="G716" s="1"/>
      <c r="H716" s="1"/>
      <c r="J716" s="77"/>
      <c r="K716" s="80"/>
      <c r="L716" s="80"/>
      <c r="M716" s="80"/>
      <c r="N716" s="80"/>
      <c r="O716" s="80"/>
      <c r="P716" s="81"/>
      <c r="Q716" s="35" t="str">
        <f>IF(D716="","",VLOOKUP(MONTH(D716),Listas!$C$2:$D$14,2,0))</f>
        <v/>
      </c>
      <c r="R716" s="36" t="str">
        <f t="shared" si="22"/>
        <v/>
      </c>
      <c r="S716" s="37" t="str">
        <f t="shared" si="23"/>
        <v/>
      </c>
      <c r="T716" s="37" t="str">
        <f t="shared" si="24"/>
        <v/>
      </c>
      <c r="U716" s="37" t="str">
        <f t="shared" si="25"/>
        <v/>
      </c>
      <c r="V716" s="37" t="str">
        <f t="shared" si="26"/>
        <v/>
      </c>
      <c r="W716" s="37" t="str">
        <f t="shared" si="27"/>
        <v/>
      </c>
      <c r="X716" s="37" t="str">
        <f t="shared" si="28"/>
        <v/>
      </c>
      <c r="Y716" s="37" t="str">
        <f t="shared" si="29"/>
        <v/>
      </c>
      <c r="Z716" s="38" t="str">
        <f t="shared" si="30"/>
        <v/>
      </c>
      <c r="AA716" s="39" t="str">
        <f t="shared" si="31"/>
        <v/>
      </c>
    </row>
    <row r="717" ht="15.75" customHeight="1">
      <c r="B717" s="1"/>
      <c r="C717" s="28"/>
      <c r="D717" s="79"/>
      <c r="E717" s="1"/>
      <c r="F717" s="76"/>
      <c r="G717" s="1"/>
      <c r="H717" s="1"/>
      <c r="J717" s="77"/>
      <c r="K717" s="80"/>
      <c r="L717" s="80"/>
      <c r="M717" s="80"/>
      <c r="N717" s="80"/>
      <c r="O717" s="80"/>
      <c r="P717" s="81"/>
      <c r="Q717" s="35" t="str">
        <f>IF(D717="","",VLOOKUP(MONTH(D717),Listas!$C$2:$D$14,2,0))</f>
        <v/>
      </c>
      <c r="R717" s="36" t="str">
        <f t="shared" si="22"/>
        <v/>
      </c>
      <c r="S717" s="37" t="str">
        <f t="shared" si="23"/>
        <v/>
      </c>
      <c r="T717" s="37" t="str">
        <f t="shared" si="24"/>
        <v/>
      </c>
      <c r="U717" s="37" t="str">
        <f t="shared" si="25"/>
        <v/>
      </c>
      <c r="V717" s="37" t="str">
        <f t="shared" si="26"/>
        <v/>
      </c>
      <c r="W717" s="37" t="str">
        <f t="shared" si="27"/>
        <v/>
      </c>
      <c r="X717" s="37" t="str">
        <f t="shared" si="28"/>
        <v/>
      </c>
      <c r="Y717" s="37" t="str">
        <f t="shared" si="29"/>
        <v/>
      </c>
      <c r="Z717" s="38" t="str">
        <f t="shared" si="30"/>
        <v/>
      </c>
      <c r="AA717" s="39" t="str">
        <f t="shared" si="31"/>
        <v/>
      </c>
    </row>
    <row r="718" ht="15.75" customHeight="1">
      <c r="B718" s="1"/>
      <c r="C718" s="28"/>
      <c r="D718" s="79"/>
      <c r="E718" s="1"/>
      <c r="F718" s="76"/>
      <c r="G718" s="1"/>
      <c r="H718" s="1"/>
      <c r="J718" s="77"/>
      <c r="K718" s="80"/>
      <c r="L718" s="80"/>
      <c r="M718" s="80"/>
      <c r="N718" s="80"/>
      <c r="O718" s="80"/>
      <c r="P718" s="81"/>
      <c r="Q718" s="35" t="str">
        <f>IF(D718="","",VLOOKUP(MONTH(D718),Listas!$C$2:$D$14,2,0))</f>
        <v/>
      </c>
      <c r="R718" s="36" t="str">
        <f t="shared" si="22"/>
        <v/>
      </c>
      <c r="S718" s="37" t="str">
        <f t="shared" si="23"/>
        <v/>
      </c>
      <c r="T718" s="37" t="str">
        <f t="shared" si="24"/>
        <v/>
      </c>
      <c r="U718" s="37" t="str">
        <f t="shared" si="25"/>
        <v/>
      </c>
      <c r="V718" s="37" t="str">
        <f t="shared" si="26"/>
        <v/>
      </c>
      <c r="W718" s="37" t="str">
        <f t="shared" si="27"/>
        <v/>
      </c>
      <c r="X718" s="37" t="str">
        <f t="shared" si="28"/>
        <v/>
      </c>
      <c r="Y718" s="37" t="str">
        <f t="shared" si="29"/>
        <v/>
      </c>
      <c r="Z718" s="38" t="str">
        <f t="shared" si="30"/>
        <v/>
      </c>
      <c r="AA718" s="39" t="str">
        <f t="shared" si="31"/>
        <v/>
      </c>
    </row>
    <row r="719" ht="15.75" customHeight="1">
      <c r="B719" s="1"/>
      <c r="C719" s="28"/>
      <c r="D719" s="79"/>
      <c r="E719" s="1"/>
      <c r="F719" s="76"/>
      <c r="G719" s="1"/>
      <c r="H719" s="1"/>
      <c r="J719" s="77"/>
      <c r="K719" s="80"/>
      <c r="L719" s="80"/>
      <c r="M719" s="80"/>
      <c r="N719" s="80"/>
      <c r="O719" s="80"/>
      <c r="P719" s="81"/>
      <c r="Q719" s="35" t="str">
        <f>IF(D719="","",VLOOKUP(MONTH(D719),Listas!$C$2:$D$14,2,0))</f>
        <v/>
      </c>
      <c r="R719" s="36" t="str">
        <f t="shared" si="22"/>
        <v/>
      </c>
      <c r="S719" s="37" t="str">
        <f t="shared" si="23"/>
        <v/>
      </c>
      <c r="T719" s="37" t="str">
        <f t="shared" si="24"/>
        <v/>
      </c>
      <c r="U719" s="37" t="str">
        <f t="shared" si="25"/>
        <v/>
      </c>
      <c r="V719" s="37" t="str">
        <f t="shared" si="26"/>
        <v/>
      </c>
      <c r="W719" s="37" t="str">
        <f t="shared" si="27"/>
        <v/>
      </c>
      <c r="X719" s="37" t="str">
        <f t="shared" si="28"/>
        <v/>
      </c>
      <c r="Y719" s="37" t="str">
        <f t="shared" si="29"/>
        <v/>
      </c>
      <c r="Z719" s="38" t="str">
        <f t="shared" si="30"/>
        <v/>
      </c>
      <c r="AA719" s="39" t="str">
        <f t="shared" si="31"/>
        <v/>
      </c>
    </row>
    <row r="720" ht="15.75" customHeight="1">
      <c r="B720" s="1"/>
      <c r="C720" s="28"/>
      <c r="D720" s="79"/>
      <c r="E720" s="1"/>
      <c r="F720" s="76"/>
      <c r="G720" s="1"/>
      <c r="H720" s="1"/>
      <c r="J720" s="77"/>
      <c r="K720" s="80"/>
      <c r="L720" s="80"/>
      <c r="M720" s="80"/>
      <c r="N720" s="80"/>
      <c r="O720" s="80"/>
      <c r="P720" s="81"/>
      <c r="Q720" s="35" t="str">
        <f>IF(D720="","",VLOOKUP(MONTH(D720),Listas!$C$2:$D$14,2,0))</f>
        <v/>
      </c>
      <c r="R720" s="36" t="str">
        <f t="shared" si="22"/>
        <v/>
      </c>
      <c r="S720" s="37" t="str">
        <f t="shared" si="23"/>
        <v/>
      </c>
      <c r="T720" s="37" t="str">
        <f t="shared" si="24"/>
        <v/>
      </c>
      <c r="U720" s="37" t="str">
        <f t="shared" si="25"/>
        <v/>
      </c>
      <c r="V720" s="37" t="str">
        <f t="shared" si="26"/>
        <v/>
      </c>
      <c r="W720" s="37" t="str">
        <f t="shared" si="27"/>
        <v/>
      </c>
      <c r="X720" s="37" t="str">
        <f t="shared" si="28"/>
        <v/>
      </c>
      <c r="Y720" s="37" t="str">
        <f t="shared" si="29"/>
        <v/>
      </c>
      <c r="Z720" s="38" t="str">
        <f t="shared" si="30"/>
        <v/>
      </c>
      <c r="AA720" s="39" t="str">
        <f t="shared" si="31"/>
        <v/>
      </c>
    </row>
    <row r="721" ht="15.75" customHeight="1">
      <c r="B721" s="1"/>
      <c r="C721" s="28"/>
      <c r="D721" s="79"/>
      <c r="E721" s="1"/>
      <c r="F721" s="76"/>
      <c r="G721" s="1"/>
      <c r="H721" s="1"/>
      <c r="J721" s="77"/>
      <c r="K721" s="80"/>
      <c r="L721" s="80"/>
      <c r="M721" s="80"/>
      <c r="N721" s="80"/>
      <c r="O721" s="80"/>
      <c r="P721" s="81"/>
      <c r="Q721" s="35" t="str">
        <f>IF(D721="","",VLOOKUP(MONTH(D721),Listas!$C$2:$D$14,2,0))</f>
        <v/>
      </c>
      <c r="R721" s="36" t="str">
        <f t="shared" si="22"/>
        <v/>
      </c>
      <c r="S721" s="37" t="str">
        <f t="shared" si="23"/>
        <v/>
      </c>
      <c r="T721" s="37" t="str">
        <f t="shared" si="24"/>
        <v/>
      </c>
      <c r="U721" s="37" t="str">
        <f t="shared" si="25"/>
        <v/>
      </c>
      <c r="V721" s="37" t="str">
        <f t="shared" si="26"/>
        <v/>
      </c>
      <c r="W721" s="37" t="str">
        <f t="shared" si="27"/>
        <v/>
      </c>
      <c r="X721" s="37" t="str">
        <f t="shared" si="28"/>
        <v/>
      </c>
      <c r="Y721" s="37" t="str">
        <f t="shared" si="29"/>
        <v/>
      </c>
      <c r="Z721" s="38" t="str">
        <f t="shared" si="30"/>
        <v/>
      </c>
      <c r="AA721" s="39" t="str">
        <f t="shared" si="31"/>
        <v/>
      </c>
    </row>
    <row r="722" ht="15.75" customHeight="1">
      <c r="B722" s="1"/>
      <c r="C722" s="28"/>
      <c r="D722" s="79"/>
      <c r="E722" s="1"/>
      <c r="F722" s="76"/>
      <c r="G722" s="1"/>
      <c r="H722" s="1"/>
      <c r="J722" s="77"/>
      <c r="K722" s="80"/>
      <c r="L722" s="80"/>
      <c r="M722" s="80"/>
      <c r="N722" s="80"/>
      <c r="O722" s="80"/>
      <c r="P722" s="81"/>
      <c r="Q722" s="35" t="str">
        <f>IF(D722="","",VLOOKUP(MONTH(D722),Listas!$C$2:$D$14,2,0))</f>
        <v/>
      </c>
      <c r="R722" s="36" t="str">
        <f t="shared" si="22"/>
        <v/>
      </c>
      <c r="S722" s="37" t="str">
        <f t="shared" si="23"/>
        <v/>
      </c>
      <c r="T722" s="37" t="str">
        <f t="shared" si="24"/>
        <v/>
      </c>
      <c r="U722" s="37" t="str">
        <f t="shared" si="25"/>
        <v/>
      </c>
      <c r="V722" s="37" t="str">
        <f t="shared" si="26"/>
        <v/>
      </c>
      <c r="W722" s="37" t="str">
        <f t="shared" si="27"/>
        <v/>
      </c>
      <c r="X722" s="37" t="str">
        <f t="shared" si="28"/>
        <v/>
      </c>
      <c r="Y722" s="37" t="str">
        <f t="shared" si="29"/>
        <v/>
      </c>
      <c r="Z722" s="38" t="str">
        <f t="shared" si="30"/>
        <v/>
      </c>
      <c r="AA722" s="39" t="str">
        <f t="shared" si="31"/>
        <v/>
      </c>
    </row>
    <row r="723" ht="15.75" customHeight="1">
      <c r="B723" s="1"/>
      <c r="C723" s="28"/>
      <c r="D723" s="79"/>
      <c r="E723" s="1"/>
      <c r="F723" s="76"/>
      <c r="G723" s="1"/>
      <c r="H723" s="1"/>
      <c r="J723" s="77"/>
      <c r="K723" s="80"/>
      <c r="L723" s="80"/>
      <c r="M723" s="80"/>
      <c r="N723" s="80"/>
      <c r="O723" s="80"/>
      <c r="P723" s="81"/>
      <c r="Q723" s="35" t="str">
        <f>IF(D723="","",VLOOKUP(MONTH(D723),Listas!$C$2:$D$14,2,0))</f>
        <v/>
      </c>
      <c r="R723" s="36" t="str">
        <f t="shared" si="22"/>
        <v/>
      </c>
      <c r="S723" s="37" t="str">
        <f t="shared" si="23"/>
        <v/>
      </c>
      <c r="T723" s="37" t="str">
        <f t="shared" si="24"/>
        <v/>
      </c>
      <c r="U723" s="37" t="str">
        <f t="shared" si="25"/>
        <v/>
      </c>
      <c r="V723" s="37" t="str">
        <f t="shared" si="26"/>
        <v/>
      </c>
      <c r="W723" s="37" t="str">
        <f t="shared" si="27"/>
        <v/>
      </c>
      <c r="X723" s="37" t="str">
        <f t="shared" si="28"/>
        <v/>
      </c>
      <c r="Y723" s="37" t="str">
        <f t="shared" si="29"/>
        <v/>
      </c>
      <c r="Z723" s="38" t="str">
        <f t="shared" si="30"/>
        <v/>
      </c>
      <c r="AA723" s="39" t="str">
        <f t="shared" si="31"/>
        <v/>
      </c>
    </row>
    <row r="724" ht="15.75" customHeight="1">
      <c r="B724" s="1"/>
      <c r="C724" s="28"/>
      <c r="D724" s="79"/>
      <c r="E724" s="1"/>
      <c r="F724" s="76"/>
      <c r="G724" s="1"/>
      <c r="H724" s="1"/>
      <c r="J724" s="77"/>
      <c r="K724" s="80"/>
      <c r="L724" s="80"/>
      <c r="M724" s="80"/>
      <c r="N724" s="80"/>
      <c r="O724" s="80"/>
      <c r="P724" s="81"/>
      <c r="Q724" s="35" t="str">
        <f>IF(D724="","",VLOOKUP(MONTH(D724),Listas!$C$2:$D$14,2,0))</f>
        <v/>
      </c>
      <c r="R724" s="36" t="str">
        <f t="shared" si="22"/>
        <v/>
      </c>
      <c r="S724" s="37" t="str">
        <f t="shared" si="23"/>
        <v/>
      </c>
      <c r="T724" s="37" t="str">
        <f t="shared" si="24"/>
        <v/>
      </c>
      <c r="U724" s="37" t="str">
        <f t="shared" si="25"/>
        <v/>
      </c>
      <c r="V724" s="37" t="str">
        <f t="shared" si="26"/>
        <v/>
      </c>
      <c r="W724" s="37" t="str">
        <f t="shared" si="27"/>
        <v/>
      </c>
      <c r="X724" s="37" t="str">
        <f t="shared" si="28"/>
        <v/>
      </c>
      <c r="Y724" s="37" t="str">
        <f t="shared" si="29"/>
        <v/>
      </c>
      <c r="Z724" s="38" t="str">
        <f t="shared" si="30"/>
        <v/>
      </c>
      <c r="AA724" s="39" t="str">
        <f t="shared" si="31"/>
        <v/>
      </c>
    </row>
    <row r="725" ht="15.75" customHeight="1">
      <c r="B725" s="1"/>
      <c r="C725" s="28"/>
      <c r="D725" s="79"/>
      <c r="E725" s="1"/>
      <c r="F725" s="76"/>
      <c r="G725" s="1"/>
      <c r="H725" s="1"/>
      <c r="J725" s="77"/>
      <c r="K725" s="80"/>
      <c r="L725" s="80"/>
      <c r="M725" s="80"/>
      <c r="N725" s="80"/>
      <c r="O725" s="80"/>
      <c r="P725" s="81"/>
      <c r="Q725" s="35" t="str">
        <f>IF(D725="","",VLOOKUP(MONTH(D725),Listas!$C$2:$D$14,2,0))</f>
        <v/>
      </c>
      <c r="R725" s="36" t="str">
        <f t="shared" si="22"/>
        <v/>
      </c>
      <c r="S725" s="37" t="str">
        <f t="shared" si="23"/>
        <v/>
      </c>
      <c r="T725" s="37" t="str">
        <f t="shared" si="24"/>
        <v/>
      </c>
      <c r="U725" s="37" t="str">
        <f t="shared" si="25"/>
        <v/>
      </c>
      <c r="V725" s="37" t="str">
        <f t="shared" si="26"/>
        <v/>
      </c>
      <c r="W725" s="37" t="str">
        <f t="shared" si="27"/>
        <v/>
      </c>
      <c r="X725" s="37" t="str">
        <f t="shared" si="28"/>
        <v/>
      </c>
      <c r="Y725" s="37" t="str">
        <f t="shared" si="29"/>
        <v/>
      </c>
      <c r="Z725" s="38" t="str">
        <f t="shared" si="30"/>
        <v/>
      </c>
      <c r="AA725" s="39" t="str">
        <f t="shared" si="31"/>
        <v/>
      </c>
    </row>
    <row r="726" ht="15.75" customHeight="1">
      <c r="B726" s="1"/>
      <c r="C726" s="28"/>
      <c r="D726" s="79"/>
      <c r="E726" s="1"/>
      <c r="F726" s="76"/>
      <c r="G726" s="1"/>
      <c r="H726" s="1"/>
      <c r="J726" s="77"/>
      <c r="K726" s="80"/>
      <c r="L726" s="80"/>
      <c r="M726" s="80"/>
      <c r="N726" s="80"/>
      <c r="O726" s="80"/>
      <c r="P726" s="81"/>
      <c r="Q726" s="35" t="str">
        <f>IF(D726="","",VLOOKUP(MONTH(D726),Listas!$C$2:$D$14,2,0))</f>
        <v/>
      </c>
      <c r="R726" s="36" t="str">
        <f t="shared" si="22"/>
        <v/>
      </c>
      <c r="S726" s="37" t="str">
        <f t="shared" si="23"/>
        <v/>
      </c>
      <c r="T726" s="37" t="str">
        <f t="shared" si="24"/>
        <v/>
      </c>
      <c r="U726" s="37" t="str">
        <f t="shared" si="25"/>
        <v/>
      </c>
      <c r="V726" s="37" t="str">
        <f t="shared" si="26"/>
        <v/>
      </c>
      <c r="W726" s="37" t="str">
        <f t="shared" si="27"/>
        <v/>
      </c>
      <c r="X726" s="37" t="str">
        <f t="shared" si="28"/>
        <v/>
      </c>
      <c r="Y726" s="37" t="str">
        <f t="shared" si="29"/>
        <v/>
      </c>
      <c r="Z726" s="38" t="str">
        <f t="shared" si="30"/>
        <v/>
      </c>
      <c r="AA726" s="39" t="str">
        <f t="shared" si="31"/>
        <v/>
      </c>
    </row>
    <row r="727" ht="15.75" customHeight="1">
      <c r="B727" s="1"/>
      <c r="C727" s="28"/>
      <c r="D727" s="79"/>
      <c r="E727" s="1"/>
      <c r="F727" s="76"/>
      <c r="G727" s="1"/>
      <c r="H727" s="1"/>
      <c r="J727" s="77"/>
      <c r="K727" s="80"/>
      <c r="L727" s="80"/>
      <c r="M727" s="80"/>
      <c r="N727" s="80"/>
      <c r="O727" s="80"/>
      <c r="P727" s="81"/>
      <c r="Q727" s="35" t="str">
        <f>IF(D727="","",VLOOKUP(MONTH(D727),Listas!$C$2:$D$14,2,0))</f>
        <v/>
      </c>
      <c r="R727" s="36" t="str">
        <f t="shared" si="22"/>
        <v/>
      </c>
      <c r="S727" s="37" t="str">
        <f t="shared" si="23"/>
        <v/>
      </c>
      <c r="T727" s="37" t="str">
        <f t="shared" si="24"/>
        <v/>
      </c>
      <c r="U727" s="37" t="str">
        <f t="shared" si="25"/>
        <v/>
      </c>
      <c r="V727" s="37" t="str">
        <f t="shared" si="26"/>
        <v/>
      </c>
      <c r="W727" s="37" t="str">
        <f t="shared" si="27"/>
        <v/>
      </c>
      <c r="X727" s="37" t="str">
        <f t="shared" si="28"/>
        <v/>
      </c>
      <c r="Y727" s="37" t="str">
        <f t="shared" si="29"/>
        <v/>
      </c>
      <c r="Z727" s="38" t="str">
        <f t="shared" si="30"/>
        <v/>
      </c>
      <c r="AA727" s="39" t="str">
        <f t="shared" si="31"/>
        <v/>
      </c>
    </row>
    <row r="728" ht="15.75" customHeight="1">
      <c r="B728" s="1"/>
      <c r="C728" s="28"/>
      <c r="D728" s="79"/>
      <c r="E728" s="1"/>
      <c r="F728" s="76"/>
      <c r="G728" s="1"/>
      <c r="H728" s="1"/>
      <c r="J728" s="77"/>
      <c r="K728" s="80"/>
      <c r="L728" s="80"/>
      <c r="M728" s="80"/>
      <c r="N728" s="80"/>
      <c r="O728" s="80"/>
      <c r="P728" s="81"/>
      <c r="Q728" s="35" t="str">
        <f>IF(D728="","",VLOOKUP(MONTH(D728),Listas!$C$2:$D$14,2,0))</f>
        <v/>
      </c>
      <c r="R728" s="36" t="str">
        <f t="shared" si="22"/>
        <v/>
      </c>
      <c r="S728" s="37" t="str">
        <f t="shared" si="23"/>
        <v/>
      </c>
      <c r="T728" s="37" t="str">
        <f t="shared" si="24"/>
        <v/>
      </c>
      <c r="U728" s="37" t="str">
        <f t="shared" si="25"/>
        <v/>
      </c>
      <c r="V728" s="37" t="str">
        <f t="shared" si="26"/>
        <v/>
      </c>
      <c r="W728" s="37" t="str">
        <f t="shared" si="27"/>
        <v/>
      </c>
      <c r="X728" s="37" t="str">
        <f t="shared" si="28"/>
        <v/>
      </c>
      <c r="Y728" s="37" t="str">
        <f t="shared" si="29"/>
        <v/>
      </c>
      <c r="Z728" s="38" t="str">
        <f t="shared" si="30"/>
        <v/>
      </c>
      <c r="AA728" s="39" t="str">
        <f t="shared" si="31"/>
        <v/>
      </c>
    </row>
    <row r="729" ht="15.75" customHeight="1">
      <c r="B729" s="1"/>
      <c r="C729" s="28"/>
      <c r="D729" s="79"/>
      <c r="E729" s="1"/>
      <c r="F729" s="76"/>
      <c r="G729" s="1"/>
      <c r="H729" s="1"/>
      <c r="J729" s="77"/>
      <c r="K729" s="80"/>
      <c r="L729" s="80"/>
      <c r="M729" s="80"/>
      <c r="N729" s="80"/>
      <c r="O729" s="80"/>
      <c r="P729" s="81"/>
      <c r="Q729" s="35" t="str">
        <f>IF(D729="","",VLOOKUP(MONTH(D729),Listas!$C$2:$D$14,2,0))</f>
        <v/>
      </c>
      <c r="R729" s="36" t="str">
        <f t="shared" si="22"/>
        <v/>
      </c>
      <c r="S729" s="37" t="str">
        <f t="shared" si="23"/>
        <v/>
      </c>
      <c r="T729" s="37" t="str">
        <f t="shared" si="24"/>
        <v/>
      </c>
      <c r="U729" s="37" t="str">
        <f t="shared" si="25"/>
        <v/>
      </c>
      <c r="V729" s="37" t="str">
        <f t="shared" si="26"/>
        <v/>
      </c>
      <c r="W729" s="37" t="str">
        <f t="shared" si="27"/>
        <v/>
      </c>
      <c r="X729" s="37" t="str">
        <f t="shared" si="28"/>
        <v/>
      </c>
      <c r="Y729" s="37" t="str">
        <f t="shared" si="29"/>
        <v/>
      </c>
      <c r="Z729" s="38" t="str">
        <f t="shared" si="30"/>
        <v/>
      </c>
      <c r="AA729" s="39" t="str">
        <f t="shared" si="31"/>
        <v/>
      </c>
    </row>
    <row r="730" ht="15.75" customHeight="1">
      <c r="B730" s="1"/>
      <c r="C730" s="28"/>
      <c r="D730" s="79"/>
      <c r="E730" s="1"/>
      <c r="F730" s="76"/>
      <c r="G730" s="1"/>
      <c r="H730" s="1"/>
      <c r="J730" s="77"/>
      <c r="K730" s="80"/>
      <c r="L730" s="80"/>
      <c r="M730" s="80"/>
      <c r="N730" s="80"/>
      <c r="O730" s="80"/>
      <c r="P730" s="81"/>
      <c r="Q730" s="35" t="str">
        <f>IF(D730="","",VLOOKUP(MONTH(D730),Listas!$C$2:$D$14,2,0))</f>
        <v/>
      </c>
      <c r="R730" s="36" t="str">
        <f t="shared" si="22"/>
        <v/>
      </c>
      <c r="S730" s="37" t="str">
        <f t="shared" si="23"/>
        <v/>
      </c>
      <c r="T730" s="37" t="str">
        <f t="shared" si="24"/>
        <v/>
      </c>
      <c r="U730" s="37" t="str">
        <f t="shared" si="25"/>
        <v/>
      </c>
      <c r="V730" s="37" t="str">
        <f t="shared" si="26"/>
        <v/>
      </c>
      <c r="W730" s="37" t="str">
        <f t="shared" si="27"/>
        <v/>
      </c>
      <c r="X730" s="37" t="str">
        <f t="shared" si="28"/>
        <v/>
      </c>
      <c r="Y730" s="37" t="str">
        <f t="shared" si="29"/>
        <v/>
      </c>
      <c r="Z730" s="38" t="str">
        <f t="shared" si="30"/>
        <v/>
      </c>
      <c r="AA730" s="39" t="str">
        <f t="shared" si="31"/>
        <v/>
      </c>
    </row>
    <row r="731" ht="15.75" customHeight="1">
      <c r="B731" s="1"/>
      <c r="C731" s="28"/>
      <c r="D731" s="79"/>
      <c r="E731" s="1"/>
      <c r="F731" s="76"/>
      <c r="G731" s="1"/>
      <c r="H731" s="1"/>
      <c r="J731" s="77"/>
      <c r="K731" s="80"/>
      <c r="L731" s="80"/>
      <c r="M731" s="80"/>
      <c r="N731" s="80"/>
      <c r="O731" s="80"/>
      <c r="P731" s="81"/>
      <c r="Q731" s="35" t="str">
        <f>IF(D731="","",VLOOKUP(MONTH(D731),Listas!$C$2:$D$14,2,0))</f>
        <v/>
      </c>
      <c r="R731" s="36" t="str">
        <f t="shared" si="22"/>
        <v/>
      </c>
      <c r="S731" s="37" t="str">
        <f t="shared" si="23"/>
        <v/>
      </c>
      <c r="T731" s="37" t="str">
        <f t="shared" si="24"/>
        <v/>
      </c>
      <c r="U731" s="37" t="str">
        <f t="shared" si="25"/>
        <v/>
      </c>
      <c r="V731" s="37" t="str">
        <f t="shared" si="26"/>
        <v/>
      </c>
      <c r="W731" s="37" t="str">
        <f t="shared" si="27"/>
        <v/>
      </c>
      <c r="X731" s="37" t="str">
        <f t="shared" si="28"/>
        <v/>
      </c>
      <c r="Y731" s="37" t="str">
        <f t="shared" si="29"/>
        <v/>
      </c>
      <c r="Z731" s="38" t="str">
        <f t="shared" si="30"/>
        <v/>
      </c>
      <c r="AA731" s="39" t="str">
        <f t="shared" si="31"/>
        <v/>
      </c>
    </row>
    <row r="732" ht="15.75" customHeight="1">
      <c r="B732" s="1"/>
      <c r="C732" s="28"/>
      <c r="D732" s="79"/>
      <c r="E732" s="1"/>
      <c r="F732" s="76"/>
      <c r="G732" s="1"/>
      <c r="H732" s="1"/>
      <c r="J732" s="77"/>
      <c r="K732" s="80"/>
      <c r="L732" s="80"/>
      <c r="M732" s="80"/>
      <c r="N732" s="80"/>
      <c r="O732" s="80"/>
      <c r="P732" s="81"/>
      <c r="Q732" s="35" t="str">
        <f>IF(D732="","",VLOOKUP(MONTH(D732),Listas!$C$2:$D$14,2,0))</f>
        <v/>
      </c>
      <c r="R732" s="36" t="str">
        <f t="shared" si="22"/>
        <v/>
      </c>
      <c r="S732" s="37" t="str">
        <f t="shared" si="23"/>
        <v/>
      </c>
      <c r="T732" s="37" t="str">
        <f t="shared" si="24"/>
        <v/>
      </c>
      <c r="U732" s="37" t="str">
        <f t="shared" si="25"/>
        <v/>
      </c>
      <c r="V732" s="37" t="str">
        <f t="shared" si="26"/>
        <v/>
      </c>
      <c r="W732" s="37" t="str">
        <f t="shared" si="27"/>
        <v/>
      </c>
      <c r="X732" s="37" t="str">
        <f t="shared" si="28"/>
        <v/>
      </c>
      <c r="Y732" s="37" t="str">
        <f t="shared" si="29"/>
        <v/>
      </c>
      <c r="Z732" s="38" t="str">
        <f t="shared" si="30"/>
        <v/>
      </c>
      <c r="AA732" s="39" t="str">
        <f t="shared" si="31"/>
        <v/>
      </c>
    </row>
    <row r="733" ht="15.75" customHeight="1">
      <c r="B733" s="1"/>
      <c r="C733" s="28"/>
      <c r="D733" s="79"/>
      <c r="E733" s="1"/>
      <c r="F733" s="76"/>
      <c r="G733" s="1"/>
      <c r="H733" s="1"/>
      <c r="J733" s="77"/>
      <c r="K733" s="80"/>
      <c r="L733" s="80"/>
      <c r="M733" s="80"/>
      <c r="N733" s="80"/>
      <c r="O733" s="80"/>
      <c r="P733" s="81"/>
      <c r="Q733" s="35" t="str">
        <f>IF(D733="","",VLOOKUP(MONTH(D733),Listas!$C$2:$D$14,2,0))</f>
        <v/>
      </c>
      <c r="R733" s="36" t="str">
        <f t="shared" si="22"/>
        <v/>
      </c>
      <c r="S733" s="37" t="str">
        <f t="shared" si="23"/>
        <v/>
      </c>
      <c r="T733" s="37" t="str">
        <f t="shared" si="24"/>
        <v/>
      </c>
      <c r="U733" s="37" t="str">
        <f t="shared" si="25"/>
        <v/>
      </c>
      <c r="V733" s="37" t="str">
        <f t="shared" si="26"/>
        <v/>
      </c>
      <c r="W733" s="37" t="str">
        <f t="shared" si="27"/>
        <v/>
      </c>
      <c r="X733" s="37" t="str">
        <f t="shared" si="28"/>
        <v/>
      </c>
      <c r="Y733" s="37" t="str">
        <f t="shared" si="29"/>
        <v/>
      </c>
      <c r="Z733" s="38" t="str">
        <f t="shared" si="30"/>
        <v/>
      </c>
      <c r="AA733" s="39" t="str">
        <f t="shared" si="31"/>
        <v/>
      </c>
    </row>
    <row r="734" ht="15.75" customHeight="1">
      <c r="B734" s="1"/>
      <c r="C734" s="28"/>
      <c r="D734" s="79"/>
      <c r="E734" s="1"/>
      <c r="F734" s="76"/>
      <c r="G734" s="1"/>
      <c r="H734" s="1"/>
      <c r="J734" s="77"/>
      <c r="K734" s="80"/>
      <c r="L734" s="80"/>
      <c r="M734" s="80"/>
      <c r="N734" s="80"/>
      <c r="O734" s="80"/>
      <c r="P734" s="81"/>
      <c r="Q734" s="35" t="str">
        <f>IF(D734="","",VLOOKUP(MONTH(D734),Listas!$C$2:$D$14,2,0))</f>
        <v/>
      </c>
      <c r="R734" s="36" t="str">
        <f t="shared" si="22"/>
        <v/>
      </c>
      <c r="S734" s="37" t="str">
        <f t="shared" si="23"/>
        <v/>
      </c>
      <c r="T734" s="37" t="str">
        <f t="shared" si="24"/>
        <v/>
      </c>
      <c r="U734" s="37" t="str">
        <f t="shared" si="25"/>
        <v/>
      </c>
      <c r="V734" s="37" t="str">
        <f t="shared" si="26"/>
        <v/>
      </c>
      <c r="W734" s="37" t="str">
        <f t="shared" si="27"/>
        <v/>
      </c>
      <c r="X734" s="37" t="str">
        <f t="shared" si="28"/>
        <v/>
      </c>
      <c r="Y734" s="37" t="str">
        <f t="shared" si="29"/>
        <v/>
      </c>
      <c r="Z734" s="38" t="str">
        <f t="shared" si="30"/>
        <v/>
      </c>
      <c r="AA734" s="39" t="str">
        <f t="shared" si="31"/>
        <v/>
      </c>
    </row>
    <row r="735" ht="15.75" customHeight="1">
      <c r="B735" s="1"/>
      <c r="C735" s="28"/>
      <c r="D735" s="79"/>
      <c r="E735" s="1"/>
      <c r="F735" s="76"/>
      <c r="G735" s="1"/>
      <c r="H735" s="1"/>
      <c r="J735" s="77"/>
      <c r="K735" s="80"/>
      <c r="L735" s="80"/>
      <c r="M735" s="80"/>
      <c r="N735" s="80"/>
      <c r="O735" s="80"/>
      <c r="P735" s="81"/>
      <c r="Q735" s="35" t="str">
        <f>IF(D735="","",VLOOKUP(MONTH(D735),Listas!$C$2:$D$14,2,0))</f>
        <v/>
      </c>
      <c r="R735" s="36" t="str">
        <f t="shared" si="22"/>
        <v/>
      </c>
      <c r="S735" s="37" t="str">
        <f t="shared" si="23"/>
        <v/>
      </c>
      <c r="T735" s="37" t="str">
        <f t="shared" si="24"/>
        <v/>
      </c>
      <c r="U735" s="37" t="str">
        <f t="shared" si="25"/>
        <v/>
      </c>
      <c r="V735" s="37" t="str">
        <f t="shared" si="26"/>
        <v/>
      </c>
      <c r="W735" s="37" t="str">
        <f t="shared" si="27"/>
        <v/>
      </c>
      <c r="X735" s="37" t="str">
        <f t="shared" si="28"/>
        <v/>
      </c>
      <c r="Y735" s="37" t="str">
        <f t="shared" si="29"/>
        <v/>
      </c>
      <c r="Z735" s="38" t="str">
        <f t="shared" si="30"/>
        <v/>
      </c>
      <c r="AA735" s="39" t="str">
        <f t="shared" si="31"/>
        <v/>
      </c>
    </row>
    <row r="736" ht="15.75" customHeight="1">
      <c r="B736" s="1"/>
      <c r="C736" s="28"/>
      <c r="D736" s="79"/>
      <c r="E736" s="1"/>
      <c r="F736" s="76"/>
      <c r="G736" s="1"/>
      <c r="H736" s="1"/>
      <c r="J736" s="77"/>
      <c r="K736" s="80"/>
      <c r="L736" s="80"/>
      <c r="M736" s="80"/>
      <c r="N736" s="80"/>
      <c r="O736" s="80"/>
      <c r="P736" s="81"/>
      <c r="Q736" s="35" t="str">
        <f>IF(D736="","",VLOOKUP(MONTH(D736),Listas!$C$2:$D$14,2,0))</f>
        <v/>
      </c>
      <c r="R736" s="36" t="str">
        <f t="shared" si="22"/>
        <v/>
      </c>
      <c r="S736" s="37" t="str">
        <f t="shared" si="23"/>
        <v/>
      </c>
      <c r="T736" s="37" t="str">
        <f t="shared" si="24"/>
        <v/>
      </c>
      <c r="U736" s="37" t="str">
        <f t="shared" si="25"/>
        <v/>
      </c>
      <c r="V736" s="37" t="str">
        <f t="shared" si="26"/>
        <v/>
      </c>
      <c r="W736" s="37" t="str">
        <f t="shared" si="27"/>
        <v/>
      </c>
      <c r="X736" s="37" t="str">
        <f t="shared" si="28"/>
        <v/>
      </c>
      <c r="Y736" s="37" t="str">
        <f t="shared" si="29"/>
        <v/>
      </c>
      <c r="Z736" s="38" t="str">
        <f t="shared" si="30"/>
        <v/>
      </c>
      <c r="AA736" s="39" t="str">
        <f t="shared" si="31"/>
        <v/>
      </c>
    </row>
    <row r="737" ht="15.75" customHeight="1">
      <c r="B737" s="1"/>
      <c r="C737" s="28"/>
      <c r="D737" s="79"/>
      <c r="E737" s="1"/>
      <c r="F737" s="76"/>
      <c r="G737" s="1"/>
      <c r="H737" s="1"/>
      <c r="J737" s="77"/>
      <c r="K737" s="80"/>
      <c r="L737" s="80"/>
      <c r="M737" s="80"/>
      <c r="N737" s="80"/>
      <c r="O737" s="80"/>
      <c r="P737" s="81"/>
      <c r="Q737" s="35" t="str">
        <f>IF(D737="","",VLOOKUP(MONTH(D737),Listas!$C$2:$D$14,2,0))</f>
        <v/>
      </c>
      <c r="R737" s="36" t="str">
        <f t="shared" si="22"/>
        <v/>
      </c>
      <c r="S737" s="37" t="str">
        <f t="shared" si="23"/>
        <v/>
      </c>
      <c r="T737" s="37" t="str">
        <f t="shared" si="24"/>
        <v/>
      </c>
      <c r="U737" s="37" t="str">
        <f t="shared" si="25"/>
        <v/>
      </c>
      <c r="V737" s="37" t="str">
        <f t="shared" si="26"/>
        <v/>
      </c>
      <c r="W737" s="37" t="str">
        <f t="shared" si="27"/>
        <v/>
      </c>
      <c r="X737" s="37" t="str">
        <f t="shared" si="28"/>
        <v/>
      </c>
      <c r="Y737" s="37" t="str">
        <f t="shared" si="29"/>
        <v/>
      </c>
      <c r="Z737" s="38" t="str">
        <f t="shared" si="30"/>
        <v/>
      </c>
      <c r="AA737" s="39" t="str">
        <f t="shared" si="31"/>
        <v/>
      </c>
    </row>
    <row r="738" ht="15.75" customHeight="1">
      <c r="B738" s="1"/>
      <c r="C738" s="28"/>
      <c r="D738" s="79"/>
      <c r="E738" s="1"/>
      <c r="F738" s="76"/>
      <c r="G738" s="1"/>
      <c r="H738" s="1"/>
      <c r="J738" s="77"/>
      <c r="K738" s="80"/>
      <c r="L738" s="80"/>
      <c r="M738" s="80"/>
      <c r="N738" s="80"/>
      <c r="O738" s="80"/>
      <c r="P738" s="81"/>
      <c r="Q738" s="35" t="str">
        <f>IF(D738="","",VLOOKUP(MONTH(D738),Listas!$C$2:$D$14,2,0))</f>
        <v/>
      </c>
      <c r="R738" s="36" t="str">
        <f t="shared" si="22"/>
        <v/>
      </c>
      <c r="S738" s="37" t="str">
        <f t="shared" si="23"/>
        <v/>
      </c>
      <c r="T738" s="37" t="str">
        <f t="shared" si="24"/>
        <v/>
      </c>
      <c r="U738" s="37" t="str">
        <f t="shared" si="25"/>
        <v/>
      </c>
      <c r="V738" s="37" t="str">
        <f t="shared" si="26"/>
        <v/>
      </c>
      <c r="W738" s="37" t="str">
        <f t="shared" si="27"/>
        <v/>
      </c>
      <c r="X738" s="37" t="str">
        <f t="shared" si="28"/>
        <v/>
      </c>
      <c r="Y738" s="37" t="str">
        <f t="shared" si="29"/>
        <v/>
      </c>
      <c r="Z738" s="38" t="str">
        <f t="shared" si="30"/>
        <v/>
      </c>
      <c r="AA738" s="39" t="str">
        <f t="shared" si="31"/>
        <v/>
      </c>
    </row>
    <row r="739" ht="15.75" customHeight="1">
      <c r="B739" s="1"/>
      <c r="C739" s="28"/>
      <c r="D739" s="79"/>
      <c r="E739" s="1"/>
      <c r="F739" s="76"/>
      <c r="G739" s="1"/>
      <c r="H739" s="1"/>
      <c r="J739" s="77"/>
      <c r="K739" s="80"/>
      <c r="L739" s="80"/>
      <c r="M739" s="80"/>
      <c r="N739" s="80"/>
      <c r="O739" s="80"/>
      <c r="P739" s="81"/>
      <c r="Q739" s="35" t="str">
        <f>IF(D739="","",VLOOKUP(MONTH(D739),Listas!$C$2:$D$14,2,0))</f>
        <v/>
      </c>
      <c r="R739" s="36" t="str">
        <f t="shared" si="22"/>
        <v/>
      </c>
      <c r="S739" s="37" t="str">
        <f t="shared" si="23"/>
        <v/>
      </c>
      <c r="T739" s="37" t="str">
        <f t="shared" si="24"/>
        <v/>
      </c>
      <c r="U739" s="37" t="str">
        <f t="shared" si="25"/>
        <v/>
      </c>
      <c r="V739" s="37" t="str">
        <f t="shared" si="26"/>
        <v/>
      </c>
      <c r="W739" s="37" t="str">
        <f t="shared" si="27"/>
        <v/>
      </c>
      <c r="X739" s="37" t="str">
        <f t="shared" si="28"/>
        <v/>
      </c>
      <c r="Y739" s="37" t="str">
        <f t="shared" si="29"/>
        <v/>
      </c>
      <c r="Z739" s="38" t="str">
        <f t="shared" si="30"/>
        <v/>
      </c>
      <c r="AA739" s="39" t="str">
        <f t="shared" si="31"/>
        <v/>
      </c>
    </row>
    <row r="740" ht="15.75" customHeight="1">
      <c r="B740" s="1"/>
      <c r="C740" s="28"/>
      <c r="D740" s="79"/>
      <c r="E740" s="1"/>
      <c r="F740" s="76"/>
      <c r="G740" s="1"/>
      <c r="H740" s="1"/>
      <c r="J740" s="77"/>
      <c r="K740" s="80"/>
      <c r="L740" s="80"/>
      <c r="M740" s="80"/>
      <c r="N740" s="80"/>
      <c r="O740" s="80"/>
      <c r="P740" s="81"/>
      <c r="Q740" s="35" t="str">
        <f>IF(D740="","",VLOOKUP(MONTH(D740),Listas!$C$2:$D$14,2,0))</f>
        <v/>
      </c>
      <c r="R740" s="36" t="str">
        <f t="shared" si="22"/>
        <v/>
      </c>
      <c r="S740" s="37" t="str">
        <f t="shared" si="23"/>
        <v/>
      </c>
      <c r="T740" s="37" t="str">
        <f t="shared" si="24"/>
        <v/>
      </c>
      <c r="U740" s="37" t="str">
        <f t="shared" si="25"/>
        <v/>
      </c>
      <c r="V740" s="37" t="str">
        <f t="shared" si="26"/>
        <v/>
      </c>
      <c r="W740" s="37" t="str">
        <f t="shared" si="27"/>
        <v/>
      </c>
      <c r="X740" s="37" t="str">
        <f t="shared" si="28"/>
        <v/>
      </c>
      <c r="Y740" s="37" t="str">
        <f t="shared" si="29"/>
        <v/>
      </c>
      <c r="Z740" s="38" t="str">
        <f t="shared" si="30"/>
        <v/>
      </c>
      <c r="AA740" s="39" t="str">
        <f t="shared" si="31"/>
        <v/>
      </c>
    </row>
    <row r="741" ht="15.75" customHeight="1">
      <c r="B741" s="1"/>
      <c r="C741" s="28"/>
      <c r="D741" s="79"/>
      <c r="E741" s="1"/>
      <c r="F741" s="76"/>
      <c r="G741" s="1"/>
      <c r="H741" s="1"/>
      <c r="J741" s="77"/>
      <c r="K741" s="80"/>
      <c r="L741" s="80"/>
      <c r="M741" s="80"/>
      <c r="N741" s="80"/>
      <c r="O741" s="80"/>
      <c r="P741" s="81"/>
      <c r="Q741" s="35" t="str">
        <f>IF(D741="","",VLOOKUP(MONTH(D741),Listas!$C$2:$D$14,2,0))</f>
        <v/>
      </c>
      <c r="R741" s="36" t="str">
        <f t="shared" si="22"/>
        <v/>
      </c>
      <c r="S741" s="37" t="str">
        <f t="shared" si="23"/>
        <v/>
      </c>
      <c r="T741" s="37" t="str">
        <f t="shared" si="24"/>
        <v/>
      </c>
      <c r="U741" s="37" t="str">
        <f t="shared" si="25"/>
        <v/>
      </c>
      <c r="V741" s="37" t="str">
        <f t="shared" si="26"/>
        <v/>
      </c>
      <c r="W741" s="37" t="str">
        <f t="shared" si="27"/>
        <v/>
      </c>
      <c r="X741" s="37" t="str">
        <f t="shared" si="28"/>
        <v/>
      </c>
      <c r="Y741" s="37" t="str">
        <f t="shared" si="29"/>
        <v/>
      </c>
      <c r="Z741" s="38" t="str">
        <f t="shared" si="30"/>
        <v/>
      </c>
      <c r="AA741" s="39" t="str">
        <f t="shared" si="31"/>
        <v/>
      </c>
    </row>
    <row r="742" ht="15.75" customHeight="1">
      <c r="B742" s="1"/>
      <c r="C742" s="28"/>
      <c r="D742" s="79"/>
      <c r="E742" s="1"/>
      <c r="F742" s="76"/>
      <c r="G742" s="1"/>
      <c r="H742" s="1"/>
      <c r="J742" s="77"/>
      <c r="K742" s="80"/>
      <c r="L742" s="80"/>
      <c r="M742" s="80"/>
      <c r="N742" s="80"/>
      <c r="O742" s="80"/>
      <c r="P742" s="81"/>
      <c r="Q742" s="35" t="str">
        <f>IF(D742="","",VLOOKUP(MONTH(D742),Listas!$C$2:$D$14,2,0))</f>
        <v/>
      </c>
      <c r="R742" s="36" t="str">
        <f t="shared" si="22"/>
        <v/>
      </c>
      <c r="S742" s="37" t="str">
        <f t="shared" si="23"/>
        <v/>
      </c>
      <c r="T742" s="37" t="str">
        <f t="shared" si="24"/>
        <v/>
      </c>
      <c r="U742" s="37" t="str">
        <f t="shared" si="25"/>
        <v/>
      </c>
      <c r="V742" s="37" t="str">
        <f t="shared" si="26"/>
        <v/>
      </c>
      <c r="W742" s="37" t="str">
        <f t="shared" si="27"/>
        <v/>
      </c>
      <c r="X742" s="37" t="str">
        <f t="shared" si="28"/>
        <v/>
      </c>
      <c r="Y742" s="37" t="str">
        <f t="shared" si="29"/>
        <v/>
      </c>
      <c r="Z742" s="38" t="str">
        <f t="shared" si="30"/>
        <v/>
      </c>
      <c r="AA742" s="39" t="str">
        <f t="shared" si="31"/>
        <v/>
      </c>
    </row>
    <row r="743" ht="15.75" customHeight="1">
      <c r="B743" s="1"/>
      <c r="C743" s="28"/>
      <c r="D743" s="79"/>
      <c r="E743" s="1"/>
      <c r="F743" s="76"/>
      <c r="G743" s="1"/>
      <c r="H743" s="1"/>
      <c r="J743" s="77"/>
      <c r="K743" s="80"/>
      <c r="L743" s="80"/>
      <c r="M743" s="80"/>
      <c r="N743" s="80"/>
      <c r="O743" s="80"/>
      <c r="P743" s="81"/>
      <c r="Q743" s="35" t="str">
        <f>IF(D743="","",VLOOKUP(MONTH(D743),Listas!$C$2:$D$14,2,0))</f>
        <v/>
      </c>
      <c r="R743" s="36" t="str">
        <f t="shared" si="22"/>
        <v/>
      </c>
      <c r="S743" s="37" t="str">
        <f t="shared" si="23"/>
        <v/>
      </c>
      <c r="T743" s="37" t="str">
        <f t="shared" si="24"/>
        <v/>
      </c>
      <c r="U743" s="37" t="str">
        <f t="shared" si="25"/>
        <v/>
      </c>
      <c r="V743" s="37" t="str">
        <f t="shared" si="26"/>
        <v/>
      </c>
      <c r="W743" s="37" t="str">
        <f t="shared" si="27"/>
        <v/>
      </c>
      <c r="X743" s="37" t="str">
        <f t="shared" si="28"/>
        <v/>
      </c>
      <c r="Y743" s="37" t="str">
        <f t="shared" si="29"/>
        <v/>
      </c>
      <c r="Z743" s="38" t="str">
        <f t="shared" si="30"/>
        <v/>
      </c>
      <c r="AA743" s="39" t="str">
        <f t="shared" si="31"/>
        <v/>
      </c>
    </row>
    <row r="744" ht="15.75" customHeight="1">
      <c r="B744" s="1"/>
      <c r="C744" s="28"/>
      <c r="D744" s="79"/>
      <c r="E744" s="1"/>
      <c r="F744" s="76"/>
      <c r="G744" s="1"/>
      <c r="H744" s="1"/>
      <c r="J744" s="77"/>
      <c r="K744" s="80"/>
      <c r="L744" s="80"/>
      <c r="M744" s="80"/>
      <c r="N744" s="80"/>
      <c r="O744" s="80"/>
      <c r="P744" s="81"/>
      <c r="Q744" s="35" t="str">
        <f>IF(D744="","",VLOOKUP(MONTH(D744),Listas!$C$2:$D$14,2,0))</f>
        <v/>
      </c>
      <c r="R744" s="36" t="str">
        <f t="shared" si="22"/>
        <v/>
      </c>
      <c r="S744" s="37" t="str">
        <f t="shared" si="23"/>
        <v/>
      </c>
      <c r="T744" s="37" t="str">
        <f t="shared" si="24"/>
        <v/>
      </c>
      <c r="U744" s="37" t="str">
        <f t="shared" si="25"/>
        <v/>
      </c>
      <c r="V744" s="37" t="str">
        <f t="shared" si="26"/>
        <v/>
      </c>
      <c r="W744" s="37" t="str">
        <f t="shared" si="27"/>
        <v/>
      </c>
      <c r="X744" s="37" t="str">
        <f t="shared" si="28"/>
        <v/>
      </c>
      <c r="Y744" s="37" t="str">
        <f t="shared" si="29"/>
        <v/>
      </c>
      <c r="Z744" s="38" t="str">
        <f t="shared" si="30"/>
        <v/>
      </c>
      <c r="AA744" s="39" t="str">
        <f t="shared" si="31"/>
        <v/>
      </c>
    </row>
    <row r="745" ht="15.75" customHeight="1">
      <c r="B745" s="1"/>
      <c r="C745" s="28"/>
      <c r="D745" s="79"/>
      <c r="E745" s="1"/>
      <c r="F745" s="76"/>
      <c r="G745" s="1"/>
      <c r="H745" s="1"/>
      <c r="J745" s="77"/>
      <c r="K745" s="80"/>
      <c r="L745" s="80"/>
      <c r="M745" s="80"/>
      <c r="N745" s="80"/>
      <c r="O745" s="80"/>
      <c r="P745" s="81"/>
      <c r="Q745" s="35" t="str">
        <f>IF(D745="","",VLOOKUP(MONTH(D745),Listas!$C$2:$D$14,2,0))</f>
        <v/>
      </c>
      <c r="R745" s="36" t="str">
        <f t="shared" si="22"/>
        <v/>
      </c>
      <c r="S745" s="37" t="str">
        <f t="shared" si="23"/>
        <v/>
      </c>
      <c r="T745" s="37" t="str">
        <f t="shared" si="24"/>
        <v/>
      </c>
      <c r="U745" s="37" t="str">
        <f t="shared" si="25"/>
        <v/>
      </c>
      <c r="V745" s="37" t="str">
        <f t="shared" si="26"/>
        <v/>
      </c>
      <c r="W745" s="37" t="str">
        <f t="shared" si="27"/>
        <v/>
      </c>
      <c r="X745" s="37" t="str">
        <f t="shared" si="28"/>
        <v/>
      </c>
      <c r="Y745" s="37" t="str">
        <f t="shared" si="29"/>
        <v/>
      </c>
      <c r="Z745" s="38" t="str">
        <f t="shared" si="30"/>
        <v/>
      </c>
      <c r="AA745" s="39" t="str">
        <f t="shared" si="31"/>
        <v/>
      </c>
    </row>
    <row r="746" ht="15.75" customHeight="1">
      <c r="B746" s="1"/>
      <c r="C746" s="28"/>
      <c r="D746" s="79"/>
      <c r="E746" s="1"/>
      <c r="F746" s="76"/>
      <c r="G746" s="1"/>
      <c r="H746" s="1"/>
      <c r="J746" s="77"/>
      <c r="K746" s="80"/>
      <c r="L746" s="80"/>
      <c r="M746" s="80"/>
      <c r="N746" s="80"/>
      <c r="O746" s="80"/>
      <c r="P746" s="81"/>
      <c r="Q746" s="35" t="str">
        <f>IF(D746="","",VLOOKUP(MONTH(D746),Listas!$C$2:$D$14,2,0))</f>
        <v/>
      </c>
      <c r="R746" s="36" t="str">
        <f t="shared" si="22"/>
        <v/>
      </c>
      <c r="S746" s="37" t="str">
        <f t="shared" si="23"/>
        <v/>
      </c>
      <c r="T746" s="37" t="str">
        <f t="shared" si="24"/>
        <v/>
      </c>
      <c r="U746" s="37" t="str">
        <f t="shared" si="25"/>
        <v/>
      </c>
      <c r="V746" s="37" t="str">
        <f t="shared" si="26"/>
        <v/>
      </c>
      <c r="W746" s="37" t="str">
        <f t="shared" si="27"/>
        <v/>
      </c>
      <c r="X746" s="37" t="str">
        <f t="shared" si="28"/>
        <v/>
      </c>
      <c r="Y746" s="37" t="str">
        <f t="shared" si="29"/>
        <v/>
      </c>
      <c r="Z746" s="38" t="str">
        <f t="shared" si="30"/>
        <v/>
      </c>
      <c r="AA746" s="39" t="str">
        <f t="shared" si="31"/>
        <v/>
      </c>
    </row>
    <row r="747" ht="15.75" customHeight="1">
      <c r="B747" s="1"/>
      <c r="C747" s="28"/>
      <c r="D747" s="79"/>
      <c r="E747" s="1"/>
      <c r="F747" s="76"/>
      <c r="G747" s="1"/>
      <c r="H747" s="1"/>
      <c r="J747" s="77"/>
      <c r="K747" s="80"/>
      <c r="L747" s="80"/>
      <c r="M747" s="80"/>
      <c r="N747" s="80"/>
      <c r="O747" s="80"/>
      <c r="P747" s="81"/>
      <c r="Q747" s="35" t="str">
        <f>IF(D747="","",VLOOKUP(MONTH(D747),Listas!$C$2:$D$14,2,0))</f>
        <v/>
      </c>
      <c r="R747" s="36" t="str">
        <f t="shared" si="22"/>
        <v/>
      </c>
      <c r="S747" s="37" t="str">
        <f t="shared" si="23"/>
        <v/>
      </c>
      <c r="T747" s="37" t="str">
        <f t="shared" si="24"/>
        <v/>
      </c>
      <c r="U747" s="37" t="str">
        <f t="shared" si="25"/>
        <v/>
      </c>
      <c r="V747" s="37" t="str">
        <f t="shared" si="26"/>
        <v/>
      </c>
      <c r="W747" s="37" t="str">
        <f t="shared" si="27"/>
        <v/>
      </c>
      <c r="X747" s="37" t="str">
        <f t="shared" si="28"/>
        <v/>
      </c>
      <c r="Y747" s="37" t="str">
        <f t="shared" si="29"/>
        <v/>
      </c>
      <c r="Z747" s="38" t="str">
        <f t="shared" si="30"/>
        <v/>
      </c>
      <c r="AA747" s="39" t="str">
        <f t="shared" si="31"/>
        <v/>
      </c>
    </row>
    <row r="748" ht="15.75" customHeight="1">
      <c r="B748" s="1"/>
      <c r="C748" s="28"/>
      <c r="D748" s="79"/>
      <c r="E748" s="1"/>
      <c r="F748" s="76"/>
      <c r="G748" s="1"/>
      <c r="H748" s="1"/>
      <c r="J748" s="77"/>
      <c r="K748" s="80"/>
      <c r="L748" s="80"/>
      <c r="M748" s="80"/>
      <c r="N748" s="80"/>
      <c r="O748" s="80"/>
      <c r="P748" s="81"/>
      <c r="Q748" s="35" t="str">
        <f>IF(D748="","",VLOOKUP(MONTH(D748),Listas!$C$2:$D$14,2,0))</f>
        <v/>
      </c>
      <c r="R748" s="36" t="str">
        <f t="shared" si="22"/>
        <v/>
      </c>
      <c r="S748" s="37" t="str">
        <f t="shared" si="23"/>
        <v/>
      </c>
      <c r="T748" s="37" t="str">
        <f t="shared" si="24"/>
        <v/>
      </c>
      <c r="U748" s="37" t="str">
        <f t="shared" si="25"/>
        <v/>
      </c>
      <c r="V748" s="37" t="str">
        <f t="shared" si="26"/>
        <v/>
      </c>
      <c r="W748" s="37" t="str">
        <f t="shared" si="27"/>
        <v/>
      </c>
      <c r="X748" s="37" t="str">
        <f t="shared" si="28"/>
        <v/>
      </c>
      <c r="Y748" s="37" t="str">
        <f t="shared" si="29"/>
        <v/>
      </c>
      <c r="Z748" s="38" t="str">
        <f t="shared" si="30"/>
        <v/>
      </c>
      <c r="AA748" s="39" t="str">
        <f t="shared" si="31"/>
        <v/>
      </c>
    </row>
    <row r="749" ht="15.75" customHeight="1">
      <c r="B749" s="1"/>
      <c r="C749" s="28"/>
      <c r="D749" s="79"/>
      <c r="E749" s="1"/>
      <c r="F749" s="76"/>
      <c r="G749" s="1"/>
      <c r="H749" s="1"/>
      <c r="J749" s="77"/>
      <c r="K749" s="80"/>
      <c r="L749" s="80"/>
      <c r="M749" s="80"/>
      <c r="N749" s="80"/>
      <c r="O749" s="80"/>
      <c r="P749" s="81"/>
      <c r="Q749" s="35" t="str">
        <f>IF(D749="","",VLOOKUP(MONTH(D749),Listas!$C$2:$D$14,2,0))</f>
        <v/>
      </c>
      <c r="R749" s="36" t="str">
        <f t="shared" si="22"/>
        <v/>
      </c>
      <c r="S749" s="37" t="str">
        <f t="shared" si="23"/>
        <v/>
      </c>
      <c r="T749" s="37" t="str">
        <f t="shared" si="24"/>
        <v/>
      </c>
      <c r="U749" s="37" t="str">
        <f t="shared" si="25"/>
        <v/>
      </c>
      <c r="V749" s="37" t="str">
        <f t="shared" si="26"/>
        <v/>
      </c>
      <c r="W749" s="37" t="str">
        <f t="shared" si="27"/>
        <v/>
      </c>
      <c r="X749" s="37" t="str">
        <f t="shared" si="28"/>
        <v/>
      </c>
      <c r="Y749" s="37" t="str">
        <f t="shared" si="29"/>
        <v/>
      </c>
      <c r="Z749" s="38" t="str">
        <f t="shared" si="30"/>
        <v/>
      </c>
      <c r="AA749" s="39" t="str">
        <f t="shared" si="31"/>
        <v/>
      </c>
    </row>
    <row r="750" ht="15.75" customHeight="1">
      <c r="B750" s="1"/>
      <c r="C750" s="28"/>
      <c r="D750" s="79"/>
      <c r="E750" s="1"/>
      <c r="F750" s="76"/>
      <c r="G750" s="1"/>
      <c r="H750" s="1"/>
      <c r="J750" s="77"/>
      <c r="K750" s="80"/>
      <c r="L750" s="80"/>
      <c r="M750" s="80"/>
      <c r="N750" s="80"/>
      <c r="O750" s="80"/>
      <c r="P750" s="81"/>
      <c r="Q750" s="35" t="str">
        <f>IF(D750="","",VLOOKUP(MONTH(D750),Listas!$C$2:$D$14,2,0))</f>
        <v/>
      </c>
      <c r="R750" s="36" t="str">
        <f t="shared" si="22"/>
        <v/>
      </c>
      <c r="S750" s="37" t="str">
        <f t="shared" si="23"/>
        <v/>
      </c>
      <c r="T750" s="37" t="str">
        <f t="shared" si="24"/>
        <v/>
      </c>
      <c r="U750" s="37" t="str">
        <f t="shared" si="25"/>
        <v/>
      </c>
      <c r="V750" s="37" t="str">
        <f t="shared" si="26"/>
        <v/>
      </c>
      <c r="W750" s="37" t="str">
        <f t="shared" si="27"/>
        <v/>
      </c>
      <c r="X750" s="37" t="str">
        <f t="shared" si="28"/>
        <v/>
      </c>
      <c r="Y750" s="37" t="str">
        <f t="shared" si="29"/>
        <v/>
      </c>
      <c r="Z750" s="38" t="str">
        <f t="shared" si="30"/>
        <v/>
      </c>
      <c r="AA750" s="39" t="str">
        <f t="shared" si="31"/>
        <v/>
      </c>
    </row>
    <row r="751" ht="15.75" customHeight="1">
      <c r="B751" s="1"/>
      <c r="C751" s="28"/>
      <c r="D751" s="79"/>
      <c r="E751" s="1"/>
      <c r="F751" s="76"/>
      <c r="G751" s="1"/>
      <c r="H751" s="1"/>
      <c r="J751" s="77"/>
      <c r="K751" s="80"/>
      <c r="L751" s="80"/>
      <c r="M751" s="80"/>
      <c r="N751" s="80"/>
      <c r="O751" s="80"/>
      <c r="P751" s="81"/>
      <c r="Q751" s="35" t="str">
        <f>IF(D751="","",VLOOKUP(MONTH(D751),Listas!$C$2:$D$14,2,0))</f>
        <v/>
      </c>
      <c r="R751" s="36" t="str">
        <f t="shared" si="22"/>
        <v/>
      </c>
      <c r="S751" s="37" t="str">
        <f t="shared" si="23"/>
        <v/>
      </c>
      <c r="T751" s="37" t="str">
        <f t="shared" si="24"/>
        <v/>
      </c>
      <c r="U751" s="37" t="str">
        <f t="shared" si="25"/>
        <v/>
      </c>
      <c r="V751" s="37" t="str">
        <f t="shared" si="26"/>
        <v/>
      </c>
      <c r="W751" s="37" t="str">
        <f t="shared" si="27"/>
        <v/>
      </c>
      <c r="X751" s="37" t="str">
        <f t="shared" si="28"/>
        <v/>
      </c>
      <c r="Y751" s="37" t="str">
        <f t="shared" si="29"/>
        <v/>
      </c>
      <c r="Z751" s="38" t="str">
        <f t="shared" si="30"/>
        <v/>
      </c>
      <c r="AA751" s="39" t="str">
        <f t="shared" si="31"/>
        <v/>
      </c>
    </row>
    <row r="752" ht="15.75" customHeight="1">
      <c r="B752" s="1"/>
      <c r="C752" s="28"/>
      <c r="D752" s="79"/>
      <c r="E752" s="1"/>
      <c r="F752" s="76"/>
      <c r="G752" s="1"/>
      <c r="H752" s="1"/>
      <c r="J752" s="77"/>
      <c r="K752" s="80"/>
      <c r="L752" s="80"/>
      <c r="M752" s="80"/>
      <c r="N752" s="80"/>
      <c r="O752" s="80"/>
      <c r="P752" s="81"/>
      <c r="Q752" s="35" t="str">
        <f>IF(D752="","",VLOOKUP(MONTH(D752),Listas!$C$2:$D$14,2,0))</f>
        <v/>
      </c>
      <c r="R752" s="36" t="str">
        <f t="shared" si="22"/>
        <v/>
      </c>
      <c r="S752" s="37" t="str">
        <f t="shared" si="23"/>
        <v/>
      </c>
      <c r="T752" s="37" t="str">
        <f t="shared" si="24"/>
        <v/>
      </c>
      <c r="U752" s="37" t="str">
        <f t="shared" si="25"/>
        <v/>
      </c>
      <c r="V752" s="37" t="str">
        <f t="shared" si="26"/>
        <v/>
      </c>
      <c r="W752" s="37" t="str">
        <f t="shared" si="27"/>
        <v/>
      </c>
      <c r="X752" s="37" t="str">
        <f t="shared" si="28"/>
        <v/>
      </c>
      <c r="Y752" s="37" t="str">
        <f t="shared" si="29"/>
        <v/>
      </c>
      <c r="Z752" s="38" t="str">
        <f t="shared" si="30"/>
        <v/>
      </c>
      <c r="AA752" s="39" t="str">
        <f t="shared" si="31"/>
        <v/>
      </c>
    </row>
    <row r="753" ht="15.75" customHeight="1">
      <c r="B753" s="1"/>
      <c r="C753" s="28"/>
      <c r="D753" s="79"/>
      <c r="E753" s="1"/>
      <c r="F753" s="76"/>
      <c r="G753" s="1"/>
      <c r="H753" s="1"/>
      <c r="J753" s="77"/>
      <c r="K753" s="80"/>
      <c r="L753" s="80"/>
      <c r="M753" s="80"/>
      <c r="N753" s="80"/>
      <c r="O753" s="80"/>
      <c r="P753" s="81"/>
      <c r="Q753" s="35" t="str">
        <f>IF(D753="","",VLOOKUP(MONTH(D753),Listas!$C$2:$D$14,2,0))</f>
        <v/>
      </c>
      <c r="R753" s="36" t="str">
        <f t="shared" si="22"/>
        <v/>
      </c>
      <c r="S753" s="37" t="str">
        <f t="shared" si="23"/>
        <v/>
      </c>
      <c r="T753" s="37" t="str">
        <f t="shared" si="24"/>
        <v/>
      </c>
      <c r="U753" s="37" t="str">
        <f t="shared" si="25"/>
        <v/>
      </c>
      <c r="V753" s="37" t="str">
        <f t="shared" si="26"/>
        <v/>
      </c>
      <c r="W753" s="37" t="str">
        <f t="shared" si="27"/>
        <v/>
      </c>
      <c r="X753" s="37" t="str">
        <f t="shared" si="28"/>
        <v/>
      </c>
      <c r="Y753" s="37" t="str">
        <f t="shared" si="29"/>
        <v/>
      </c>
      <c r="Z753" s="38" t="str">
        <f t="shared" si="30"/>
        <v/>
      </c>
      <c r="AA753" s="39" t="str">
        <f t="shared" si="31"/>
        <v/>
      </c>
    </row>
    <row r="754" ht="15.75" customHeight="1">
      <c r="B754" s="1"/>
      <c r="C754" s="28"/>
      <c r="D754" s="79"/>
      <c r="E754" s="1"/>
      <c r="F754" s="76"/>
      <c r="G754" s="1"/>
      <c r="H754" s="1"/>
      <c r="J754" s="77"/>
      <c r="K754" s="80"/>
      <c r="L754" s="80"/>
      <c r="M754" s="80"/>
      <c r="N754" s="80"/>
      <c r="O754" s="80"/>
      <c r="P754" s="81"/>
      <c r="Q754" s="35" t="str">
        <f>IF(D754="","",VLOOKUP(MONTH(D754),Listas!$C$2:$D$14,2,0))</f>
        <v/>
      </c>
      <c r="R754" s="36" t="str">
        <f t="shared" si="22"/>
        <v/>
      </c>
      <c r="S754" s="37" t="str">
        <f t="shared" si="23"/>
        <v/>
      </c>
      <c r="T754" s="37" t="str">
        <f t="shared" si="24"/>
        <v/>
      </c>
      <c r="U754" s="37" t="str">
        <f t="shared" si="25"/>
        <v/>
      </c>
      <c r="V754" s="37" t="str">
        <f t="shared" si="26"/>
        <v/>
      </c>
      <c r="W754" s="37" t="str">
        <f t="shared" si="27"/>
        <v/>
      </c>
      <c r="X754" s="37" t="str">
        <f t="shared" si="28"/>
        <v/>
      </c>
      <c r="Y754" s="37" t="str">
        <f t="shared" si="29"/>
        <v/>
      </c>
      <c r="Z754" s="38" t="str">
        <f t="shared" si="30"/>
        <v/>
      </c>
      <c r="AA754" s="39" t="str">
        <f t="shared" si="31"/>
        <v/>
      </c>
    </row>
    <row r="755" ht="15.75" customHeight="1">
      <c r="B755" s="1"/>
      <c r="C755" s="28"/>
      <c r="D755" s="79"/>
      <c r="E755" s="1"/>
      <c r="F755" s="76"/>
      <c r="G755" s="1"/>
      <c r="H755" s="1"/>
      <c r="J755" s="77"/>
      <c r="K755" s="80"/>
      <c r="L755" s="80"/>
      <c r="M755" s="80"/>
      <c r="N755" s="80"/>
      <c r="O755" s="80"/>
      <c r="P755" s="81"/>
      <c r="Q755" s="35" t="str">
        <f>IF(D755="","",VLOOKUP(MONTH(D755),Listas!$C$2:$D$14,2,0))</f>
        <v/>
      </c>
      <c r="R755" s="36" t="str">
        <f t="shared" si="22"/>
        <v/>
      </c>
      <c r="S755" s="37" t="str">
        <f t="shared" si="23"/>
        <v/>
      </c>
      <c r="T755" s="37" t="str">
        <f t="shared" si="24"/>
        <v/>
      </c>
      <c r="U755" s="37" t="str">
        <f t="shared" si="25"/>
        <v/>
      </c>
      <c r="V755" s="37" t="str">
        <f t="shared" si="26"/>
        <v/>
      </c>
      <c r="W755" s="37" t="str">
        <f t="shared" si="27"/>
        <v/>
      </c>
      <c r="X755" s="37" t="str">
        <f t="shared" si="28"/>
        <v/>
      </c>
      <c r="Y755" s="37" t="str">
        <f t="shared" si="29"/>
        <v/>
      </c>
      <c r="Z755" s="38" t="str">
        <f t="shared" si="30"/>
        <v/>
      </c>
      <c r="AA755" s="39" t="str">
        <f t="shared" si="31"/>
        <v/>
      </c>
    </row>
    <row r="756" ht="15.75" customHeight="1">
      <c r="B756" s="1"/>
      <c r="C756" s="28"/>
      <c r="D756" s="79"/>
      <c r="E756" s="1"/>
      <c r="F756" s="76"/>
      <c r="G756" s="1"/>
      <c r="H756" s="1"/>
      <c r="J756" s="77"/>
      <c r="K756" s="80"/>
      <c r="L756" s="80"/>
      <c r="M756" s="80"/>
      <c r="N756" s="80"/>
      <c r="O756" s="80"/>
      <c r="P756" s="81"/>
      <c r="Q756" s="35" t="str">
        <f>IF(D756="","",VLOOKUP(MONTH(D756),Listas!$C$2:$D$14,2,0))</f>
        <v/>
      </c>
      <c r="R756" s="36" t="str">
        <f t="shared" si="22"/>
        <v/>
      </c>
      <c r="S756" s="37" t="str">
        <f t="shared" si="23"/>
        <v/>
      </c>
      <c r="T756" s="37" t="str">
        <f t="shared" si="24"/>
        <v/>
      </c>
      <c r="U756" s="37" t="str">
        <f t="shared" si="25"/>
        <v/>
      </c>
      <c r="V756" s="37" t="str">
        <f t="shared" si="26"/>
        <v/>
      </c>
      <c r="W756" s="37" t="str">
        <f t="shared" si="27"/>
        <v/>
      </c>
      <c r="X756" s="37" t="str">
        <f t="shared" si="28"/>
        <v/>
      </c>
      <c r="Y756" s="37" t="str">
        <f t="shared" si="29"/>
        <v/>
      </c>
      <c r="Z756" s="38" t="str">
        <f t="shared" si="30"/>
        <v/>
      </c>
      <c r="AA756" s="39" t="str">
        <f t="shared" si="31"/>
        <v/>
      </c>
    </row>
    <row r="757" ht="15.75" customHeight="1">
      <c r="B757" s="1"/>
      <c r="C757" s="28"/>
      <c r="D757" s="79"/>
      <c r="E757" s="1"/>
      <c r="F757" s="76"/>
      <c r="G757" s="1"/>
      <c r="H757" s="1"/>
      <c r="J757" s="77"/>
      <c r="K757" s="80"/>
      <c r="L757" s="80"/>
      <c r="M757" s="80"/>
      <c r="N757" s="80"/>
      <c r="O757" s="80"/>
      <c r="P757" s="81"/>
      <c r="Q757" s="35" t="str">
        <f>IF(D757="","",VLOOKUP(MONTH(D757),Listas!$C$2:$D$14,2,0))</f>
        <v/>
      </c>
      <c r="R757" s="36" t="str">
        <f t="shared" si="22"/>
        <v/>
      </c>
      <c r="S757" s="37" t="str">
        <f t="shared" si="23"/>
        <v/>
      </c>
      <c r="T757" s="37" t="str">
        <f t="shared" si="24"/>
        <v/>
      </c>
      <c r="U757" s="37" t="str">
        <f t="shared" si="25"/>
        <v/>
      </c>
      <c r="V757" s="37" t="str">
        <f t="shared" si="26"/>
        <v/>
      </c>
      <c r="W757" s="37" t="str">
        <f t="shared" si="27"/>
        <v/>
      </c>
      <c r="X757" s="37" t="str">
        <f t="shared" si="28"/>
        <v/>
      </c>
      <c r="Y757" s="37" t="str">
        <f t="shared" si="29"/>
        <v/>
      </c>
      <c r="Z757" s="38" t="str">
        <f t="shared" si="30"/>
        <v/>
      </c>
      <c r="AA757" s="39" t="str">
        <f t="shared" si="31"/>
        <v/>
      </c>
    </row>
    <row r="758" ht="15.75" customHeight="1">
      <c r="B758" s="1"/>
      <c r="C758" s="28"/>
      <c r="D758" s="79"/>
      <c r="E758" s="1"/>
      <c r="F758" s="76"/>
      <c r="G758" s="1"/>
      <c r="H758" s="1"/>
      <c r="J758" s="77"/>
      <c r="K758" s="80"/>
      <c r="L758" s="80"/>
      <c r="M758" s="80"/>
      <c r="N758" s="80"/>
      <c r="O758" s="80"/>
      <c r="P758" s="81"/>
      <c r="Q758" s="35" t="str">
        <f>IF(D758="","",VLOOKUP(MONTH(D758),Listas!$C$2:$D$14,2,0))</f>
        <v/>
      </c>
      <c r="R758" s="36" t="str">
        <f t="shared" si="22"/>
        <v/>
      </c>
      <c r="S758" s="37" t="str">
        <f t="shared" si="23"/>
        <v/>
      </c>
      <c r="T758" s="37" t="str">
        <f t="shared" si="24"/>
        <v/>
      </c>
      <c r="U758" s="37" t="str">
        <f t="shared" si="25"/>
        <v/>
      </c>
      <c r="V758" s="37" t="str">
        <f t="shared" si="26"/>
        <v/>
      </c>
      <c r="W758" s="37" t="str">
        <f t="shared" si="27"/>
        <v/>
      </c>
      <c r="X758" s="37" t="str">
        <f t="shared" si="28"/>
        <v/>
      </c>
      <c r="Y758" s="37" t="str">
        <f t="shared" si="29"/>
        <v/>
      </c>
      <c r="Z758" s="38" t="str">
        <f t="shared" si="30"/>
        <v/>
      </c>
      <c r="AA758" s="39" t="str">
        <f t="shared" si="31"/>
        <v/>
      </c>
    </row>
    <row r="759" ht="15.75" customHeight="1">
      <c r="B759" s="1"/>
      <c r="C759" s="28"/>
      <c r="D759" s="79"/>
      <c r="E759" s="1"/>
      <c r="F759" s="76"/>
      <c r="G759" s="1"/>
      <c r="H759" s="1"/>
      <c r="J759" s="77"/>
      <c r="K759" s="80"/>
      <c r="L759" s="80"/>
      <c r="M759" s="80"/>
      <c r="N759" s="80"/>
      <c r="O759" s="80"/>
      <c r="P759" s="81"/>
      <c r="Q759" s="35" t="str">
        <f>IF(D759="","",VLOOKUP(MONTH(D759),Listas!$C$2:$D$14,2,0))</f>
        <v/>
      </c>
      <c r="R759" s="36" t="str">
        <f t="shared" si="22"/>
        <v/>
      </c>
      <c r="S759" s="37" t="str">
        <f t="shared" si="23"/>
        <v/>
      </c>
      <c r="T759" s="37" t="str">
        <f t="shared" si="24"/>
        <v/>
      </c>
      <c r="U759" s="37" t="str">
        <f t="shared" si="25"/>
        <v/>
      </c>
      <c r="V759" s="37" t="str">
        <f t="shared" si="26"/>
        <v/>
      </c>
      <c r="W759" s="37" t="str">
        <f t="shared" si="27"/>
        <v/>
      </c>
      <c r="X759" s="37" t="str">
        <f t="shared" si="28"/>
        <v/>
      </c>
      <c r="Y759" s="37" t="str">
        <f t="shared" si="29"/>
        <v/>
      </c>
      <c r="Z759" s="38" t="str">
        <f t="shared" si="30"/>
        <v/>
      </c>
      <c r="AA759" s="39" t="str">
        <f t="shared" si="31"/>
        <v/>
      </c>
    </row>
    <row r="760" ht="15.75" customHeight="1">
      <c r="B760" s="1"/>
      <c r="C760" s="28"/>
      <c r="D760" s="79"/>
      <c r="E760" s="1"/>
      <c r="F760" s="76"/>
      <c r="G760" s="1"/>
      <c r="H760" s="1"/>
      <c r="J760" s="77"/>
      <c r="K760" s="80"/>
      <c r="L760" s="80"/>
      <c r="M760" s="80"/>
      <c r="N760" s="80"/>
      <c r="O760" s="80"/>
      <c r="P760" s="81"/>
      <c r="Q760" s="35" t="str">
        <f>IF(D760="","",VLOOKUP(MONTH(D760),Listas!$C$2:$D$14,2,0))</f>
        <v/>
      </c>
      <c r="R760" s="36" t="str">
        <f t="shared" si="22"/>
        <v/>
      </c>
      <c r="S760" s="37" t="str">
        <f t="shared" si="23"/>
        <v/>
      </c>
      <c r="T760" s="37" t="str">
        <f t="shared" si="24"/>
        <v/>
      </c>
      <c r="U760" s="37" t="str">
        <f t="shared" si="25"/>
        <v/>
      </c>
      <c r="V760" s="37" t="str">
        <f t="shared" si="26"/>
        <v/>
      </c>
      <c r="W760" s="37" t="str">
        <f t="shared" si="27"/>
        <v/>
      </c>
      <c r="X760" s="37" t="str">
        <f t="shared" si="28"/>
        <v/>
      </c>
      <c r="Y760" s="37" t="str">
        <f t="shared" si="29"/>
        <v/>
      </c>
      <c r="Z760" s="38" t="str">
        <f t="shared" si="30"/>
        <v/>
      </c>
      <c r="AA760" s="39" t="str">
        <f t="shared" si="31"/>
        <v/>
      </c>
    </row>
    <row r="761" ht="15.75" customHeight="1">
      <c r="B761" s="1"/>
      <c r="C761" s="28"/>
      <c r="D761" s="79"/>
      <c r="E761" s="1"/>
      <c r="F761" s="76"/>
      <c r="G761" s="1"/>
      <c r="H761" s="1"/>
      <c r="J761" s="77"/>
      <c r="K761" s="80"/>
      <c r="L761" s="80"/>
      <c r="M761" s="80"/>
      <c r="N761" s="80"/>
      <c r="O761" s="80"/>
      <c r="P761" s="81"/>
      <c r="Q761" s="35" t="str">
        <f>IF(D761="","",VLOOKUP(MONTH(D761),Listas!$C$2:$D$14,2,0))</f>
        <v/>
      </c>
      <c r="R761" s="36" t="str">
        <f t="shared" si="22"/>
        <v/>
      </c>
      <c r="S761" s="37" t="str">
        <f t="shared" si="23"/>
        <v/>
      </c>
      <c r="T761" s="37" t="str">
        <f t="shared" si="24"/>
        <v/>
      </c>
      <c r="U761" s="37" t="str">
        <f t="shared" si="25"/>
        <v/>
      </c>
      <c r="V761" s="37" t="str">
        <f t="shared" si="26"/>
        <v/>
      </c>
      <c r="W761" s="37" t="str">
        <f t="shared" si="27"/>
        <v/>
      </c>
      <c r="X761" s="37" t="str">
        <f t="shared" si="28"/>
        <v/>
      </c>
      <c r="Y761" s="37" t="str">
        <f t="shared" si="29"/>
        <v/>
      </c>
      <c r="Z761" s="38" t="str">
        <f t="shared" si="30"/>
        <v/>
      </c>
      <c r="AA761" s="39" t="str">
        <f t="shared" si="31"/>
        <v/>
      </c>
    </row>
    <row r="762" ht="15.75" customHeight="1">
      <c r="B762" s="1"/>
      <c r="C762" s="28"/>
      <c r="D762" s="79"/>
      <c r="E762" s="1"/>
      <c r="F762" s="76"/>
      <c r="G762" s="1"/>
      <c r="H762" s="1"/>
      <c r="J762" s="77"/>
      <c r="K762" s="80"/>
      <c r="L762" s="80"/>
      <c r="M762" s="80"/>
      <c r="N762" s="80"/>
      <c r="O762" s="80"/>
      <c r="P762" s="81"/>
      <c r="Q762" s="35" t="str">
        <f>IF(D762="","",VLOOKUP(MONTH(D762),Listas!$C$2:$D$14,2,0))</f>
        <v/>
      </c>
      <c r="R762" s="36" t="str">
        <f t="shared" si="22"/>
        <v/>
      </c>
      <c r="S762" s="37" t="str">
        <f t="shared" si="23"/>
        <v/>
      </c>
      <c r="T762" s="37" t="str">
        <f t="shared" si="24"/>
        <v/>
      </c>
      <c r="U762" s="37" t="str">
        <f t="shared" si="25"/>
        <v/>
      </c>
      <c r="V762" s="37" t="str">
        <f t="shared" si="26"/>
        <v/>
      </c>
      <c r="W762" s="37" t="str">
        <f t="shared" si="27"/>
        <v/>
      </c>
      <c r="X762" s="37" t="str">
        <f t="shared" si="28"/>
        <v/>
      </c>
      <c r="Y762" s="37" t="str">
        <f t="shared" si="29"/>
        <v/>
      </c>
      <c r="Z762" s="38" t="str">
        <f t="shared" si="30"/>
        <v/>
      </c>
      <c r="AA762" s="39" t="str">
        <f t="shared" si="31"/>
        <v/>
      </c>
    </row>
    <row r="763" ht="15.75" customHeight="1">
      <c r="B763" s="1"/>
      <c r="C763" s="28"/>
      <c r="D763" s="79"/>
      <c r="E763" s="1"/>
      <c r="F763" s="76"/>
      <c r="G763" s="1"/>
      <c r="H763" s="1"/>
      <c r="J763" s="77"/>
      <c r="K763" s="80"/>
      <c r="L763" s="80"/>
      <c r="M763" s="80"/>
      <c r="N763" s="80"/>
      <c r="O763" s="80"/>
      <c r="P763" s="81"/>
      <c r="Q763" s="35" t="str">
        <f>IF(D763="","",VLOOKUP(MONTH(D763),Listas!$C$2:$D$14,2,0))</f>
        <v/>
      </c>
      <c r="R763" s="36" t="str">
        <f t="shared" si="22"/>
        <v/>
      </c>
      <c r="S763" s="37" t="str">
        <f t="shared" si="23"/>
        <v/>
      </c>
      <c r="T763" s="37" t="str">
        <f t="shared" si="24"/>
        <v/>
      </c>
      <c r="U763" s="37" t="str">
        <f t="shared" si="25"/>
        <v/>
      </c>
      <c r="V763" s="37" t="str">
        <f t="shared" si="26"/>
        <v/>
      </c>
      <c r="W763" s="37" t="str">
        <f t="shared" si="27"/>
        <v/>
      </c>
      <c r="X763" s="37" t="str">
        <f t="shared" si="28"/>
        <v/>
      </c>
      <c r="Y763" s="37" t="str">
        <f t="shared" si="29"/>
        <v/>
      </c>
      <c r="Z763" s="38" t="str">
        <f t="shared" si="30"/>
        <v/>
      </c>
      <c r="AA763" s="39" t="str">
        <f t="shared" si="31"/>
        <v/>
      </c>
    </row>
    <row r="764" ht="15.75" customHeight="1">
      <c r="B764" s="1"/>
      <c r="C764" s="28"/>
      <c r="D764" s="79"/>
      <c r="E764" s="1"/>
      <c r="F764" s="76"/>
      <c r="G764" s="1"/>
      <c r="H764" s="1"/>
      <c r="J764" s="77"/>
      <c r="K764" s="80"/>
      <c r="L764" s="80"/>
      <c r="M764" s="80"/>
      <c r="N764" s="80"/>
      <c r="O764" s="80"/>
      <c r="P764" s="81"/>
      <c r="Q764" s="35" t="str">
        <f>IF(D764="","",VLOOKUP(MONTH(D764),Listas!$C$2:$D$14,2,0))</f>
        <v/>
      </c>
      <c r="R764" s="36" t="str">
        <f t="shared" si="22"/>
        <v/>
      </c>
      <c r="S764" s="37" t="str">
        <f t="shared" si="23"/>
        <v/>
      </c>
      <c r="T764" s="37" t="str">
        <f t="shared" si="24"/>
        <v/>
      </c>
      <c r="U764" s="37" t="str">
        <f t="shared" si="25"/>
        <v/>
      </c>
      <c r="V764" s="37" t="str">
        <f t="shared" si="26"/>
        <v/>
      </c>
      <c r="W764" s="37" t="str">
        <f t="shared" si="27"/>
        <v/>
      </c>
      <c r="X764" s="37" t="str">
        <f t="shared" si="28"/>
        <v/>
      </c>
      <c r="Y764" s="37" t="str">
        <f t="shared" si="29"/>
        <v/>
      </c>
      <c r="Z764" s="38" t="str">
        <f t="shared" si="30"/>
        <v/>
      </c>
      <c r="AA764" s="39" t="str">
        <f t="shared" si="31"/>
        <v/>
      </c>
    </row>
    <row r="765" ht="15.75" customHeight="1">
      <c r="B765" s="1"/>
      <c r="C765" s="28"/>
      <c r="D765" s="79"/>
      <c r="E765" s="1"/>
      <c r="F765" s="76"/>
      <c r="G765" s="1"/>
      <c r="H765" s="1"/>
      <c r="J765" s="77"/>
      <c r="K765" s="80"/>
      <c r="L765" s="80"/>
      <c r="M765" s="80"/>
      <c r="N765" s="80"/>
      <c r="O765" s="80"/>
      <c r="P765" s="81"/>
      <c r="Q765" s="35" t="str">
        <f>IF(D765="","",VLOOKUP(MONTH(D765),Listas!$C$2:$D$14,2,0))</f>
        <v/>
      </c>
      <c r="R765" s="36" t="str">
        <f t="shared" si="22"/>
        <v/>
      </c>
      <c r="S765" s="37" t="str">
        <f t="shared" si="23"/>
        <v/>
      </c>
      <c r="T765" s="37" t="str">
        <f t="shared" si="24"/>
        <v/>
      </c>
      <c r="U765" s="37" t="str">
        <f t="shared" si="25"/>
        <v/>
      </c>
      <c r="V765" s="37" t="str">
        <f t="shared" si="26"/>
        <v/>
      </c>
      <c r="W765" s="37" t="str">
        <f t="shared" si="27"/>
        <v/>
      </c>
      <c r="X765" s="37" t="str">
        <f t="shared" si="28"/>
        <v/>
      </c>
      <c r="Y765" s="37" t="str">
        <f t="shared" si="29"/>
        <v/>
      </c>
      <c r="Z765" s="38" t="str">
        <f t="shared" si="30"/>
        <v/>
      </c>
      <c r="AA765" s="39" t="str">
        <f t="shared" si="31"/>
        <v/>
      </c>
    </row>
    <row r="766" ht="15.75" customHeight="1">
      <c r="B766" s="1"/>
      <c r="C766" s="28"/>
      <c r="D766" s="79"/>
      <c r="E766" s="1"/>
      <c r="F766" s="76"/>
      <c r="G766" s="1"/>
      <c r="H766" s="1"/>
      <c r="J766" s="77"/>
      <c r="K766" s="80"/>
      <c r="L766" s="80"/>
      <c r="M766" s="80"/>
      <c r="N766" s="80"/>
      <c r="O766" s="80"/>
      <c r="P766" s="81"/>
      <c r="Q766" s="35" t="str">
        <f>IF(D766="","",VLOOKUP(MONTH(D766),Listas!$C$2:$D$14,2,0))</f>
        <v/>
      </c>
      <c r="R766" s="36" t="str">
        <f t="shared" si="22"/>
        <v/>
      </c>
      <c r="S766" s="37" t="str">
        <f t="shared" si="23"/>
        <v/>
      </c>
      <c r="T766" s="37" t="str">
        <f t="shared" si="24"/>
        <v/>
      </c>
      <c r="U766" s="37" t="str">
        <f t="shared" si="25"/>
        <v/>
      </c>
      <c r="V766" s="37" t="str">
        <f t="shared" si="26"/>
        <v/>
      </c>
      <c r="W766" s="37" t="str">
        <f t="shared" si="27"/>
        <v/>
      </c>
      <c r="X766" s="37" t="str">
        <f t="shared" si="28"/>
        <v/>
      </c>
      <c r="Y766" s="37" t="str">
        <f t="shared" si="29"/>
        <v/>
      </c>
      <c r="Z766" s="38" t="str">
        <f t="shared" si="30"/>
        <v/>
      </c>
      <c r="AA766" s="39" t="str">
        <f t="shared" si="31"/>
        <v/>
      </c>
    </row>
    <row r="767" ht="15.75" customHeight="1">
      <c r="B767" s="1"/>
      <c r="C767" s="28"/>
      <c r="D767" s="79"/>
      <c r="E767" s="1"/>
      <c r="F767" s="76"/>
      <c r="G767" s="1"/>
      <c r="H767" s="1"/>
      <c r="J767" s="77"/>
      <c r="K767" s="80"/>
      <c r="L767" s="80"/>
      <c r="M767" s="80"/>
      <c r="N767" s="80"/>
      <c r="O767" s="80"/>
      <c r="P767" s="81"/>
      <c r="Q767" s="35" t="str">
        <f>IF(D767="","",VLOOKUP(MONTH(D767),Listas!$C$2:$D$14,2,0))</f>
        <v/>
      </c>
      <c r="R767" s="36" t="str">
        <f t="shared" si="22"/>
        <v/>
      </c>
      <c r="S767" s="37" t="str">
        <f t="shared" si="23"/>
        <v/>
      </c>
      <c r="T767" s="37" t="str">
        <f t="shared" si="24"/>
        <v/>
      </c>
      <c r="U767" s="37" t="str">
        <f t="shared" si="25"/>
        <v/>
      </c>
      <c r="V767" s="37" t="str">
        <f t="shared" si="26"/>
        <v/>
      </c>
      <c r="W767" s="37" t="str">
        <f t="shared" si="27"/>
        <v/>
      </c>
      <c r="X767" s="37" t="str">
        <f t="shared" si="28"/>
        <v/>
      </c>
      <c r="Y767" s="37" t="str">
        <f t="shared" si="29"/>
        <v/>
      </c>
      <c r="Z767" s="38" t="str">
        <f t="shared" si="30"/>
        <v/>
      </c>
      <c r="AA767" s="39" t="str">
        <f t="shared" si="31"/>
        <v/>
      </c>
    </row>
    <row r="768" ht="15.75" customHeight="1">
      <c r="B768" s="1"/>
      <c r="C768" s="28"/>
      <c r="D768" s="79"/>
      <c r="E768" s="1"/>
      <c r="F768" s="76"/>
      <c r="G768" s="1"/>
      <c r="H768" s="1"/>
      <c r="J768" s="77"/>
      <c r="K768" s="80"/>
      <c r="L768" s="80"/>
      <c r="M768" s="80"/>
      <c r="N768" s="80"/>
      <c r="O768" s="80"/>
      <c r="P768" s="81"/>
      <c r="Q768" s="35" t="str">
        <f>IF(D768="","",VLOOKUP(MONTH(D768),Listas!$C$2:$D$14,2,0))</f>
        <v/>
      </c>
      <c r="R768" s="36" t="str">
        <f t="shared" si="22"/>
        <v/>
      </c>
      <c r="S768" s="37" t="str">
        <f t="shared" si="23"/>
        <v/>
      </c>
      <c r="T768" s="37" t="str">
        <f t="shared" si="24"/>
        <v/>
      </c>
      <c r="U768" s="37" t="str">
        <f t="shared" si="25"/>
        <v/>
      </c>
      <c r="V768" s="37" t="str">
        <f t="shared" si="26"/>
        <v/>
      </c>
      <c r="W768" s="37" t="str">
        <f t="shared" si="27"/>
        <v/>
      </c>
      <c r="X768" s="37" t="str">
        <f t="shared" si="28"/>
        <v/>
      </c>
      <c r="Y768" s="37" t="str">
        <f t="shared" si="29"/>
        <v/>
      </c>
      <c r="Z768" s="38" t="str">
        <f t="shared" si="30"/>
        <v/>
      </c>
      <c r="AA768" s="39" t="str">
        <f t="shared" si="31"/>
        <v/>
      </c>
    </row>
    <row r="769" ht="15.75" customHeight="1">
      <c r="B769" s="1"/>
      <c r="C769" s="28"/>
      <c r="D769" s="79"/>
      <c r="E769" s="1"/>
      <c r="F769" s="76"/>
      <c r="G769" s="1"/>
      <c r="H769" s="1"/>
      <c r="J769" s="77"/>
      <c r="K769" s="80"/>
      <c r="L769" s="80"/>
      <c r="M769" s="80"/>
      <c r="N769" s="80"/>
      <c r="O769" s="80"/>
      <c r="P769" s="81"/>
      <c r="Q769" s="35" t="str">
        <f>IF(D769="","",VLOOKUP(MONTH(D769),Listas!$C$2:$D$14,2,0))</f>
        <v/>
      </c>
      <c r="R769" s="36" t="str">
        <f t="shared" si="22"/>
        <v/>
      </c>
      <c r="S769" s="37" t="str">
        <f t="shared" si="23"/>
        <v/>
      </c>
      <c r="T769" s="37" t="str">
        <f t="shared" si="24"/>
        <v/>
      </c>
      <c r="U769" s="37" t="str">
        <f t="shared" si="25"/>
        <v/>
      </c>
      <c r="V769" s="37" t="str">
        <f t="shared" si="26"/>
        <v/>
      </c>
      <c r="W769" s="37" t="str">
        <f t="shared" si="27"/>
        <v/>
      </c>
      <c r="X769" s="37" t="str">
        <f t="shared" si="28"/>
        <v/>
      </c>
      <c r="Y769" s="37" t="str">
        <f t="shared" si="29"/>
        <v/>
      </c>
      <c r="Z769" s="38" t="str">
        <f t="shared" si="30"/>
        <v/>
      </c>
      <c r="AA769" s="39" t="str">
        <f t="shared" si="31"/>
        <v/>
      </c>
    </row>
    <row r="770" ht="15.75" customHeight="1">
      <c r="B770" s="1"/>
      <c r="C770" s="28"/>
      <c r="D770" s="79"/>
      <c r="E770" s="1"/>
      <c r="F770" s="76"/>
      <c r="G770" s="1"/>
      <c r="H770" s="1"/>
      <c r="J770" s="77"/>
      <c r="K770" s="80"/>
      <c r="L770" s="80"/>
      <c r="M770" s="80"/>
      <c r="N770" s="80"/>
      <c r="O770" s="80"/>
      <c r="P770" s="81"/>
      <c r="Q770" s="35" t="str">
        <f>IF(D770="","",VLOOKUP(MONTH(D770),Listas!$C$2:$D$14,2,0))</f>
        <v/>
      </c>
      <c r="R770" s="36" t="str">
        <f t="shared" si="22"/>
        <v/>
      </c>
      <c r="S770" s="37" t="str">
        <f t="shared" si="23"/>
        <v/>
      </c>
      <c r="T770" s="37" t="str">
        <f t="shared" si="24"/>
        <v/>
      </c>
      <c r="U770" s="37" t="str">
        <f t="shared" si="25"/>
        <v/>
      </c>
      <c r="V770" s="37" t="str">
        <f t="shared" si="26"/>
        <v/>
      </c>
      <c r="W770" s="37" t="str">
        <f t="shared" si="27"/>
        <v/>
      </c>
      <c r="X770" s="37" t="str">
        <f t="shared" si="28"/>
        <v/>
      </c>
      <c r="Y770" s="37" t="str">
        <f t="shared" si="29"/>
        <v/>
      </c>
      <c r="Z770" s="38" t="str">
        <f t="shared" si="30"/>
        <v/>
      </c>
      <c r="AA770" s="39" t="str">
        <f t="shared" si="31"/>
        <v/>
      </c>
    </row>
    <row r="771" ht="15.75" customHeight="1">
      <c r="B771" s="1"/>
      <c r="C771" s="28"/>
      <c r="D771" s="79"/>
      <c r="E771" s="1"/>
      <c r="F771" s="76"/>
      <c r="G771" s="1"/>
      <c r="H771" s="1"/>
      <c r="J771" s="77"/>
      <c r="K771" s="80"/>
      <c r="L771" s="80"/>
      <c r="M771" s="80"/>
      <c r="N771" s="80"/>
      <c r="O771" s="80"/>
      <c r="P771" s="81"/>
      <c r="Q771" s="35" t="str">
        <f>IF(D771="","",VLOOKUP(MONTH(D771),Listas!$C$2:$D$14,2,0))</f>
        <v/>
      </c>
      <c r="R771" s="36" t="str">
        <f t="shared" si="22"/>
        <v/>
      </c>
      <c r="S771" s="37" t="str">
        <f t="shared" si="23"/>
        <v/>
      </c>
      <c r="T771" s="37" t="str">
        <f t="shared" si="24"/>
        <v/>
      </c>
      <c r="U771" s="37" t="str">
        <f t="shared" si="25"/>
        <v/>
      </c>
      <c r="V771" s="37" t="str">
        <f t="shared" si="26"/>
        <v/>
      </c>
      <c r="W771" s="37" t="str">
        <f t="shared" si="27"/>
        <v/>
      </c>
      <c r="X771" s="37" t="str">
        <f t="shared" si="28"/>
        <v/>
      </c>
      <c r="Y771" s="37" t="str">
        <f t="shared" si="29"/>
        <v/>
      </c>
      <c r="Z771" s="38" t="str">
        <f t="shared" si="30"/>
        <v/>
      </c>
      <c r="AA771" s="39" t="str">
        <f t="shared" si="31"/>
        <v/>
      </c>
    </row>
    <row r="772" ht="15.75" customHeight="1">
      <c r="B772" s="1"/>
      <c r="C772" s="28"/>
      <c r="D772" s="79"/>
      <c r="E772" s="1"/>
      <c r="F772" s="76"/>
      <c r="G772" s="1"/>
      <c r="H772" s="1"/>
      <c r="J772" s="77"/>
      <c r="K772" s="80"/>
      <c r="L772" s="80"/>
      <c r="M772" s="80"/>
      <c r="N772" s="80"/>
      <c r="O772" s="80"/>
      <c r="P772" s="81"/>
      <c r="Q772" s="35" t="str">
        <f>IF(D772="","",VLOOKUP(MONTH(D772),Listas!$C$2:$D$14,2,0))</f>
        <v/>
      </c>
      <c r="R772" s="36" t="str">
        <f t="shared" si="22"/>
        <v/>
      </c>
      <c r="S772" s="37" t="str">
        <f t="shared" si="23"/>
        <v/>
      </c>
      <c r="T772" s="37" t="str">
        <f t="shared" si="24"/>
        <v/>
      </c>
      <c r="U772" s="37" t="str">
        <f t="shared" si="25"/>
        <v/>
      </c>
      <c r="V772" s="37" t="str">
        <f t="shared" si="26"/>
        <v/>
      </c>
      <c r="W772" s="37" t="str">
        <f t="shared" si="27"/>
        <v/>
      </c>
      <c r="X772" s="37" t="str">
        <f t="shared" si="28"/>
        <v/>
      </c>
      <c r="Y772" s="37" t="str">
        <f t="shared" si="29"/>
        <v/>
      </c>
      <c r="Z772" s="38" t="str">
        <f t="shared" si="30"/>
        <v/>
      </c>
      <c r="AA772" s="39" t="str">
        <f t="shared" si="31"/>
        <v/>
      </c>
    </row>
    <row r="773" ht="15.75" customHeight="1">
      <c r="B773" s="1"/>
      <c r="C773" s="28"/>
      <c r="D773" s="79"/>
      <c r="E773" s="1"/>
      <c r="F773" s="76"/>
      <c r="G773" s="1"/>
      <c r="H773" s="1"/>
      <c r="J773" s="77"/>
      <c r="K773" s="80"/>
      <c r="L773" s="80"/>
      <c r="M773" s="80"/>
      <c r="N773" s="80"/>
      <c r="O773" s="80"/>
      <c r="P773" s="81"/>
      <c r="Q773" s="35" t="str">
        <f>IF(D773="","",VLOOKUP(MONTH(D773),Listas!$C$2:$D$14,2,0))</f>
        <v/>
      </c>
      <c r="R773" s="36" t="str">
        <f t="shared" si="22"/>
        <v/>
      </c>
      <c r="S773" s="37" t="str">
        <f t="shared" si="23"/>
        <v/>
      </c>
      <c r="T773" s="37" t="str">
        <f t="shared" si="24"/>
        <v/>
      </c>
      <c r="U773" s="37" t="str">
        <f t="shared" si="25"/>
        <v/>
      </c>
      <c r="V773" s="37" t="str">
        <f t="shared" si="26"/>
        <v/>
      </c>
      <c r="W773" s="37" t="str">
        <f t="shared" si="27"/>
        <v/>
      </c>
      <c r="X773" s="37" t="str">
        <f t="shared" si="28"/>
        <v/>
      </c>
      <c r="Y773" s="37" t="str">
        <f t="shared" si="29"/>
        <v/>
      </c>
      <c r="Z773" s="38" t="str">
        <f t="shared" si="30"/>
        <v/>
      </c>
      <c r="AA773" s="39" t="str">
        <f t="shared" si="31"/>
        <v/>
      </c>
    </row>
    <row r="774" ht="15.75" customHeight="1">
      <c r="B774" s="1"/>
      <c r="C774" s="28"/>
      <c r="D774" s="79"/>
      <c r="E774" s="1"/>
      <c r="F774" s="76"/>
      <c r="G774" s="1"/>
      <c r="H774" s="1"/>
      <c r="J774" s="77"/>
      <c r="K774" s="80"/>
      <c r="L774" s="80"/>
      <c r="M774" s="80"/>
      <c r="N774" s="80"/>
      <c r="O774" s="80"/>
      <c r="P774" s="81"/>
      <c r="Q774" s="35" t="str">
        <f>IF(D774="","",VLOOKUP(MONTH(D774),Listas!$C$2:$D$14,2,0))</f>
        <v/>
      </c>
      <c r="R774" s="36" t="str">
        <f t="shared" si="22"/>
        <v/>
      </c>
      <c r="S774" s="37" t="str">
        <f t="shared" si="23"/>
        <v/>
      </c>
      <c r="T774" s="37" t="str">
        <f t="shared" si="24"/>
        <v/>
      </c>
      <c r="U774" s="37" t="str">
        <f t="shared" si="25"/>
        <v/>
      </c>
      <c r="V774" s="37" t="str">
        <f t="shared" si="26"/>
        <v/>
      </c>
      <c r="W774" s="37" t="str">
        <f t="shared" si="27"/>
        <v/>
      </c>
      <c r="X774" s="37" t="str">
        <f t="shared" si="28"/>
        <v/>
      </c>
      <c r="Y774" s="37" t="str">
        <f t="shared" si="29"/>
        <v/>
      </c>
      <c r="Z774" s="38" t="str">
        <f t="shared" si="30"/>
        <v/>
      </c>
      <c r="AA774" s="39" t="str">
        <f t="shared" si="31"/>
        <v/>
      </c>
    </row>
    <row r="775" ht="15.75" customHeight="1">
      <c r="B775" s="1"/>
      <c r="C775" s="28"/>
      <c r="D775" s="79"/>
      <c r="E775" s="1"/>
      <c r="F775" s="76"/>
      <c r="G775" s="1"/>
      <c r="H775" s="1"/>
      <c r="J775" s="77"/>
      <c r="K775" s="80"/>
      <c r="L775" s="80"/>
      <c r="M775" s="80"/>
      <c r="N775" s="80"/>
      <c r="O775" s="80"/>
      <c r="P775" s="81"/>
      <c r="Q775" s="35" t="str">
        <f>IF(D775="","",VLOOKUP(MONTH(D775),Listas!$C$2:$D$14,2,0))</f>
        <v/>
      </c>
      <c r="R775" s="36" t="str">
        <f t="shared" si="22"/>
        <v/>
      </c>
      <c r="S775" s="37" t="str">
        <f t="shared" si="23"/>
        <v/>
      </c>
      <c r="T775" s="37" t="str">
        <f t="shared" si="24"/>
        <v/>
      </c>
      <c r="U775" s="37" t="str">
        <f t="shared" si="25"/>
        <v/>
      </c>
      <c r="V775" s="37" t="str">
        <f t="shared" si="26"/>
        <v/>
      </c>
      <c r="W775" s="37" t="str">
        <f t="shared" si="27"/>
        <v/>
      </c>
      <c r="X775" s="37" t="str">
        <f t="shared" si="28"/>
        <v/>
      </c>
      <c r="Y775" s="37" t="str">
        <f t="shared" si="29"/>
        <v/>
      </c>
      <c r="Z775" s="38" t="str">
        <f t="shared" si="30"/>
        <v/>
      </c>
      <c r="AA775" s="39" t="str">
        <f t="shared" si="31"/>
        <v/>
      </c>
    </row>
    <row r="776" ht="15.75" customHeight="1">
      <c r="B776" s="1"/>
      <c r="C776" s="28"/>
      <c r="D776" s="79"/>
      <c r="E776" s="1"/>
      <c r="F776" s="76"/>
      <c r="G776" s="1"/>
      <c r="H776" s="1"/>
      <c r="J776" s="77"/>
      <c r="K776" s="80"/>
      <c r="L776" s="80"/>
      <c r="M776" s="80"/>
      <c r="N776" s="80"/>
      <c r="O776" s="80"/>
      <c r="P776" s="81"/>
      <c r="Q776" s="35" t="str">
        <f>IF(D776="","",VLOOKUP(MONTH(D776),Listas!$C$2:$D$14,2,0))</f>
        <v/>
      </c>
      <c r="R776" s="36" t="str">
        <f t="shared" si="22"/>
        <v/>
      </c>
      <c r="S776" s="37" t="str">
        <f t="shared" si="23"/>
        <v/>
      </c>
      <c r="T776" s="37" t="str">
        <f t="shared" si="24"/>
        <v/>
      </c>
      <c r="U776" s="37" t="str">
        <f t="shared" si="25"/>
        <v/>
      </c>
      <c r="V776" s="37" t="str">
        <f t="shared" si="26"/>
        <v/>
      </c>
      <c r="W776" s="37" t="str">
        <f t="shared" si="27"/>
        <v/>
      </c>
      <c r="X776" s="37" t="str">
        <f t="shared" si="28"/>
        <v/>
      </c>
      <c r="Y776" s="37" t="str">
        <f t="shared" si="29"/>
        <v/>
      </c>
      <c r="Z776" s="38" t="str">
        <f t="shared" si="30"/>
        <v/>
      </c>
      <c r="AA776" s="39" t="str">
        <f t="shared" si="31"/>
        <v/>
      </c>
    </row>
    <row r="777" ht="15.75" customHeight="1">
      <c r="B777" s="1"/>
      <c r="C777" s="28"/>
      <c r="D777" s="79"/>
      <c r="E777" s="1"/>
      <c r="F777" s="76"/>
      <c r="G777" s="1"/>
      <c r="H777" s="1"/>
      <c r="J777" s="77"/>
      <c r="K777" s="80"/>
      <c r="L777" s="80"/>
      <c r="M777" s="80"/>
      <c r="N777" s="80"/>
      <c r="O777" s="80"/>
      <c r="P777" s="81"/>
      <c r="Q777" s="35" t="str">
        <f>IF(D777="","",VLOOKUP(MONTH(D777),Listas!$C$2:$D$14,2,0))</f>
        <v/>
      </c>
      <c r="R777" s="36" t="str">
        <f t="shared" si="22"/>
        <v/>
      </c>
      <c r="S777" s="37" t="str">
        <f t="shared" si="23"/>
        <v/>
      </c>
      <c r="T777" s="37" t="str">
        <f t="shared" si="24"/>
        <v/>
      </c>
      <c r="U777" s="37" t="str">
        <f t="shared" si="25"/>
        <v/>
      </c>
      <c r="V777" s="37" t="str">
        <f t="shared" si="26"/>
        <v/>
      </c>
      <c r="W777" s="37" t="str">
        <f t="shared" si="27"/>
        <v/>
      </c>
      <c r="X777" s="37" t="str">
        <f t="shared" si="28"/>
        <v/>
      </c>
      <c r="Y777" s="37" t="str">
        <f t="shared" si="29"/>
        <v/>
      </c>
      <c r="Z777" s="38" t="str">
        <f t="shared" si="30"/>
        <v/>
      </c>
      <c r="AA777" s="39" t="str">
        <f t="shared" si="31"/>
        <v/>
      </c>
    </row>
    <row r="778" ht="15.75" customHeight="1">
      <c r="B778" s="1"/>
      <c r="C778" s="28"/>
      <c r="D778" s="79"/>
      <c r="E778" s="1"/>
      <c r="F778" s="76"/>
      <c r="G778" s="1"/>
      <c r="H778" s="1"/>
      <c r="J778" s="77"/>
      <c r="K778" s="80"/>
      <c r="L778" s="80"/>
      <c r="M778" s="80"/>
      <c r="N778" s="80"/>
      <c r="O778" s="80"/>
      <c r="P778" s="81"/>
      <c r="Q778" s="35" t="str">
        <f>IF(D778="","",VLOOKUP(MONTH(D778),Listas!$C$2:$D$14,2,0))</f>
        <v/>
      </c>
      <c r="R778" s="36" t="str">
        <f t="shared" si="22"/>
        <v/>
      </c>
      <c r="S778" s="37" t="str">
        <f t="shared" si="23"/>
        <v/>
      </c>
      <c r="T778" s="37" t="str">
        <f t="shared" si="24"/>
        <v/>
      </c>
      <c r="U778" s="37" t="str">
        <f t="shared" si="25"/>
        <v/>
      </c>
      <c r="V778" s="37" t="str">
        <f t="shared" si="26"/>
        <v/>
      </c>
      <c r="W778" s="37" t="str">
        <f t="shared" si="27"/>
        <v/>
      </c>
      <c r="X778" s="37" t="str">
        <f t="shared" si="28"/>
        <v/>
      </c>
      <c r="Y778" s="37" t="str">
        <f t="shared" si="29"/>
        <v/>
      </c>
      <c r="Z778" s="38" t="str">
        <f t="shared" si="30"/>
        <v/>
      </c>
      <c r="AA778" s="39" t="str">
        <f t="shared" si="31"/>
        <v/>
      </c>
    </row>
    <row r="779" ht="15.75" customHeight="1">
      <c r="B779" s="1"/>
      <c r="C779" s="28"/>
      <c r="D779" s="79"/>
      <c r="E779" s="1"/>
      <c r="F779" s="76"/>
      <c r="G779" s="1"/>
      <c r="H779" s="1"/>
      <c r="J779" s="77"/>
      <c r="K779" s="80"/>
      <c r="L779" s="80"/>
      <c r="M779" s="80"/>
      <c r="N779" s="80"/>
      <c r="O779" s="80"/>
      <c r="P779" s="81"/>
      <c r="Q779" s="35" t="str">
        <f>IF(D779="","",VLOOKUP(MONTH(D779),Listas!$C$2:$D$14,2,0))</f>
        <v/>
      </c>
      <c r="R779" s="36" t="str">
        <f t="shared" si="22"/>
        <v/>
      </c>
      <c r="S779" s="37" t="str">
        <f t="shared" si="23"/>
        <v/>
      </c>
      <c r="T779" s="37" t="str">
        <f t="shared" si="24"/>
        <v/>
      </c>
      <c r="U779" s="37" t="str">
        <f t="shared" si="25"/>
        <v/>
      </c>
      <c r="V779" s="37" t="str">
        <f t="shared" si="26"/>
        <v/>
      </c>
      <c r="W779" s="37" t="str">
        <f t="shared" si="27"/>
        <v/>
      </c>
      <c r="X779" s="37" t="str">
        <f t="shared" si="28"/>
        <v/>
      </c>
      <c r="Y779" s="37" t="str">
        <f t="shared" si="29"/>
        <v/>
      </c>
      <c r="Z779" s="38" t="str">
        <f t="shared" si="30"/>
        <v/>
      </c>
      <c r="AA779" s="39" t="str">
        <f t="shared" si="31"/>
        <v/>
      </c>
    </row>
    <row r="780" ht="15.75" customHeight="1">
      <c r="B780" s="1"/>
      <c r="C780" s="28"/>
      <c r="D780" s="79"/>
      <c r="E780" s="1"/>
      <c r="F780" s="76"/>
      <c r="G780" s="1"/>
      <c r="H780" s="1"/>
      <c r="J780" s="77"/>
      <c r="K780" s="80"/>
      <c r="L780" s="80"/>
      <c r="M780" s="80"/>
      <c r="N780" s="80"/>
      <c r="O780" s="80"/>
      <c r="P780" s="81"/>
      <c r="Q780" s="35" t="str">
        <f>IF(D780="","",VLOOKUP(MONTH(D780),Listas!$C$2:$D$14,2,0))</f>
        <v/>
      </c>
      <c r="R780" s="36" t="str">
        <f t="shared" si="22"/>
        <v/>
      </c>
      <c r="S780" s="37" t="str">
        <f t="shared" si="23"/>
        <v/>
      </c>
      <c r="T780" s="37" t="str">
        <f t="shared" si="24"/>
        <v/>
      </c>
      <c r="U780" s="37" t="str">
        <f t="shared" si="25"/>
        <v/>
      </c>
      <c r="V780" s="37" t="str">
        <f t="shared" si="26"/>
        <v/>
      </c>
      <c r="W780" s="37" t="str">
        <f t="shared" si="27"/>
        <v/>
      </c>
      <c r="X780" s="37" t="str">
        <f t="shared" si="28"/>
        <v/>
      </c>
      <c r="Y780" s="37" t="str">
        <f t="shared" si="29"/>
        <v/>
      </c>
      <c r="Z780" s="38" t="str">
        <f t="shared" si="30"/>
        <v/>
      </c>
      <c r="AA780" s="39" t="str">
        <f t="shared" si="31"/>
        <v/>
      </c>
    </row>
    <row r="781" ht="15.75" customHeight="1">
      <c r="B781" s="1"/>
      <c r="C781" s="28"/>
      <c r="D781" s="79"/>
      <c r="E781" s="1"/>
      <c r="F781" s="76"/>
      <c r="G781" s="1"/>
      <c r="H781" s="1"/>
      <c r="J781" s="77"/>
      <c r="K781" s="80"/>
      <c r="L781" s="80"/>
      <c r="M781" s="80"/>
      <c r="N781" s="80"/>
      <c r="O781" s="80"/>
      <c r="P781" s="81"/>
      <c r="Q781" s="35" t="str">
        <f>IF(D781="","",VLOOKUP(MONTH(D781),Listas!$C$2:$D$14,2,0))</f>
        <v/>
      </c>
      <c r="R781" s="36" t="str">
        <f t="shared" si="22"/>
        <v/>
      </c>
      <c r="S781" s="37" t="str">
        <f t="shared" si="23"/>
        <v/>
      </c>
      <c r="T781" s="37" t="str">
        <f t="shared" si="24"/>
        <v/>
      </c>
      <c r="U781" s="37" t="str">
        <f t="shared" si="25"/>
        <v/>
      </c>
      <c r="V781" s="37" t="str">
        <f t="shared" si="26"/>
        <v/>
      </c>
      <c r="W781" s="37" t="str">
        <f t="shared" si="27"/>
        <v/>
      </c>
      <c r="X781" s="37" t="str">
        <f t="shared" si="28"/>
        <v/>
      </c>
      <c r="Y781" s="37" t="str">
        <f t="shared" si="29"/>
        <v/>
      </c>
      <c r="Z781" s="38" t="str">
        <f t="shared" si="30"/>
        <v/>
      </c>
      <c r="AA781" s="39" t="str">
        <f t="shared" si="31"/>
        <v/>
      </c>
    </row>
    <row r="782" ht="15.75" customHeight="1">
      <c r="B782" s="1"/>
      <c r="C782" s="28"/>
      <c r="D782" s="79"/>
      <c r="E782" s="1"/>
      <c r="F782" s="76"/>
      <c r="G782" s="1"/>
      <c r="H782" s="1"/>
      <c r="J782" s="77"/>
      <c r="K782" s="80"/>
      <c r="L782" s="80"/>
      <c r="M782" s="80"/>
      <c r="N782" s="80"/>
      <c r="O782" s="80"/>
      <c r="P782" s="81"/>
      <c r="Q782" s="35" t="str">
        <f>IF(D782="","",VLOOKUP(MONTH(D782),Listas!$C$2:$D$14,2,0))</f>
        <v/>
      </c>
      <c r="R782" s="36" t="str">
        <f t="shared" si="22"/>
        <v/>
      </c>
      <c r="S782" s="37" t="str">
        <f t="shared" si="23"/>
        <v/>
      </c>
      <c r="T782" s="37" t="str">
        <f t="shared" si="24"/>
        <v/>
      </c>
      <c r="U782" s="37" t="str">
        <f t="shared" si="25"/>
        <v/>
      </c>
      <c r="V782" s="37" t="str">
        <f t="shared" si="26"/>
        <v/>
      </c>
      <c r="W782" s="37" t="str">
        <f t="shared" si="27"/>
        <v/>
      </c>
      <c r="X782" s="37" t="str">
        <f t="shared" si="28"/>
        <v/>
      </c>
      <c r="Y782" s="37" t="str">
        <f t="shared" si="29"/>
        <v/>
      </c>
      <c r="Z782" s="38" t="str">
        <f t="shared" si="30"/>
        <v/>
      </c>
      <c r="AA782" s="39" t="str">
        <f t="shared" si="31"/>
        <v/>
      </c>
    </row>
    <row r="783" ht="15.75" customHeight="1">
      <c r="B783" s="1"/>
      <c r="C783" s="28"/>
      <c r="D783" s="79"/>
      <c r="E783" s="1"/>
      <c r="F783" s="76"/>
      <c r="G783" s="1"/>
      <c r="H783" s="1"/>
      <c r="J783" s="77"/>
      <c r="K783" s="80"/>
      <c r="L783" s="80"/>
      <c r="M783" s="80"/>
      <c r="N783" s="80"/>
      <c r="O783" s="80"/>
      <c r="P783" s="81"/>
      <c r="Q783" s="35" t="str">
        <f>IF(D783="","",VLOOKUP(MONTH(D783),Listas!$C$2:$D$14,2,0))</f>
        <v/>
      </c>
      <c r="R783" s="36" t="str">
        <f t="shared" si="22"/>
        <v/>
      </c>
      <c r="S783" s="37" t="str">
        <f t="shared" si="23"/>
        <v/>
      </c>
      <c r="T783" s="37" t="str">
        <f t="shared" si="24"/>
        <v/>
      </c>
      <c r="U783" s="37" t="str">
        <f t="shared" si="25"/>
        <v/>
      </c>
      <c r="V783" s="37" t="str">
        <f t="shared" si="26"/>
        <v/>
      </c>
      <c r="W783" s="37" t="str">
        <f t="shared" si="27"/>
        <v/>
      </c>
      <c r="X783" s="37" t="str">
        <f t="shared" si="28"/>
        <v/>
      </c>
      <c r="Y783" s="37" t="str">
        <f t="shared" si="29"/>
        <v/>
      </c>
      <c r="Z783" s="38" t="str">
        <f t="shared" si="30"/>
        <v/>
      </c>
      <c r="AA783" s="39" t="str">
        <f t="shared" si="31"/>
        <v/>
      </c>
    </row>
    <row r="784" ht="15.75" customHeight="1">
      <c r="B784" s="1"/>
      <c r="C784" s="28"/>
      <c r="D784" s="79"/>
      <c r="E784" s="1"/>
      <c r="F784" s="76"/>
      <c r="G784" s="1"/>
      <c r="H784" s="1"/>
      <c r="J784" s="77"/>
      <c r="K784" s="80"/>
      <c r="L784" s="80"/>
      <c r="M784" s="80"/>
      <c r="N784" s="80"/>
      <c r="O784" s="80"/>
      <c r="P784" s="81"/>
      <c r="Q784" s="35" t="str">
        <f>IF(D784="","",VLOOKUP(MONTH(D784),Listas!$C$2:$D$14,2,0))</f>
        <v/>
      </c>
      <c r="R784" s="36" t="str">
        <f t="shared" si="22"/>
        <v/>
      </c>
      <c r="S784" s="37" t="str">
        <f t="shared" si="23"/>
        <v/>
      </c>
      <c r="T784" s="37" t="str">
        <f t="shared" si="24"/>
        <v/>
      </c>
      <c r="U784" s="37" t="str">
        <f t="shared" si="25"/>
        <v/>
      </c>
      <c r="V784" s="37" t="str">
        <f t="shared" si="26"/>
        <v/>
      </c>
      <c r="W784" s="37" t="str">
        <f t="shared" si="27"/>
        <v/>
      </c>
      <c r="X784" s="37" t="str">
        <f t="shared" si="28"/>
        <v/>
      </c>
      <c r="Y784" s="37" t="str">
        <f t="shared" si="29"/>
        <v/>
      </c>
      <c r="Z784" s="38" t="str">
        <f t="shared" si="30"/>
        <v/>
      </c>
      <c r="AA784" s="39" t="str">
        <f t="shared" si="31"/>
        <v/>
      </c>
    </row>
    <row r="785" ht="15.75" customHeight="1">
      <c r="B785" s="1"/>
      <c r="C785" s="28"/>
      <c r="D785" s="79"/>
      <c r="E785" s="1"/>
      <c r="F785" s="76"/>
      <c r="G785" s="1"/>
      <c r="H785" s="1"/>
      <c r="J785" s="77"/>
      <c r="K785" s="80"/>
      <c r="L785" s="80"/>
      <c r="M785" s="80"/>
      <c r="N785" s="80"/>
      <c r="O785" s="80"/>
      <c r="P785" s="81"/>
      <c r="Q785" s="35" t="str">
        <f>IF(D785="","",VLOOKUP(MONTH(D785),Listas!$C$2:$D$14,2,0))</f>
        <v/>
      </c>
      <c r="R785" s="36" t="str">
        <f t="shared" si="22"/>
        <v/>
      </c>
      <c r="S785" s="37" t="str">
        <f t="shared" si="23"/>
        <v/>
      </c>
      <c r="T785" s="37" t="str">
        <f t="shared" si="24"/>
        <v/>
      </c>
      <c r="U785" s="37" t="str">
        <f t="shared" si="25"/>
        <v/>
      </c>
      <c r="V785" s="37" t="str">
        <f t="shared" si="26"/>
        <v/>
      </c>
      <c r="W785" s="37" t="str">
        <f t="shared" si="27"/>
        <v/>
      </c>
      <c r="X785" s="37" t="str">
        <f t="shared" si="28"/>
        <v/>
      </c>
      <c r="Y785" s="37" t="str">
        <f t="shared" si="29"/>
        <v/>
      </c>
      <c r="Z785" s="38" t="str">
        <f t="shared" si="30"/>
        <v/>
      </c>
      <c r="AA785" s="39" t="str">
        <f t="shared" si="31"/>
        <v/>
      </c>
    </row>
    <row r="786" ht="15.75" customHeight="1">
      <c r="B786" s="1"/>
      <c r="C786" s="28"/>
      <c r="D786" s="79"/>
      <c r="E786" s="1"/>
      <c r="F786" s="76"/>
      <c r="G786" s="1"/>
      <c r="H786" s="1"/>
      <c r="J786" s="77"/>
      <c r="K786" s="80"/>
      <c r="L786" s="80"/>
      <c r="M786" s="80"/>
      <c r="N786" s="80"/>
      <c r="O786" s="80"/>
      <c r="P786" s="81"/>
      <c r="Q786" s="35" t="str">
        <f>IF(D786="","",VLOOKUP(MONTH(D786),Listas!$C$2:$D$14,2,0))</f>
        <v/>
      </c>
      <c r="R786" s="36" t="str">
        <f t="shared" si="22"/>
        <v/>
      </c>
      <c r="S786" s="37" t="str">
        <f t="shared" si="23"/>
        <v/>
      </c>
      <c r="T786" s="37" t="str">
        <f t="shared" si="24"/>
        <v/>
      </c>
      <c r="U786" s="37" t="str">
        <f t="shared" si="25"/>
        <v/>
      </c>
      <c r="V786" s="37" t="str">
        <f t="shared" si="26"/>
        <v/>
      </c>
      <c r="W786" s="37" t="str">
        <f t="shared" si="27"/>
        <v/>
      </c>
      <c r="X786" s="37" t="str">
        <f t="shared" si="28"/>
        <v/>
      </c>
      <c r="Y786" s="37" t="str">
        <f t="shared" si="29"/>
        <v/>
      </c>
      <c r="Z786" s="38" t="str">
        <f t="shared" si="30"/>
        <v/>
      </c>
      <c r="AA786" s="39" t="str">
        <f t="shared" si="31"/>
        <v/>
      </c>
    </row>
    <row r="787" ht="15.75" customHeight="1">
      <c r="B787" s="1"/>
      <c r="C787" s="28"/>
      <c r="D787" s="79"/>
      <c r="E787" s="1"/>
      <c r="F787" s="76"/>
      <c r="G787" s="1"/>
      <c r="H787" s="1"/>
      <c r="J787" s="77"/>
      <c r="K787" s="80"/>
      <c r="L787" s="80"/>
      <c r="M787" s="80"/>
      <c r="N787" s="80"/>
      <c r="O787" s="80"/>
      <c r="P787" s="81"/>
      <c r="Q787" s="35" t="str">
        <f>IF(D787="","",VLOOKUP(MONTH(D787),Listas!$C$2:$D$14,2,0))</f>
        <v/>
      </c>
      <c r="R787" s="36" t="str">
        <f t="shared" si="22"/>
        <v/>
      </c>
      <c r="S787" s="37" t="str">
        <f t="shared" si="23"/>
        <v/>
      </c>
      <c r="T787" s="37" t="str">
        <f t="shared" si="24"/>
        <v/>
      </c>
      <c r="U787" s="37" t="str">
        <f t="shared" si="25"/>
        <v/>
      </c>
      <c r="V787" s="37" t="str">
        <f t="shared" si="26"/>
        <v/>
      </c>
      <c r="W787" s="37" t="str">
        <f t="shared" si="27"/>
        <v/>
      </c>
      <c r="X787" s="37" t="str">
        <f t="shared" si="28"/>
        <v/>
      </c>
      <c r="Y787" s="37" t="str">
        <f t="shared" si="29"/>
        <v/>
      </c>
      <c r="Z787" s="38" t="str">
        <f t="shared" si="30"/>
        <v/>
      </c>
      <c r="AA787" s="39" t="str">
        <f t="shared" si="31"/>
        <v/>
      </c>
    </row>
    <row r="788" ht="15.75" customHeight="1">
      <c r="B788" s="1"/>
      <c r="C788" s="28"/>
      <c r="D788" s="79"/>
      <c r="E788" s="1"/>
      <c r="F788" s="76"/>
      <c r="G788" s="1"/>
      <c r="H788" s="1"/>
      <c r="J788" s="77"/>
      <c r="K788" s="80"/>
      <c r="L788" s="80"/>
      <c r="M788" s="80"/>
      <c r="N788" s="80"/>
      <c r="O788" s="80"/>
      <c r="P788" s="81"/>
      <c r="Q788" s="35" t="str">
        <f>IF(D788="","",VLOOKUP(MONTH(D788),Listas!$C$2:$D$14,2,0))</f>
        <v/>
      </c>
      <c r="R788" s="36" t="str">
        <f t="shared" si="22"/>
        <v/>
      </c>
      <c r="S788" s="37" t="str">
        <f t="shared" si="23"/>
        <v/>
      </c>
      <c r="T788" s="37" t="str">
        <f t="shared" si="24"/>
        <v/>
      </c>
      <c r="U788" s="37" t="str">
        <f t="shared" si="25"/>
        <v/>
      </c>
      <c r="V788" s="37" t="str">
        <f t="shared" si="26"/>
        <v/>
      </c>
      <c r="W788" s="37" t="str">
        <f t="shared" si="27"/>
        <v/>
      </c>
      <c r="X788" s="37" t="str">
        <f t="shared" si="28"/>
        <v/>
      </c>
      <c r="Y788" s="37" t="str">
        <f t="shared" si="29"/>
        <v/>
      </c>
      <c r="Z788" s="38" t="str">
        <f t="shared" si="30"/>
        <v/>
      </c>
      <c r="AA788" s="39" t="str">
        <f t="shared" si="31"/>
        <v/>
      </c>
    </row>
    <row r="789" ht="15.75" customHeight="1">
      <c r="B789" s="1"/>
      <c r="C789" s="28"/>
      <c r="D789" s="79"/>
      <c r="E789" s="1"/>
      <c r="F789" s="76"/>
      <c r="G789" s="1"/>
      <c r="H789" s="1"/>
      <c r="J789" s="77"/>
      <c r="K789" s="80"/>
      <c r="L789" s="80"/>
      <c r="M789" s="80"/>
      <c r="N789" s="80"/>
      <c r="O789" s="80"/>
      <c r="P789" s="81"/>
      <c r="Q789" s="35" t="str">
        <f>IF(D789="","",VLOOKUP(MONTH(D789),Listas!$C$2:$D$14,2,0))</f>
        <v/>
      </c>
      <c r="R789" s="36" t="str">
        <f t="shared" si="22"/>
        <v/>
      </c>
      <c r="S789" s="37" t="str">
        <f t="shared" si="23"/>
        <v/>
      </c>
      <c r="T789" s="37" t="str">
        <f t="shared" si="24"/>
        <v/>
      </c>
      <c r="U789" s="37" t="str">
        <f t="shared" si="25"/>
        <v/>
      </c>
      <c r="V789" s="37" t="str">
        <f t="shared" si="26"/>
        <v/>
      </c>
      <c r="W789" s="37" t="str">
        <f t="shared" si="27"/>
        <v/>
      </c>
      <c r="X789" s="37" t="str">
        <f t="shared" si="28"/>
        <v/>
      </c>
      <c r="Y789" s="37" t="str">
        <f t="shared" si="29"/>
        <v/>
      </c>
      <c r="Z789" s="38" t="str">
        <f t="shared" si="30"/>
        <v/>
      </c>
      <c r="AA789" s="39" t="str">
        <f t="shared" si="31"/>
        <v/>
      </c>
    </row>
    <row r="790" ht="15.75" customHeight="1">
      <c r="B790" s="1"/>
      <c r="C790" s="28"/>
      <c r="D790" s="79"/>
      <c r="E790" s="1"/>
      <c r="F790" s="76"/>
      <c r="G790" s="1"/>
      <c r="H790" s="1"/>
      <c r="J790" s="77"/>
      <c r="K790" s="80"/>
      <c r="L790" s="80"/>
      <c r="M790" s="80"/>
      <c r="N790" s="80"/>
      <c r="O790" s="80"/>
      <c r="P790" s="81"/>
      <c r="Q790" s="35" t="str">
        <f>IF(D790="","",VLOOKUP(MONTH(D790),Listas!$C$2:$D$14,2,0))</f>
        <v/>
      </c>
      <c r="R790" s="36" t="str">
        <f t="shared" si="22"/>
        <v/>
      </c>
      <c r="S790" s="37" t="str">
        <f t="shared" si="23"/>
        <v/>
      </c>
      <c r="T790" s="37" t="str">
        <f t="shared" si="24"/>
        <v/>
      </c>
      <c r="U790" s="37" t="str">
        <f t="shared" si="25"/>
        <v/>
      </c>
      <c r="V790" s="37" t="str">
        <f t="shared" si="26"/>
        <v/>
      </c>
      <c r="W790" s="37" t="str">
        <f t="shared" si="27"/>
        <v/>
      </c>
      <c r="X790" s="37" t="str">
        <f t="shared" si="28"/>
        <v/>
      </c>
      <c r="Y790" s="37" t="str">
        <f t="shared" si="29"/>
        <v/>
      </c>
      <c r="Z790" s="38" t="str">
        <f t="shared" si="30"/>
        <v/>
      </c>
      <c r="AA790" s="39" t="str">
        <f t="shared" si="31"/>
        <v/>
      </c>
    </row>
    <row r="791" ht="15.75" customHeight="1">
      <c r="B791" s="1"/>
      <c r="C791" s="28"/>
      <c r="D791" s="79"/>
      <c r="E791" s="1"/>
      <c r="F791" s="76"/>
      <c r="G791" s="1"/>
      <c r="H791" s="1"/>
      <c r="J791" s="77"/>
      <c r="K791" s="80"/>
      <c r="L791" s="80"/>
      <c r="M791" s="80"/>
      <c r="N791" s="80"/>
      <c r="O791" s="80"/>
      <c r="P791" s="81"/>
      <c r="Q791" s="35" t="str">
        <f>IF(D791="","",VLOOKUP(MONTH(D791),Listas!$C$2:$D$14,2,0))</f>
        <v/>
      </c>
      <c r="R791" s="36" t="str">
        <f t="shared" si="22"/>
        <v/>
      </c>
      <c r="S791" s="37" t="str">
        <f t="shared" si="23"/>
        <v/>
      </c>
      <c r="T791" s="37" t="str">
        <f t="shared" si="24"/>
        <v/>
      </c>
      <c r="U791" s="37" t="str">
        <f t="shared" si="25"/>
        <v/>
      </c>
      <c r="V791" s="37" t="str">
        <f t="shared" si="26"/>
        <v/>
      </c>
      <c r="W791" s="37" t="str">
        <f t="shared" si="27"/>
        <v/>
      </c>
      <c r="X791" s="37" t="str">
        <f t="shared" si="28"/>
        <v/>
      </c>
      <c r="Y791" s="37" t="str">
        <f t="shared" si="29"/>
        <v/>
      </c>
      <c r="Z791" s="38" t="str">
        <f t="shared" si="30"/>
        <v/>
      </c>
      <c r="AA791" s="39" t="str">
        <f t="shared" si="31"/>
        <v/>
      </c>
    </row>
    <row r="792" ht="15.75" customHeight="1">
      <c r="B792" s="1"/>
      <c r="C792" s="28"/>
      <c r="D792" s="79"/>
      <c r="E792" s="1"/>
      <c r="F792" s="76"/>
      <c r="G792" s="1"/>
      <c r="H792" s="1"/>
      <c r="J792" s="77"/>
      <c r="K792" s="80"/>
      <c r="L792" s="80"/>
      <c r="M792" s="80"/>
      <c r="N792" s="80"/>
      <c r="O792" s="80"/>
      <c r="P792" s="81"/>
      <c r="Q792" s="35" t="str">
        <f>IF(D792="","",VLOOKUP(MONTH(D792),Listas!$C$2:$D$14,2,0))</f>
        <v/>
      </c>
      <c r="R792" s="36" t="str">
        <f t="shared" si="22"/>
        <v/>
      </c>
      <c r="S792" s="37" t="str">
        <f t="shared" si="23"/>
        <v/>
      </c>
      <c r="T792" s="37" t="str">
        <f t="shared" si="24"/>
        <v/>
      </c>
      <c r="U792" s="37" t="str">
        <f t="shared" si="25"/>
        <v/>
      </c>
      <c r="V792" s="37" t="str">
        <f t="shared" si="26"/>
        <v/>
      </c>
      <c r="W792" s="37" t="str">
        <f t="shared" si="27"/>
        <v/>
      </c>
      <c r="X792" s="37" t="str">
        <f t="shared" si="28"/>
        <v/>
      </c>
      <c r="Y792" s="37" t="str">
        <f t="shared" si="29"/>
        <v/>
      </c>
      <c r="Z792" s="38" t="str">
        <f t="shared" si="30"/>
        <v/>
      </c>
      <c r="AA792" s="39" t="str">
        <f t="shared" si="31"/>
        <v/>
      </c>
    </row>
    <row r="793" ht="15.75" customHeight="1">
      <c r="B793" s="1"/>
      <c r="C793" s="28"/>
      <c r="D793" s="79"/>
      <c r="E793" s="1"/>
      <c r="F793" s="76"/>
      <c r="G793" s="1"/>
      <c r="H793" s="1"/>
      <c r="J793" s="77"/>
      <c r="K793" s="80"/>
      <c r="L793" s="80"/>
      <c r="M793" s="80"/>
      <c r="N793" s="80"/>
      <c r="O793" s="80"/>
      <c r="P793" s="81"/>
      <c r="Q793" s="35" t="str">
        <f>IF(D793="","",VLOOKUP(MONTH(D793),Listas!$C$2:$D$14,2,0))</f>
        <v/>
      </c>
      <c r="R793" s="36" t="str">
        <f t="shared" si="22"/>
        <v/>
      </c>
      <c r="S793" s="37" t="str">
        <f t="shared" si="23"/>
        <v/>
      </c>
      <c r="T793" s="37" t="str">
        <f t="shared" si="24"/>
        <v/>
      </c>
      <c r="U793" s="37" t="str">
        <f t="shared" si="25"/>
        <v/>
      </c>
      <c r="V793" s="37" t="str">
        <f t="shared" si="26"/>
        <v/>
      </c>
      <c r="W793" s="37" t="str">
        <f t="shared" si="27"/>
        <v/>
      </c>
      <c r="X793" s="37" t="str">
        <f t="shared" si="28"/>
        <v/>
      </c>
      <c r="Y793" s="37" t="str">
        <f t="shared" si="29"/>
        <v/>
      </c>
      <c r="Z793" s="38" t="str">
        <f t="shared" si="30"/>
        <v/>
      </c>
      <c r="AA793" s="39" t="str">
        <f t="shared" si="31"/>
        <v/>
      </c>
    </row>
    <row r="794" ht="15.75" customHeight="1">
      <c r="B794" s="1"/>
      <c r="C794" s="28"/>
      <c r="D794" s="79"/>
      <c r="E794" s="1"/>
      <c r="F794" s="76"/>
      <c r="G794" s="1"/>
      <c r="H794" s="1"/>
      <c r="J794" s="77"/>
      <c r="K794" s="80"/>
      <c r="L794" s="80"/>
      <c r="M794" s="80"/>
      <c r="N794" s="80"/>
      <c r="O794" s="80"/>
      <c r="P794" s="81"/>
      <c r="Q794" s="35" t="str">
        <f>IF(D794="","",VLOOKUP(MONTH(D794),Listas!$C$2:$D$14,2,0))</f>
        <v/>
      </c>
      <c r="R794" s="36" t="str">
        <f t="shared" si="22"/>
        <v/>
      </c>
      <c r="S794" s="37" t="str">
        <f t="shared" si="23"/>
        <v/>
      </c>
      <c r="T794" s="37" t="str">
        <f t="shared" si="24"/>
        <v/>
      </c>
      <c r="U794" s="37" t="str">
        <f t="shared" si="25"/>
        <v/>
      </c>
      <c r="V794" s="37" t="str">
        <f t="shared" si="26"/>
        <v/>
      </c>
      <c r="W794" s="37" t="str">
        <f t="shared" si="27"/>
        <v/>
      </c>
      <c r="X794" s="37" t="str">
        <f t="shared" si="28"/>
        <v/>
      </c>
      <c r="Y794" s="37" t="str">
        <f t="shared" si="29"/>
        <v/>
      </c>
      <c r="Z794" s="38" t="str">
        <f t="shared" si="30"/>
        <v/>
      </c>
      <c r="AA794" s="39" t="str">
        <f t="shared" si="31"/>
        <v/>
      </c>
    </row>
    <row r="795" ht="15.75" customHeight="1">
      <c r="B795" s="1"/>
      <c r="C795" s="28"/>
      <c r="D795" s="79"/>
      <c r="E795" s="1"/>
      <c r="F795" s="76"/>
      <c r="G795" s="1"/>
      <c r="H795" s="1"/>
      <c r="J795" s="77"/>
      <c r="K795" s="80"/>
      <c r="L795" s="80"/>
      <c r="M795" s="80"/>
      <c r="N795" s="80"/>
      <c r="O795" s="80"/>
      <c r="P795" s="81"/>
      <c r="Q795" s="35" t="str">
        <f>IF(D795="","",VLOOKUP(MONTH(D795),Listas!$C$2:$D$14,2,0))</f>
        <v/>
      </c>
      <c r="R795" s="36" t="str">
        <f t="shared" si="22"/>
        <v/>
      </c>
      <c r="S795" s="37" t="str">
        <f t="shared" si="23"/>
        <v/>
      </c>
      <c r="T795" s="37" t="str">
        <f t="shared" si="24"/>
        <v/>
      </c>
      <c r="U795" s="37" t="str">
        <f t="shared" si="25"/>
        <v/>
      </c>
      <c r="V795" s="37" t="str">
        <f t="shared" si="26"/>
        <v/>
      </c>
      <c r="W795" s="37" t="str">
        <f t="shared" si="27"/>
        <v/>
      </c>
      <c r="X795" s="37" t="str">
        <f t="shared" si="28"/>
        <v/>
      </c>
      <c r="Y795" s="37" t="str">
        <f t="shared" si="29"/>
        <v/>
      </c>
      <c r="Z795" s="38" t="str">
        <f t="shared" si="30"/>
        <v/>
      </c>
      <c r="AA795" s="39" t="str">
        <f t="shared" si="31"/>
        <v/>
      </c>
    </row>
    <row r="796" ht="15.75" customHeight="1">
      <c r="B796" s="1"/>
      <c r="C796" s="28"/>
      <c r="D796" s="79"/>
      <c r="E796" s="1"/>
      <c r="F796" s="76"/>
      <c r="G796" s="1"/>
      <c r="H796" s="1"/>
      <c r="J796" s="77"/>
      <c r="K796" s="80"/>
      <c r="L796" s="80"/>
      <c r="M796" s="80"/>
      <c r="N796" s="80"/>
      <c r="O796" s="80"/>
      <c r="P796" s="81"/>
      <c r="Q796" s="35" t="str">
        <f>IF(D796="","",VLOOKUP(MONTH(D796),Listas!$C$2:$D$14,2,0))</f>
        <v/>
      </c>
      <c r="R796" s="36" t="str">
        <f t="shared" si="22"/>
        <v/>
      </c>
      <c r="S796" s="37" t="str">
        <f t="shared" si="23"/>
        <v/>
      </c>
      <c r="T796" s="37" t="str">
        <f t="shared" si="24"/>
        <v/>
      </c>
      <c r="U796" s="37" t="str">
        <f t="shared" si="25"/>
        <v/>
      </c>
      <c r="V796" s="37" t="str">
        <f t="shared" si="26"/>
        <v/>
      </c>
      <c r="W796" s="37" t="str">
        <f t="shared" si="27"/>
        <v/>
      </c>
      <c r="X796" s="37" t="str">
        <f t="shared" si="28"/>
        <v/>
      </c>
      <c r="Y796" s="37" t="str">
        <f t="shared" si="29"/>
        <v/>
      </c>
      <c r="Z796" s="38" t="str">
        <f t="shared" si="30"/>
        <v/>
      </c>
      <c r="AA796" s="39" t="str">
        <f t="shared" si="31"/>
        <v/>
      </c>
    </row>
    <row r="797" ht="15.75" customHeight="1">
      <c r="B797" s="1"/>
      <c r="C797" s="28"/>
      <c r="D797" s="79"/>
      <c r="E797" s="1"/>
      <c r="F797" s="76"/>
      <c r="G797" s="1"/>
      <c r="H797" s="1"/>
      <c r="J797" s="77"/>
      <c r="K797" s="80"/>
      <c r="L797" s="80"/>
      <c r="M797" s="80"/>
      <c r="N797" s="80"/>
      <c r="O797" s="80"/>
      <c r="P797" s="81"/>
      <c r="Q797" s="35" t="str">
        <f>IF(D797="","",VLOOKUP(MONTH(D797),Listas!$C$2:$D$14,2,0))</f>
        <v/>
      </c>
      <c r="R797" s="36" t="str">
        <f t="shared" si="22"/>
        <v/>
      </c>
      <c r="S797" s="37" t="str">
        <f t="shared" si="23"/>
        <v/>
      </c>
      <c r="T797" s="37" t="str">
        <f t="shared" si="24"/>
        <v/>
      </c>
      <c r="U797" s="37" t="str">
        <f t="shared" si="25"/>
        <v/>
      </c>
      <c r="V797" s="37" t="str">
        <f t="shared" si="26"/>
        <v/>
      </c>
      <c r="W797" s="37" t="str">
        <f t="shared" si="27"/>
        <v/>
      </c>
      <c r="X797" s="37" t="str">
        <f t="shared" si="28"/>
        <v/>
      </c>
      <c r="Y797" s="37" t="str">
        <f t="shared" si="29"/>
        <v/>
      </c>
      <c r="Z797" s="38" t="str">
        <f t="shared" si="30"/>
        <v/>
      </c>
      <c r="AA797" s="39" t="str">
        <f t="shared" si="31"/>
        <v/>
      </c>
    </row>
    <row r="798" ht="15.75" customHeight="1">
      <c r="B798" s="1"/>
      <c r="C798" s="28"/>
      <c r="D798" s="79"/>
      <c r="E798" s="1"/>
      <c r="F798" s="76"/>
      <c r="G798" s="1"/>
      <c r="H798" s="1"/>
      <c r="J798" s="77"/>
      <c r="K798" s="80"/>
      <c r="L798" s="80"/>
      <c r="M798" s="80"/>
      <c r="N798" s="80"/>
      <c r="O798" s="80"/>
      <c r="P798" s="81"/>
      <c r="Q798" s="35" t="str">
        <f>IF(D798="","",VLOOKUP(MONTH(D798),Listas!$C$2:$D$14,2,0))</f>
        <v/>
      </c>
      <c r="R798" s="36" t="str">
        <f t="shared" si="22"/>
        <v/>
      </c>
      <c r="S798" s="37" t="str">
        <f t="shared" si="23"/>
        <v/>
      </c>
      <c r="T798" s="37" t="str">
        <f t="shared" si="24"/>
        <v/>
      </c>
      <c r="U798" s="37" t="str">
        <f t="shared" si="25"/>
        <v/>
      </c>
      <c r="V798" s="37" t="str">
        <f t="shared" si="26"/>
        <v/>
      </c>
      <c r="W798" s="37" t="str">
        <f t="shared" si="27"/>
        <v/>
      </c>
      <c r="X798" s="37" t="str">
        <f t="shared" si="28"/>
        <v/>
      </c>
      <c r="Y798" s="37" t="str">
        <f t="shared" si="29"/>
        <v/>
      </c>
      <c r="Z798" s="38" t="str">
        <f t="shared" si="30"/>
        <v/>
      </c>
      <c r="AA798" s="39" t="str">
        <f t="shared" si="31"/>
        <v/>
      </c>
    </row>
    <row r="799" ht="15.75" customHeight="1">
      <c r="B799" s="1"/>
      <c r="C799" s="28"/>
      <c r="D799" s="79"/>
      <c r="E799" s="1"/>
      <c r="F799" s="76"/>
      <c r="G799" s="1"/>
      <c r="H799" s="1"/>
      <c r="J799" s="77"/>
      <c r="K799" s="80"/>
      <c r="L799" s="80"/>
      <c r="M799" s="80"/>
      <c r="N799" s="80"/>
      <c r="O799" s="80"/>
      <c r="P799" s="81"/>
      <c r="Q799" s="35" t="str">
        <f>IF(D799="","",VLOOKUP(MONTH(D799),Listas!$C$2:$D$14,2,0))</f>
        <v/>
      </c>
      <c r="R799" s="36" t="str">
        <f t="shared" si="22"/>
        <v/>
      </c>
      <c r="S799" s="37" t="str">
        <f t="shared" si="23"/>
        <v/>
      </c>
      <c r="T799" s="37" t="str">
        <f t="shared" si="24"/>
        <v/>
      </c>
      <c r="U799" s="37" t="str">
        <f t="shared" si="25"/>
        <v/>
      </c>
      <c r="V799" s="37" t="str">
        <f t="shared" si="26"/>
        <v/>
      </c>
      <c r="W799" s="37" t="str">
        <f t="shared" si="27"/>
        <v/>
      </c>
      <c r="X799" s="37" t="str">
        <f t="shared" si="28"/>
        <v/>
      </c>
      <c r="Y799" s="37" t="str">
        <f t="shared" si="29"/>
        <v/>
      </c>
      <c r="Z799" s="38" t="str">
        <f t="shared" si="30"/>
        <v/>
      </c>
      <c r="AA799" s="39" t="str">
        <f t="shared" si="31"/>
        <v/>
      </c>
    </row>
    <row r="800" ht="15.75" customHeight="1">
      <c r="B800" s="1"/>
      <c r="C800" s="28"/>
      <c r="D800" s="79"/>
      <c r="E800" s="1"/>
      <c r="F800" s="76"/>
      <c r="G800" s="1"/>
      <c r="H800" s="1"/>
      <c r="J800" s="77"/>
      <c r="K800" s="80"/>
      <c r="L800" s="80"/>
      <c r="M800" s="80"/>
      <c r="N800" s="80"/>
      <c r="O800" s="80"/>
      <c r="P800" s="81"/>
      <c r="Q800" s="35" t="str">
        <f>IF(D800="","",VLOOKUP(MONTH(D800),Listas!$C$2:$D$14,2,0))</f>
        <v/>
      </c>
      <c r="R800" s="36" t="str">
        <f t="shared" si="22"/>
        <v/>
      </c>
      <c r="S800" s="37" t="str">
        <f t="shared" si="23"/>
        <v/>
      </c>
      <c r="T800" s="37" t="str">
        <f t="shared" si="24"/>
        <v/>
      </c>
      <c r="U800" s="37" t="str">
        <f t="shared" si="25"/>
        <v/>
      </c>
      <c r="V800" s="37" t="str">
        <f t="shared" si="26"/>
        <v/>
      </c>
      <c r="W800" s="37" t="str">
        <f t="shared" si="27"/>
        <v/>
      </c>
      <c r="X800" s="37" t="str">
        <f t="shared" si="28"/>
        <v/>
      </c>
      <c r="Y800" s="37" t="str">
        <f t="shared" si="29"/>
        <v/>
      </c>
      <c r="Z800" s="38" t="str">
        <f t="shared" si="30"/>
        <v/>
      </c>
      <c r="AA800" s="39" t="str">
        <f t="shared" si="31"/>
        <v/>
      </c>
    </row>
    <row r="801" ht="15.75" customHeight="1">
      <c r="B801" s="1"/>
      <c r="C801" s="28"/>
      <c r="D801" s="79"/>
      <c r="E801" s="1"/>
      <c r="F801" s="76"/>
      <c r="G801" s="1"/>
      <c r="H801" s="1"/>
      <c r="J801" s="77"/>
      <c r="K801" s="80"/>
      <c r="L801" s="80"/>
      <c r="M801" s="80"/>
      <c r="N801" s="80"/>
      <c r="O801" s="80"/>
      <c r="P801" s="81"/>
      <c r="Q801" s="35" t="str">
        <f>IF(D801="","",VLOOKUP(MONTH(D801),Listas!$C$2:$D$14,2,0))</f>
        <v/>
      </c>
      <c r="R801" s="36" t="str">
        <f t="shared" si="22"/>
        <v/>
      </c>
      <c r="S801" s="37" t="str">
        <f t="shared" si="23"/>
        <v/>
      </c>
      <c r="T801" s="37" t="str">
        <f t="shared" si="24"/>
        <v/>
      </c>
      <c r="U801" s="37" t="str">
        <f t="shared" si="25"/>
        <v/>
      </c>
      <c r="V801" s="37" t="str">
        <f t="shared" si="26"/>
        <v/>
      </c>
      <c r="W801" s="37" t="str">
        <f t="shared" si="27"/>
        <v/>
      </c>
      <c r="X801" s="37" t="str">
        <f t="shared" si="28"/>
        <v/>
      </c>
      <c r="Y801" s="37" t="str">
        <f t="shared" si="29"/>
        <v/>
      </c>
      <c r="Z801" s="38" t="str">
        <f t="shared" si="30"/>
        <v/>
      </c>
      <c r="AA801" s="39" t="str">
        <f t="shared" si="31"/>
        <v/>
      </c>
    </row>
    <row r="802" ht="15.75" customHeight="1">
      <c r="B802" s="1"/>
      <c r="C802" s="28"/>
      <c r="D802" s="79"/>
      <c r="E802" s="1"/>
      <c r="F802" s="76"/>
      <c r="G802" s="1"/>
      <c r="H802" s="1"/>
      <c r="J802" s="77"/>
      <c r="K802" s="80"/>
      <c r="L802" s="80"/>
      <c r="M802" s="80"/>
      <c r="N802" s="80"/>
      <c r="O802" s="80"/>
      <c r="P802" s="81"/>
      <c r="Q802" s="35" t="str">
        <f>IF(D802="","",VLOOKUP(MONTH(D802),Listas!$C$2:$D$14,2,0))</f>
        <v/>
      </c>
      <c r="R802" s="36" t="str">
        <f t="shared" si="22"/>
        <v/>
      </c>
      <c r="S802" s="37" t="str">
        <f t="shared" si="23"/>
        <v/>
      </c>
      <c r="T802" s="37" t="str">
        <f t="shared" si="24"/>
        <v/>
      </c>
      <c r="U802" s="37" t="str">
        <f t="shared" si="25"/>
        <v/>
      </c>
      <c r="V802" s="37" t="str">
        <f t="shared" si="26"/>
        <v/>
      </c>
      <c r="W802" s="37" t="str">
        <f t="shared" si="27"/>
        <v/>
      </c>
      <c r="X802" s="37" t="str">
        <f t="shared" si="28"/>
        <v/>
      </c>
      <c r="Y802" s="37" t="str">
        <f t="shared" si="29"/>
        <v/>
      </c>
      <c r="Z802" s="38" t="str">
        <f t="shared" si="30"/>
        <v/>
      </c>
      <c r="AA802" s="39" t="str">
        <f t="shared" si="31"/>
        <v/>
      </c>
    </row>
    <row r="803" ht="15.75" customHeight="1">
      <c r="B803" s="1"/>
      <c r="C803" s="28"/>
      <c r="D803" s="79"/>
      <c r="E803" s="1"/>
      <c r="F803" s="76"/>
      <c r="G803" s="1"/>
      <c r="H803" s="1"/>
      <c r="J803" s="77"/>
      <c r="K803" s="80"/>
      <c r="L803" s="80"/>
      <c r="M803" s="80"/>
      <c r="N803" s="80"/>
      <c r="O803" s="80"/>
      <c r="P803" s="81"/>
      <c r="Q803" s="35" t="str">
        <f>IF(D803="","",VLOOKUP(MONTH(D803),Listas!$C$2:$D$14,2,0))</f>
        <v/>
      </c>
      <c r="R803" s="36" t="str">
        <f t="shared" si="22"/>
        <v/>
      </c>
      <c r="S803" s="37" t="str">
        <f t="shared" si="23"/>
        <v/>
      </c>
      <c r="T803" s="37" t="str">
        <f t="shared" si="24"/>
        <v/>
      </c>
      <c r="U803" s="37" t="str">
        <f t="shared" si="25"/>
        <v/>
      </c>
      <c r="V803" s="37" t="str">
        <f t="shared" si="26"/>
        <v/>
      </c>
      <c r="W803" s="37" t="str">
        <f t="shared" si="27"/>
        <v/>
      </c>
      <c r="X803" s="37" t="str">
        <f t="shared" si="28"/>
        <v/>
      </c>
      <c r="Y803" s="37" t="str">
        <f t="shared" si="29"/>
        <v/>
      </c>
      <c r="Z803" s="38" t="str">
        <f t="shared" si="30"/>
        <v/>
      </c>
      <c r="AA803" s="39" t="str">
        <f t="shared" si="31"/>
        <v/>
      </c>
    </row>
    <row r="804" ht="15.75" customHeight="1">
      <c r="B804" s="1"/>
      <c r="C804" s="28"/>
      <c r="D804" s="79"/>
      <c r="E804" s="1"/>
      <c r="F804" s="76"/>
      <c r="G804" s="1"/>
      <c r="H804" s="1"/>
      <c r="J804" s="77"/>
      <c r="K804" s="80"/>
      <c r="L804" s="80"/>
      <c r="M804" s="80"/>
      <c r="N804" s="80"/>
      <c r="O804" s="80"/>
      <c r="P804" s="81"/>
      <c r="Q804" s="35" t="str">
        <f>IF(D804="","",VLOOKUP(MONTH(D804),Listas!$C$2:$D$14,2,0))</f>
        <v/>
      </c>
      <c r="R804" s="36" t="str">
        <f t="shared" si="22"/>
        <v/>
      </c>
      <c r="S804" s="37" t="str">
        <f t="shared" si="23"/>
        <v/>
      </c>
      <c r="T804" s="37" t="str">
        <f t="shared" si="24"/>
        <v/>
      </c>
      <c r="U804" s="37" t="str">
        <f t="shared" si="25"/>
        <v/>
      </c>
      <c r="V804" s="37" t="str">
        <f t="shared" si="26"/>
        <v/>
      </c>
      <c r="W804" s="37" t="str">
        <f t="shared" si="27"/>
        <v/>
      </c>
      <c r="X804" s="37" t="str">
        <f t="shared" si="28"/>
        <v/>
      </c>
      <c r="Y804" s="37" t="str">
        <f t="shared" si="29"/>
        <v/>
      </c>
      <c r="Z804" s="38" t="str">
        <f t="shared" si="30"/>
        <v/>
      </c>
      <c r="AA804" s="39" t="str">
        <f t="shared" si="31"/>
        <v/>
      </c>
    </row>
    <row r="805" ht="15.75" customHeight="1">
      <c r="B805" s="1"/>
      <c r="C805" s="28"/>
      <c r="D805" s="79"/>
      <c r="E805" s="1"/>
      <c r="F805" s="76"/>
      <c r="G805" s="1"/>
      <c r="H805" s="1"/>
      <c r="J805" s="77"/>
      <c r="K805" s="80"/>
      <c r="L805" s="80"/>
      <c r="M805" s="80"/>
      <c r="N805" s="80"/>
      <c r="O805" s="80"/>
      <c r="P805" s="81"/>
      <c r="Q805" s="35" t="str">
        <f>IF(D805="","",VLOOKUP(MONTH(D805),Listas!$C$2:$D$14,2,0))</f>
        <v/>
      </c>
      <c r="R805" s="36" t="str">
        <f t="shared" si="22"/>
        <v/>
      </c>
      <c r="S805" s="37" t="str">
        <f t="shared" si="23"/>
        <v/>
      </c>
      <c r="T805" s="37" t="str">
        <f t="shared" si="24"/>
        <v/>
      </c>
      <c r="U805" s="37" t="str">
        <f t="shared" si="25"/>
        <v/>
      </c>
      <c r="V805" s="37" t="str">
        <f t="shared" si="26"/>
        <v/>
      </c>
      <c r="W805" s="37" t="str">
        <f t="shared" si="27"/>
        <v/>
      </c>
      <c r="X805" s="37" t="str">
        <f t="shared" si="28"/>
        <v/>
      </c>
      <c r="Y805" s="37" t="str">
        <f t="shared" si="29"/>
        <v/>
      </c>
      <c r="Z805" s="38" t="str">
        <f t="shared" si="30"/>
        <v/>
      </c>
      <c r="AA805" s="39" t="str">
        <f t="shared" si="31"/>
        <v/>
      </c>
    </row>
    <row r="806" ht="15.75" customHeight="1">
      <c r="B806" s="1"/>
      <c r="C806" s="28"/>
      <c r="D806" s="79"/>
      <c r="E806" s="1"/>
      <c r="F806" s="76"/>
      <c r="G806" s="1"/>
      <c r="H806" s="1"/>
      <c r="J806" s="77"/>
      <c r="K806" s="80"/>
      <c r="L806" s="80"/>
      <c r="M806" s="80"/>
      <c r="N806" s="80"/>
      <c r="O806" s="80"/>
      <c r="P806" s="81"/>
      <c r="Q806" s="35" t="str">
        <f>IF(D806="","",VLOOKUP(MONTH(D806),Listas!$C$2:$D$14,2,0))</f>
        <v/>
      </c>
      <c r="R806" s="36" t="str">
        <f t="shared" si="22"/>
        <v/>
      </c>
      <c r="S806" s="37" t="str">
        <f t="shared" si="23"/>
        <v/>
      </c>
      <c r="T806" s="37" t="str">
        <f t="shared" si="24"/>
        <v/>
      </c>
      <c r="U806" s="37" t="str">
        <f t="shared" si="25"/>
        <v/>
      </c>
      <c r="V806" s="37" t="str">
        <f t="shared" si="26"/>
        <v/>
      </c>
      <c r="W806" s="37" t="str">
        <f t="shared" si="27"/>
        <v/>
      </c>
      <c r="X806" s="37" t="str">
        <f t="shared" si="28"/>
        <v/>
      </c>
      <c r="Y806" s="37" t="str">
        <f t="shared" si="29"/>
        <v/>
      </c>
      <c r="Z806" s="38" t="str">
        <f t="shared" si="30"/>
        <v/>
      </c>
      <c r="AA806" s="39" t="str">
        <f t="shared" si="31"/>
        <v/>
      </c>
    </row>
    <row r="807" ht="15.75" customHeight="1">
      <c r="B807" s="1"/>
      <c r="C807" s="28"/>
      <c r="D807" s="79"/>
      <c r="E807" s="1"/>
      <c r="F807" s="76"/>
      <c r="G807" s="1"/>
      <c r="H807" s="1"/>
      <c r="J807" s="77"/>
      <c r="K807" s="80"/>
      <c r="L807" s="80"/>
      <c r="M807" s="80"/>
      <c r="N807" s="80"/>
      <c r="O807" s="80"/>
      <c r="P807" s="81"/>
      <c r="Q807" s="35" t="str">
        <f>IF(D807="","",VLOOKUP(MONTH(D807),Listas!$C$2:$D$14,2,0))</f>
        <v/>
      </c>
      <c r="R807" s="36" t="str">
        <f t="shared" si="22"/>
        <v/>
      </c>
      <c r="S807" s="37" t="str">
        <f t="shared" si="23"/>
        <v/>
      </c>
      <c r="T807" s="37" t="str">
        <f t="shared" si="24"/>
        <v/>
      </c>
      <c r="U807" s="37" t="str">
        <f t="shared" si="25"/>
        <v/>
      </c>
      <c r="V807" s="37" t="str">
        <f t="shared" si="26"/>
        <v/>
      </c>
      <c r="W807" s="37" t="str">
        <f t="shared" si="27"/>
        <v/>
      </c>
      <c r="X807" s="37" t="str">
        <f t="shared" si="28"/>
        <v/>
      </c>
      <c r="Y807" s="37" t="str">
        <f t="shared" si="29"/>
        <v/>
      </c>
      <c r="Z807" s="38" t="str">
        <f t="shared" si="30"/>
        <v/>
      </c>
      <c r="AA807" s="39" t="str">
        <f t="shared" si="31"/>
        <v/>
      </c>
    </row>
    <row r="808" ht="15.75" customHeight="1">
      <c r="B808" s="1"/>
      <c r="C808" s="28"/>
      <c r="D808" s="79"/>
      <c r="E808" s="1"/>
      <c r="F808" s="76"/>
      <c r="G808" s="1"/>
      <c r="H808" s="1"/>
      <c r="J808" s="77"/>
      <c r="K808" s="80"/>
      <c r="L808" s="80"/>
      <c r="M808" s="80"/>
      <c r="N808" s="80"/>
      <c r="O808" s="80"/>
      <c r="P808" s="81"/>
      <c r="Q808" s="35" t="str">
        <f>IF(D808="","",VLOOKUP(MONTH(D808),Listas!$C$2:$D$14,2,0))</f>
        <v/>
      </c>
      <c r="R808" s="36" t="str">
        <f t="shared" si="22"/>
        <v/>
      </c>
      <c r="S808" s="37" t="str">
        <f t="shared" si="23"/>
        <v/>
      </c>
      <c r="T808" s="37" t="str">
        <f t="shared" si="24"/>
        <v/>
      </c>
      <c r="U808" s="37" t="str">
        <f t="shared" si="25"/>
        <v/>
      </c>
      <c r="V808" s="37" t="str">
        <f t="shared" si="26"/>
        <v/>
      </c>
      <c r="W808" s="37" t="str">
        <f t="shared" si="27"/>
        <v/>
      </c>
      <c r="X808" s="37" t="str">
        <f t="shared" si="28"/>
        <v/>
      </c>
      <c r="Y808" s="37" t="str">
        <f t="shared" si="29"/>
        <v/>
      </c>
      <c r="Z808" s="38" t="str">
        <f t="shared" si="30"/>
        <v/>
      </c>
      <c r="AA808" s="39" t="str">
        <f t="shared" si="31"/>
        <v/>
      </c>
    </row>
    <row r="809" ht="15.75" customHeight="1">
      <c r="B809" s="1"/>
      <c r="C809" s="28"/>
      <c r="D809" s="79"/>
      <c r="E809" s="1"/>
      <c r="F809" s="76"/>
      <c r="G809" s="1"/>
      <c r="H809" s="1"/>
      <c r="J809" s="77"/>
      <c r="K809" s="80"/>
      <c r="L809" s="80"/>
      <c r="M809" s="80"/>
      <c r="N809" s="80"/>
      <c r="O809" s="80"/>
      <c r="P809" s="81"/>
      <c r="Q809" s="35" t="str">
        <f>IF(D809="","",VLOOKUP(MONTH(D809),Listas!$C$2:$D$14,2,0))</f>
        <v/>
      </c>
      <c r="R809" s="36" t="str">
        <f t="shared" si="22"/>
        <v/>
      </c>
      <c r="S809" s="37" t="str">
        <f t="shared" si="23"/>
        <v/>
      </c>
      <c r="T809" s="37" t="str">
        <f t="shared" si="24"/>
        <v/>
      </c>
      <c r="U809" s="37" t="str">
        <f t="shared" si="25"/>
        <v/>
      </c>
      <c r="V809" s="37" t="str">
        <f t="shared" si="26"/>
        <v/>
      </c>
      <c r="W809" s="37" t="str">
        <f t="shared" si="27"/>
        <v/>
      </c>
      <c r="X809" s="37" t="str">
        <f t="shared" si="28"/>
        <v/>
      </c>
      <c r="Y809" s="37" t="str">
        <f t="shared" si="29"/>
        <v/>
      </c>
      <c r="Z809" s="38" t="str">
        <f t="shared" si="30"/>
        <v/>
      </c>
      <c r="AA809" s="39" t="str">
        <f t="shared" si="31"/>
        <v/>
      </c>
    </row>
    <row r="810" ht="15.75" customHeight="1">
      <c r="B810" s="1"/>
      <c r="C810" s="28"/>
      <c r="D810" s="79"/>
      <c r="E810" s="1"/>
      <c r="F810" s="76"/>
      <c r="G810" s="1"/>
      <c r="H810" s="1"/>
      <c r="J810" s="77"/>
      <c r="K810" s="80"/>
      <c r="L810" s="80"/>
      <c r="M810" s="80"/>
      <c r="N810" s="80"/>
      <c r="O810" s="80"/>
      <c r="P810" s="81"/>
      <c r="Q810" s="35" t="str">
        <f>IF(D810="","",VLOOKUP(MONTH(D810),Listas!$C$2:$D$14,2,0))</f>
        <v/>
      </c>
      <c r="R810" s="36" t="str">
        <f t="shared" si="22"/>
        <v/>
      </c>
      <c r="S810" s="37" t="str">
        <f t="shared" si="23"/>
        <v/>
      </c>
      <c r="T810" s="37" t="str">
        <f t="shared" si="24"/>
        <v/>
      </c>
      <c r="U810" s="37" t="str">
        <f t="shared" si="25"/>
        <v/>
      </c>
      <c r="V810" s="37" t="str">
        <f t="shared" si="26"/>
        <v/>
      </c>
      <c r="W810" s="37" t="str">
        <f t="shared" si="27"/>
        <v/>
      </c>
      <c r="X810" s="37" t="str">
        <f t="shared" si="28"/>
        <v/>
      </c>
      <c r="Y810" s="37" t="str">
        <f t="shared" si="29"/>
        <v/>
      </c>
      <c r="Z810" s="38" t="str">
        <f t="shared" si="30"/>
        <v/>
      </c>
      <c r="AA810" s="39" t="str">
        <f t="shared" si="31"/>
        <v/>
      </c>
    </row>
    <row r="811" ht="15.75" customHeight="1">
      <c r="B811" s="1"/>
      <c r="C811" s="28"/>
      <c r="D811" s="79"/>
      <c r="E811" s="1"/>
      <c r="F811" s="76"/>
      <c r="G811" s="1"/>
      <c r="H811" s="1"/>
      <c r="J811" s="77"/>
      <c r="K811" s="80"/>
      <c r="L811" s="80"/>
      <c r="M811" s="80"/>
      <c r="N811" s="80"/>
      <c r="O811" s="80"/>
      <c r="P811" s="81"/>
      <c r="Q811" s="35" t="str">
        <f>IF(D811="","",VLOOKUP(MONTH(D811),Listas!$C$2:$D$14,2,0))</f>
        <v/>
      </c>
      <c r="R811" s="36" t="str">
        <f t="shared" si="22"/>
        <v/>
      </c>
      <c r="S811" s="37" t="str">
        <f t="shared" si="23"/>
        <v/>
      </c>
      <c r="T811" s="37" t="str">
        <f t="shared" si="24"/>
        <v/>
      </c>
      <c r="U811" s="37" t="str">
        <f t="shared" si="25"/>
        <v/>
      </c>
      <c r="V811" s="37" t="str">
        <f t="shared" si="26"/>
        <v/>
      </c>
      <c r="W811" s="37" t="str">
        <f t="shared" si="27"/>
        <v/>
      </c>
      <c r="X811" s="37" t="str">
        <f t="shared" si="28"/>
        <v/>
      </c>
      <c r="Y811" s="37" t="str">
        <f t="shared" si="29"/>
        <v/>
      </c>
      <c r="Z811" s="38" t="str">
        <f t="shared" si="30"/>
        <v/>
      </c>
      <c r="AA811" s="39" t="str">
        <f t="shared" si="31"/>
        <v/>
      </c>
    </row>
    <row r="812" ht="15.75" customHeight="1">
      <c r="B812" s="1"/>
      <c r="C812" s="28"/>
      <c r="D812" s="79"/>
      <c r="E812" s="1"/>
      <c r="F812" s="76"/>
      <c r="G812" s="1"/>
      <c r="H812" s="1"/>
      <c r="J812" s="77"/>
      <c r="K812" s="80"/>
      <c r="L812" s="80"/>
      <c r="M812" s="80"/>
      <c r="N812" s="80"/>
      <c r="O812" s="80"/>
      <c r="P812" s="81"/>
      <c r="Q812" s="35" t="str">
        <f>IF(D812="","",VLOOKUP(MONTH(D812),Listas!$C$2:$D$14,2,0))</f>
        <v/>
      </c>
      <c r="R812" s="36" t="str">
        <f t="shared" si="22"/>
        <v/>
      </c>
      <c r="S812" s="37" t="str">
        <f t="shared" si="23"/>
        <v/>
      </c>
      <c r="T812" s="37" t="str">
        <f t="shared" si="24"/>
        <v/>
      </c>
      <c r="U812" s="37" t="str">
        <f t="shared" si="25"/>
        <v/>
      </c>
      <c r="V812" s="37" t="str">
        <f t="shared" si="26"/>
        <v/>
      </c>
      <c r="W812" s="37" t="str">
        <f t="shared" si="27"/>
        <v/>
      </c>
      <c r="X812" s="37" t="str">
        <f t="shared" si="28"/>
        <v/>
      </c>
      <c r="Y812" s="37" t="str">
        <f t="shared" si="29"/>
        <v/>
      </c>
      <c r="Z812" s="38" t="str">
        <f t="shared" si="30"/>
        <v/>
      </c>
      <c r="AA812" s="39" t="str">
        <f t="shared" si="31"/>
        <v/>
      </c>
    </row>
    <row r="813" ht="15.75" customHeight="1">
      <c r="B813" s="1"/>
      <c r="C813" s="28"/>
      <c r="D813" s="79"/>
      <c r="E813" s="1"/>
      <c r="F813" s="76"/>
      <c r="G813" s="1"/>
      <c r="H813" s="1"/>
      <c r="J813" s="77"/>
      <c r="K813" s="80"/>
      <c r="L813" s="80"/>
      <c r="M813" s="80"/>
      <c r="N813" s="80"/>
      <c r="O813" s="80"/>
      <c r="P813" s="81"/>
      <c r="Q813" s="35" t="str">
        <f>IF(D813="","",VLOOKUP(MONTH(D813),Listas!$C$2:$D$14,2,0))</f>
        <v/>
      </c>
      <c r="R813" s="36" t="str">
        <f t="shared" si="22"/>
        <v/>
      </c>
      <c r="S813" s="37" t="str">
        <f t="shared" si="23"/>
        <v/>
      </c>
      <c r="T813" s="37" t="str">
        <f t="shared" si="24"/>
        <v/>
      </c>
      <c r="U813" s="37" t="str">
        <f t="shared" si="25"/>
        <v/>
      </c>
      <c r="V813" s="37" t="str">
        <f t="shared" si="26"/>
        <v/>
      </c>
      <c r="W813" s="37" t="str">
        <f t="shared" si="27"/>
        <v/>
      </c>
      <c r="X813" s="37" t="str">
        <f t="shared" si="28"/>
        <v/>
      </c>
      <c r="Y813" s="37" t="str">
        <f t="shared" si="29"/>
        <v/>
      </c>
      <c r="Z813" s="38" t="str">
        <f t="shared" si="30"/>
        <v/>
      </c>
      <c r="AA813" s="39" t="str">
        <f t="shared" si="31"/>
        <v/>
      </c>
    </row>
    <row r="814" ht="15.75" customHeight="1">
      <c r="B814" s="1"/>
      <c r="C814" s="28"/>
      <c r="D814" s="79"/>
      <c r="E814" s="1"/>
      <c r="F814" s="76"/>
      <c r="G814" s="1"/>
      <c r="H814" s="1"/>
      <c r="J814" s="77"/>
      <c r="K814" s="80"/>
      <c r="L814" s="80"/>
      <c r="M814" s="80"/>
      <c r="N814" s="80"/>
      <c r="O814" s="80"/>
      <c r="P814" s="81"/>
      <c r="Q814" s="35" t="str">
        <f>IF(D814="","",VLOOKUP(MONTH(D814),Listas!$C$2:$D$14,2,0))</f>
        <v/>
      </c>
      <c r="R814" s="36" t="str">
        <f t="shared" si="22"/>
        <v/>
      </c>
      <c r="S814" s="37" t="str">
        <f t="shared" si="23"/>
        <v/>
      </c>
      <c r="T814" s="37" t="str">
        <f t="shared" si="24"/>
        <v/>
      </c>
      <c r="U814" s="37" t="str">
        <f t="shared" si="25"/>
        <v/>
      </c>
      <c r="V814" s="37" t="str">
        <f t="shared" si="26"/>
        <v/>
      </c>
      <c r="W814" s="37" t="str">
        <f t="shared" si="27"/>
        <v/>
      </c>
      <c r="X814" s="37" t="str">
        <f t="shared" si="28"/>
        <v/>
      </c>
      <c r="Y814" s="37" t="str">
        <f t="shared" si="29"/>
        <v/>
      </c>
      <c r="Z814" s="38" t="str">
        <f t="shared" si="30"/>
        <v/>
      </c>
      <c r="AA814" s="39" t="str">
        <f t="shared" si="31"/>
        <v/>
      </c>
    </row>
    <row r="815" ht="15.75" customHeight="1">
      <c r="B815" s="1"/>
      <c r="C815" s="28"/>
      <c r="D815" s="79"/>
      <c r="E815" s="1"/>
      <c r="F815" s="76"/>
      <c r="G815" s="1"/>
      <c r="H815" s="1"/>
      <c r="J815" s="77"/>
      <c r="K815" s="80"/>
      <c r="L815" s="80"/>
      <c r="M815" s="80"/>
      <c r="N815" s="80"/>
      <c r="O815" s="80"/>
      <c r="P815" s="81"/>
      <c r="Q815" s="35" t="str">
        <f>IF(D815="","",VLOOKUP(MONTH(D815),Listas!$C$2:$D$14,2,0))</f>
        <v/>
      </c>
      <c r="R815" s="36" t="str">
        <f t="shared" si="22"/>
        <v/>
      </c>
      <c r="S815" s="37" t="str">
        <f t="shared" si="23"/>
        <v/>
      </c>
      <c r="T815" s="37" t="str">
        <f t="shared" si="24"/>
        <v/>
      </c>
      <c r="U815" s="37" t="str">
        <f t="shared" si="25"/>
        <v/>
      </c>
      <c r="V815" s="37" t="str">
        <f t="shared" si="26"/>
        <v/>
      </c>
      <c r="W815" s="37" t="str">
        <f t="shared" si="27"/>
        <v/>
      </c>
      <c r="X815" s="37" t="str">
        <f t="shared" si="28"/>
        <v/>
      </c>
      <c r="Y815" s="37" t="str">
        <f t="shared" si="29"/>
        <v/>
      </c>
      <c r="Z815" s="38" t="str">
        <f t="shared" si="30"/>
        <v/>
      </c>
      <c r="AA815" s="39" t="str">
        <f t="shared" si="31"/>
        <v/>
      </c>
    </row>
    <row r="816" ht="15.75" customHeight="1">
      <c r="B816" s="1"/>
      <c r="C816" s="28"/>
      <c r="D816" s="79"/>
      <c r="E816" s="1"/>
      <c r="F816" s="76"/>
      <c r="G816" s="1"/>
      <c r="H816" s="1"/>
      <c r="J816" s="77"/>
      <c r="K816" s="80"/>
      <c r="L816" s="80"/>
      <c r="M816" s="80"/>
      <c r="N816" s="80"/>
      <c r="O816" s="80"/>
      <c r="P816" s="81"/>
      <c r="Q816" s="35" t="str">
        <f>IF(D816="","",VLOOKUP(MONTH(D816),Listas!$C$2:$D$14,2,0))</f>
        <v/>
      </c>
      <c r="R816" s="36" t="str">
        <f t="shared" si="22"/>
        <v/>
      </c>
      <c r="S816" s="37" t="str">
        <f t="shared" si="23"/>
        <v/>
      </c>
      <c r="T816" s="37" t="str">
        <f t="shared" si="24"/>
        <v/>
      </c>
      <c r="U816" s="37" t="str">
        <f t="shared" si="25"/>
        <v/>
      </c>
      <c r="V816" s="37" t="str">
        <f t="shared" si="26"/>
        <v/>
      </c>
      <c r="W816" s="37" t="str">
        <f t="shared" si="27"/>
        <v/>
      </c>
      <c r="X816" s="37" t="str">
        <f t="shared" si="28"/>
        <v/>
      </c>
      <c r="Y816" s="37" t="str">
        <f t="shared" si="29"/>
        <v/>
      </c>
      <c r="Z816" s="38" t="str">
        <f t="shared" si="30"/>
        <v/>
      </c>
      <c r="AA816" s="39" t="str">
        <f t="shared" si="31"/>
        <v/>
      </c>
    </row>
    <row r="817" ht="15.75" customHeight="1">
      <c r="B817" s="1"/>
      <c r="C817" s="28"/>
      <c r="D817" s="79"/>
      <c r="E817" s="1"/>
      <c r="F817" s="76"/>
      <c r="G817" s="1"/>
      <c r="H817" s="1"/>
      <c r="J817" s="77"/>
      <c r="K817" s="80"/>
      <c r="L817" s="80"/>
      <c r="M817" s="80"/>
      <c r="N817" s="80"/>
      <c r="O817" s="80"/>
      <c r="P817" s="81"/>
      <c r="Q817" s="35" t="str">
        <f>IF(D817="","",VLOOKUP(MONTH(D817),Listas!$C$2:$D$14,2,0))</f>
        <v/>
      </c>
      <c r="R817" s="36" t="str">
        <f t="shared" si="22"/>
        <v/>
      </c>
      <c r="S817" s="37" t="str">
        <f t="shared" si="23"/>
        <v/>
      </c>
      <c r="T817" s="37" t="str">
        <f t="shared" si="24"/>
        <v/>
      </c>
      <c r="U817" s="37" t="str">
        <f t="shared" si="25"/>
        <v/>
      </c>
      <c r="V817" s="37" t="str">
        <f t="shared" si="26"/>
        <v/>
      </c>
      <c r="W817" s="37" t="str">
        <f t="shared" si="27"/>
        <v/>
      </c>
      <c r="X817" s="37" t="str">
        <f t="shared" si="28"/>
        <v/>
      </c>
      <c r="Y817" s="37" t="str">
        <f t="shared" si="29"/>
        <v/>
      </c>
      <c r="Z817" s="38" t="str">
        <f t="shared" si="30"/>
        <v/>
      </c>
      <c r="AA817" s="39" t="str">
        <f t="shared" si="31"/>
        <v/>
      </c>
    </row>
    <row r="818" ht="15.75" customHeight="1">
      <c r="B818" s="1"/>
      <c r="C818" s="28"/>
      <c r="D818" s="79"/>
      <c r="E818" s="1"/>
      <c r="F818" s="76"/>
      <c r="G818" s="1"/>
      <c r="H818" s="1"/>
      <c r="J818" s="77"/>
      <c r="K818" s="80"/>
      <c r="L818" s="80"/>
      <c r="M818" s="80"/>
      <c r="N818" s="80"/>
      <c r="O818" s="80"/>
      <c r="P818" s="81"/>
      <c r="Q818" s="35" t="str">
        <f>IF(D818="","",VLOOKUP(MONTH(D818),Listas!$C$2:$D$14,2,0))</f>
        <v/>
      </c>
      <c r="R818" s="36" t="str">
        <f t="shared" si="22"/>
        <v/>
      </c>
      <c r="S818" s="37" t="str">
        <f t="shared" si="23"/>
        <v/>
      </c>
      <c r="T818" s="37" t="str">
        <f t="shared" si="24"/>
        <v/>
      </c>
      <c r="U818" s="37" t="str">
        <f t="shared" si="25"/>
        <v/>
      </c>
      <c r="V818" s="37" t="str">
        <f t="shared" si="26"/>
        <v/>
      </c>
      <c r="W818" s="37" t="str">
        <f t="shared" si="27"/>
        <v/>
      </c>
      <c r="X818" s="37" t="str">
        <f t="shared" si="28"/>
        <v/>
      </c>
      <c r="Y818" s="37" t="str">
        <f t="shared" si="29"/>
        <v/>
      </c>
      <c r="Z818" s="38" t="str">
        <f t="shared" si="30"/>
        <v/>
      </c>
      <c r="AA818" s="39" t="str">
        <f t="shared" si="31"/>
        <v/>
      </c>
    </row>
    <row r="819" ht="15.75" customHeight="1">
      <c r="B819" s="1"/>
      <c r="C819" s="28"/>
      <c r="D819" s="79"/>
      <c r="E819" s="1"/>
      <c r="F819" s="76"/>
      <c r="G819" s="1"/>
      <c r="H819" s="1"/>
      <c r="J819" s="77"/>
      <c r="K819" s="80"/>
      <c r="L819" s="80"/>
      <c r="M819" s="80"/>
      <c r="N819" s="80"/>
      <c r="O819" s="80"/>
      <c r="P819" s="81"/>
      <c r="Q819" s="35" t="str">
        <f>IF(D819="","",VLOOKUP(MONTH(D819),Listas!$C$2:$D$14,2,0))</f>
        <v/>
      </c>
      <c r="R819" s="36" t="str">
        <f t="shared" si="22"/>
        <v/>
      </c>
      <c r="S819" s="37" t="str">
        <f t="shared" si="23"/>
        <v/>
      </c>
      <c r="T819" s="37" t="str">
        <f t="shared" si="24"/>
        <v/>
      </c>
      <c r="U819" s="37" t="str">
        <f t="shared" si="25"/>
        <v/>
      </c>
      <c r="V819" s="37" t="str">
        <f t="shared" si="26"/>
        <v/>
      </c>
      <c r="W819" s="37" t="str">
        <f t="shared" si="27"/>
        <v/>
      </c>
      <c r="X819" s="37" t="str">
        <f t="shared" si="28"/>
        <v/>
      </c>
      <c r="Y819" s="37" t="str">
        <f t="shared" si="29"/>
        <v/>
      </c>
      <c r="Z819" s="38" t="str">
        <f t="shared" si="30"/>
        <v/>
      </c>
      <c r="AA819" s="39" t="str">
        <f t="shared" si="31"/>
        <v/>
      </c>
    </row>
    <row r="820" ht="15.75" customHeight="1">
      <c r="B820" s="1"/>
      <c r="C820" s="28"/>
      <c r="D820" s="79"/>
      <c r="E820" s="1"/>
      <c r="F820" s="76"/>
      <c r="G820" s="1"/>
      <c r="H820" s="1"/>
      <c r="J820" s="77"/>
      <c r="K820" s="80"/>
      <c r="L820" s="80"/>
      <c r="M820" s="80"/>
      <c r="N820" s="80"/>
      <c r="O820" s="80"/>
      <c r="P820" s="81"/>
      <c r="Q820" s="35" t="str">
        <f>IF(D820="","",VLOOKUP(MONTH(D820),Listas!$C$2:$D$14,2,0))</f>
        <v/>
      </c>
      <c r="R820" s="36" t="str">
        <f t="shared" si="22"/>
        <v/>
      </c>
      <c r="S820" s="37" t="str">
        <f t="shared" si="23"/>
        <v/>
      </c>
      <c r="T820" s="37" t="str">
        <f t="shared" si="24"/>
        <v/>
      </c>
      <c r="U820" s="37" t="str">
        <f t="shared" si="25"/>
        <v/>
      </c>
      <c r="V820" s="37" t="str">
        <f t="shared" si="26"/>
        <v/>
      </c>
      <c r="W820" s="37" t="str">
        <f t="shared" si="27"/>
        <v/>
      </c>
      <c r="X820" s="37" t="str">
        <f t="shared" si="28"/>
        <v/>
      </c>
      <c r="Y820" s="37" t="str">
        <f t="shared" si="29"/>
        <v/>
      </c>
      <c r="Z820" s="38" t="str">
        <f t="shared" si="30"/>
        <v/>
      </c>
      <c r="AA820" s="39" t="str">
        <f t="shared" si="31"/>
        <v/>
      </c>
    </row>
    <row r="821" ht="15.75" customHeight="1">
      <c r="B821" s="1"/>
      <c r="C821" s="28"/>
      <c r="D821" s="79"/>
      <c r="E821" s="1"/>
      <c r="F821" s="76"/>
      <c r="G821" s="1"/>
      <c r="H821" s="1"/>
      <c r="J821" s="77"/>
      <c r="K821" s="80"/>
      <c r="L821" s="80"/>
      <c r="M821" s="80"/>
      <c r="N821" s="80"/>
      <c r="O821" s="80"/>
      <c r="P821" s="81"/>
      <c r="Q821" s="35" t="str">
        <f>IF(D821="","",VLOOKUP(MONTH(D821),Listas!$C$2:$D$14,2,0))</f>
        <v/>
      </c>
      <c r="R821" s="36" t="str">
        <f t="shared" si="22"/>
        <v/>
      </c>
      <c r="S821" s="37" t="str">
        <f t="shared" si="23"/>
        <v/>
      </c>
      <c r="T821" s="37" t="str">
        <f t="shared" si="24"/>
        <v/>
      </c>
      <c r="U821" s="37" t="str">
        <f t="shared" si="25"/>
        <v/>
      </c>
      <c r="V821" s="37" t="str">
        <f t="shared" si="26"/>
        <v/>
      </c>
      <c r="W821" s="37" t="str">
        <f t="shared" si="27"/>
        <v/>
      </c>
      <c r="X821" s="37" t="str">
        <f t="shared" si="28"/>
        <v/>
      </c>
      <c r="Y821" s="37" t="str">
        <f t="shared" si="29"/>
        <v/>
      </c>
      <c r="Z821" s="38" t="str">
        <f t="shared" si="30"/>
        <v/>
      </c>
      <c r="AA821" s="39" t="str">
        <f t="shared" si="31"/>
        <v/>
      </c>
    </row>
    <row r="822" ht="15.75" customHeight="1">
      <c r="B822" s="1"/>
      <c r="C822" s="28"/>
      <c r="D822" s="79"/>
      <c r="E822" s="1"/>
      <c r="F822" s="76"/>
      <c r="G822" s="1"/>
      <c r="H822" s="1"/>
      <c r="J822" s="77"/>
      <c r="K822" s="80"/>
      <c r="L822" s="80"/>
      <c r="M822" s="80"/>
      <c r="N822" s="80"/>
      <c r="O822" s="80"/>
      <c r="P822" s="81"/>
      <c r="Q822" s="35" t="str">
        <f>IF(D822="","",VLOOKUP(MONTH(D822),Listas!$C$2:$D$14,2,0))</f>
        <v/>
      </c>
      <c r="R822" s="36" t="str">
        <f t="shared" si="22"/>
        <v/>
      </c>
      <c r="S822" s="37" t="str">
        <f t="shared" si="23"/>
        <v/>
      </c>
      <c r="T822" s="37" t="str">
        <f t="shared" si="24"/>
        <v/>
      </c>
      <c r="U822" s="37" t="str">
        <f t="shared" si="25"/>
        <v/>
      </c>
      <c r="V822" s="37" t="str">
        <f t="shared" si="26"/>
        <v/>
      </c>
      <c r="W822" s="37" t="str">
        <f t="shared" si="27"/>
        <v/>
      </c>
      <c r="X822" s="37" t="str">
        <f t="shared" si="28"/>
        <v/>
      </c>
      <c r="Y822" s="37" t="str">
        <f t="shared" si="29"/>
        <v/>
      </c>
      <c r="Z822" s="38" t="str">
        <f t="shared" si="30"/>
        <v/>
      </c>
      <c r="AA822" s="39" t="str">
        <f t="shared" si="31"/>
        <v/>
      </c>
    </row>
    <row r="823" ht="15.75" customHeight="1">
      <c r="B823" s="1"/>
      <c r="C823" s="28"/>
      <c r="D823" s="79"/>
      <c r="E823" s="1"/>
      <c r="F823" s="76"/>
      <c r="G823" s="1"/>
      <c r="H823" s="1"/>
      <c r="J823" s="77"/>
      <c r="K823" s="80"/>
      <c r="L823" s="80"/>
      <c r="M823" s="80"/>
      <c r="N823" s="80"/>
      <c r="O823" s="80"/>
      <c r="P823" s="81"/>
      <c r="Q823" s="35" t="str">
        <f>IF(D823="","",VLOOKUP(MONTH(D823),Listas!$C$2:$D$14,2,0))</f>
        <v/>
      </c>
      <c r="R823" s="36" t="str">
        <f t="shared" si="22"/>
        <v/>
      </c>
      <c r="S823" s="37" t="str">
        <f t="shared" si="23"/>
        <v/>
      </c>
      <c r="T823" s="37" t="str">
        <f t="shared" si="24"/>
        <v/>
      </c>
      <c r="U823" s="37" t="str">
        <f t="shared" si="25"/>
        <v/>
      </c>
      <c r="V823" s="37" t="str">
        <f t="shared" si="26"/>
        <v/>
      </c>
      <c r="W823" s="37" t="str">
        <f t="shared" si="27"/>
        <v/>
      </c>
      <c r="X823" s="37" t="str">
        <f t="shared" si="28"/>
        <v/>
      </c>
      <c r="Y823" s="37" t="str">
        <f t="shared" si="29"/>
        <v/>
      </c>
      <c r="Z823" s="38" t="str">
        <f t="shared" si="30"/>
        <v/>
      </c>
      <c r="AA823" s="39" t="str">
        <f t="shared" si="31"/>
        <v/>
      </c>
    </row>
    <row r="824" ht="15.75" customHeight="1">
      <c r="B824" s="1"/>
      <c r="C824" s="28"/>
      <c r="D824" s="79"/>
      <c r="E824" s="1"/>
      <c r="F824" s="76"/>
      <c r="G824" s="1"/>
      <c r="H824" s="1"/>
      <c r="J824" s="77"/>
      <c r="K824" s="80"/>
      <c r="L824" s="80"/>
      <c r="M824" s="80"/>
      <c r="N824" s="80"/>
      <c r="O824" s="80"/>
      <c r="P824" s="81"/>
      <c r="Q824" s="35" t="str">
        <f>IF(D824="","",VLOOKUP(MONTH(D824),Listas!$C$2:$D$14,2,0))</f>
        <v/>
      </c>
      <c r="R824" s="36" t="str">
        <f t="shared" si="22"/>
        <v/>
      </c>
      <c r="S824" s="37" t="str">
        <f t="shared" si="23"/>
        <v/>
      </c>
      <c r="T824" s="37" t="str">
        <f t="shared" si="24"/>
        <v/>
      </c>
      <c r="U824" s="37" t="str">
        <f t="shared" si="25"/>
        <v/>
      </c>
      <c r="V824" s="37" t="str">
        <f t="shared" si="26"/>
        <v/>
      </c>
      <c r="W824" s="37" t="str">
        <f t="shared" si="27"/>
        <v/>
      </c>
      <c r="X824" s="37" t="str">
        <f t="shared" si="28"/>
        <v/>
      </c>
      <c r="Y824" s="37" t="str">
        <f t="shared" si="29"/>
        <v/>
      </c>
      <c r="Z824" s="38" t="str">
        <f t="shared" si="30"/>
        <v/>
      </c>
      <c r="AA824" s="39" t="str">
        <f t="shared" si="31"/>
        <v/>
      </c>
    </row>
    <row r="825" ht="15.75" customHeight="1">
      <c r="B825" s="1"/>
      <c r="C825" s="28"/>
      <c r="D825" s="79"/>
      <c r="E825" s="1"/>
      <c r="F825" s="76"/>
      <c r="G825" s="1"/>
      <c r="H825" s="1"/>
      <c r="J825" s="77"/>
      <c r="K825" s="80"/>
      <c r="L825" s="80"/>
      <c r="M825" s="80"/>
      <c r="N825" s="80"/>
      <c r="O825" s="80"/>
      <c r="P825" s="81"/>
      <c r="Q825" s="35" t="str">
        <f>IF(D825="","",VLOOKUP(MONTH(D825),Listas!$C$2:$D$14,2,0))</f>
        <v/>
      </c>
      <c r="R825" s="36" t="str">
        <f t="shared" si="22"/>
        <v/>
      </c>
      <c r="S825" s="37" t="str">
        <f t="shared" si="23"/>
        <v/>
      </c>
      <c r="T825" s="37" t="str">
        <f t="shared" si="24"/>
        <v/>
      </c>
      <c r="U825" s="37" t="str">
        <f t="shared" si="25"/>
        <v/>
      </c>
      <c r="V825" s="37" t="str">
        <f t="shared" si="26"/>
        <v/>
      </c>
      <c r="W825" s="37" t="str">
        <f t="shared" si="27"/>
        <v/>
      </c>
      <c r="X825" s="37" t="str">
        <f t="shared" si="28"/>
        <v/>
      </c>
      <c r="Y825" s="37" t="str">
        <f t="shared" si="29"/>
        <v/>
      </c>
      <c r="Z825" s="38" t="str">
        <f t="shared" si="30"/>
        <v/>
      </c>
      <c r="AA825" s="39" t="str">
        <f t="shared" si="31"/>
        <v/>
      </c>
    </row>
    <row r="826" ht="15.75" customHeight="1">
      <c r="B826" s="1"/>
      <c r="C826" s="28"/>
      <c r="D826" s="79"/>
      <c r="E826" s="1"/>
      <c r="F826" s="76"/>
      <c r="G826" s="1"/>
      <c r="H826" s="1"/>
      <c r="J826" s="77"/>
      <c r="K826" s="80"/>
      <c r="L826" s="80"/>
      <c r="M826" s="80"/>
      <c r="N826" s="80"/>
      <c r="O826" s="80"/>
      <c r="P826" s="81"/>
      <c r="Q826" s="35" t="str">
        <f>IF(D826="","",VLOOKUP(MONTH(D826),Listas!$C$2:$D$14,2,0))</f>
        <v/>
      </c>
      <c r="R826" s="36" t="str">
        <f t="shared" si="22"/>
        <v/>
      </c>
      <c r="S826" s="37" t="str">
        <f t="shared" si="23"/>
        <v/>
      </c>
      <c r="T826" s="37" t="str">
        <f t="shared" si="24"/>
        <v/>
      </c>
      <c r="U826" s="37" t="str">
        <f t="shared" si="25"/>
        <v/>
      </c>
      <c r="V826" s="37" t="str">
        <f t="shared" si="26"/>
        <v/>
      </c>
      <c r="W826" s="37" t="str">
        <f t="shared" si="27"/>
        <v/>
      </c>
      <c r="X826" s="37" t="str">
        <f t="shared" si="28"/>
        <v/>
      </c>
      <c r="Y826" s="37" t="str">
        <f t="shared" si="29"/>
        <v/>
      </c>
      <c r="Z826" s="38" t="str">
        <f t="shared" si="30"/>
        <v/>
      </c>
      <c r="AA826" s="39" t="str">
        <f t="shared" si="31"/>
        <v/>
      </c>
    </row>
    <row r="827" ht="15.75" customHeight="1">
      <c r="B827" s="1"/>
      <c r="C827" s="28"/>
      <c r="D827" s="79"/>
      <c r="E827" s="1"/>
      <c r="F827" s="76"/>
      <c r="G827" s="1"/>
      <c r="H827" s="1"/>
      <c r="J827" s="77"/>
      <c r="K827" s="80"/>
      <c r="L827" s="80"/>
      <c r="M827" s="80"/>
      <c r="N827" s="80"/>
      <c r="O827" s="80"/>
      <c r="P827" s="81"/>
      <c r="Q827" s="35" t="str">
        <f>IF(D827="","",VLOOKUP(MONTH(D827),Listas!$C$2:$D$14,2,0))</f>
        <v/>
      </c>
      <c r="R827" s="36" t="str">
        <f t="shared" si="22"/>
        <v/>
      </c>
      <c r="S827" s="37" t="str">
        <f t="shared" si="23"/>
        <v/>
      </c>
      <c r="T827" s="37" t="str">
        <f t="shared" si="24"/>
        <v/>
      </c>
      <c r="U827" s="37" t="str">
        <f t="shared" si="25"/>
        <v/>
      </c>
      <c r="V827" s="37" t="str">
        <f t="shared" si="26"/>
        <v/>
      </c>
      <c r="W827" s="37" t="str">
        <f t="shared" si="27"/>
        <v/>
      </c>
      <c r="X827" s="37" t="str">
        <f t="shared" si="28"/>
        <v/>
      </c>
      <c r="Y827" s="37" t="str">
        <f t="shared" si="29"/>
        <v/>
      </c>
      <c r="Z827" s="38" t="str">
        <f t="shared" si="30"/>
        <v/>
      </c>
      <c r="AA827" s="39" t="str">
        <f t="shared" si="31"/>
        <v/>
      </c>
    </row>
    <row r="828" ht="15.75" customHeight="1">
      <c r="B828" s="1"/>
      <c r="C828" s="28"/>
      <c r="D828" s="79"/>
      <c r="E828" s="1"/>
      <c r="F828" s="76"/>
      <c r="G828" s="1"/>
      <c r="H828" s="1"/>
      <c r="J828" s="77"/>
      <c r="K828" s="80"/>
      <c r="L828" s="80"/>
      <c r="M828" s="80"/>
      <c r="N828" s="80"/>
      <c r="O828" s="80"/>
      <c r="P828" s="81"/>
      <c r="Q828" s="35" t="str">
        <f>IF(D828="","",VLOOKUP(MONTH(D828),Listas!$C$2:$D$14,2,0))</f>
        <v/>
      </c>
      <c r="R828" s="36" t="str">
        <f t="shared" si="22"/>
        <v/>
      </c>
      <c r="S828" s="37" t="str">
        <f t="shared" si="23"/>
        <v/>
      </c>
      <c r="T828" s="37" t="str">
        <f t="shared" si="24"/>
        <v/>
      </c>
      <c r="U828" s="37" t="str">
        <f t="shared" si="25"/>
        <v/>
      </c>
      <c r="V828" s="37" t="str">
        <f t="shared" si="26"/>
        <v/>
      </c>
      <c r="W828" s="37" t="str">
        <f t="shared" si="27"/>
        <v/>
      </c>
      <c r="X828" s="37" t="str">
        <f t="shared" si="28"/>
        <v/>
      </c>
      <c r="Y828" s="37" t="str">
        <f t="shared" si="29"/>
        <v/>
      </c>
      <c r="Z828" s="38" t="str">
        <f t="shared" si="30"/>
        <v/>
      </c>
      <c r="AA828" s="39" t="str">
        <f t="shared" si="31"/>
        <v/>
      </c>
    </row>
    <row r="829" ht="15.75" customHeight="1">
      <c r="B829" s="1"/>
      <c r="C829" s="28"/>
      <c r="D829" s="79"/>
      <c r="E829" s="1"/>
      <c r="F829" s="76"/>
      <c r="G829" s="1"/>
      <c r="H829" s="1"/>
      <c r="J829" s="77"/>
      <c r="K829" s="80"/>
      <c r="L829" s="80"/>
      <c r="M829" s="80"/>
      <c r="N829" s="80"/>
      <c r="O829" s="80"/>
      <c r="P829" s="81"/>
      <c r="Q829" s="35" t="str">
        <f>IF(D829="","",VLOOKUP(MONTH(D829),Listas!$C$2:$D$14,2,0))</f>
        <v/>
      </c>
      <c r="R829" s="36" t="str">
        <f t="shared" si="22"/>
        <v/>
      </c>
      <c r="S829" s="37" t="str">
        <f t="shared" si="23"/>
        <v/>
      </c>
      <c r="T829" s="37" t="str">
        <f t="shared" si="24"/>
        <v/>
      </c>
      <c r="U829" s="37" t="str">
        <f t="shared" si="25"/>
        <v/>
      </c>
      <c r="V829" s="37" t="str">
        <f t="shared" si="26"/>
        <v/>
      </c>
      <c r="W829" s="37" t="str">
        <f t="shared" si="27"/>
        <v/>
      </c>
      <c r="X829" s="37" t="str">
        <f t="shared" si="28"/>
        <v/>
      </c>
      <c r="Y829" s="37" t="str">
        <f t="shared" si="29"/>
        <v/>
      </c>
      <c r="Z829" s="38" t="str">
        <f t="shared" si="30"/>
        <v/>
      </c>
      <c r="AA829" s="39" t="str">
        <f t="shared" si="31"/>
        <v/>
      </c>
    </row>
    <row r="830" ht="15.75" customHeight="1">
      <c r="B830" s="1"/>
      <c r="C830" s="28"/>
      <c r="D830" s="79"/>
      <c r="E830" s="1"/>
      <c r="F830" s="76"/>
      <c r="G830" s="1"/>
      <c r="H830" s="1"/>
      <c r="J830" s="77"/>
      <c r="K830" s="80"/>
      <c r="L830" s="80"/>
      <c r="M830" s="80"/>
      <c r="N830" s="80"/>
      <c r="O830" s="80"/>
      <c r="P830" s="81"/>
      <c r="Q830" s="35" t="str">
        <f>IF(D830="","",VLOOKUP(MONTH(D830),Listas!$C$2:$D$14,2,0))</f>
        <v/>
      </c>
      <c r="R830" s="36" t="str">
        <f t="shared" si="22"/>
        <v/>
      </c>
      <c r="S830" s="37" t="str">
        <f t="shared" si="23"/>
        <v/>
      </c>
      <c r="T830" s="37" t="str">
        <f t="shared" si="24"/>
        <v/>
      </c>
      <c r="U830" s="37" t="str">
        <f t="shared" si="25"/>
        <v/>
      </c>
      <c r="V830" s="37" t="str">
        <f t="shared" si="26"/>
        <v/>
      </c>
      <c r="W830" s="37" t="str">
        <f t="shared" si="27"/>
        <v/>
      </c>
      <c r="X830" s="37" t="str">
        <f t="shared" si="28"/>
        <v/>
      </c>
      <c r="Y830" s="37" t="str">
        <f t="shared" si="29"/>
        <v/>
      </c>
      <c r="Z830" s="38" t="str">
        <f t="shared" si="30"/>
        <v/>
      </c>
      <c r="AA830" s="39" t="str">
        <f t="shared" si="31"/>
        <v/>
      </c>
    </row>
    <row r="831" ht="15.75" customHeight="1">
      <c r="B831" s="1"/>
      <c r="C831" s="28"/>
      <c r="D831" s="79"/>
      <c r="E831" s="1"/>
      <c r="F831" s="76"/>
      <c r="G831" s="1"/>
      <c r="H831" s="1"/>
      <c r="J831" s="77"/>
      <c r="K831" s="80"/>
      <c r="L831" s="80"/>
      <c r="M831" s="80"/>
      <c r="N831" s="80"/>
      <c r="O831" s="80"/>
      <c r="P831" s="81"/>
      <c r="Q831" s="35" t="str">
        <f>IF(D831="","",VLOOKUP(MONTH(D831),Listas!$C$2:$D$14,2,0))</f>
        <v/>
      </c>
      <c r="R831" s="36" t="str">
        <f t="shared" si="22"/>
        <v/>
      </c>
      <c r="S831" s="37" t="str">
        <f t="shared" si="23"/>
        <v/>
      </c>
      <c r="T831" s="37" t="str">
        <f t="shared" si="24"/>
        <v/>
      </c>
      <c r="U831" s="37" t="str">
        <f t="shared" si="25"/>
        <v/>
      </c>
      <c r="V831" s="37" t="str">
        <f t="shared" si="26"/>
        <v/>
      </c>
      <c r="W831" s="37" t="str">
        <f t="shared" si="27"/>
        <v/>
      </c>
      <c r="X831" s="37" t="str">
        <f t="shared" si="28"/>
        <v/>
      </c>
      <c r="Y831" s="37" t="str">
        <f t="shared" si="29"/>
        <v/>
      </c>
      <c r="Z831" s="38" t="str">
        <f t="shared" si="30"/>
        <v/>
      </c>
      <c r="AA831" s="39" t="str">
        <f t="shared" si="31"/>
        <v/>
      </c>
    </row>
    <row r="832" ht="15.75" customHeight="1">
      <c r="B832" s="1"/>
      <c r="C832" s="28"/>
      <c r="D832" s="79"/>
      <c r="E832" s="1"/>
      <c r="F832" s="76"/>
      <c r="G832" s="1"/>
      <c r="H832" s="1"/>
      <c r="J832" s="77"/>
      <c r="K832" s="80"/>
      <c r="L832" s="80"/>
      <c r="M832" s="80"/>
      <c r="N832" s="80"/>
      <c r="O832" s="80"/>
      <c r="P832" s="81"/>
      <c r="Q832" s="35" t="str">
        <f>IF(D832="","",VLOOKUP(MONTH(D832),Listas!$C$2:$D$14,2,0))</f>
        <v/>
      </c>
      <c r="R832" s="36" t="str">
        <f t="shared" si="22"/>
        <v/>
      </c>
      <c r="S832" s="37" t="str">
        <f t="shared" si="23"/>
        <v/>
      </c>
      <c r="T832" s="37" t="str">
        <f t="shared" si="24"/>
        <v/>
      </c>
      <c r="U832" s="37" t="str">
        <f t="shared" si="25"/>
        <v/>
      </c>
      <c r="V832" s="37" t="str">
        <f t="shared" si="26"/>
        <v/>
      </c>
      <c r="W832" s="37" t="str">
        <f t="shared" si="27"/>
        <v/>
      </c>
      <c r="X832" s="37" t="str">
        <f t="shared" si="28"/>
        <v/>
      </c>
      <c r="Y832" s="37" t="str">
        <f t="shared" si="29"/>
        <v/>
      </c>
      <c r="Z832" s="38" t="str">
        <f t="shared" si="30"/>
        <v/>
      </c>
      <c r="AA832" s="39" t="str">
        <f t="shared" si="31"/>
        <v/>
      </c>
    </row>
    <row r="833" ht="15.75" customHeight="1">
      <c r="B833" s="1"/>
      <c r="C833" s="28"/>
      <c r="D833" s="79"/>
      <c r="E833" s="1"/>
      <c r="F833" s="76"/>
      <c r="G833" s="1"/>
      <c r="H833" s="1"/>
      <c r="J833" s="77"/>
      <c r="K833" s="80"/>
      <c r="L833" s="80"/>
      <c r="M833" s="80"/>
      <c r="N833" s="80"/>
      <c r="O833" s="80"/>
      <c r="P833" s="81"/>
      <c r="Q833" s="35" t="str">
        <f>IF(D833="","",VLOOKUP(MONTH(D833),Listas!$C$2:$D$14,2,0))</f>
        <v/>
      </c>
      <c r="R833" s="36" t="str">
        <f t="shared" si="22"/>
        <v/>
      </c>
      <c r="S833" s="37" t="str">
        <f t="shared" si="23"/>
        <v/>
      </c>
      <c r="T833" s="37" t="str">
        <f t="shared" si="24"/>
        <v/>
      </c>
      <c r="U833" s="37" t="str">
        <f t="shared" si="25"/>
        <v/>
      </c>
      <c r="V833" s="37" t="str">
        <f t="shared" si="26"/>
        <v/>
      </c>
      <c r="W833" s="37" t="str">
        <f t="shared" si="27"/>
        <v/>
      </c>
      <c r="X833" s="37" t="str">
        <f t="shared" si="28"/>
        <v/>
      </c>
      <c r="Y833" s="37" t="str">
        <f t="shared" si="29"/>
        <v/>
      </c>
      <c r="Z833" s="38" t="str">
        <f t="shared" si="30"/>
        <v/>
      </c>
      <c r="AA833" s="39" t="str">
        <f t="shared" si="31"/>
        <v/>
      </c>
    </row>
    <row r="834" ht="15.75" customHeight="1">
      <c r="B834" s="1"/>
      <c r="C834" s="28"/>
      <c r="D834" s="79"/>
      <c r="E834" s="1"/>
      <c r="F834" s="76"/>
      <c r="G834" s="1"/>
      <c r="H834" s="1"/>
      <c r="J834" s="77"/>
      <c r="K834" s="80"/>
      <c r="L834" s="80"/>
      <c r="M834" s="80"/>
      <c r="N834" s="80"/>
      <c r="O834" s="80"/>
      <c r="P834" s="81"/>
      <c r="Q834" s="35" t="str">
        <f>IF(D834="","",VLOOKUP(MONTH(D834),Listas!$C$2:$D$14,2,0))</f>
        <v/>
      </c>
      <c r="R834" s="36" t="str">
        <f t="shared" si="22"/>
        <v/>
      </c>
      <c r="S834" s="37" t="str">
        <f t="shared" si="23"/>
        <v/>
      </c>
      <c r="T834" s="37" t="str">
        <f t="shared" si="24"/>
        <v/>
      </c>
      <c r="U834" s="37" t="str">
        <f t="shared" si="25"/>
        <v/>
      </c>
      <c r="V834" s="37" t="str">
        <f t="shared" si="26"/>
        <v/>
      </c>
      <c r="W834" s="37" t="str">
        <f t="shared" si="27"/>
        <v/>
      </c>
      <c r="X834" s="37" t="str">
        <f t="shared" si="28"/>
        <v/>
      </c>
      <c r="Y834" s="37" t="str">
        <f t="shared" si="29"/>
        <v/>
      </c>
      <c r="Z834" s="38" t="str">
        <f t="shared" si="30"/>
        <v/>
      </c>
      <c r="AA834" s="39" t="str">
        <f t="shared" si="31"/>
        <v/>
      </c>
    </row>
    <row r="835" ht="15.75" customHeight="1">
      <c r="B835" s="1"/>
      <c r="C835" s="28"/>
      <c r="D835" s="79"/>
      <c r="E835" s="1"/>
      <c r="F835" s="76"/>
      <c r="G835" s="1"/>
      <c r="H835" s="1"/>
      <c r="J835" s="77"/>
      <c r="K835" s="80"/>
      <c r="L835" s="80"/>
      <c r="M835" s="80"/>
      <c r="N835" s="80"/>
      <c r="O835" s="80"/>
      <c r="P835" s="81"/>
      <c r="Q835" s="35" t="str">
        <f>IF(D835="","",VLOOKUP(MONTH(D835),Listas!$C$2:$D$14,2,0))</f>
        <v/>
      </c>
      <c r="R835" s="36" t="str">
        <f t="shared" si="22"/>
        <v/>
      </c>
      <c r="S835" s="37" t="str">
        <f t="shared" si="23"/>
        <v/>
      </c>
      <c r="T835" s="37" t="str">
        <f t="shared" si="24"/>
        <v/>
      </c>
      <c r="U835" s="37" t="str">
        <f t="shared" si="25"/>
        <v/>
      </c>
      <c r="V835" s="37" t="str">
        <f t="shared" si="26"/>
        <v/>
      </c>
      <c r="W835" s="37" t="str">
        <f t="shared" si="27"/>
        <v/>
      </c>
      <c r="X835" s="37" t="str">
        <f t="shared" si="28"/>
        <v/>
      </c>
      <c r="Y835" s="37" t="str">
        <f t="shared" si="29"/>
        <v/>
      </c>
      <c r="Z835" s="38" t="str">
        <f t="shared" si="30"/>
        <v/>
      </c>
      <c r="AA835" s="39" t="str">
        <f t="shared" si="31"/>
        <v/>
      </c>
    </row>
    <row r="836" ht="15.75" customHeight="1">
      <c r="B836" s="1"/>
      <c r="C836" s="28"/>
      <c r="D836" s="79"/>
      <c r="E836" s="1"/>
      <c r="F836" s="76"/>
      <c r="G836" s="1"/>
      <c r="H836" s="1"/>
      <c r="J836" s="77"/>
      <c r="K836" s="80"/>
      <c r="L836" s="80"/>
      <c r="M836" s="80"/>
      <c r="N836" s="80"/>
      <c r="O836" s="80"/>
      <c r="P836" s="81"/>
      <c r="Q836" s="35" t="str">
        <f>IF(D836="","",VLOOKUP(MONTH(D836),Listas!$C$2:$D$14,2,0))</f>
        <v/>
      </c>
      <c r="R836" s="36" t="str">
        <f t="shared" si="22"/>
        <v/>
      </c>
      <c r="S836" s="37" t="str">
        <f t="shared" si="23"/>
        <v/>
      </c>
      <c r="T836" s="37" t="str">
        <f t="shared" si="24"/>
        <v/>
      </c>
      <c r="U836" s="37" t="str">
        <f t="shared" si="25"/>
        <v/>
      </c>
      <c r="V836" s="37" t="str">
        <f t="shared" si="26"/>
        <v/>
      </c>
      <c r="W836" s="37" t="str">
        <f t="shared" si="27"/>
        <v/>
      </c>
      <c r="X836" s="37" t="str">
        <f t="shared" si="28"/>
        <v/>
      </c>
      <c r="Y836" s="37" t="str">
        <f t="shared" si="29"/>
        <v/>
      </c>
      <c r="Z836" s="38" t="str">
        <f t="shared" si="30"/>
        <v/>
      </c>
      <c r="AA836" s="39" t="str">
        <f t="shared" si="31"/>
        <v/>
      </c>
    </row>
    <row r="837" ht="15.75" customHeight="1">
      <c r="B837" s="1"/>
      <c r="C837" s="28"/>
      <c r="D837" s="79"/>
      <c r="E837" s="1"/>
      <c r="F837" s="76"/>
      <c r="G837" s="1"/>
      <c r="H837" s="1"/>
      <c r="J837" s="77"/>
      <c r="K837" s="80"/>
      <c r="L837" s="80"/>
      <c r="M837" s="80"/>
      <c r="N837" s="80"/>
      <c r="O837" s="80"/>
      <c r="P837" s="81"/>
      <c r="Q837" s="35" t="str">
        <f>IF(D837="","",VLOOKUP(MONTH(D837),Listas!$C$2:$D$14,2,0))</f>
        <v/>
      </c>
      <c r="R837" s="36" t="str">
        <f t="shared" si="22"/>
        <v/>
      </c>
      <c r="S837" s="37" t="str">
        <f t="shared" si="23"/>
        <v/>
      </c>
      <c r="T837" s="37" t="str">
        <f t="shared" si="24"/>
        <v/>
      </c>
      <c r="U837" s="37" t="str">
        <f t="shared" si="25"/>
        <v/>
      </c>
      <c r="V837" s="37" t="str">
        <f t="shared" si="26"/>
        <v/>
      </c>
      <c r="W837" s="37" t="str">
        <f t="shared" si="27"/>
        <v/>
      </c>
      <c r="X837" s="37" t="str">
        <f t="shared" si="28"/>
        <v/>
      </c>
      <c r="Y837" s="37" t="str">
        <f t="shared" si="29"/>
        <v/>
      </c>
      <c r="Z837" s="38" t="str">
        <f t="shared" si="30"/>
        <v/>
      </c>
      <c r="AA837" s="39" t="str">
        <f t="shared" si="31"/>
        <v/>
      </c>
    </row>
    <row r="838" ht="15.75" customHeight="1">
      <c r="B838" s="1"/>
      <c r="C838" s="28"/>
      <c r="D838" s="79"/>
      <c r="E838" s="1"/>
      <c r="F838" s="76"/>
      <c r="G838" s="1"/>
      <c r="H838" s="1"/>
      <c r="J838" s="77"/>
      <c r="K838" s="80"/>
      <c r="L838" s="80"/>
      <c r="M838" s="80"/>
      <c r="N838" s="80"/>
      <c r="O838" s="80"/>
      <c r="P838" s="81"/>
      <c r="Q838" s="35" t="str">
        <f>IF(D838="","",VLOOKUP(MONTH(D838),Listas!$C$2:$D$14,2,0))</f>
        <v/>
      </c>
      <c r="R838" s="36" t="str">
        <f t="shared" si="22"/>
        <v/>
      </c>
      <c r="S838" s="37" t="str">
        <f t="shared" si="23"/>
        <v/>
      </c>
      <c r="T838" s="37" t="str">
        <f t="shared" si="24"/>
        <v/>
      </c>
      <c r="U838" s="37" t="str">
        <f t="shared" si="25"/>
        <v/>
      </c>
      <c r="V838" s="37" t="str">
        <f t="shared" si="26"/>
        <v/>
      </c>
      <c r="W838" s="37" t="str">
        <f t="shared" si="27"/>
        <v/>
      </c>
      <c r="X838" s="37" t="str">
        <f t="shared" si="28"/>
        <v/>
      </c>
      <c r="Y838" s="37" t="str">
        <f t="shared" si="29"/>
        <v/>
      </c>
      <c r="Z838" s="38" t="str">
        <f t="shared" si="30"/>
        <v/>
      </c>
      <c r="AA838" s="39" t="str">
        <f t="shared" si="31"/>
        <v/>
      </c>
    </row>
    <row r="839" ht="15.75" customHeight="1">
      <c r="B839" s="1"/>
      <c r="C839" s="28"/>
      <c r="D839" s="79"/>
      <c r="E839" s="1"/>
      <c r="F839" s="76"/>
      <c r="G839" s="1"/>
      <c r="H839" s="1"/>
      <c r="J839" s="77"/>
      <c r="K839" s="80"/>
      <c r="L839" s="80"/>
      <c r="M839" s="80"/>
      <c r="N839" s="80"/>
      <c r="O839" s="80"/>
      <c r="P839" s="81"/>
      <c r="Q839" s="35" t="str">
        <f>IF(D839="","",VLOOKUP(MONTH(D839),Listas!$C$2:$D$14,2,0))</f>
        <v/>
      </c>
      <c r="R839" s="36" t="str">
        <f t="shared" si="22"/>
        <v/>
      </c>
      <c r="S839" s="37" t="str">
        <f t="shared" si="23"/>
        <v/>
      </c>
      <c r="T839" s="37" t="str">
        <f t="shared" si="24"/>
        <v/>
      </c>
      <c r="U839" s="37" t="str">
        <f t="shared" si="25"/>
        <v/>
      </c>
      <c r="V839" s="37" t="str">
        <f t="shared" si="26"/>
        <v/>
      </c>
      <c r="W839" s="37" t="str">
        <f t="shared" si="27"/>
        <v/>
      </c>
      <c r="X839" s="37" t="str">
        <f t="shared" si="28"/>
        <v/>
      </c>
      <c r="Y839" s="37" t="str">
        <f t="shared" si="29"/>
        <v/>
      </c>
      <c r="Z839" s="38" t="str">
        <f t="shared" si="30"/>
        <v/>
      </c>
      <c r="AA839" s="39" t="str">
        <f t="shared" si="31"/>
        <v/>
      </c>
    </row>
    <row r="840" ht="15.75" customHeight="1">
      <c r="B840" s="1"/>
      <c r="C840" s="28"/>
      <c r="D840" s="79"/>
      <c r="E840" s="1"/>
      <c r="F840" s="76"/>
      <c r="G840" s="1"/>
      <c r="H840" s="1"/>
      <c r="J840" s="77"/>
      <c r="K840" s="80"/>
      <c r="L840" s="80"/>
      <c r="M840" s="80"/>
      <c r="N840" s="80"/>
      <c r="O840" s="80"/>
      <c r="P840" s="81"/>
      <c r="Q840" s="35" t="str">
        <f>IF(D840="","",VLOOKUP(MONTH(D840),Listas!$C$2:$D$14,2,0))</f>
        <v/>
      </c>
      <c r="R840" s="36" t="str">
        <f t="shared" si="22"/>
        <v/>
      </c>
      <c r="S840" s="37" t="str">
        <f t="shared" si="23"/>
        <v/>
      </c>
      <c r="T840" s="37" t="str">
        <f t="shared" si="24"/>
        <v/>
      </c>
      <c r="U840" s="37" t="str">
        <f t="shared" si="25"/>
        <v/>
      </c>
      <c r="V840" s="37" t="str">
        <f t="shared" si="26"/>
        <v/>
      </c>
      <c r="W840" s="37" t="str">
        <f t="shared" si="27"/>
        <v/>
      </c>
      <c r="X840" s="37" t="str">
        <f t="shared" si="28"/>
        <v/>
      </c>
      <c r="Y840" s="37" t="str">
        <f t="shared" si="29"/>
        <v/>
      </c>
      <c r="Z840" s="38" t="str">
        <f t="shared" si="30"/>
        <v/>
      </c>
      <c r="AA840" s="39" t="str">
        <f t="shared" si="31"/>
        <v/>
      </c>
    </row>
    <row r="841" ht="15.75" customHeight="1">
      <c r="B841" s="1"/>
      <c r="C841" s="28"/>
      <c r="D841" s="79"/>
      <c r="E841" s="1"/>
      <c r="F841" s="76"/>
      <c r="G841" s="1"/>
      <c r="H841" s="1"/>
      <c r="J841" s="77"/>
      <c r="K841" s="80"/>
      <c r="L841" s="80"/>
      <c r="M841" s="80"/>
      <c r="N841" s="80"/>
      <c r="O841" s="80"/>
      <c r="P841" s="81"/>
      <c r="Q841" s="35" t="str">
        <f>IF(D841="","",VLOOKUP(MONTH(D841),Listas!$C$2:$D$14,2,0))</f>
        <v/>
      </c>
      <c r="R841" s="36" t="str">
        <f t="shared" si="22"/>
        <v/>
      </c>
      <c r="S841" s="37" t="str">
        <f t="shared" si="23"/>
        <v/>
      </c>
      <c r="T841" s="37" t="str">
        <f t="shared" si="24"/>
        <v/>
      </c>
      <c r="U841" s="37" t="str">
        <f t="shared" si="25"/>
        <v/>
      </c>
      <c r="V841" s="37" t="str">
        <f t="shared" si="26"/>
        <v/>
      </c>
      <c r="W841" s="37" t="str">
        <f t="shared" si="27"/>
        <v/>
      </c>
      <c r="X841" s="37" t="str">
        <f t="shared" si="28"/>
        <v/>
      </c>
      <c r="Y841" s="37" t="str">
        <f t="shared" si="29"/>
        <v/>
      </c>
      <c r="Z841" s="38" t="str">
        <f t="shared" si="30"/>
        <v/>
      </c>
      <c r="AA841" s="39" t="str">
        <f t="shared" si="31"/>
        <v/>
      </c>
    </row>
    <row r="842" ht="15.75" customHeight="1">
      <c r="B842" s="1"/>
      <c r="C842" s="28"/>
      <c r="D842" s="79"/>
      <c r="E842" s="1"/>
      <c r="F842" s="76"/>
      <c r="G842" s="1"/>
      <c r="H842" s="1"/>
      <c r="J842" s="77"/>
      <c r="K842" s="80"/>
      <c r="L842" s="80"/>
      <c r="M842" s="80"/>
      <c r="N842" s="80"/>
      <c r="O842" s="80"/>
      <c r="P842" s="81"/>
      <c r="Q842" s="35" t="str">
        <f>IF(D842="","",VLOOKUP(MONTH(D842),Listas!$C$2:$D$14,2,0))</f>
        <v/>
      </c>
      <c r="R842" s="36" t="str">
        <f t="shared" si="22"/>
        <v/>
      </c>
      <c r="S842" s="37" t="str">
        <f t="shared" si="23"/>
        <v/>
      </c>
      <c r="T842" s="37" t="str">
        <f t="shared" si="24"/>
        <v/>
      </c>
      <c r="U842" s="37" t="str">
        <f t="shared" si="25"/>
        <v/>
      </c>
      <c r="V842" s="37" t="str">
        <f t="shared" si="26"/>
        <v/>
      </c>
      <c r="W842" s="37" t="str">
        <f t="shared" si="27"/>
        <v/>
      </c>
      <c r="X842" s="37" t="str">
        <f t="shared" si="28"/>
        <v/>
      </c>
      <c r="Y842" s="37" t="str">
        <f t="shared" si="29"/>
        <v/>
      </c>
      <c r="Z842" s="38" t="str">
        <f t="shared" si="30"/>
        <v/>
      </c>
      <c r="AA842" s="39" t="str">
        <f t="shared" si="31"/>
        <v/>
      </c>
    </row>
    <row r="843" ht="15.75" customHeight="1">
      <c r="B843" s="1"/>
      <c r="C843" s="28"/>
      <c r="D843" s="79"/>
      <c r="E843" s="1"/>
      <c r="F843" s="76"/>
      <c r="G843" s="1"/>
      <c r="H843" s="1"/>
      <c r="J843" s="77"/>
      <c r="K843" s="80"/>
      <c r="L843" s="80"/>
      <c r="M843" s="80"/>
      <c r="N843" s="80"/>
      <c r="O843" s="80"/>
      <c r="P843" s="81"/>
      <c r="Q843" s="35" t="str">
        <f>IF(D843="","",VLOOKUP(MONTH(D843),Listas!$C$2:$D$14,2,0))</f>
        <v/>
      </c>
      <c r="R843" s="36" t="str">
        <f t="shared" si="22"/>
        <v/>
      </c>
      <c r="S843" s="37" t="str">
        <f t="shared" si="23"/>
        <v/>
      </c>
      <c r="T843" s="37" t="str">
        <f t="shared" si="24"/>
        <v/>
      </c>
      <c r="U843" s="37" t="str">
        <f t="shared" si="25"/>
        <v/>
      </c>
      <c r="V843" s="37" t="str">
        <f t="shared" si="26"/>
        <v/>
      </c>
      <c r="W843" s="37" t="str">
        <f t="shared" si="27"/>
        <v/>
      </c>
      <c r="X843" s="37" t="str">
        <f t="shared" si="28"/>
        <v/>
      </c>
      <c r="Y843" s="37" t="str">
        <f t="shared" si="29"/>
        <v/>
      </c>
      <c r="Z843" s="38" t="str">
        <f t="shared" si="30"/>
        <v/>
      </c>
      <c r="AA843" s="39" t="str">
        <f t="shared" si="31"/>
        <v/>
      </c>
    </row>
    <row r="844" ht="15.75" customHeight="1">
      <c r="B844" s="1"/>
      <c r="C844" s="28"/>
      <c r="D844" s="79"/>
      <c r="E844" s="1"/>
      <c r="F844" s="76"/>
      <c r="G844" s="1"/>
      <c r="H844" s="1"/>
      <c r="J844" s="77"/>
      <c r="K844" s="80"/>
      <c r="L844" s="80"/>
      <c r="M844" s="80"/>
      <c r="N844" s="80"/>
      <c r="O844" s="80"/>
      <c r="P844" s="81"/>
      <c r="Q844" s="35" t="str">
        <f>IF(D844="","",VLOOKUP(MONTH(D844),Listas!$C$2:$D$14,2,0))</f>
        <v/>
      </c>
      <c r="R844" s="36" t="str">
        <f t="shared" si="22"/>
        <v/>
      </c>
      <c r="S844" s="37" t="str">
        <f t="shared" si="23"/>
        <v/>
      </c>
      <c r="T844" s="37" t="str">
        <f t="shared" si="24"/>
        <v/>
      </c>
      <c r="U844" s="37" t="str">
        <f t="shared" si="25"/>
        <v/>
      </c>
      <c r="V844" s="37" t="str">
        <f t="shared" si="26"/>
        <v/>
      </c>
      <c r="W844" s="37" t="str">
        <f t="shared" si="27"/>
        <v/>
      </c>
      <c r="X844" s="37" t="str">
        <f t="shared" si="28"/>
        <v/>
      </c>
      <c r="Y844" s="37" t="str">
        <f t="shared" si="29"/>
        <v/>
      </c>
      <c r="Z844" s="38" t="str">
        <f t="shared" si="30"/>
        <v/>
      </c>
      <c r="AA844" s="39" t="str">
        <f t="shared" si="31"/>
        <v/>
      </c>
    </row>
    <row r="845" ht="15.75" customHeight="1">
      <c r="B845" s="1"/>
      <c r="C845" s="28"/>
      <c r="D845" s="79"/>
      <c r="E845" s="1"/>
      <c r="F845" s="76"/>
      <c r="G845" s="1"/>
      <c r="H845" s="1"/>
      <c r="J845" s="77"/>
      <c r="K845" s="80"/>
      <c r="L845" s="80"/>
      <c r="M845" s="80"/>
      <c r="N845" s="80"/>
      <c r="O845" s="80"/>
      <c r="P845" s="81"/>
      <c r="Q845" s="35" t="str">
        <f>IF(D845="","",VLOOKUP(MONTH(D845),Listas!$C$2:$D$14,2,0))</f>
        <v/>
      </c>
      <c r="R845" s="36" t="str">
        <f t="shared" si="22"/>
        <v/>
      </c>
      <c r="S845" s="37" t="str">
        <f t="shared" si="23"/>
        <v/>
      </c>
      <c r="T845" s="37" t="str">
        <f t="shared" si="24"/>
        <v/>
      </c>
      <c r="U845" s="37" t="str">
        <f t="shared" si="25"/>
        <v/>
      </c>
      <c r="V845" s="37" t="str">
        <f t="shared" si="26"/>
        <v/>
      </c>
      <c r="W845" s="37" t="str">
        <f t="shared" si="27"/>
        <v/>
      </c>
      <c r="X845" s="37" t="str">
        <f t="shared" si="28"/>
        <v/>
      </c>
      <c r="Y845" s="37" t="str">
        <f t="shared" si="29"/>
        <v/>
      </c>
      <c r="Z845" s="38" t="str">
        <f t="shared" si="30"/>
        <v/>
      </c>
      <c r="AA845" s="39" t="str">
        <f t="shared" si="31"/>
        <v/>
      </c>
    </row>
    <row r="846" ht="15.75" customHeight="1">
      <c r="B846" s="1"/>
      <c r="C846" s="28"/>
      <c r="D846" s="79"/>
      <c r="E846" s="1"/>
      <c r="F846" s="76"/>
      <c r="G846" s="1"/>
      <c r="H846" s="1"/>
      <c r="J846" s="77"/>
      <c r="K846" s="80"/>
      <c r="L846" s="80"/>
      <c r="M846" s="80"/>
      <c r="N846" s="80"/>
      <c r="O846" s="80"/>
      <c r="P846" s="81"/>
      <c r="Q846" s="35" t="str">
        <f>IF(D846="","",VLOOKUP(MONTH(D846),Listas!$C$2:$D$14,2,0))</f>
        <v/>
      </c>
      <c r="R846" s="36" t="str">
        <f t="shared" si="22"/>
        <v/>
      </c>
      <c r="S846" s="37" t="str">
        <f t="shared" si="23"/>
        <v/>
      </c>
      <c r="T846" s="37" t="str">
        <f t="shared" si="24"/>
        <v/>
      </c>
      <c r="U846" s="37" t="str">
        <f t="shared" si="25"/>
        <v/>
      </c>
      <c r="V846" s="37" t="str">
        <f t="shared" si="26"/>
        <v/>
      </c>
      <c r="W846" s="37" t="str">
        <f t="shared" si="27"/>
        <v/>
      </c>
      <c r="X846" s="37" t="str">
        <f t="shared" si="28"/>
        <v/>
      </c>
      <c r="Y846" s="37" t="str">
        <f t="shared" si="29"/>
        <v/>
      </c>
      <c r="Z846" s="38" t="str">
        <f t="shared" si="30"/>
        <v/>
      </c>
      <c r="AA846" s="39" t="str">
        <f t="shared" si="31"/>
        <v/>
      </c>
    </row>
    <row r="847" ht="15.75" customHeight="1">
      <c r="B847" s="1"/>
      <c r="C847" s="28"/>
      <c r="D847" s="79"/>
      <c r="E847" s="1"/>
      <c r="F847" s="76"/>
      <c r="G847" s="1"/>
      <c r="H847" s="1"/>
      <c r="J847" s="77"/>
      <c r="K847" s="80"/>
      <c r="L847" s="80"/>
      <c r="M847" s="80"/>
      <c r="N847" s="80"/>
      <c r="O847" s="80"/>
      <c r="P847" s="81"/>
      <c r="Q847" s="35" t="str">
        <f>IF(D847="","",VLOOKUP(MONTH(D847),Listas!$C$2:$D$14,2,0))</f>
        <v/>
      </c>
      <c r="R847" s="36" t="str">
        <f t="shared" si="22"/>
        <v/>
      </c>
      <c r="S847" s="37" t="str">
        <f t="shared" si="23"/>
        <v/>
      </c>
      <c r="T847" s="37" t="str">
        <f t="shared" si="24"/>
        <v/>
      </c>
      <c r="U847" s="37" t="str">
        <f t="shared" si="25"/>
        <v/>
      </c>
      <c r="V847" s="37" t="str">
        <f t="shared" si="26"/>
        <v/>
      </c>
      <c r="W847" s="37" t="str">
        <f t="shared" si="27"/>
        <v/>
      </c>
      <c r="X847" s="37" t="str">
        <f t="shared" si="28"/>
        <v/>
      </c>
      <c r="Y847" s="37" t="str">
        <f t="shared" si="29"/>
        <v/>
      </c>
      <c r="Z847" s="38" t="str">
        <f t="shared" si="30"/>
        <v/>
      </c>
      <c r="AA847" s="39" t="str">
        <f t="shared" si="31"/>
        <v/>
      </c>
    </row>
    <row r="848" ht="15.75" customHeight="1">
      <c r="B848" s="1"/>
      <c r="C848" s="28"/>
      <c r="D848" s="79"/>
      <c r="E848" s="1"/>
      <c r="F848" s="76"/>
      <c r="G848" s="1"/>
      <c r="H848" s="1"/>
      <c r="J848" s="77"/>
      <c r="K848" s="80"/>
      <c r="L848" s="80"/>
      <c r="M848" s="80"/>
      <c r="N848" s="80"/>
      <c r="O848" s="80"/>
      <c r="P848" s="81"/>
      <c r="Q848" s="35" t="str">
        <f>IF(D848="","",VLOOKUP(MONTH(D848),Listas!$C$2:$D$14,2,0))</f>
        <v/>
      </c>
      <c r="R848" s="36" t="str">
        <f t="shared" si="22"/>
        <v/>
      </c>
      <c r="S848" s="37" t="str">
        <f t="shared" si="23"/>
        <v/>
      </c>
      <c r="T848" s="37" t="str">
        <f t="shared" si="24"/>
        <v/>
      </c>
      <c r="U848" s="37" t="str">
        <f t="shared" si="25"/>
        <v/>
      </c>
      <c r="V848" s="37" t="str">
        <f t="shared" si="26"/>
        <v/>
      </c>
      <c r="W848" s="37" t="str">
        <f t="shared" si="27"/>
        <v/>
      </c>
      <c r="X848" s="37" t="str">
        <f t="shared" si="28"/>
        <v/>
      </c>
      <c r="Y848" s="37" t="str">
        <f t="shared" si="29"/>
        <v/>
      </c>
      <c r="Z848" s="38" t="str">
        <f t="shared" si="30"/>
        <v/>
      </c>
      <c r="AA848" s="39" t="str">
        <f t="shared" si="31"/>
        <v/>
      </c>
    </row>
    <row r="849" ht="15.75" customHeight="1">
      <c r="B849" s="1"/>
      <c r="C849" s="28"/>
      <c r="D849" s="79"/>
      <c r="E849" s="1"/>
      <c r="F849" s="76"/>
      <c r="G849" s="1"/>
      <c r="H849" s="1"/>
      <c r="J849" s="77"/>
      <c r="K849" s="80"/>
      <c r="L849" s="80"/>
      <c r="M849" s="80"/>
      <c r="N849" s="80"/>
      <c r="O849" s="80"/>
      <c r="P849" s="81"/>
      <c r="Q849" s="35" t="str">
        <f>IF(D849="","",VLOOKUP(MONTH(D849),Listas!$C$2:$D$14,2,0))</f>
        <v/>
      </c>
      <c r="R849" s="36" t="str">
        <f t="shared" si="22"/>
        <v/>
      </c>
      <c r="S849" s="37" t="str">
        <f t="shared" si="23"/>
        <v/>
      </c>
      <c r="T849" s="37" t="str">
        <f t="shared" si="24"/>
        <v/>
      </c>
      <c r="U849" s="37" t="str">
        <f t="shared" si="25"/>
        <v/>
      </c>
      <c r="V849" s="37" t="str">
        <f t="shared" si="26"/>
        <v/>
      </c>
      <c r="W849" s="37" t="str">
        <f t="shared" si="27"/>
        <v/>
      </c>
      <c r="X849" s="37" t="str">
        <f t="shared" si="28"/>
        <v/>
      </c>
      <c r="Y849" s="37" t="str">
        <f t="shared" si="29"/>
        <v/>
      </c>
      <c r="Z849" s="38" t="str">
        <f t="shared" si="30"/>
        <v/>
      </c>
      <c r="AA849" s="39" t="str">
        <f t="shared" si="31"/>
        <v/>
      </c>
    </row>
    <row r="850" ht="15.75" customHeight="1">
      <c r="B850" s="1"/>
      <c r="C850" s="28"/>
      <c r="D850" s="79"/>
      <c r="E850" s="1"/>
      <c r="F850" s="76"/>
      <c r="G850" s="1"/>
      <c r="H850" s="1"/>
      <c r="J850" s="77"/>
      <c r="K850" s="80"/>
      <c r="L850" s="80"/>
      <c r="M850" s="80"/>
      <c r="N850" s="80"/>
      <c r="O850" s="80"/>
      <c r="P850" s="81"/>
      <c r="Q850" s="35" t="str">
        <f>IF(D850="","",VLOOKUP(MONTH(D850),Listas!$C$2:$D$14,2,0))</f>
        <v/>
      </c>
      <c r="R850" s="36" t="str">
        <f t="shared" si="22"/>
        <v/>
      </c>
      <c r="S850" s="37" t="str">
        <f t="shared" si="23"/>
        <v/>
      </c>
      <c r="T850" s="37" t="str">
        <f t="shared" si="24"/>
        <v/>
      </c>
      <c r="U850" s="37" t="str">
        <f t="shared" si="25"/>
        <v/>
      </c>
      <c r="V850" s="37" t="str">
        <f t="shared" si="26"/>
        <v/>
      </c>
      <c r="W850" s="37" t="str">
        <f t="shared" si="27"/>
        <v/>
      </c>
      <c r="X850" s="37" t="str">
        <f t="shared" si="28"/>
        <v/>
      </c>
      <c r="Y850" s="37" t="str">
        <f t="shared" si="29"/>
        <v/>
      </c>
      <c r="Z850" s="38" t="str">
        <f t="shared" si="30"/>
        <v/>
      </c>
      <c r="AA850" s="39" t="str">
        <f t="shared" si="31"/>
        <v/>
      </c>
    </row>
    <row r="851" ht="15.75" customHeight="1">
      <c r="B851" s="1"/>
      <c r="C851" s="28"/>
      <c r="D851" s="79"/>
      <c r="E851" s="1"/>
      <c r="F851" s="76"/>
      <c r="G851" s="1"/>
      <c r="H851" s="1"/>
      <c r="J851" s="77"/>
      <c r="K851" s="80"/>
      <c r="L851" s="80"/>
      <c r="M851" s="80"/>
      <c r="N851" s="80"/>
      <c r="O851" s="80"/>
      <c r="P851" s="81"/>
      <c r="Q851" s="35" t="str">
        <f>IF(D851="","",VLOOKUP(MONTH(D851),Listas!$C$2:$D$14,2,0))</f>
        <v/>
      </c>
      <c r="R851" s="36" t="str">
        <f t="shared" si="22"/>
        <v/>
      </c>
      <c r="S851" s="37" t="str">
        <f t="shared" si="23"/>
        <v/>
      </c>
      <c r="T851" s="37" t="str">
        <f t="shared" si="24"/>
        <v/>
      </c>
      <c r="U851" s="37" t="str">
        <f t="shared" si="25"/>
        <v/>
      </c>
      <c r="V851" s="37" t="str">
        <f t="shared" si="26"/>
        <v/>
      </c>
      <c r="W851" s="37" t="str">
        <f t="shared" si="27"/>
        <v/>
      </c>
      <c r="X851" s="37" t="str">
        <f t="shared" si="28"/>
        <v/>
      </c>
      <c r="Y851" s="37" t="str">
        <f t="shared" si="29"/>
        <v/>
      </c>
      <c r="Z851" s="38" t="str">
        <f t="shared" si="30"/>
        <v/>
      </c>
      <c r="AA851" s="39" t="str">
        <f t="shared" si="31"/>
        <v/>
      </c>
    </row>
    <row r="852" ht="15.75" customHeight="1">
      <c r="B852" s="1"/>
      <c r="C852" s="28"/>
      <c r="D852" s="79"/>
      <c r="E852" s="1"/>
      <c r="F852" s="76"/>
      <c r="G852" s="1"/>
      <c r="H852" s="1"/>
      <c r="J852" s="77"/>
      <c r="K852" s="80"/>
      <c r="L852" s="80"/>
      <c r="M852" s="80"/>
      <c r="N852" s="80"/>
      <c r="O852" s="80"/>
      <c r="P852" s="81"/>
      <c r="Q852" s="35" t="str">
        <f>IF(D852="","",VLOOKUP(MONTH(D852),Listas!$C$2:$D$14,2,0))</f>
        <v/>
      </c>
      <c r="R852" s="36" t="str">
        <f t="shared" si="22"/>
        <v/>
      </c>
      <c r="S852" s="37" t="str">
        <f t="shared" si="23"/>
        <v/>
      </c>
      <c r="T852" s="37" t="str">
        <f t="shared" si="24"/>
        <v/>
      </c>
      <c r="U852" s="37" t="str">
        <f t="shared" si="25"/>
        <v/>
      </c>
      <c r="V852" s="37" t="str">
        <f t="shared" si="26"/>
        <v/>
      </c>
      <c r="W852" s="37" t="str">
        <f t="shared" si="27"/>
        <v/>
      </c>
      <c r="X852" s="37" t="str">
        <f t="shared" si="28"/>
        <v/>
      </c>
      <c r="Y852" s="37" t="str">
        <f t="shared" si="29"/>
        <v/>
      </c>
      <c r="Z852" s="38" t="str">
        <f t="shared" si="30"/>
        <v/>
      </c>
      <c r="AA852" s="39" t="str">
        <f t="shared" si="31"/>
        <v/>
      </c>
    </row>
    <row r="853" ht="15.75" customHeight="1">
      <c r="B853" s="1"/>
      <c r="C853" s="28"/>
      <c r="D853" s="79"/>
      <c r="E853" s="1"/>
      <c r="F853" s="76"/>
      <c r="G853" s="1"/>
      <c r="H853" s="1"/>
      <c r="J853" s="77"/>
      <c r="K853" s="80"/>
      <c r="L853" s="80"/>
      <c r="M853" s="80"/>
      <c r="N853" s="80"/>
      <c r="O853" s="80"/>
      <c r="P853" s="81"/>
      <c r="Q853" s="35" t="str">
        <f>IF(D853="","",VLOOKUP(MONTH(D853),Listas!$C$2:$D$14,2,0))</f>
        <v/>
      </c>
      <c r="R853" s="36" t="str">
        <f t="shared" si="22"/>
        <v/>
      </c>
      <c r="S853" s="37" t="str">
        <f t="shared" si="23"/>
        <v/>
      </c>
      <c r="T853" s="37" t="str">
        <f t="shared" si="24"/>
        <v/>
      </c>
      <c r="U853" s="37" t="str">
        <f t="shared" si="25"/>
        <v/>
      </c>
      <c r="V853" s="37" t="str">
        <f t="shared" si="26"/>
        <v/>
      </c>
      <c r="W853" s="37" t="str">
        <f t="shared" si="27"/>
        <v/>
      </c>
      <c r="X853" s="37" t="str">
        <f t="shared" si="28"/>
        <v/>
      </c>
      <c r="Y853" s="37" t="str">
        <f t="shared" si="29"/>
        <v/>
      </c>
      <c r="Z853" s="38" t="str">
        <f t="shared" si="30"/>
        <v/>
      </c>
      <c r="AA853" s="39" t="str">
        <f t="shared" si="31"/>
        <v/>
      </c>
    </row>
    <row r="854" ht="15.75" customHeight="1">
      <c r="B854" s="1"/>
      <c r="C854" s="28"/>
      <c r="D854" s="79"/>
      <c r="E854" s="1"/>
      <c r="F854" s="76"/>
      <c r="G854" s="1"/>
      <c r="H854" s="1"/>
      <c r="J854" s="77"/>
      <c r="K854" s="80"/>
      <c r="L854" s="80"/>
      <c r="M854" s="80"/>
      <c r="N854" s="80"/>
      <c r="O854" s="80"/>
      <c r="P854" s="81"/>
      <c r="Q854" s="35" t="str">
        <f>IF(D854="","",VLOOKUP(MONTH(D854),Listas!$C$2:$D$14,2,0))</f>
        <v/>
      </c>
      <c r="R854" s="36" t="str">
        <f t="shared" si="22"/>
        <v/>
      </c>
      <c r="S854" s="37" t="str">
        <f t="shared" si="23"/>
        <v/>
      </c>
      <c r="T854" s="37" t="str">
        <f t="shared" si="24"/>
        <v/>
      </c>
      <c r="U854" s="37" t="str">
        <f t="shared" si="25"/>
        <v/>
      </c>
      <c r="V854" s="37" t="str">
        <f t="shared" si="26"/>
        <v/>
      </c>
      <c r="W854" s="37" t="str">
        <f t="shared" si="27"/>
        <v/>
      </c>
      <c r="X854" s="37" t="str">
        <f t="shared" si="28"/>
        <v/>
      </c>
      <c r="Y854" s="37" t="str">
        <f t="shared" si="29"/>
        <v/>
      </c>
      <c r="Z854" s="38" t="str">
        <f t="shared" si="30"/>
        <v/>
      </c>
      <c r="AA854" s="39" t="str">
        <f t="shared" si="31"/>
        <v/>
      </c>
    </row>
    <row r="855" ht="15.75" customHeight="1">
      <c r="B855" s="1"/>
      <c r="C855" s="28"/>
      <c r="D855" s="79"/>
      <c r="E855" s="1"/>
      <c r="F855" s="76"/>
      <c r="G855" s="1"/>
      <c r="H855" s="1"/>
      <c r="J855" s="77"/>
      <c r="K855" s="80"/>
      <c r="L855" s="80"/>
      <c r="M855" s="80"/>
      <c r="N855" s="80"/>
      <c r="O855" s="80"/>
      <c r="P855" s="81"/>
      <c r="Q855" s="35" t="str">
        <f>IF(D855="","",VLOOKUP(MONTH(D855),Listas!$C$2:$D$14,2,0))</f>
        <v/>
      </c>
      <c r="R855" s="36" t="str">
        <f t="shared" si="22"/>
        <v/>
      </c>
      <c r="S855" s="37" t="str">
        <f t="shared" si="23"/>
        <v/>
      </c>
      <c r="T855" s="37" t="str">
        <f t="shared" si="24"/>
        <v/>
      </c>
      <c r="U855" s="37" t="str">
        <f t="shared" si="25"/>
        <v/>
      </c>
      <c r="V855" s="37" t="str">
        <f t="shared" si="26"/>
        <v/>
      </c>
      <c r="W855" s="37" t="str">
        <f t="shared" si="27"/>
        <v/>
      </c>
      <c r="X855" s="37" t="str">
        <f t="shared" si="28"/>
        <v/>
      </c>
      <c r="Y855" s="37" t="str">
        <f t="shared" si="29"/>
        <v/>
      </c>
      <c r="Z855" s="38" t="str">
        <f t="shared" si="30"/>
        <v/>
      </c>
      <c r="AA855" s="39" t="str">
        <f t="shared" si="31"/>
        <v/>
      </c>
    </row>
    <row r="856" ht="15.75" customHeight="1">
      <c r="B856" s="1"/>
      <c r="C856" s="28"/>
      <c r="D856" s="79"/>
      <c r="E856" s="1"/>
      <c r="F856" s="76"/>
      <c r="G856" s="1"/>
      <c r="H856" s="1"/>
      <c r="J856" s="77"/>
      <c r="K856" s="80"/>
      <c r="L856" s="80"/>
      <c r="M856" s="80"/>
      <c r="N856" s="80"/>
      <c r="O856" s="80"/>
      <c r="P856" s="81"/>
      <c r="Q856" s="35" t="str">
        <f>IF(D856="","",VLOOKUP(MONTH(D856),Listas!$C$2:$D$14,2,0))</f>
        <v/>
      </c>
      <c r="R856" s="36" t="str">
        <f t="shared" si="22"/>
        <v/>
      </c>
      <c r="S856" s="37" t="str">
        <f t="shared" si="23"/>
        <v/>
      </c>
      <c r="T856" s="37" t="str">
        <f t="shared" si="24"/>
        <v/>
      </c>
      <c r="U856" s="37" t="str">
        <f t="shared" si="25"/>
        <v/>
      </c>
      <c r="V856" s="37" t="str">
        <f t="shared" si="26"/>
        <v/>
      </c>
      <c r="W856" s="37" t="str">
        <f t="shared" si="27"/>
        <v/>
      </c>
      <c r="X856" s="37" t="str">
        <f t="shared" si="28"/>
        <v/>
      </c>
      <c r="Y856" s="37" t="str">
        <f t="shared" si="29"/>
        <v/>
      </c>
      <c r="Z856" s="38" t="str">
        <f t="shared" si="30"/>
        <v/>
      </c>
      <c r="AA856" s="39" t="str">
        <f t="shared" si="31"/>
        <v/>
      </c>
    </row>
    <row r="857" ht="15.75" customHeight="1">
      <c r="B857" s="1"/>
      <c r="C857" s="28"/>
      <c r="D857" s="79"/>
      <c r="E857" s="1"/>
      <c r="F857" s="76"/>
      <c r="G857" s="1"/>
      <c r="H857" s="1"/>
      <c r="J857" s="77"/>
      <c r="K857" s="80"/>
      <c r="L857" s="80"/>
      <c r="M857" s="80"/>
      <c r="N857" s="80"/>
      <c r="O857" s="80"/>
      <c r="P857" s="81"/>
      <c r="Q857" s="35" t="str">
        <f>IF(D857="","",VLOOKUP(MONTH(D857),Listas!$C$2:$D$14,2,0))</f>
        <v/>
      </c>
      <c r="R857" s="36" t="str">
        <f t="shared" si="22"/>
        <v/>
      </c>
      <c r="S857" s="37" t="str">
        <f t="shared" si="23"/>
        <v/>
      </c>
      <c r="T857" s="37" t="str">
        <f t="shared" si="24"/>
        <v/>
      </c>
      <c r="U857" s="37" t="str">
        <f t="shared" si="25"/>
        <v/>
      </c>
      <c r="V857" s="37" t="str">
        <f t="shared" si="26"/>
        <v/>
      </c>
      <c r="W857" s="37" t="str">
        <f t="shared" si="27"/>
        <v/>
      </c>
      <c r="X857" s="37" t="str">
        <f t="shared" si="28"/>
        <v/>
      </c>
      <c r="Y857" s="37" t="str">
        <f t="shared" si="29"/>
        <v/>
      </c>
      <c r="Z857" s="38" t="str">
        <f t="shared" si="30"/>
        <v/>
      </c>
      <c r="AA857" s="39" t="str">
        <f t="shared" si="31"/>
        <v/>
      </c>
    </row>
    <row r="858" ht="15.75" customHeight="1">
      <c r="B858" s="1"/>
      <c r="C858" s="28"/>
      <c r="D858" s="79"/>
      <c r="E858" s="1"/>
      <c r="F858" s="76"/>
      <c r="G858" s="1"/>
      <c r="H858" s="1"/>
      <c r="J858" s="77"/>
      <c r="K858" s="80"/>
      <c r="L858" s="80"/>
      <c r="M858" s="80"/>
      <c r="N858" s="80"/>
      <c r="O858" s="80"/>
      <c r="P858" s="81"/>
      <c r="Q858" s="35" t="str">
        <f>IF(D858="","",VLOOKUP(MONTH(D858),Listas!$C$2:$D$14,2,0))</f>
        <v/>
      </c>
      <c r="R858" s="36" t="str">
        <f t="shared" si="22"/>
        <v/>
      </c>
      <c r="S858" s="37" t="str">
        <f t="shared" si="23"/>
        <v/>
      </c>
      <c r="T858" s="37" t="str">
        <f t="shared" si="24"/>
        <v/>
      </c>
      <c r="U858" s="37" t="str">
        <f t="shared" si="25"/>
        <v/>
      </c>
      <c r="V858" s="37" t="str">
        <f t="shared" si="26"/>
        <v/>
      </c>
      <c r="W858" s="37" t="str">
        <f t="shared" si="27"/>
        <v/>
      </c>
      <c r="X858" s="37" t="str">
        <f t="shared" si="28"/>
        <v/>
      </c>
      <c r="Y858" s="37" t="str">
        <f t="shared" si="29"/>
        <v/>
      </c>
      <c r="Z858" s="38" t="str">
        <f t="shared" si="30"/>
        <v/>
      </c>
      <c r="AA858" s="39" t="str">
        <f t="shared" si="31"/>
        <v/>
      </c>
    </row>
    <row r="859" ht="15.75" customHeight="1">
      <c r="B859" s="1"/>
      <c r="C859" s="28"/>
      <c r="D859" s="79"/>
      <c r="E859" s="1"/>
      <c r="F859" s="76"/>
      <c r="G859" s="1"/>
      <c r="H859" s="1"/>
      <c r="J859" s="77"/>
      <c r="K859" s="80"/>
      <c r="L859" s="80"/>
      <c r="M859" s="80"/>
      <c r="N859" s="80"/>
      <c r="O859" s="80"/>
      <c r="P859" s="81"/>
      <c r="Q859" s="35" t="str">
        <f>IF(D859="","",VLOOKUP(MONTH(D859),Listas!$C$2:$D$14,2,0))</f>
        <v/>
      </c>
      <c r="R859" s="36" t="str">
        <f t="shared" si="22"/>
        <v/>
      </c>
      <c r="S859" s="37" t="str">
        <f t="shared" si="23"/>
        <v/>
      </c>
      <c r="T859" s="37" t="str">
        <f t="shared" si="24"/>
        <v/>
      </c>
      <c r="U859" s="37" t="str">
        <f t="shared" si="25"/>
        <v/>
      </c>
      <c r="V859" s="37" t="str">
        <f t="shared" si="26"/>
        <v/>
      </c>
      <c r="W859" s="37" t="str">
        <f t="shared" si="27"/>
        <v/>
      </c>
      <c r="X859" s="37" t="str">
        <f t="shared" si="28"/>
        <v/>
      </c>
      <c r="Y859" s="37" t="str">
        <f t="shared" si="29"/>
        <v/>
      </c>
      <c r="Z859" s="38" t="str">
        <f t="shared" si="30"/>
        <v/>
      </c>
      <c r="AA859" s="39" t="str">
        <f t="shared" si="31"/>
        <v/>
      </c>
    </row>
    <row r="860" ht="15.75" customHeight="1">
      <c r="B860" s="1"/>
      <c r="C860" s="28"/>
      <c r="D860" s="79"/>
      <c r="E860" s="1"/>
      <c r="F860" s="76"/>
      <c r="G860" s="1"/>
      <c r="H860" s="1"/>
      <c r="J860" s="77"/>
      <c r="K860" s="80"/>
      <c r="L860" s="80"/>
      <c r="M860" s="80"/>
      <c r="N860" s="80"/>
      <c r="O860" s="80"/>
      <c r="P860" s="81"/>
      <c r="Q860" s="35" t="str">
        <f>IF(D860="","",VLOOKUP(MONTH(D860),Listas!$C$2:$D$14,2,0))</f>
        <v/>
      </c>
      <c r="R860" s="36" t="str">
        <f t="shared" si="22"/>
        <v/>
      </c>
      <c r="S860" s="37" t="str">
        <f t="shared" si="23"/>
        <v/>
      </c>
      <c r="T860" s="37" t="str">
        <f t="shared" si="24"/>
        <v/>
      </c>
      <c r="U860" s="37" t="str">
        <f t="shared" si="25"/>
        <v/>
      </c>
      <c r="V860" s="37" t="str">
        <f t="shared" si="26"/>
        <v/>
      </c>
      <c r="W860" s="37" t="str">
        <f t="shared" si="27"/>
        <v/>
      </c>
      <c r="X860" s="37" t="str">
        <f t="shared" si="28"/>
        <v/>
      </c>
      <c r="Y860" s="37" t="str">
        <f t="shared" si="29"/>
        <v/>
      </c>
      <c r="Z860" s="38" t="str">
        <f t="shared" si="30"/>
        <v/>
      </c>
      <c r="AA860" s="39" t="str">
        <f t="shared" si="31"/>
        <v/>
      </c>
    </row>
    <row r="861" ht="15.75" customHeight="1">
      <c r="B861" s="1"/>
      <c r="C861" s="28"/>
      <c r="D861" s="79"/>
      <c r="E861" s="1"/>
      <c r="F861" s="76"/>
      <c r="G861" s="1"/>
      <c r="H861" s="1"/>
      <c r="J861" s="77"/>
      <c r="K861" s="80"/>
      <c r="L861" s="80"/>
      <c r="M861" s="80"/>
      <c r="N861" s="80"/>
      <c r="O861" s="80"/>
      <c r="P861" s="81"/>
      <c r="Q861" s="35" t="str">
        <f>IF(D861="","",VLOOKUP(MONTH(D861),Listas!$C$2:$D$14,2,0))</f>
        <v/>
      </c>
      <c r="R861" s="36" t="str">
        <f t="shared" si="22"/>
        <v/>
      </c>
      <c r="S861" s="37" t="str">
        <f t="shared" si="23"/>
        <v/>
      </c>
      <c r="T861" s="37" t="str">
        <f t="shared" si="24"/>
        <v/>
      </c>
      <c r="U861" s="37" t="str">
        <f t="shared" si="25"/>
        <v/>
      </c>
      <c r="V861" s="37" t="str">
        <f t="shared" si="26"/>
        <v/>
      </c>
      <c r="W861" s="37" t="str">
        <f t="shared" si="27"/>
        <v/>
      </c>
      <c r="X861" s="37" t="str">
        <f t="shared" si="28"/>
        <v/>
      </c>
      <c r="Y861" s="37" t="str">
        <f t="shared" si="29"/>
        <v/>
      </c>
      <c r="Z861" s="38" t="str">
        <f t="shared" si="30"/>
        <v/>
      </c>
      <c r="AA861" s="39" t="str">
        <f t="shared" si="31"/>
        <v/>
      </c>
    </row>
    <row r="862" ht="15.75" customHeight="1">
      <c r="B862" s="1"/>
      <c r="C862" s="28"/>
      <c r="D862" s="79"/>
      <c r="E862" s="1"/>
      <c r="F862" s="76"/>
      <c r="G862" s="1"/>
      <c r="H862" s="1"/>
      <c r="J862" s="77"/>
      <c r="K862" s="80"/>
      <c r="L862" s="80"/>
      <c r="M862" s="80"/>
      <c r="N862" s="80"/>
      <c r="O862" s="80"/>
      <c r="P862" s="81"/>
      <c r="Q862" s="35" t="str">
        <f>IF(D862="","",VLOOKUP(MONTH(D862),Listas!$C$2:$D$14,2,0))</f>
        <v/>
      </c>
      <c r="R862" s="36" t="str">
        <f t="shared" si="22"/>
        <v/>
      </c>
      <c r="S862" s="37" t="str">
        <f t="shared" si="23"/>
        <v/>
      </c>
      <c r="T862" s="37" t="str">
        <f t="shared" si="24"/>
        <v/>
      </c>
      <c r="U862" s="37" t="str">
        <f t="shared" si="25"/>
        <v/>
      </c>
      <c r="V862" s="37" t="str">
        <f t="shared" si="26"/>
        <v/>
      </c>
      <c r="W862" s="37" t="str">
        <f t="shared" si="27"/>
        <v/>
      </c>
      <c r="X862" s="37" t="str">
        <f t="shared" si="28"/>
        <v/>
      </c>
      <c r="Y862" s="37" t="str">
        <f t="shared" si="29"/>
        <v/>
      </c>
      <c r="Z862" s="38" t="str">
        <f t="shared" si="30"/>
        <v/>
      </c>
      <c r="AA862" s="39" t="str">
        <f t="shared" si="31"/>
        <v/>
      </c>
    </row>
    <row r="863" ht="15.75" customHeight="1">
      <c r="B863" s="1"/>
      <c r="C863" s="28"/>
      <c r="D863" s="79"/>
      <c r="E863" s="1"/>
      <c r="F863" s="76"/>
      <c r="G863" s="1"/>
      <c r="H863" s="1"/>
      <c r="J863" s="77"/>
      <c r="K863" s="80"/>
      <c r="L863" s="80"/>
      <c r="M863" s="80"/>
      <c r="N863" s="80"/>
      <c r="O863" s="80"/>
      <c r="P863" s="81"/>
      <c r="Q863" s="35" t="str">
        <f>IF(D863="","",VLOOKUP(MONTH(D863),Listas!$C$2:$D$14,2,0))</f>
        <v/>
      </c>
      <c r="R863" s="36" t="str">
        <f t="shared" si="22"/>
        <v/>
      </c>
      <c r="S863" s="37" t="str">
        <f t="shared" si="23"/>
        <v/>
      </c>
      <c r="T863" s="37" t="str">
        <f t="shared" si="24"/>
        <v/>
      </c>
      <c r="U863" s="37" t="str">
        <f t="shared" si="25"/>
        <v/>
      </c>
      <c r="V863" s="37" t="str">
        <f t="shared" si="26"/>
        <v/>
      </c>
      <c r="W863" s="37" t="str">
        <f t="shared" si="27"/>
        <v/>
      </c>
      <c r="X863" s="37" t="str">
        <f t="shared" si="28"/>
        <v/>
      </c>
      <c r="Y863" s="37" t="str">
        <f t="shared" si="29"/>
        <v/>
      </c>
      <c r="Z863" s="38" t="str">
        <f t="shared" si="30"/>
        <v/>
      </c>
      <c r="AA863" s="39" t="str">
        <f t="shared" si="31"/>
        <v/>
      </c>
    </row>
    <row r="864" ht="15.75" customHeight="1">
      <c r="B864" s="1"/>
      <c r="C864" s="28"/>
      <c r="D864" s="79"/>
      <c r="E864" s="1"/>
      <c r="F864" s="76"/>
      <c r="G864" s="1"/>
      <c r="H864" s="1"/>
      <c r="J864" s="77"/>
      <c r="K864" s="80"/>
      <c r="L864" s="80"/>
      <c r="M864" s="80"/>
      <c r="N864" s="80"/>
      <c r="O864" s="80"/>
      <c r="P864" s="81"/>
      <c r="Q864" s="35" t="str">
        <f>IF(D864="","",VLOOKUP(MONTH(D864),Listas!$C$2:$D$14,2,0))</f>
        <v/>
      </c>
      <c r="R864" s="36" t="str">
        <f t="shared" si="22"/>
        <v/>
      </c>
      <c r="S864" s="37" t="str">
        <f t="shared" si="23"/>
        <v/>
      </c>
      <c r="T864" s="37" t="str">
        <f t="shared" si="24"/>
        <v/>
      </c>
      <c r="U864" s="37" t="str">
        <f t="shared" si="25"/>
        <v/>
      </c>
      <c r="V864" s="37" t="str">
        <f t="shared" si="26"/>
        <v/>
      </c>
      <c r="W864" s="37" t="str">
        <f t="shared" si="27"/>
        <v/>
      </c>
      <c r="X864" s="37" t="str">
        <f t="shared" si="28"/>
        <v/>
      </c>
      <c r="Y864" s="37" t="str">
        <f t="shared" si="29"/>
        <v/>
      </c>
      <c r="Z864" s="38" t="str">
        <f t="shared" si="30"/>
        <v/>
      </c>
      <c r="AA864" s="39" t="str">
        <f t="shared" si="31"/>
        <v/>
      </c>
    </row>
    <row r="865" ht="15.75" customHeight="1">
      <c r="B865" s="1"/>
      <c r="C865" s="28"/>
      <c r="D865" s="79"/>
      <c r="E865" s="1"/>
      <c r="F865" s="76"/>
      <c r="G865" s="1"/>
      <c r="H865" s="1"/>
      <c r="J865" s="77"/>
      <c r="K865" s="80"/>
      <c r="L865" s="80"/>
      <c r="M865" s="80"/>
      <c r="N865" s="80"/>
      <c r="O865" s="80"/>
      <c r="P865" s="81"/>
      <c r="Q865" s="35" t="str">
        <f>IF(D865="","",VLOOKUP(MONTH(D865),Listas!$C$2:$D$14,2,0))</f>
        <v/>
      </c>
      <c r="R865" s="36" t="str">
        <f t="shared" si="22"/>
        <v/>
      </c>
      <c r="S865" s="37" t="str">
        <f t="shared" si="23"/>
        <v/>
      </c>
      <c r="T865" s="37" t="str">
        <f t="shared" si="24"/>
        <v/>
      </c>
      <c r="U865" s="37" t="str">
        <f t="shared" si="25"/>
        <v/>
      </c>
      <c r="V865" s="37" t="str">
        <f t="shared" si="26"/>
        <v/>
      </c>
      <c r="W865" s="37" t="str">
        <f t="shared" si="27"/>
        <v/>
      </c>
      <c r="X865" s="37" t="str">
        <f t="shared" si="28"/>
        <v/>
      </c>
      <c r="Y865" s="37" t="str">
        <f t="shared" si="29"/>
        <v/>
      </c>
      <c r="Z865" s="38" t="str">
        <f t="shared" si="30"/>
        <v/>
      </c>
      <c r="AA865" s="39" t="str">
        <f t="shared" si="31"/>
        <v/>
      </c>
    </row>
    <row r="866" ht="15.75" customHeight="1">
      <c r="B866" s="1"/>
      <c r="C866" s="28"/>
      <c r="D866" s="79"/>
      <c r="E866" s="1"/>
      <c r="F866" s="76"/>
      <c r="G866" s="1"/>
      <c r="H866" s="1"/>
      <c r="J866" s="77"/>
      <c r="K866" s="80"/>
      <c r="L866" s="80"/>
      <c r="M866" s="80"/>
      <c r="N866" s="80"/>
      <c r="O866" s="80"/>
      <c r="P866" s="81"/>
      <c r="Q866" s="35" t="str">
        <f>IF(D866="","",VLOOKUP(MONTH(D866),Listas!$C$2:$D$14,2,0))</f>
        <v/>
      </c>
      <c r="R866" s="36" t="str">
        <f t="shared" si="22"/>
        <v/>
      </c>
      <c r="S866" s="37" t="str">
        <f t="shared" si="23"/>
        <v/>
      </c>
      <c r="T866" s="37" t="str">
        <f t="shared" si="24"/>
        <v/>
      </c>
      <c r="U866" s="37" t="str">
        <f t="shared" si="25"/>
        <v/>
      </c>
      <c r="V866" s="37" t="str">
        <f t="shared" si="26"/>
        <v/>
      </c>
      <c r="W866" s="37" t="str">
        <f t="shared" si="27"/>
        <v/>
      </c>
      <c r="X866" s="37" t="str">
        <f t="shared" si="28"/>
        <v/>
      </c>
      <c r="Y866" s="37" t="str">
        <f t="shared" si="29"/>
        <v/>
      </c>
      <c r="Z866" s="38" t="str">
        <f t="shared" si="30"/>
        <v/>
      </c>
      <c r="AA866" s="39" t="str">
        <f t="shared" si="31"/>
        <v/>
      </c>
    </row>
    <row r="867" ht="15.75" customHeight="1">
      <c r="B867" s="1"/>
      <c r="C867" s="28"/>
      <c r="D867" s="79"/>
      <c r="E867" s="1"/>
      <c r="F867" s="76"/>
      <c r="G867" s="1"/>
      <c r="H867" s="1"/>
      <c r="J867" s="77"/>
      <c r="K867" s="80"/>
      <c r="L867" s="80"/>
      <c r="M867" s="80"/>
      <c r="N867" s="80"/>
      <c r="O867" s="80"/>
      <c r="P867" s="81"/>
      <c r="Q867" s="35" t="str">
        <f>IF(D867="","",VLOOKUP(MONTH(D867),Listas!$C$2:$D$14,2,0))</f>
        <v/>
      </c>
      <c r="R867" s="36" t="str">
        <f t="shared" si="22"/>
        <v/>
      </c>
      <c r="S867" s="37" t="str">
        <f t="shared" si="23"/>
        <v/>
      </c>
      <c r="T867" s="37" t="str">
        <f t="shared" si="24"/>
        <v/>
      </c>
      <c r="U867" s="37" t="str">
        <f t="shared" si="25"/>
        <v/>
      </c>
      <c r="V867" s="37" t="str">
        <f t="shared" si="26"/>
        <v/>
      </c>
      <c r="W867" s="37" t="str">
        <f t="shared" si="27"/>
        <v/>
      </c>
      <c r="X867" s="37" t="str">
        <f t="shared" si="28"/>
        <v/>
      </c>
      <c r="Y867" s="37" t="str">
        <f t="shared" si="29"/>
        <v/>
      </c>
      <c r="Z867" s="38" t="str">
        <f t="shared" si="30"/>
        <v/>
      </c>
      <c r="AA867" s="39" t="str">
        <f t="shared" si="31"/>
        <v/>
      </c>
    </row>
    <row r="868" ht="15.75" customHeight="1">
      <c r="B868" s="1"/>
      <c r="C868" s="28"/>
      <c r="D868" s="79"/>
      <c r="E868" s="1"/>
      <c r="F868" s="76"/>
      <c r="G868" s="1"/>
      <c r="H868" s="1"/>
      <c r="J868" s="77"/>
      <c r="K868" s="80"/>
      <c r="L868" s="80"/>
      <c r="M868" s="80"/>
      <c r="N868" s="80"/>
      <c r="O868" s="80"/>
      <c r="P868" s="81"/>
      <c r="Q868" s="35" t="str">
        <f>IF(D868="","",VLOOKUP(MONTH(D868),Listas!$C$2:$D$14,2,0))</f>
        <v/>
      </c>
      <c r="R868" s="36" t="str">
        <f t="shared" si="22"/>
        <v/>
      </c>
      <c r="S868" s="37" t="str">
        <f t="shared" si="23"/>
        <v/>
      </c>
      <c r="T868" s="37" t="str">
        <f t="shared" si="24"/>
        <v/>
      </c>
      <c r="U868" s="37" t="str">
        <f t="shared" si="25"/>
        <v/>
      </c>
      <c r="V868" s="37" t="str">
        <f t="shared" si="26"/>
        <v/>
      </c>
      <c r="W868" s="37" t="str">
        <f t="shared" si="27"/>
        <v/>
      </c>
      <c r="X868" s="37" t="str">
        <f t="shared" si="28"/>
        <v/>
      </c>
      <c r="Y868" s="37" t="str">
        <f t="shared" si="29"/>
        <v/>
      </c>
      <c r="Z868" s="38" t="str">
        <f t="shared" si="30"/>
        <v/>
      </c>
      <c r="AA868" s="39" t="str">
        <f t="shared" si="31"/>
        <v/>
      </c>
    </row>
    <row r="869" ht="15.75" customHeight="1">
      <c r="B869" s="1"/>
      <c r="C869" s="28"/>
      <c r="D869" s="79"/>
      <c r="E869" s="1"/>
      <c r="F869" s="76"/>
      <c r="G869" s="1"/>
      <c r="H869" s="1"/>
      <c r="J869" s="77"/>
      <c r="K869" s="80"/>
      <c r="L869" s="80"/>
      <c r="M869" s="80"/>
      <c r="N869" s="80"/>
      <c r="O869" s="80"/>
      <c r="P869" s="81"/>
      <c r="Q869" s="35" t="str">
        <f>IF(D869="","",VLOOKUP(MONTH(D869),Listas!$C$2:$D$14,2,0))</f>
        <v/>
      </c>
      <c r="R869" s="36" t="str">
        <f t="shared" si="22"/>
        <v/>
      </c>
      <c r="S869" s="37" t="str">
        <f t="shared" si="23"/>
        <v/>
      </c>
      <c r="T869" s="37" t="str">
        <f t="shared" si="24"/>
        <v/>
      </c>
      <c r="U869" s="37" t="str">
        <f t="shared" si="25"/>
        <v/>
      </c>
      <c r="V869" s="37" t="str">
        <f t="shared" si="26"/>
        <v/>
      </c>
      <c r="W869" s="37" t="str">
        <f t="shared" si="27"/>
        <v/>
      </c>
      <c r="X869" s="37" t="str">
        <f t="shared" si="28"/>
        <v/>
      </c>
      <c r="Y869" s="37" t="str">
        <f t="shared" si="29"/>
        <v/>
      </c>
      <c r="Z869" s="38" t="str">
        <f t="shared" si="30"/>
        <v/>
      </c>
      <c r="AA869" s="39" t="str">
        <f t="shared" si="31"/>
        <v/>
      </c>
    </row>
    <row r="870" ht="15.75" customHeight="1">
      <c r="B870" s="1"/>
      <c r="C870" s="28"/>
      <c r="D870" s="79"/>
      <c r="E870" s="1"/>
      <c r="F870" s="76"/>
      <c r="G870" s="1"/>
      <c r="H870" s="1"/>
      <c r="J870" s="77"/>
      <c r="K870" s="80"/>
      <c r="L870" s="80"/>
      <c r="M870" s="80"/>
      <c r="N870" s="80"/>
      <c r="O870" s="80"/>
      <c r="P870" s="81"/>
      <c r="Q870" s="35" t="str">
        <f>IF(D870="","",VLOOKUP(MONTH(D870),Listas!$C$2:$D$14,2,0))</f>
        <v/>
      </c>
      <c r="R870" s="36" t="str">
        <f t="shared" si="22"/>
        <v/>
      </c>
      <c r="S870" s="37" t="str">
        <f t="shared" si="23"/>
        <v/>
      </c>
      <c r="T870" s="37" t="str">
        <f t="shared" si="24"/>
        <v/>
      </c>
      <c r="U870" s="37" t="str">
        <f t="shared" si="25"/>
        <v/>
      </c>
      <c r="V870" s="37" t="str">
        <f t="shared" si="26"/>
        <v/>
      </c>
      <c r="W870" s="37" t="str">
        <f t="shared" si="27"/>
        <v/>
      </c>
      <c r="X870" s="37" t="str">
        <f t="shared" si="28"/>
        <v/>
      </c>
      <c r="Y870" s="37" t="str">
        <f t="shared" si="29"/>
        <v/>
      </c>
      <c r="Z870" s="38" t="str">
        <f t="shared" si="30"/>
        <v/>
      </c>
      <c r="AA870" s="39" t="str">
        <f t="shared" si="31"/>
        <v/>
      </c>
    </row>
    <row r="871" ht="15.75" customHeight="1">
      <c r="B871" s="1"/>
      <c r="C871" s="28"/>
      <c r="D871" s="79"/>
      <c r="E871" s="1"/>
      <c r="F871" s="76"/>
      <c r="G871" s="1"/>
      <c r="H871" s="1"/>
      <c r="J871" s="77"/>
      <c r="K871" s="80"/>
      <c r="L871" s="80"/>
      <c r="M871" s="80"/>
      <c r="N871" s="80"/>
      <c r="O871" s="80"/>
      <c r="P871" s="81"/>
      <c r="Q871" s="35" t="str">
        <f>IF(D871="","",VLOOKUP(MONTH(D871),Listas!$C$2:$D$14,2,0))</f>
        <v/>
      </c>
      <c r="R871" s="36" t="str">
        <f t="shared" si="22"/>
        <v/>
      </c>
      <c r="S871" s="37" t="str">
        <f t="shared" si="23"/>
        <v/>
      </c>
      <c r="T871" s="37" t="str">
        <f t="shared" si="24"/>
        <v/>
      </c>
      <c r="U871" s="37" t="str">
        <f t="shared" si="25"/>
        <v/>
      </c>
      <c r="V871" s="37" t="str">
        <f t="shared" si="26"/>
        <v/>
      </c>
      <c r="W871" s="37" t="str">
        <f t="shared" si="27"/>
        <v/>
      </c>
      <c r="X871" s="37" t="str">
        <f t="shared" si="28"/>
        <v/>
      </c>
      <c r="Y871" s="37" t="str">
        <f t="shared" si="29"/>
        <v/>
      </c>
      <c r="Z871" s="38" t="str">
        <f t="shared" si="30"/>
        <v/>
      </c>
      <c r="AA871" s="39" t="str">
        <f t="shared" si="31"/>
        <v/>
      </c>
    </row>
    <row r="872" ht="15.75" customHeight="1">
      <c r="B872" s="1"/>
      <c r="C872" s="28"/>
      <c r="D872" s="79"/>
      <c r="E872" s="1"/>
      <c r="F872" s="76"/>
      <c r="G872" s="1"/>
      <c r="H872" s="1"/>
      <c r="J872" s="77"/>
      <c r="K872" s="80"/>
      <c r="L872" s="80"/>
      <c r="M872" s="80"/>
      <c r="N872" s="80"/>
      <c r="O872" s="80"/>
      <c r="P872" s="81"/>
      <c r="Q872" s="35" t="str">
        <f>IF(D872="","",VLOOKUP(MONTH(D872),Listas!$C$2:$D$14,2,0))</f>
        <v/>
      </c>
      <c r="R872" s="36" t="str">
        <f t="shared" si="22"/>
        <v/>
      </c>
      <c r="S872" s="37" t="str">
        <f t="shared" si="23"/>
        <v/>
      </c>
      <c r="T872" s="37" t="str">
        <f t="shared" si="24"/>
        <v/>
      </c>
      <c r="U872" s="37" t="str">
        <f t="shared" si="25"/>
        <v/>
      </c>
      <c r="V872" s="37" t="str">
        <f t="shared" si="26"/>
        <v/>
      </c>
      <c r="W872" s="37" t="str">
        <f t="shared" si="27"/>
        <v/>
      </c>
      <c r="X872" s="37" t="str">
        <f t="shared" si="28"/>
        <v/>
      </c>
      <c r="Y872" s="37" t="str">
        <f t="shared" si="29"/>
        <v/>
      </c>
      <c r="Z872" s="38" t="str">
        <f t="shared" si="30"/>
        <v/>
      </c>
      <c r="AA872" s="39" t="str">
        <f t="shared" si="31"/>
        <v/>
      </c>
    </row>
    <row r="873" ht="15.75" customHeight="1">
      <c r="B873" s="1"/>
      <c r="C873" s="28"/>
      <c r="D873" s="79"/>
      <c r="E873" s="1"/>
      <c r="F873" s="76"/>
      <c r="G873" s="1"/>
      <c r="H873" s="1"/>
      <c r="J873" s="77"/>
      <c r="K873" s="80"/>
      <c r="L873" s="80"/>
      <c r="M873" s="80"/>
      <c r="N873" s="80"/>
      <c r="O873" s="80"/>
      <c r="P873" s="81"/>
      <c r="Q873" s="35" t="str">
        <f>IF(D873="","",VLOOKUP(MONTH(D873),Listas!$C$2:$D$14,2,0))</f>
        <v/>
      </c>
      <c r="R873" s="36" t="str">
        <f t="shared" si="22"/>
        <v/>
      </c>
      <c r="S873" s="37" t="str">
        <f t="shared" si="23"/>
        <v/>
      </c>
      <c r="T873" s="37" t="str">
        <f t="shared" si="24"/>
        <v/>
      </c>
      <c r="U873" s="37" t="str">
        <f t="shared" si="25"/>
        <v/>
      </c>
      <c r="V873" s="37" t="str">
        <f t="shared" si="26"/>
        <v/>
      </c>
      <c r="W873" s="37" t="str">
        <f t="shared" si="27"/>
        <v/>
      </c>
      <c r="X873" s="37" t="str">
        <f t="shared" si="28"/>
        <v/>
      </c>
      <c r="Y873" s="37" t="str">
        <f t="shared" si="29"/>
        <v/>
      </c>
      <c r="Z873" s="38" t="str">
        <f t="shared" si="30"/>
        <v/>
      </c>
      <c r="AA873" s="39" t="str">
        <f t="shared" si="31"/>
        <v/>
      </c>
    </row>
    <row r="874" ht="15.75" customHeight="1">
      <c r="B874" s="1"/>
      <c r="C874" s="28"/>
      <c r="D874" s="79"/>
      <c r="E874" s="1"/>
      <c r="F874" s="76"/>
      <c r="G874" s="1"/>
      <c r="H874" s="1"/>
      <c r="J874" s="77"/>
      <c r="K874" s="80"/>
      <c r="L874" s="80"/>
      <c r="M874" s="80"/>
      <c r="N874" s="80"/>
      <c r="O874" s="80"/>
      <c r="P874" s="81"/>
      <c r="Q874" s="35" t="str">
        <f>IF(D874="","",VLOOKUP(MONTH(D874),Listas!$C$2:$D$14,2,0))</f>
        <v/>
      </c>
      <c r="R874" s="36" t="str">
        <f t="shared" si="22"/>
        <v/>
      </c>
      <c r="S874" s="37" t="str">
        <f t="shared" si="23"/>
        <v/>
      </c>
      <c r="T874" s="37" t="str">
        <f t="shared" si="24"/>
        <v/>
      </c>
      <c r="U874" s="37" t="str">
        <f t="shared" si="25"/>
        <v/>
      </c>
      <c r="V874" s="37" t="str">
        <f t="shared" si="26"/>
        <v/>
      </c>
      <c r="W874" s="37" t="str">
        <f t="shared" si="27"/>
        <v/>
      </c>
      <c r="X874" s="37" t="str">
        <f t="shared" si="28"/>
        <v/>
      </c>
      <c r="Y874" s="37" t="str">
        <f t="shared" si="29"/>
        <v/>
      </c>
      <c r="Z874" s="38" t="str">
        <f t="shared" si="30"/>
        <v/>
      </c>
      <c r="AA874" s="39" t="str">
        <f t="shared" si="31"/>
        <v/>
      </c>
    </row>
    <row r="875" ht="15.75" customHeight="1">
      <c r="B875" s="1"/>
      <c r="C875" s="28"/>
      <c r="D875" s="79"/>
      <c r="E875" s="1"/>
      <c r="F875" s="76"/>
      <c r="G875" s="1"/>
      <c r="H875" s="1"/>
      <c r="J875" s="77"/>
      <c r="K875" s="80"/>
      <c r="L875" s="80"/>
      <c r="M875" s="80"/>
      <c r="N875" s="80"/>
      <c r="O875" s="80"/>
      <c r="P875" s="81"/>
      <c r="Q875" s="35" t="str">
        <f>IF(D875="","",VLOOKUP(MONTH(D875),Listas!$C$2:$D$14,2,0))</f>
        <v/>
      </c>
      <c r="R875" s="36" t="str">
        <f t="shared" si="22"/>
        <v/>
      </c>
      <c r="S875" s="37" t="str">
        <f t="shared" si="23"/>
        <v/>
      </c>
      <c r="T875" s="37" t="str">
        <f t="shared" si="24"/>
        <v/>
      </c>
      <c r="U875" s="37" t="str">
        <f t="shared" si="25"/>
        <v/>
      </c>
      <c r="V875" s="37" t="str">
        <f t="shared" si="26"/>
        <v/>
      </c>
      <c r="W875" s="37" t="str">
        <f t="shared" si="27"/>
        <v/>
      </c>
      <c r="X875" s="37" t="str">
        <f t="shared" si="28"/>
        <v/>
      </c>
      <c r="Y875" s="37" t="str">
        <f t="shared" si="29"/>
        <v/>
      </c>
      <c r="Z875" s="38" t="str">
        <f t="shared" si="30"/>
        <v/>
      </c>
      <c r="AA875" s="39" t="str">
        <f t="shared" si="31"/>
        <v/>
      </c>
    </row>
    <row r="876" ht="15.75" customHeight="1">
      <c r="B876" s="1"/>
      <c r="C876" s="28"/>
      <c r="D876" s="79"/>
      <c r="E876" s="1"/>
      <c r="F876" s="76"/>
      <c r="G876" s="1"/>
      <c r="H876" s="1"/>
      <c r="J876" s="77"/>
      <c r="K876" s="80"/>
      <c r="L876" s="80"/>
      <c r="M876" s="80"/>
      <c r="N876" s="80"/>
      <c r="O876" s="80"/>
      <c r="P876" s="81"/>
      <c r="Q876" s="35" t="str">
        <f>IF(D876="","",VLOOKUP(MONTH(D876),Listas!$C$2:$D$14,2,0))</f>
        <v/>
      </c>
      <c r="R876" s="36" t="str">
        <f t="shared" si="22"/>
        <v/>
      </c>
      <c r="S876" s="37" t="str">
        <f t="shared" si="23"/>
        <v/>
      </c>
      <c r="T876" s="37" t="str">
        <f t="shared" si="24"/>
        <v/>
      </c>
      <c r="U876" s="37" t="str">
        <f t="shared" si="25"/>
        <v/>
      </c>
      <c r="V876" s="37" t="str">
        <f t="shared" si="26"/>
        <v/>
      </c>
      <c r="W876" s="37" t="str">
        <f t="shared" si="27"/>
        <v/>
      </c>
      <c r="X876" s="37" t="str">
        <f t="shared" si="28"/>
        <v/>
      </c>
      <c r="Y876" s="37" t="str">
        <f t="shared" si="29"/>
        <v/>
      </c>
      <c r="Z876" s="38" t="str">
        <f t="shared" si="30"/>
        <v/>
      </c>
      <c r="AA876" s="39" t="str">
        <f t="shared" si="31"/>
        <v/>
      </c>
    </row>
    <row r="877" ht="15.75" customHeight="1">
      <c r="B877" s="1"/>
      <c r="C877" s="28"/>
      <c r="D877" s="79"/>
      <c r="E877" s="1"/>
      <c r="F877" s="76"/>
      <c r="G877" s="1"/>
      <c r="H877" s="1"/>
      <c r="J877" s="77"/>
      <c r="K877" s="80"/>
      <c r="L877" s="80"/>
      <c r="M877" s="80"/>
      <c r="N877" s="80"/>
      <c r="O877" s="80"/>
      <c r="P877" s="81"/>
      <c r="Q877" s="35" t="str">
        <f>IF(D877="","",VLOOKUP(MONTH(D877),Listas!$C$2:$D$14,2,0))</f>
        <v/>
      </c>
      <c r="R877" s="36" t="str">
        <f t="shared" si="22"/>
        <v/>
      </c>
      <c r="S877" s="37" t="str">
        <f t="shared" si="23"/>
        <v/>
      </c>
      <c r="T877" s="37" t="str">
        <f t="shared" si="24"/>
        <v/>
      </c>
      <c r="U877" s="37" t="str">
        <f t="shared" si="25"/>
        <v/>
      </c>
      <c r="V877" s="37" t="str">
        <f t="shared" si="26"/>
        <v/>
      </c>
      <c r="W877" s="37" t="str">
        <f t="shared" si="27"/>
        <v/>
      </c>
      <c r="X877" s="37" t="str">
        <f t="shared" si="28"/>
        <v/>
      </c>
      <c r="Y877" s="37" t="str">
        <f t="shared" si="29"/>
        <v/>
      </c>
      <c r="Z877" s="38" t="str">
        <f t="shared" si="30"/>
        <v/>
      </c>
      <c r="AA877" s="39" t="str">
        <f t="shared" si="31"/>
        <v/>
      </c>
    </row>
    <row r="878" ht="15.75" customHeight="1">
      <c r="B878" s="1"/>
      <c r="C878" s="28"/>
      <c r="D878" s="79"/>
      <c r="E878" s="1"/>
      <c r="F878" s="76"/>
      <c r="G878" s="1"/>
      <c r="H878" s="1"/>
      <c r="J878" s="77"/>
      <c r="K878" s="80"/>
      <c r="L878" s="80"/>
      <c r="M878" s="80"/>
      <c r="N878" s="80"/>
      <c r="O878" s="80"/>
      <c r="P878" s="81"/>
      <c r="Q878" s="35" t="str">
        <f>IF(D878="","",VLOOKUP(MONTH(D878),Listas!$C$2:$D$14,2,0))</f>
        <v/>
      </c>
      <c r="R878" s="36" t="str">
        <f t="shared" si="22"/>
        <v/>
      </c>
      <c r="S878" s="37" t="str">
        <f t="shared" si="23"/>
        <v/>
      </c>
      <c r="T878" s="37" t="str">
        <f t="shared" si="24"/>
        <v/>
      </c>
      <c r="U878" s="37" t="str">
        <f t="shared" si="25"/>
        <v/>
      </c>
      <c r="V878" s="37" t="str">
        <f t="shared" si="26"/>
        <v/>
      </c>
      <c r="W878" s="37" t="str">
        <f t="shared" si="27"/>
        <v/>
      </c>
      <c r="X878" s="37" t="str">
        <f t="shared" si="28"/>
        <v/>
      </c>
      <c r="Y878" s="37" t="str">
        <f t="shared" si="29"/>
        <v/>
      </c>
      <c r="Z878" s="38" t="str">
        <f t="shared" si="30"/>
        <v/>
      </c>
      <c r="AA878" s="39" t="str">
        <f t="shared" si="31"/>
        <v/>
      </c>
    </row>
    <row r="879" ht="15.75" customHeight="1">
      <c r="B879" s="1"/>
      <c r="C879" s="28"/>
      <c r="D879" s="79"/>
      <c r="E879" s="1"/>
      <c r="F879" s="76"/>
      <c r="G879" s="1"/>
      <c r="H879" s="1"/>
      <c r="J879" s="77"/>
      <c r="K879" s="80"/>
      <c r="L879" s="80"/>
      <c r="M879" s="80"/>
      <c r="N879" s="80"/>
      <c r="O879" s="80"/>
      <c r="P879" s="81"/>
      <c r="Q879" s="35" t="str">
        <f>IF(D879="","",VLOOKUP(MONTH(D879),Listas!$C$2:$D$14,2,0))</f>
        <v/>
      </c>
      <c r="R879" s="36" t="str">
        <f t="shared" si="22"/>
        <v/>
      </c>
      <c r="S879" s="37" t="str">
        <f t="shared" si="23"/>
        <v/>
      </c>
      <c r="T879" s="37" t="str">
        <f t="shared" si="24"/>
        <v/>
      </c>
      <c r="U879" s="37" t="str">
        <f t="shared" si="25"/>
        <v/>
      </c>
      <c r="V879" s="37" t="str">
        <f t="shared" si="26"/>
        <v/>
      </c>
      <c r="W879" s="37" t="str">
        <f t="shared" si="27"/>
        <v/>
      </c>
      <c r="X879" s="37" t="str">
        <f t="shared" si="28"/>
        <v/>
      </c>
      <c r="Y879" s="37" t="str">
        <f t="shared" si="29"/>
        <v/>
      </c>
      <c r="Z879" s="38" t="str">
        <f t="shared" si="30"/>
        <v/>
      </c>
      <c r="AA879" s="39" t="str">
        <f t="shared" si="31"/>
        <v/>
      </c>
    </row>
    <row r="880" ht="15.75" customHeight="1">
      <c r="B880" s="1"/>
      <c r="C880" s="28"/>
      <c r="D880" s="79"/>
      <c r="E880" s="1"/>
      <c r="F880" s="76"/>
      <c r="G880" s="1"/>
      <c r="H880" s="1"/>
      <c r="J880" s="77"/>
      <c r="K880" s="80"/>
      <c r="L880" s="80"/>
      <c r="M880" s="80"/>
      <c r="N880" s="80"/>
      <c r="O880" s="80"/>
      <c r="P880" s="81"/>
      <c r="Q880" s="35" t="str">
        <f>IF(D880="","",VLOOKUP(MONTH(D880),Listas!$C$2:$D$14,2,0))</f>
        <v/>
      </c>
      <c r="R880" s="36" t="str">
        <f t="shared" si="22"/>
        <v/>
      </c>
      <c r="S880" s="37" t="str">
        <f t="shared" si="23"/>
        <v/>
      </c>
      <c r="T880" s="37" t="str">
        <f t="shared" si="24"/>
        <v/>
      </c>
      <c r="U880" s="37" t="str">
        <f t="shared" si="25"/>
        <v/>
      </c>
      <c r="V880" s="37" t="str">
        <f t="shared" si="26"/>
        <v/>
      </c>
      <c r="W880" s="37" t="str">
        <f t="shared" si="27"/>
        <v/>
      </c>
      <c r="X880" s="37" t="str">
        <f t="shared" si="28"/>
        <v/>
      </c>
      <c r="Y880" s="37" t="str">
        <f t="shared" si="29"/>
        <v/>
      </c>
      <c r="Z880" s="38" t="str">
        <f t="shared" si="30"/>
        <v/>
      </c>
      <c r="AA880" s="39" t="str">
        <f t="shared" si="31"/>
        <v/>
      </c>
    </row>
    <row r="881" ht="15.75" customHeight="1">
      <c r="B881" s="1"/>
      <c r="C881" s="28"/>
      <c r="D881" s="79"/>
      <c r="E881" s="1"/>
      <c r="F881" s="76"/>
      <c r="G881" s="1"/>
      <c r="H881" s="1"/>
      <c r="J881" s="77"/>
      <c r="K881" s="80"/>
      <c r="L881" s="80"/>
      <c r="M881" s="80"/>
      <c r="N881" s="80"/>
      <c r="O881" s="80"/>
      <c r="P881" s="81"/>
      <c r="Q881" s="35" t="str">
        <f>IF(D881="","",VLOOKUP(MONTH(D881),Listas!$C$2:$D$14,2,0))</f>
        <v/>
      </c>
      <c r="R881" s="36" t="str">
        <f t="shared" si="22"/>
        <v/>
      </c>
      <c r="S881" s="37" t="str">
        <f t="shared" si="23"/>
        <v/>
      </c>
      <c r="T881" s="37" t="str">
        <f t="shared" si="24"/>
        <v/>
      </c>
      <c r="U881" s="37" t="str">
        <f t="shared" si="25"/>
        <v/>
      </c>
      <c r="V881" s="37" t="str">
        <f t="shared" si="26"/>
        <v/>
      </c>
      <c r="W881" s="37" t="str">
        <f t="shared" si="27"/>
        <v/>
      </c>
      <c r="X881" s="37" t="str">
        <f t="shared" si="28"/>
        <v/>
      </c>
      <c r="Y881" s="37" t="str">
        <f t="shared" si="29"/>
        <v/>
      </c>
      <c r="Z881" s="38" t="str">
        <f t="shared" si="30"/>
        <v/>
      </c>
      <c r="AA881" s="39" t="str">
        <f t="shared" si="31"/>
        <v/>
      </c>
    </row>
    <row r="882" ht="15.75" customHeight="1">
      <c r="B882" s="1"/>
      <c r="C882" s="28"/>
      <c r="D882" s="79"/>
      <c r="E882" s="1"/>
      <c r="F882" s="76"/>
      <c r="G882" s="1"/>
      <c r="H882" s="1"/>
      <c r="J882" s="77"/>
      <c r="K882" s="80"/>
      <c r="L882" s="80"/>
      <c r="M882" s="80"/>
      <c r="N882" s="80"/>
      <c r="O882" s="80"/>
      <c r="P882" s="81"/>
      <c r="Q882" s="35" t="str">
        <f>IF(D882="","",VLOOKUP(MONTH(D882),Listas!$C$2:$D$14,2,0))</f>
        <v/>
      </c>
      <c r="R882" s="36" t="str">
        <f t="shared" si="22"/>
        <v/>
      </c>
      <c r="S882" s="37" t="str">
        <f t="shared" si="23"/>
        <v/>
      </c>
      <c r="T882" s="37" t="str">
        <f t="shared" si="24"/>
        <v/>
      </c>
      <c r="U882" s="37" t="str">
        <f t="shared" si="25"/>
        <v/>
      </c>
      <c r="V882" s="37" t="str">
        <f t="shared" si="26"/>
        <v/>
      </c>
      <c r="W882" s="37" t="str">
        <f t="shared" si="27"/>
        <v/>
      </c>
      <c r="X882" s="37" t="str">
        <f t="shared" si="28"/>
        <v/>
      </c>
      <c r="Y882" s="37" t="str">
        <f t="shared" si="29"/>
        <v/>
      </c>
      <c r="Z882" s="38" t="str">
        <f t="shared" si="30"/>
        <v/>
      </c>
      <c r="AA882" s="39" t="str">
        <f t="shared" si="31"/>
        <v/>
      </c>
    </row>
    <row r="883" ht="15.75" customHeight="1">
      <c r="B883" s="1"/>
      <c r="C883" s="28"/>
      <c r="D883" s="79"/>
      <c r="E883" s="1"/>
      <c r="F883" s="76"/>
      <c r="G883" s="1"/>
      <c r="H883" s="1"/>
      <c r="J883" s="77"/>
      <c r="K883" s="80"/>
      <c r="L883" s="80"/>
      <c r="M883" s="80"/>
      <c r="N883" s="80"/>
      <c r="O883" s="80"/>
      <c r="P883" s="81"/>
      <c r="Q883" s="35" t="str">
        <f>IF(D883="","",VLOOKUP(MONTH(D883),Listas!$C$2:$D$14,2,0))</f>
        <v/>
      </c>
      <c r="R883" s="36" t="str">
        <f t="shared" si="22"/>
        <v/>
      </c>
      <c r="S883" s="37" t="str">
        <f t="shared" si="23"/>
        <v/>
      </c>
      <c r="T883" s="37" t="str">
        <f t="shared" si="24"/>
        <v/>
      </c>
      <c r="U883" s="37" t="str">
        <f t="shared" si="25"/>
        <v/>
      </c>
      <c r="V883" s="37" t="str">
        <f t="shared" si="26"/>
        <v/>
      </c>
      <c r="W883" s="37" t="str">
        <f t="shared" si="27"/>
        <v/>
      </c>
      <c r="X883" s="37" t="str">
        <f t="shared" si="28"/>
        <v/>
      </c>
      <c r="Y883" s="37" t="str">
        <f t="shared" si="29"/>
        <v/>
      </c>
      <c r="Z883" s="38" t="str">
        <f t="shared" si="30"/>
        <v/>
      </c>
      <c r="AA883" s="39" t="str">
        <f t="shared" si="31"/>
        <v/>
      </c>
    </row>
    <row r="884" ht="15.75" customHeight="1">
      <c r="B884" s="1"/>
      <c r="C884" s="28"/>
      <c r="D884" s="79"/>
      <c r="E884" s="1"/>
      <c r="F884" s="76"/>
      <c r="G884" s="1"/>
      <c r="H884" s="1"/>
      <c r="J884" s="77"/>
      <c r="K884" s="80"/>
      <c r="L884" s="80"/>
      <c r="M884" s="80"/>
      <c r="N884" s="80"/>
      <c r="O884" s="80"/>
      <c r="P884" s="81"/>
      <c r="Q884" s="35" t="str">
        <f>IF(D884="","",VLOOKUP(MONTH(D884),Listas!$C$2:$D$14,2,0))</f>
        <v/>
      </c>
      <c r="R884" s="36" t="str">
        <f t="shared" si="22"/>
        <v/>
      </c>
      <c r="S884" s="37" t="str">
        <f t="shared" si="23"/>
        <v/>
      </c>
      <c r="T884" s="37" t="str">
        <f t="shared" si="24"/>
        <v/>
      </c>
      <c r="U884" s="37" t="str">
        <f t="shared" si="25"/>
        <v/>
      </c>
      <c r="V884" s="37" t="str">
        <f t="shared" si="26"/>
        <v/>
      </c>
      <c r="W884" s="37" t="str">
        <f t="shared" si="27"/>
        <v/>
      </c>
      <c r="X884" s="37" t="str">
        <f t="shared" si="28"/>
        <v/>
      </c>
      <c r="Y884" s="37" t="str">
        <f t="shared" si="29"/>
        <v/>
      </c>
      <c r="Z884" s="38" t="str">
        <f t="shared" si="30"/>
        <v/>
      </c>
      <c r="AA884" s="39" t="str">
        <f t="shared" si="31"/>
        <v/>
      </c>
    </row>
    <row r="885" ht="15.75" customHeight="1">
      <c r="B885" s="1"/>
      <c r="C885" s="28"/>
      <c r="D885" s="79"/>
      <c r="E885" s="1"/>
      <c r="F885" s="76"/>
      <c r="G885" s="1"/>
      <c r="H885" s="1"/>
      <c r="J885" s="77"/>
      <c r="K885" s="80"/>
      <c r="L885" s="80"/>
      <c r="M885" s="80"/>
      <c r="N885" s="80"/>
      <c r="O885" s="80"/>
      <c r="P885" s="81"/>
      <c r="Q885" s="35" t="str">
        <f>IF(D885="","",VLOOKUP(MONTH(D885),Listas!$C$2:$D$14,2,0))</f>
        <v/>
      </c>
      <c r="R885" s="36" t="str">
        <f t="shared" si="22"/>
        <v/>
      </c>
      <c r="S885" s="37" t="str">
        <f t="shared" si="23"/>
        <v/>
      </c>
      <c r="T885" s="37" t="str">
        <f t="shared" si="24"/>
        <v/>
      </c>
      <c r="U885" s="37" t="str">
        <f t="shared" si="25"/>
        <v/>
      </c>
      <c r="V885" s="37" t="str">
        <f t="shared" si="26"/>
        <v/>
      </c>
      <c r="W885" s="37" t="str">
        <f t="shared" si="27"/>
        <v/>
      </c>
      <c r="X885" s="37" t="str">
        <f t="shared" si="28"/>
        <v/>
      </c>
      <c r="Y885" s="37" t="str">
        <f t="shared" si="29"/>
        <v/>
      </c>
      <c r="Z885" s="38" t="str">
        <f t="shared" si="30"/>
        <v/>
      </c>
      <c r="AA885" s="39" t="str">
        <f t="shared" si="31"/>
        <v/>
      </c>
    </row>
    <row r="886" ht="15.75" customHeight="1">
      <c r="B886" s="1"/>
      <c r="C886" s="28"/>
      <c r="D886" s="79"/>
      <c r="E886" s="1"/>
      <c r="F886" s="76"/>
      <c r="G886" s="1"/>
      <c r="H886" s="1"/>
      <c r="J886" s="77"/>
      <c r="K886" s="80"/>
      <c r="L886" s="80"/>
      <c r="M886" s="80"/>
      <c r="N886" s="80"/>
      <c r="O886" s="80"/>
      <c r="P886" s="81"/>
      <c r="Q886" s="35" t="str">
        <f>IF(D886="","",VLOOKUP(MONTH(D886),Listas!$C$2:$D$14,2,0))</f>
        <v/>
      </c>
      <c r="R886" s="36" t="str">
        <f t="shared" si="22"/>
        <v/>
      </c>
      <c r="S886" s="37" t="str">
        <f t="shared" si="23"/>
        <v/>
      </c>
      <c r="T886" s="37" t="str">
        <f t="shared" si="24"/>
        <v/>
      </c>
      <c r="U886" s="37" t="str">
        <f t="shared" si="25"/>
        <v/>
      </c>
      <c r="V886" s="37" t="str">
        <f t="shared" si="26"/>
        <v/>
      </c>
      <c r="W886" s="37" t="str">
        <f t="shared" si="27"/>
        <v/>
      </c>
      <c r="X886" s="37" t="str">
        <f t="shared" si="28"/>
        <v/>
      </c>
      <c r="Y886" s="37" t="str">
        <f t="shared" si="29"/>
        <v/>
      </c>
      <c r="Z886" s="38" t="str">
        <f t="shared" si="30"/>
        <v/>
      </c>
      <c r="AA886" s="39" t="str">
        <f t="shared" si="31"/>
        <v/>
      </c>
    </row>
    <row r="887" ht="15.75" customHeight="1">
      <c r="B887" s="1"/>
      <c r="C887" s="28"/>
      <c r="D887" s="79"/>
      <c r="E887" s="1"/>
      <c r="F887" s="76"/>
      <c r="G887" s="1"/>
      <c r="H887" s="1"/>
      <c r="J887" s="77"/>
      <c r="K887" s="80"/>
      <c r="L887" s="80"/>
      <c r="M887" s="80"/>
      <c r="N887" s="80"/>
      <c r="O887" s="80"/>
      <c r="P887" s="81"/>
      <c r="Q887" s="35" t="str">
        <f>IF(D887="","",VLOOKUP(MONTH(D887),Listas!$C$2:$D$14,2,0))</f>
        <v/>
      </c>
      <c r="R887" s="36" t="str">
        <f t="shared" si="22"/>
        <v/>
      </c>
      <c r="S887" s="37" t="str">
        <f t="shared" si="23"/>
        <v/>
      </c>
      <c r="T887" s="37" t="str">
        <f t="shared" si="24"/>
        <v/>
      </c>
      <c r="U887" s="37" t="str">
        <f t="shared" si="25"/>
        <v/>
      </c>
      <c r="V887" s="37" t="str">
        <f t="shared" si="26"/>
        <v/>
      </c>
      <c r="W887" s="37" t="str">
        <f t="shared" si="27"/>
        <v/>
      </c>
      <c r="X887" s="37" t="str">
        <f t="shared" si="28"/>
        <v/>
      </c>
      <c r="Y887" s="37" t="str">
        <f t="shared" si="29"/>
        <v/>
      </c>
      <c r="Z887" s="38" t="str">
        <f t="shared" si="30"/>
        <v/>
      </c>
      <c r="AA887" s="39" t="str">
        <f t="shared" si="31"/>
        <v/>
      </c>
    </row>
    <row r="888" ht="15.75" customHeight="1">
      <c r="B888" s="1"/>
      <c r="C888" s="28"/>
      <c r="D888" s="79"/>
      <c r="E888" s="1"/>
      <c r="F888" s="76"/>
      <c r="G888" s="1"/>
      <c r="H888" s="1"/>
      <c r="J888" s="77"/>
      <c r="K888" s="80"/>
      <c r="L888" s="80"/>
      <c r="M888" s="80"/>
      <c r="N888" s="80"/>
      <c r="O888" s="80"/>
      <c r="P888" s="81"/>
      <c r="Q888" s="35" t="str">
        <f>IF(D888="","",VLOOKUP(MONTH(D888),Listas!$C$2:$D$14,2,0))</f>
        <v/>
      </c>
      <c r="R888" s="36" t="str">
        <f t="shared" si="22"/>
        <v/>
      </c>
      <c r="S888" s="37" t="str">
        <f t="shared" si="23"/>
        <v/>
      </c>
      <c r="T888" s="37" t="str">
        <f t="shared" si="24"/>
        <v/>
      </c>
      <c r="U888" s="37" t="str">
        <f t="shared" si="25"/>
        <v/>
      </c>
      <c r="V888" s="37" t="str">
        <f t="shared" si="26"/>
        <v/>
      </c>
      <c r="W888" s="37" t="str">
        <f t="shared" si="27"/>
        <v/>
      </c>
      <c r="X888" s="37" t="str">
        <f t="shared" si="28"/>
        <v/>
      </c>
      <c r="Y888" s="37" t="str">
        <f t="shared" si="29"/>
        <v/>
      </c>
      <c r="Z888" s="38" t="str">
        <f t="shared" si="30"/>
        <v/>
      </c>
      <c r="AA888" s="39" t="str">
        <f t="shared" si="31"/>
        <v/>
      </c>
    </row>
    <row r="889" ht="15.75" customHeight="1">
      <c r="B889" s="1"/>
      <c r="C889" s="28"/>
      <c r="D889" s="79"/>
      <c r="E889" s="1"/>
      <c r="F889" s="76"/>
      <c r="G889" s="1"/>
      <c r="H889" s="1"/>
      <c r="J889" s="77"/>
      <c r="K889" s="80"/>
      <c r="L889" s="80"/>
      <c r="M889" s="80"/>
      <c r="N889" s="80"/>
      <c r="O889" s="80"/>
      <c r="P889" s="81"/>
      <c r="Q889" s="35" t="str">
        <f>IF(D889="","",VLOOKUP(MONTH(D889),Listas!$C$2:$D$14,2,0))</f>
        <v/>
      </c>
      <c r="R889" s="36" t="str">
        <f t="shared" si="22"/>
        <v/>
      </c>
      <c r="S889" s="37" t="str">
        <f t="shared" si="23"/>
        <v/>
      </c>
      <c r="T889" s="37" t="str">
        <f t="shared" si="24"/>
        <v/>
      </c>
      <c r="U889" s="37" t="str">
        <f t="shared" si="25"/>
        <v/>
      </c>
      <c r="V889" s="37" t="str">
        <f t="shared" si="26"/>
        <v/>
      </c>
      <c r="W889" s="37" t="str">
        <f t="shared" si="27"/>
        <v/>
      </c>
      <c r="X889" s="37" t="str">
        <f t="shared" si="28"/>
        <v/>
      </c>
      <c r="Y889" s="37" t="str">
        <f t="shared" si="29"/>
        <v/>
      </c>
      <c r="Z889" s="38" t="str">
        <f t="shared" si="30"/>
        <v/>
      </c>
      <c r="AA889" s="39" t="str">
        <f t="shared" si="31"/>
        <v/>
      </c>
    </row>
    <row r="890" ht="15.75" customHeight="1">
      <c r="B890" s="1"/>
      <c r="C890" s="28"/>
      <c r="D890" s="79"/>
      <c r="E890" s="1"/>
      <c r="F890" s="76"/>
      <c r="G890" s="1"/>
      <c r="H890" s="1"/>
      <c r="J890" s="77"/>
      <c r="K890" s="80"/>
      <c r="L890" s="80"/>
      <c r="M890" s="80"/>
      <c r="N890" s="80"/>
      <c r="O890" s="80"/>
      <c r="P890" s="81"/>
      <c r="Q890" s="35" t="str">
        <f>IF(D890="","",VLOOKUP(MONTH(D890),Listas!$C$2:$D$14,2,0))</f>
        <v/>
      </c>
      <c r="R890" s="36" t="str">
        <f t="shared" si="22"/>
        <v/>
      </c>
      <c r="S890" s="37" t="str">
        <f t="shared" si="23"/>
        <v/>
      </c>
      <c r="T890" s="37" t="str">
        <f t="shared" si="24"/>
        <v/>
      </c>
      <c r="U890" s="37" t="str">
        <f t="shared" si="25"/>
        <v/>
      </c>
      <c r="V890" s="37" t="str">
        <f t="shared" si="26"/>
        <v/>
      </c>
      <c r="W890" s="37" t="str">
        <f t="shared" si="27"/>
        <v/>
      </c>
      <c r="X890" s="37" t="str">
        <f t="shared" si="28"/>
        <v/>
      </c>
      <c r="Y890" s="37" t="str">
        <f t="shared" si="29"/>
        <v/>
      </c>
      <c r="Z890" s="38" t="str">
        <f t="shared" si="30"/>
        <v/>
      </c>
      <c r="AA890" s="39" t="str">
        <f t="shared" si="31"/>
        <v/>
      </c>
    </row>
    <row r="891" ht="15.75" customHeight="1">
      <c r="B891" s="1"/>
      <c r="C891" s="28"/>
      <c r="D891" s="79"/>
      <c r="E891" s="1"/>
      <c r="F891" s="76"/>
      <c r="G891" s="1"/>
      <c r="H891" s="1"/>
      <c r="J891" s="77"/>
      <c r="K891" s="80"/>
      <c r="L891" s="80"/>
      <c r="M891" s="80"/>
      <c r="N891" s="80"/>
      <c r="O891" s="80"/>
      <c r="P891" s="81"/>
      <c r="Q891" s="35" t="str">
        <f>IF(D891="","",VLOOKUP(MONTH(D891),Listas!$C$2:$D$14,2,0))</f>
        <v/>
      </c>
      <c r="R891" s="36" t="str">
        <f t="shared" si="22"/>
        <v/>
      </c>
      <c r="S891" s="37" t="str">
        <f t="shared" si="23"/>
        <v/>
      </c>
      <c r="T891" s="37" t="str">
        <f t="shared" si="24"/>
        <v/>
      </c>
      <c r="U891" s="37" t="str">
        <f t="shared" si="25"/>
        <v/>
      </c>
      <c r="V891" s="37" t="str">
        <f t="shared" si="26"/>
        <v/>
      </c>
      <c r="W891" s="37" t="str">
        <f t="shared" si="27"/>
        <v/>
      </c>
      <c r="X891" s="37" t="str">
        <f t="shared" si="28"/>
        <v/>
      </c>
      <c r="Y891" s="37" t="str">
        <f t="shared" si="29"/>
        <v/>
      </c>
      <c r="Z891" s="38" t="str">
        <f t="shared" si="30"/>
        <v/>
      </c>
      <c r="AA891" s="39" t="str">
        <f t="shared" si="31"/>
        <v/>
      </c>
    </row>
    <row r="892" ht="15.75" customHeight="1">
      <c r="B892" s="1"/>
      <c r="C892" s="28"/>
      <c r="D892" s="79"/>
      <c r="E892" s="1"/>
      <c r="F892" s="76"/>
      <c r="G892" s="1"/>
      <c r="H892" s="1"/>
      <c r="J892" s="77"/>
      <c r="K892" s="80"/>
      <c r="L892" s="80"/>
      <c r="M892" s="80"/>
      <c r="N892" s="80"/>
      <c r="O892" s="80"/>
      <c r="P892" s="81"/>
      <c r="Q892" s="35" t="str">
        <f>IF(D892="","",VLOOKUP(MONTH(D892),Listas!$C$2:$D$14,2,0))</f>
        <v/>
      </c>
      <c r="R892" s="36" t="str">
        <f t="shared" si="22"/>
        <v/>
      </c>
      <c r="S892" s="37" t="str">
        <f t="shared" si="23"/>
        <v/>
      </c>
      <c r="T892" s="37" t="str">
        <f t="shared" si="24"/>
        <v/>
      </c>
      <c r="U892" s="37" t="str">
        <f t="shared" si="25"/>
        <v/>
      </c>
      <c r="V892" s="37" t="str">
        <f t="shared" si="26"/>
        <v/>
      </c>
      <c r="W892" s="37" t="str">
        <f t="shared" si="27"/>
        <v/>
      </c>
      <c r="X892" s="37" t="str">
        <f t="shared" si="28"/>
        <v/>
      </c>
      <c r="Y892" s="37" t="str">
        <f t="shared" si="29"/>
        <v/>
      </c>
      <c r="Z892" s="38" t="str">
        <f t="shared" si="30"/>
        <v/>
      </c>
      <c r="AA892" s="39" t="str">
        <f t="shared" si="31"/>
        <v/>
      </c>
    </row>
    <row r="893" ht="15.75" customHeight="1">
      <c r="B893" s="1"/>
      <c r="C893" s="28"/>
      <c r="D893" s="79"/>
      <c r="E893" s="1"/>
      <c r="F893" s="76"/>
      <c r="G893" s="1"/>
      <c r="H893" s="1"/>
      <c r="J893" s="77"/>
      <c r="K893" s="80"/>
      <c r="L893" s="80"/>
      <c r="M893" s="80"/>
      <c r="N893" s="80"/>
      <c r="O893" s="80"/>
      <c r="P893" s="81"/>
      <c r="Q893" s="35" t="str">
        <f>IF(D893="","",VLOOKUP(MONTH(D893),Listas!$C$2:$D$14,2,0))</f>
        <v/>
      </c>
      <c r="R893" s="36" t="str">
        <f t="shared" si="22"/>
        <v/>
      </c>
      <c r="S893" s="37" t="str">
        <f t="shared" si="23"/>
        <v/>
      </c>
      <c r="T893" s="37" t="str">
        <f t="shared" si="24"/>
        <v/>
      </c>
      <c r="U893" s="37" t="str">
        <f t="shared" si="25"/>
        <v/>
      </c>
      <c r="V893" s="37" t="str">
        <f t="shared" si="26"/>
        <v/>
      </c>
      <c r="W893" s="37" t="str">
        <f t="shared" si="27"/>
        <v/>
      </c>
      <c r="X893" s="37" t="str">
        <f t="shared" si="28"/>
        <v/>
      </c>
      <c r="Y893" s="37" t="str">
        <f t="shared" si="29"/>
        <v/>
      </c>
      <c r="Z893" s="38" t="str">
        <f t="shared" si="30"/>
        <v/>
      </c>
      <c r="AA893" s="39" t="str">
        <f t="shared" si="31"/>
        <v/>
      </c>
    </row>
    <row r="894" ht="15.75" customHeight="1">
      <c r="B894" s="1"/>
      <c r="C894" s="28"/>
      <c r="D894" s="79"/>
      <c r="E894" s="1"/>
      <c r="F894" s="76"/>
      <c r="G894" s="1"/>
      <c r="H894" s="1"/>
      <c r="J894" s="77"/>
      <c r="K894" s="80"/>
      <c r="L894" s="80"/>
      <c r="M894" s="80"/>
      <c r="N894" s="80"/>
      <c r="O894" s="80"/>
      <c r="P894" s="81"/>
      <c r="Q894" s="35" t="str">
        <f>IF(D894="","",VLOOKUP(MONTH(D894),Listas!$C$2:$D$14,2,0))</f>
        <v/>
      </c>
      <c r="R894" s="36" t="str">
        <f t="shared" si="22"/>
        <v/>
      </c>
      <c r="S894" s="37" t="str">
        <f t="shared" si="23"/>
        <v/>
      </c>
      <c r="T894" s="37" t="str">
        <f t="shared" si="24"/>
        <v/>
      </c>
      <c r="U894" s="37" t="str">
        <f t="shared" si="25"/>
        <v/>
      </c>
      <c r="V894" s="37" t="str">
        <f t="shared" si="26"/>
        <v/>
      </c>
      <c r="W894" s="37" t="str">
        <f t="shared" si="27"/>
        <v/>
      </c>
      <c r="X894" s="37" t="str">
        <f t="shared" si="28"/>
        <v/>
      </c>
      <c r="Y894" s="37" t="str">
        <f t="shared" si="29"/>
        <v/>
      </c>
      <c r="Z894" s="38" t="str">
        <f t="shared" si="30"/>
        <v/>
      </c>
      <c r="AA894" s="39" t="str">
        <f t="shared" si="31"/>
        <v/>
      </c>
    </row>
    <row r="895" ht="15.75" customHeight="1">
      <c r="B895" s="1"/>
      <c r="C895" s="28"/>
      <c r="D895" s="79"/>
      <c r="E895" s="1"/>
      <c r="F895" s="76"/>
      <c r="G895" s="1"/>
      <c r="H895" s="1"/>
      <c r="J895" s="77"/>
      <c r="K895" s="80"/>
      <c r="L895" s="80"/>
      <c r="M895" s="80"/>
      <c r="N895" s="80"/>
      <c r="O895" s="80"/>
      <c r="P895" s="81"/>
      <c r="Q895" s="35" t="str">
        <f>IF(D895="","",VLOOKUP(MONTH(D895),Listas!$C$2:$D$14,2,0))</f>
        <v/>
      </c>
      <c r="R895" s="36" t="str">
        <f t="shared" si="22"/>
        <v/>
      </c>
      <c r="S895" s="37" t="str">
        <f t="shared" si="23"/>
        <v/>
      </c>
      <c r="T895" s="37" t="str">
        <f t="shared" si="24"/>
        <v/>
      </c>
      <c r="U895" s="37" t="str">
        <f t="shared" si="25"/>
        <v/>
      </c>
      <c r="V895" s="37" t="str">
        <f t="shared" si="26"/>
        <v/>
      </c>
      <c r="W895" s="37" t="str">
        <f t="shared" si="27"/>
        <v/>
      </c>
      <c r="X895" s="37" t="str">
        <f t="shared" si="28"/>
        <v/>
      </c>
      <c r="Y895" s="37" t="str">
        <f t="shared" si="29"/>
        <v/>
      </c>
      <c r="Z895" s="38" t="str">
        <f t="shared" si="30"/>
        <v/>
      </c>
      <c r="AA895" s="39" t="str">
        <f t="shared" si="31"/>
        <v/>
      </c>
    </row>
    <row r="896" ht="15.75" customHeight="1">
      <c r="B896" s="1"/>
      <c r="C896" s="28"/>
      <c r="D896" s="79"/>
      <c r="E896" s="1"/>
      <c r="F896" s="76"/>
      <c r="G896" s="1"/>
      <c r="H896" s="1"/>
      <c r="J896" s="77"/>
      <c r="K896" s="80"/>
      <c r="L896" s="80"/>
      <c r="M896" s="80"/>
      <c r="N896" s="80"/>
      <c r="O896" s="80"/>
      <c r="P896" s="81"/>
      <c r="Q896" s="35" t="str">
        <f>IF(D896="","",VLOOKUP(MONTH(D896),Listas!$C$2:$D$14,2,0))</f>
        <v/>
      </c>
      <c r="R896" s="36" t="str">
        <f t="shared" si="22"/>
        <v/>
      </c>
      <c r="S896" s="37" t="str">
        <f t="shared" si="23"/>
        <v/>
      </c>
      <c r="T896" s="37" t="str">
        <f t="shared" si="24"/>
        <v/>
      </c>
      <c r="U896" s="37" t="str">
        <f t="shared" si="25"/>
        <v/>
      </c>
      <c r="V896" s="37" t="str">
        <f t="shared" si="26"/>
        <v/>
      </c>
      <c r="W896" s="37" t="str">
        <f t="shared" si="27"/>
        <v/>
      </c>
      <c r="X896" s="37" t="str">
        <f t="shared" si="28"/>
        <v/>
      </c>
      <c r="Y896" s="37" t="str">
        <f t="shared" si="29"/>
        <v/>
      </c>
      <c r="Z896" s="38" t="str">
        <f t="shared" si="30"/>
        <v/>
      </c>
      <c r="AA896" s="39" t="str">
        <f t="shared" si="31"/>
        <v/>
      </c>
    </row>
    <row r="897" ht="15.75" customHeight="1">
      <c r="B897" s="1"/>
      <c r="C897" s="28"/>
      <c r="D897" s="79"/>
      <c r="E897" s="1"/>
      <c r="F897" s="76"/>
      <c r="G897" s="1"/>
      <c r="H897" s="1"/>
      <c r="J897" s="77"/>
      <c r="K897" s="80"/>
      <c r="L897" s="80"/>
      <c r="M897" s="80"/>
      <c r="N897" s="80"/>
      <c r="O897" s="80"/>
      <c r="P897" s="81"/>
      <c r="Q897" s="35" t="str">
        <f>IF(D897="","",VLOOKUP(MONTH(D897),Listas!$C$2:$D$14,2,0))</f>
        <v/>
      </c>
      <c r="R897" s="36" t="str">
        <f t="shared" si="22"/>
        <v/>
      </c>
      <c r="S897" s="37" t="str">
        <f t="shared" si="23"/>
        <v/>
      </c>
      <c r="T897" s="37" t="str">
        <f t="shared" si="24"/>
        <v/>
      </c>
      <c r="U897" s="37" t="str">
        <f t="shared" si="25"/>
        <v/>
      </c>
      <c r="V897" s="37" t="str">
        <f t="shared" si="26"/>
        <v/>
      </c>
      <c r="W897" s="37" t="str">
        <f t="shared" si="27"/>
        <v/>
      </c>
      <c r="X897" s="37" t="str">
        <f t="shared" si="28"/>
        <v/>
      </c>
      <c r="Y897" s="37" t="str">
        <f t="shared" si="29"/>
        <v/>
      </c>
      <c r="Z897" s="38" t="str">
        <f t="shared" si="30"/>
        <v/>
      </c>
      <c r="AA897" s="39" t="str">
        <f t="shared" si="31"/>
        <v/>
      </c>
    </row>
    <row r="898" ht="15.75" customHeight="1">
      <c r="B898" s="1"/>
      <c r="C898" s="28"/>
      <c r="D898" s="79"/>
      <c r="E898" s="1"/>
      <c r="F898" s="76"/>
      <c r="G898" s="1"/>
      <c r="H898" s="1"/>
      <c r="J898" s="77"/>
      <c r="K898" s="80"/>
      <c r="L898" s="80"/>
      <c r="M898" s="80"/>
      <c r="N898" s="80"/>
      <c r="O898" s="80"/>
      <c r="P898" s="81"/>
      <c r="Q898" s="35" t="str">
        <f>IF(D898="","",VLOOKUP(MONTH(D898),Listas!$C$2:$D$14,2,0))</f>
        <v/>
      </c>
      <c r="R898" s="36" t="str">
        <f t="shared" si="22"/>
        <v/>
      </c>
      <c r="S898" s="37" t="str">
        <f t="shared" si="23"/>
        <v/>
      </c>
      <c r="T898" s="37" t="str">
        <f t="shared" si="24"/>
        <v/>
      </c>
      <c r="U898" s="37" t="str">
        <f t="shared" si="25"/>
        <v/>
      </c>
      <c r="V898" s="37" t="str">
        <f t="shared" si="26"/>
        <v/>
      </c>
      <c r="W898" s="37" t="str">
        <f t="shared" si="27"/>
        <v/>
      </c>
      <c r="X898" s="37" t="str">
        <f t="shared" si="28"/>
        <v/>
      </c>
      <c r="Y898" s="37" t="str">
        <f t="shared" si="29"/>
        <v/>
      </c>
      <c r="Z898" s="38" t="str">
        <f t="shared" si="30"/>
        <v/>
      </c>
      <c r="AA898" s="39" t="str">
        <f t="shared" si="31"/>
        <v/>
      </c>
    </row>
    <row r="899" ht="15.75" customHeight="1">
      <c r="B899" s="1"/>
      <c r="C899" s="28"/>
      <c r="D899" s="79"/>
      <c r="E899" s="1"/>
      <c r="F899" s="76"/>
      <c r="G899" s="1"/>
      <c r="H899" s="1"/>
      <c r="J899" s="77"/>
      <c r="K899" s="80"/>
      <c r="L899" s="80"/>
      <c r="M899" s="80"/>
      <c r="N899" s="80"/>
      <c r="O899" s="80"/>
      <c r="P899" s="81"/>
      <c r="Q899" s="35" t="str">
        <f>IF(D899="","",VLOOKUP(MONTH(D899),Listas!$C$2:$D$14,2,0))</f>
        <v/>
      </c>
      <c r="R899" s="36" t="str">
        <f t="shared" si="22"/>
        <v/>
      </c>
      <c r="S899" s="37" t="str">
        <f t="shared" si="23"/>
        <v/>
      </c>
      <c r="T899" s="37" t="str">
        <f t="shared" si="24"/>
        <v/>
      </c>
      <c r="U899" s="37" t="str">
        <f t="shared" si="25"/>
        <v/>
      </c>
      <c r="V899" s="37" t="str">
        <f t="shared" si="26"/>
        <v/>
      </c>
      <c r="W899" s="37" t="str">
        <f t="shared" si="27"/>
        <v/>
      </c>
      <c r="X899" s="37" t="str">
        <f t="shared" si="28"/>
        <v/>
      </c>
      <c r="Y899" s="37" t="str">
        <f t="shared" si="29"/>
        <v/>
      </c>
      <c r="Z899" s="38" t="str">
        <f t="shared" si="30"/>
        <v/>
      </c>
      <c r="AA899" s="39" t="str">
        <f t="shared" si="31"/>
        <v/>
      </c>
    </row>
    <row r="900" ht="15.75" customHeight="1">
      <c r="B900" s="1"/>
      <c r="C900" s="28"/>
      <c r="D900" s="79"/>
      <c r="E900" s="1"/>
      <c r="F900" s="76"/>
      <c r="G900" s="1"/>
      <c r="H900" s="1"/>
      <c r="J900" s="77"/>
      <c r="K900" s="80"/>
      <c r="L900" s="80"/>
      <c r="M900" s="80"/>
      <c r="N900" s="80"/>
      <c r="O900" s="80"/>
      <c r="P900" s="81"/>
      <c r="Q900" s="35" t="str">
        <f>IF(D900="","",VLOOKUP(MONTH(D900),Listas!$C$2:$D$14,2,0))</f>
        <v/>
      </c>
      <c r="R900" s="36" t="str">
        <f t="shared" si="22"/>
        <v/>
      </c>
      <c r="S900" s="37" t="str">
        <f t="shared" si="23"/>
        <v/>
      </c>
      <c r="T900" s="37" t="str">
        <f t="shared" si="24"/>
        <v/>
      </c>
      <c r="U900" s="37" t="str">
        <f t="shared" si="25"/>
        <v/>
      </c>
      <c r="V900" s="37" t="str">
        <f t="shared" si="26"/>
        <v/>
      </c>
      <c r="W900" s="37" t="str">
        <f t="shared" si="27"/>
        <v/>
      </c>
      <c r="X900" s="37" t="str">
        <f t="shared" si="28"/>
        <v/>
      </c>
      <c r="Y900" s="37" t="str">
        <f t="shared" si="29"/>
        <v/>
      </c>
      <c r="Z900" s="38" t="str">
        <f t="shared" si="30"/>
        <v/>
      </c>
      <c r="AA900" s="39" t="str">
        <f t="shared" si="31"/>
        <v/>
      </c>
    </row>
    <row r="901" ht="15.75" customHeight="1">
      <c r="B901" s="1"/>
      <c r="C901" s="28"/>
      <c r="D901" s="79"/>
      <c r="E901" s="1"/>
      <c r="F901" s="76"/>
      <c r="G901" s="1"/>
      <c r="H901" s="1"/>
      <c r="J901" s="77"/>
      <c r="K901" s="80"/>
      <c r="L901" s="80"/>
      <c r="M901" s="80"/>
      <c r="N901" s="80"/>
      <c r="O901" s="80"/>
      <c r="P901" s="81"/>
      <c r="Q901" s="35" t="str">
        <f>IF(D901="","",VLOOKUP(MONTH(D901),Listas!$C$2:$D$14,2,0))</f>
        <v/>
      </c>
      <c r="R901" s="36" t="str">
        <f t="shared" si="22"/>
        <v/>
      </c>
      <c r="S901" s="37" t="str">
        <f t="shared" si="23"/>
        <v/>
      </c>
      <c r="T901" s="37" t="str">
        <f t="shared" si="24"/>
        <v/>
      </c>
      <c r="U901" s="37" t="str">
        <f t="shared" si="25"/>
        <v/>
      </c>
      <c r="V901" s="37" t="str">
        <f t="shared" si="26"/>
        <v/>
      </c>
      <c r="W901" s="37" t="str">
        <f t="shared" si="27"/>
        <v/>
      </c>
      <c r="X901" s="37" t="str">
        <f t="shared" si="28"/>
        <v/>
      </c>
      <c r="Y901" s="37" t="str">
        <f t="shared" si="29"/>
        <v/>
      </c>
      <c r="Z901" s="38" t="str">
        <f t="shared" si="30"/>
        <v/>
      </c>
      <c r="AA901" s="39" t="str">
        <f t="shared" si="31"/>
        <v/>
      </c>
    </row>
    <row r="902" ht="15.75" customHeight="1">
      <c r="B902" s="1"/>
      <c r="C902" s="28"/>
      <c r="D902" s="79"/>
      <c r="E902" s="1"/>
      <c r="F902" s="76"/>
      <c r="G902" s="1"/>
      <c r="H902" s="1"/>
      <c r="J902" s="77"/>
      <c r="K902" s="80"/>
      <c r="L902" s="80"/>
      <c r="M902" s="80"/>
      <c r="N902" s="80"/>
      <c r="O902" s="80"/>
      <c r="P902" s="81"/>
      <c r="Q902" s="35" t="str">
        <f>IF(D902="","",VLOOKUP(MONTH(D902),Listas!$C$2:$D$14,2,0))</f>
        <v/>
      </c>
      <c r="R902" s="36" t="str">
        <f t="shared" si="22"/>
        <v/>
      </c>
      <c r="S902" s="37" t="str">
        <f t="shared" si="23"/>
        <v/>
      </c>
      <c r="T902" s="37" t="str">
        <f t="shared" si="24"/>
        <v/>
      </c>
      <c r="U902" s="37" t="str">
        <f t="shared" si="25"/>
        <v/>
      </c>
      <c r="V902" s="37" t="str">
        <f t="shared" si="26"/>
        <v/>
      </c>
      <c r="W902" s="37" t="str">
        <f t="shared" si="27"/>
        <v/>
      </c>
      <c r="X902" s="37" t="str">
        <f t="shared" si="28"/>
        <v/>
      </c>
      <c r="Y902" s="37" t="str">
        <f t="shared" si="29"/>
        <v/>
      </c>
      <c r="Z902" s="38" t="str">
        <f t="shared" si="30"/>
        <v/>
      </c>
      <c r="AA902" s="39" t="str">
        <f t="shared" si="31"/>
        <v/>
      </c>
    </row>
    <row r="903" ht="15.75" customHeight="1">
      <c r="B903" s="1"/>
      <c r="C903" s="28"/>
      <c r="D903" s="79"/>
      <c r="E903" s="1"/>
      <c r="F903" s="76"/>
      <c r="G903" s="1"/>
      <c r="H903" s="1"/>
      <c r="J903" s="77"/>
      <c r="K903" s="80"/>
      <c r="L903" s="80"/>
      <c r="M903" s="80"/>
      <c r="N903" s="80"/>
      <c r="O903" s="80"/>
      <c r="P903" s="81"/>
      <c r="Q903" s="35" t="str">
        <f>IF(D903="","",VLOOKUP(MONTH(D903),Listas!$C$2:$D$14,2,0))</f>
        <v/>
      </c>
      <c r="R903" s="36" t="str">
        <f t="shared" si="22"/>
        <v/>
      </c>
      <c r="S903" s="37" t="str">
        <f t="shared" si="23"/>
        <v/>
      </c>
      <c r="T903" s="37" t="str">
        <f t="shared" si="24"/>
        <v/>
      </c>
      <c r="U903" s="37" t="str">
        <f t="shared" si="25"/>
        <v/>
      </c>
      <c r="V903" s="37" t="str">
        <f t="shared" si="26"/>
        <v/>
      </c>
      <c r="W903" s="37" t="str">
        <f t="shared" si="27"/>
        <v/>
      </c>
      <c r="X903" s="37" t="str">
        <f t="shared" si="28"/>
        <v/>
      </c>
      <c r="Y903" s="37" t="str">
        <f t="shared" si="29"/>
        <v/>
      </c>
      <c r="Z903" s="38" t="str">
        <f t="shared" si="30"/>
        <v/>
      </c>
      <c r="AA903" s="39" t="str">
        <f t="shared" si="31"/>
        <v/>
      </c>
    </row>
    <row r="904" ht="15.75" customHeight="1">
      <c r="B904" s="1"/>
      <c r="C904" s="28"/>
      <c r="D904" s="79"/>
      <c r="E904" s="1"/>
      <c r="F904" s="76"/>
      <c r="G904" s="1"/>
      <c r="H904" s="1"/>
      <c r="J904" s="77"/>
      <c r="K904" s="80"/>
      <c r="L904" s="80"/>
      <c r="M904" s="80"/>
      <c r="N904" s="80"/>
      <c r="O904" s="80"/>
      <c r="P904" s="81"/>
      <c r="Q904" s="35" t="str">
        <f>IF(D904="","",VLOOKUP(MONTH(D904),Listas!$C$2:$D$14,2,0))</f>
        <v/>
      </c>
      <c r="R904" s="36" t="str">
        <f t="shared" si="22"/>
        <v/>
      </c>
      <c r="S904" s="37" t="str">
        <f t="shared" si="23"/>
        <v/>
      </c>
      <c r="T904" s="37" t="str">
        <f t="shared" si="24"/>
        <v/>
      </c>
      <c r="U904" s="37" t="str">
        <f t="shared" si="25"/>
        <v/>
      </c>
      <c r="V904" s="37" t="str">
        <f t="shared" si="26"/>
        <v/>
      </c>
      <c r="W904" s="37" t="str">
        <f t="shared" si="27"/>
        <v/>
      </c>
      <c r="X904" s="37" t="str">
        <f t="shared" si="28"/>
        <v/>
      </c>
      <c r="Y904" s="37" t="str">
        <f t="shared" si="29"/>
        <v/>
      </c>
      <c r="Z904" s="38" t="str">
        <f t="shared" si="30"/>
        <v/>
      </c>
      <c r="AA904" s="39" t="str">
        <f t="shared" si="31"/>
        <v/>
      </c>
    </row>
    <row r="905" ht="15.75" customHeight="1">
      <c r="B905" s="1"/>
      <c r="C905" s="28"/>
      <c r="D905" s="79"/>
      <c r="E905" s="1"/>
      <c r="F905" s="76"/>
      <c r="G905" s="1"/>
      <c r="H905" s="1"/>
      <c r="J905" s="77"/>
      <c r="K905" s="80"/>
      <c r="L905" s="80"/>
      <c r="M905" s="80"/>
      <c r="N905" s="80"/>
      <c r="O905" s="80"/>
      <c r="P905" s="81"/>
      <c r="Q905" s="35" t="str">
        <f>IF(D905="","",VLOOKUP(MONTH(D905),Listas!$C$2:$D$14,2,0))</f>
        <v/>
      </c>
      <c r="R905" s="36" t="str">
        <f t="shared" si="22"/>
        <v/>
      </c>
      <c r="S905" s="37" t="str">
        <f t="shared" si="23"/>
        <v/>
      </c>
      <c r="T905" s="37" t="str">
        <f t="shared" si="24"/>
        <v/>
      </c>
      <c r="U905" s="37" t="str">
        <f t="shared" si="25"/>
        <v/>
      </c>
      <c r="V905" s="37" t="str">
        <f t="shared" si="26"/>
        <v/>
      </c>
      <c r="W905" s="37" t="str">
        <f t="shared" si="27"/>
        <v/>
      </c>
      <c r="X905" s="37" t="str">
        <f t="shared" si="28"/>
        <v/>
      </c>
      <c r="Y905" s="37" t="str">
        <f t="shared" si="29"/>
        <v/>
      </c>
      <c r="Z905" s="38" t="str">
        <f t="shared" si="30"/>
        <v/>
      </c>
      <c r="AA905" s="39" t="str">
        <f t="shared" si="31"/>
        <v/>
      </c>
    </row>
    <row r="906" ht="15.75" customHeight="1">
      <c r="B906" s="1"/>
      <c r="C906" s="28"/>
      <c r="D906" s="79"/>
      <c r="E906" s="1"/>
      <c r="F906" s="76"/>
      <c r="G906" s="1"/>
      <c r="H906" s="1"/>
      <c r="J906" s="77"/>
      <c r="K906" s="80"/>
      <c r="L906" s="80"/>
      <c r="M906" s="80"/>
      <c r="N906" s="80"/>
      <c r="O906" s="80"/>
      <c r="P906" s="81"/>
      <c r="Q906" s="35" t="str">
        <f>IF(D906="","",VLOOKUP(MONTH(D906),Listas!$C$2:$D$14,2,0))</f>
        <v/>
      </c>
      <c r="R906" s="36" t="str">
        <f t="shared" si="22"/>
        <v/>
      </c>
      <c r="S906" s="37" t="str">
        <f t="shared" si="23"/>
        <v/>
      </c>
      <c r="T906" s="37" t="str">
        <f t="shared" si="24"/>
        <v/>
      </c>
      <c r="U906" s="37" t="str">
        <f t="shared" si="25"/>
        <v/>
      </c>
      <c r="V906" s="37" t="str">
        <f t="shared" si="26"/>
        <v/>
      </c>
      <c r="W906" s="37" t="str">
        <f t="shared" si="27"/>
        <v/>
      </c>
      <c r="X906" s="37" t="str">
        <f t="shared" si="28"/>
        <v/>
      </c>
      <c r="Y906" s="37" t="str">
        <f t="shared" si="29"/>
        <v/>
      </c>
      <c r="Z906" s="38" t="str">
        <f t="shared" si="30"/>
        <v/>
      </c>
      <c r="AA906" s="39" t="str">
        <f t="shared" si="31"/>
        <v/>
      </c>
    </row>
    <row r="907" ht="15.75" customHeight="1">
      <c r="B907" s="1"/>
      <c r="C907" s="28"/>
      <c r="D907" s="79"/>
      <c r="E907" s="1"/>
      <c r="F907" s="76"/>
      <c r="G907" s="1"/>
      <c r="H907" s="1"/>
      <c r="J907" s="77"/>
      <c r="K907" s="80"/>
      <c r="L907" s="80"/>
      <c r="M907" s="80"/>
      <c r="N907" s="80"/>
      <c r="O907" s="80"/>
      <c r="P907" s="81"/>
      <c r="Q907" s="35" t="str">
        <f>IF(D907="","",VLOOKUP(MONTH(D907),Listas!$C$2:$D$14,2,0))</f>
        <v/>
      </c>
      <c r="R907" s="36" t="str">
        <f t="shared" si="22"/>
        <v/>
      </c>
      <c r="S907" s="37" t="str">
        <f t="shared" si="23"/>
        <v/>
      </c>
      <c r="T907" s="37" t="str">
        <f t="shared" si="24"/>
        <v/>
      </c>
      <c r="U907" s="37" t="str">
        <f t="shared" si="25"/>
        <v/>
      </c>
      <c r="V907" s="37" t="str">
        <f t="shared" si="26"/>
        <v/>
      </c>
      <c r="W907" s="37" t="str">
        <f t="shared" si="27"/>
        <v/>
      </c>
      <c r="X907" s="37" t="str">
        <f t="shared" si="28"/>
        <v/>
      </c>
      <c r="Y907" s="37" t="str">
        <f t="shared" si="29"/>
        <v/>
      </c>
      <c r="Z907" s="38" t="str">
        <f t="shared" si="30"/>
        <v/>
      </c>
      <c r="AA907" s="39" t="str">
        <f t="shared" si="31"/>
        <v/>
      </c>
    </row>
    <row r="908" ht="15.75" customHeight="1">
      <c r="B908" s="1"/>
      <c r="C908" s="28"/>
      <c r="D908" s="79"/>
      <c r="E908" s="1"/>
      <c r="F908" s="76"/>
      <c r="G908" s="1"/>
      <c r="H908" s="1"/>
      <c r="J908" s="77"/>
      <c r="K908" s="80"/>
      <c r="L908" s="80"/>
      <c r="M908" s="80"/>
      <c r="N908" s="80"/>
      <c r="O908" s="80"/>
      <c r="P908" s="81"/>
      <c r="Q908" s="35" t="str">
        <f>IF(D908="","",VLOOKUP(MONTH(D908),Listas!$C$2:$D$14,2,0))</f>
        <v/>
      </c>
      <c r="R908" s="36" t="str">
        <f t="shared" si="22"/>
        <v/>
      </c>
      <c r="S908" s="37" t="str">
        <f t="shared" si="23"/>
        <v/>
      </c>
      <c r="T908" s="37" t="str">
        <f t="shared" si="24"/>
        <v/>
      </c>
      <c r="U908" s="37" t="str">
        <f t="shared" si="25"/>
        <v/>
      </c>
      <c r="V908" s="37" t="str">
        <f t="shared" si="26"/>
        <v/>
      </c>
      <c r="W908" s="37" t="str">
        <f t="shared" si="27"/>
        <v/>
      </c>
      <c r="X908" s="37" t="str">
        <f t="shared" si="28"/>
        <v/>
      </c>
      <c r="Y908" s="37" t="str">
        <f t="shared" si="29"/>
        <v/>
      </c>
      <c r="Z908" s="38" t="str">
        <f t="shared" si="30"/>
        <v/>
      </c>
      <c r="AA908" s="39" t="str">
        <f t="shared" si="31"/>
        <v/>
      </c>
    </row>
    <row r="909" ht="15.75" customHeight="1">
      <c r="B909" s="1"/>
      <c r="C909" s="28"/>
      <c r="D909" s="79"/>
      <c r="E909" s="1"/>
      <c r="F909" s="76"/>
      <c r="G909" s="1"/>
      <c r="H909" s="1"/>
      <c r="J909" s="77"/>
      <c r="K909" s="80"/>
      <c r="L909" s="80"/>
      <c r="M909" s="80"/>
      <c r="N909" s="80"/>
      <c r="O909" s="80"/>
      <c r="P909" s="81"/>
      <c r="Q909" s="35" t="str">
        <f>IF(D909="","",VLOOKUP(MONTH(D909),Listas!$C$2:$D$14,2,0))</f>
        <v/>
      </c>
      <c r="R909" s="36" t="str">
        <f t="shared" si="22"/>
        <v/>
      </c>
      <c r="S909" s="37" t="str">
        <f t="shared" si="23"/>
        <v/>
      </c>
      <c r="T909" s="37" t="str">
        <f t="shared" si="24"/>
        <v/>
      </c>
      <c r="U909" s="37" t="str">
        <f t="shared" si="25"/>
        <v/>
      </c>
      <c r="V909" s="37" t="str">
        <f t="shared" si="26"/>
        <v/>
      </c>
      <c r="W909" s="37" t="str">
        <f t="shared" si="27"/>
        <v/>
      </c>
      <c r="X909" s="37" t="str">
        <f t="shared" si="28"/>
        <v/>
      </c>
      <c r="Y909" s="37" t="str">
        <f t="shared" si="29"/>
        <v/>
      </c>
      <c r="Z909" s="38" t="str">
        <f t="shared" si="30"/>
        <v/>
      </c>
      <c r="AA909" s="39" t="str">
        <f t="shared" si="31"/>
        <v/>
      </c>
    </row>
    <row r="910" ht="15.75" customHeight="1">
      <c r="B910" s="1"/>
      <c r="C910" s="28"/>
      <c r="D910" s="79"/>
      <c r="E910" s="1"/>
      <c r="F910" s="76"/>
      <c r="G910" s="1"/>
      <c r="H910" s="1"/>
      <c r="J910" s="77"/>
      <c r="K910" s="80"/>
      <c r="L910" s="80"/>
      <c r="M910" s="80"/>
      <c r="N910" s="80"/>
      <c r="O910" s="80"/>
      <c r="P910" s="81"/>
      <c r="Q910" s="35" t="str">
        <f>IF(D910="","",VLOOKUP(MONTH(D910),Listas!$C$2:$D$14,2,0))</f>
        <v/>
      </c>
      <c r="R910" s="36" t="str">
        <f t="shared" si="22"/>
        <v/>
      </c>
      <c r="S910" s="37" t="str">
        <f t="shared" si="23"/>
        <v/>
      </c>
      <c r="T910" s="37" t="str">
        <f t="shared" si="24"/>
        <v/>
      </c>
      <c r="U910" s="37" t="str">
        <f t="shared" si="25"/>
        <v/>
      </c>
      <c r="V910" s="37" t="str">
        <f t="shared" si="26"/>
        <v/>
      </c>
      <c r="W910" s="37" t="str">
        <f t="shared" si="27"/>
        <v/>
      </c>
      <c r="X910" s="37" t="str">
        <f t="shared" si="28"/>
        <v/>
      </c>
      <c r="Y910" s="37" t="str">
        <f t="shared" si="29"/>
        <v/>
      </c>
      <c r="Z910" s="38" t="str">
        <f t="shared" si="30"/>
        <v/>
      </c>
      <c r="AA910" s="39" t="str">
        <f t="shared" si="31"/>
        <v/>
      </c>
    </row>
    <row r="911" ht="15.75" customHeight="1">
      <c r="B911" s="1"/>
      <c r="C911" s="28"/>
      <c r="D911" s="79"/>
      <c r="E911" s="1"/>
      <c r="F911" s="76"/>
      <c r="G911" s="1"/>
      <c r="H911" s="1"/>
      <c r="J911" s="77"/>
      <c r="K911" s="80"/>
      <c r="L911" s="80"/>
      <c r="M911" s="80"/>
      <c r="N911" s="80"/>
      <c r="O911" s="80"/>
      <c r="P911" s="81"/>
      <c r="Q911" s="35" t="str">
        <f>IF(D911="","",VLOOKUP(MONTH(D911),Listas!$C$2:$D$14,2,0))</f>
        <v/>
      </c>
      <c r="R911" s="36" t="str">
        <f t="shared" si="22"/>
        <v/>
      </c>
      <c r="S911" s="37" t="str">
        <f t="shared" si="23"/>
        <v/>
      </c>
      <c r="T911" s="37" t="str">
        <f t="shared" si="24"/>
        <v/>
      </c>
      <c r="U911" s="37" t="str">
        <f t="shared" si="25"/>
        <v/>
      </c>
      <c r="V911" s="37" t="str">
        <f t="shared" si="26"/>
        <v/>
      </c>
      <c r="W911" s="37" t="str">
        <f t="shared" si="27"/>
        <v/>
      </c>
      <c r="X911" s="37" t="str">
        <f t="shared" si="28"/>
        <v/>
      </c>
      <c r="Y911" s="37" t="str">
        <f t="shared" si="29"/>
        <v/>
      </c>
      <c r="Z911" s="38" t="str">
        <f t="shared" si="30"/>
        <v/>
      </c>
      <c r="AA911" s="39" t="str">
        <f t="shared" si="31"/>
        <v/>
      </c>
    </row>
    <row r="912" ht="15.75" customHeight="1">
      <c r="B912" s="1"/>
      <c r="C912" s="28"/>
      <c r="D912" s="79"/>
      <c r="E912" s="1"/>
      <c r="F912" s="76"/>
      <c r="G912" s="1"/>
      <c r="H912" s="1"/>
      <c r="J912" s="77"/>
      <c r="K912" s="80"/>
      <c r="L912" s="80"/>
      <c r="M912" s="80"/>
      <c r="N912" s="80"/>
      <c r="O912" s="80"/>
      <c r="P912" s="81"/>
      <c r="Q912" s="35" t="str">
        <f>IF(D912="","",VLOOKUP(MONTH(D912),Listas!$C$2:$D$14,2,0))</f>
        <v/>
      </c>
      <c r="R912" s="36" t="str">
        <f t="shared" si="22"/>
        <v/>
      </c>
      <c r="S912" s="37" t="str">
        <f t="shared" si="23"/>
        <v/>
      </c>
      <c r="T912" s="37" t="str">
        <f t="shared" si="24"/>
        <v/>
      </c>
      <c r="U912" s="37" t="str">
        <f t="shared" si="25"/>
        <v/>
      </c>
      <c r="V912" s="37" t="str">
        <f t="shared" si="26"/>
        <v/>
      </c>
      <c r="W912" s="37" t="str">
        <f t="shared" si="27"/>
        <v/>
      </c>
      <c r="X912" s="37" t="str">
        <f t="shared" si="28"/>
        <v/>
      </c>
      <c r="Y912" s="37" t="str">
        <f t="shared" si="29"/>
        <v/>
      </c>
      <c r="Z912" s="38" t="str">
        <f t="shared" si="30"/>
        <v/>
      </c>
      <c r="AA912" s="39" t="str">
        <f t="shared" si="31"/>
        <v/>
      </c>
    </row>
    <row r="913" ht="15.75" customHeight="1">
      <c r="B913" s="1"/>
      <c r="C913" s="28"/>
      <c r="D913" s="79"/>
      <c r="E913" s="1"/>
      <c r="F913" s="76"/>
      <c r="G913" s="1"/>
      <c r="H913" s="1"/>
      <c r="J913" s="77"/>
      <c r="K913" s="80"/>
      <c r="L913" s="80"/>
      <c r="M913" s="80"/>
      <c r="N913" s="80"/>
      <c r="O913" s="80"/>
      <c r="P913" s="81"/>
      <c r="Q913" s="35" t="str">
        <f>IF(D913="","",VLOOKUP(MONTH(D913),Listas!$C$2:$D$14,2,0))</f>
        <v/>
      </c>
      <c r="R913" s="36" t="str">
        <f t="shared" si="22"/>
        <v/>
      </c>
      <c r="S913" s="37" t="str">
        <f t="shared" si="23"/>
        <v/>
      </c>
      <c r="T913" s="37" t="str">
        <f t="shared" si="24"/>
        <v/>
      </c>
      <c r="U913" s="37" t="str">
        <f t="shared" si="25"/>
        <v/>
      </c>
      <c r="V913" s="37" t="str">
        <f t="shared" si="26"/>
        <v/>
      </c>
      <c r="W913" s="37" t="str">
        <f t="shared" si="27"/>
        <v/>
      </c>
      <c r="X913" s="37" t="str">
        <f t="shared" si="28"/>
        <v/>
      </c>
      <c r="Y913" s="37" t="str">
        <f t="shared" si="29"/>
        <v/>
      </c>
      <c r="Z913" s="38" t="str">
        <f t="shared" si="30"/>
        <v/>
      </c>
      <c r="AA913" s="39" t="str">
        <f t="shared" si="31"/>
        <v/>
      </c>
    </row>
    <row r="914" ht="15.75" customHeight="1">
      <c r="B914" s="1"/>
      <c r="C914" s="28"/>
      <c r="D914" s="79"/>
      <c r="E914" s="1"/>
      <c r="F914" s="76"/>
      <c r="G914" s="1"/>
      <c r="H914" s="1"/>
      <c r="J914" s="77"/>
      <c r="K914" s="80"/>
      <c r="L914" s="80"/>
      <c r="M914" s="80"/>
      <c r="N914" s="80"/>
      <c r="O914" s="80"/>
      <c r="P914" s="81"/>
      <c r="Q914" s="35" t="str">
        <f>IF(D914="","",VLOOKUP(MONTH(D914),Listas!$C$2:$D$14,2,0))</f>
        <v/>
      </c>
      <c r="R914" s="36" t="str">
        <f t="shared" si="22"/>
        <v/>
      </c>
      <c r="S914" s="37" t="str">
        <f t="shared" si="23"/>
        <v/>
      </c>
      <c r="T914" s="37" t="str">
        <f t="shared" si="24"/>
        <v/>
      </c>
      <c r="U914" s="37" t="str">
        <f t="shared" si="25"/>
        <v/>
      </c>
      <c r="V914" s="37" t="str">
        <f t="shared" si="26"/>
        <v/>
      </c>
      <c r="W914" s="37" t="str">
        <f t="shared" si="27"/>
        <v/>
      </c>
      <c r="X914" s="37" t="str">
        <f t="shared" si="28"/>
        <v/>
      </c>
      <c r="Y914" s="37" t="str">
        <f t="shared" si="29"/>
        <v/>
      </c>
      <c r="Z914" s="38" t="str">
        <f t="shared" si="30"/>
        <v/>
      </c>
      <c r="AA914" s="39" t="str">
        <f t="shared" si="31"/>
        <v/>
      </c>
    </row>
    <row r="915" ht="15.75" customHeight="1">
      <c r="B915" s="1"/>
      <c r="C915" s="28"/>
      <c r="D915" s="79"/>
      <c r="E915" s="1"/>
      <c r="F915" s="76"/>
      <c r="G915" s="1"/>
      <c r="H915" s="1"/>
      <c r="J915" s="77"/>
      <c r="K915" s="80"/>
      <c r="L915" s="80"/>
      <c r="M915" s="80"/>
      <c r="N915" s="80"/>
      <c r="O915" s="80"/>
      <c r="P915" s="81"/>
      <c r="Q915" s="35" t="str">
        <f>IF(D915="","",VLOOKUP(MONTH(D915),Listas!$C$2:$D$14,2,0))</f>
        <v/>
      </c>
      <c r="R915" s="36" t="str">
        <f t="shared" si="22"/>
        <v/>
      </c>
      <c r="S915" s="37" t="str">
        <f t="shared" si="23"/>
        <v/>
      </c>
      <c r="T915" s="37" t="str">
        <f t="shared" si="24"/>
        <v/>
      </c>
      <c r="U915" s="37" t="str">
        <f t="shared" si="25"/>
        <v/>
      </c>
      <c r="V915" s="37" t="str">
        <f t="shared" si="26"/>
        <v/>
      </c>
      <c r="W915" s="37" t="str">
        <f t="shared" si="27"/>
        <v/>
      </c>
      <c r="X915" s="37" t="str">
        <f t="shared" si="28"/>
        <v/>
      </c>
      <c r="Y915" s="37" t="str">
        <f t="shared" si="29"/>
        <v/>
      </c>
      <c r="Z915" s="38" t="str">
        <f t="shared" si="30"/>
        <v/>
      </c>
      <c r="AA915" s="39" t="str">
        <f t="shared" si="31"/>
        <v/>
      </c>
    </row>
    <row r="916" ht="15.75" customHeight="1">
      <c r="B916" s="1"/>
      <c r="C916" s="28"/>
      <c r="D916" s="79"/>
      <c r="E916" s="1"/>
      <c r="F916" s="76"/>
      <c r="G916" s="1"/>
      <c r="H916" s="1"/>
      <c r="J916" s="77"/>
      <c r="K916" s="80"/>
      <c r="L916" s="80"/>
      <c r="M916" s="80"/>
      <c r="N916" s="80"/>
      <c r="O916" s="80"/>
      <c r="P916" s="81"/>
      <c r="Q916" s="35" t="str">
        <f>IF(D916="","",VLOOKUP(MONTH(D916),Listas!$C$2:$D$14,2,0))</f>
        <v/>
      </c>
      <c r="R916" s="36" t="str">
        <f t="shared" si="22"/>
        <v/>
      </c>
      <c r="S916" s="37" t="str">
        <f t="shared" si="23"/>
        <v/>
      </c>
      <c r="T916" s="37" t="str">
        <f t="shared" si="24"/>
        <v/>
      </c>
      <c r="U916" s="37" t="str">
        <f t="shared" si="25"/>
        <v/>
      </c>
      <c r="V916" s="37" t="str">
        <f t="shared" si="26"/>
        <v/>
      </c>
      <c r="W916" s="37" t="str">
        <f t="shared" si="27"/>
        <v/>
      </c>
      <c r="X916" s="37" t="str">
        <f t="shared" si="28"/>
        <v/>
      </c>
      <c r="Y916" s="37" t="str">
        <f t="shared" si="29"/>
        <v/>
      </c>
      <c r="Z916" s="38" t="str">
        <f t="shared" si="30"/>
        <v/>
      </c>
      <c r="AA916" s="39" t="str">
        <f t="shared" si="31"/>
        <v/>
      </c>
    </row>
    <row r="917" ht="15.75" customHeight="1">
      <c r="B917" s="1"/>
      <c r="C917" s="28"/>
      <c r="D917" s="79"/>
      <c r="E917" s="1"/>
      <c r="F917" s="76"/>
      <c r="G917" s="1"/>
      <c r="H917" s="1"/>
      <c r="J917" s="77"/>
      <c r="K917" s="80"/>
      <c r="L917" s="80"/>
      <c r="M917" s="80"/>
      <c r="N917" s="80"/>
      <c r="O917" s="80"/>
      <c r="P917" s="81"/>
      <c r="Q917" s="35" t="str">
        <f>IF(D917="","",VLOOKUP(MONTH(D917),Listas!$C$2:$D$14,2,0))</f>
        <v/>
      </c>
      <c r="R917" s="36" t="str">
        <f t="shared" si="22"/>
        <v/>
      </c>
      <c r="S917" s="37" t="str">
        <f t="shared" si="23"/>
        <v/>
      </c>
      <c r="T917" s="37" t="str">
        <f t="shared" si="24"/>
        <v/>
      </c>
      <c r="U917" s="37" t="str">
        <f t="shared" si="25"/>
        <v/>
      </c>
      <c r="V917" s="37" t="str">
        <f t="shared" si="26"/>
        <v/>
      </c>
      <c r="W917" s="37" t="str">
        <f t="shared" si="27"/>
        <v/>
      </c>
      <c r="X917" s="37" t="str">
        <f t="shared" si="28"/>
        <v/>
      </c>
      <c r="Y917" s="37" t="str">
        <f t="shared" si="29"/>
        <v/>
      </c>
      <c r="Z917" s="38" t="str">
        <f t="shared" si="30"/>
        <v/>
      </c>
      <c r="AA917" s="39" t="str">
        <f t="shared" si="31"/>
        <v/>
      </c>
    </row>
    <row r="918" ht="15.75" customHeight="1">
      <c r="B918" s="1"/>
      <c r="C918" s="28"/>
      <c r="D918" s="79"/>
      <c r="E918" s="1"/>
      <c r="F918" s="76"/>
      <c r="G918" s="1"/>
      <c r="H918" s="1"/>
      <c r="J918" s="77"/>
      <c r="K918" s="80"/>
      <c r="L918" s="80"/>
      <c r="M918" s="80"/>
      <c r="N918" s="80"/>
      <c r="O918" s="80"/>
      <c r="P918" s="81"/>
      <c r="Q918" s="35" t="str">
        <f>IF(D918="","",VLOOKUP(MONTH(D918),Listas!$C$2:$D$14,2,0))</f>
        <v/>
      </c>
      <c r="R918" s="36" t="str">
        <f t="shared" si="22"/>
        <v/>
      </c>
      <c r="S918" s="37" t="str">
        <f t="shared" si="23"/>
        <v/>
      </c>
      <c r="T918" s="37" t="str">
        <f t="shared" si="24"/>
        <v/>
      </c>
      <c r="U918" s="37" t="str">
        <f t="shared" si="25"/>
        <v/>
      </c>
      <c r="V918" s="37" t="str">
        <f t="shared" si="26"/>
        <v/>
      </c>
      <c r="W918" s="37" t="str">
        <f t="shared" si="27"/>
        <v/>
      </c>
      <c r="X918" s="37" t="str">
        <f t="shared" si="28"/>
        <v/>
      </c>
      <c r="Y918" s="37" t="str">
        <f t="shared" si="29"/>
        <v/>
      </c>
      <c r="Z918" s="38" t="str">
        <f t="shared" si="30"/>
        <v/>
      </c>
      <c r="AA918" s="39" t="str">
        <f t="shared" si="31"/>
        <v/>
      </c>
    </row>
    <row r="919" ht="15.75" customHeight="1">
      <c r="B919" s="1"/>
      <c r="C919" s="28"/>
      <c r="D919" s="79"/>
      <c r="E919" s="1"/>
      <c r="F919" s="76"/>
      <c r="G919" s="1"/>
      <c r="H919" s="1"/>
      <c r="J919" s="77"/>
      <c r="K919" s="80"/>
      <c r="L919" s="80"/>
      <c r="M919" s="80"/>
      <c r="N919" s="80"/>
      <c r="O919" s="80"/>
      <c r="P919" s="81"/>
      <c r="Q919" s="35" t="str">
        <f>IF(D919="","",VLOOKUP(MONTH(D919),Listas!$C$2:$D$14,2,0))</f>
        <v/>
      </c>
      <c r="R919" s="36" t="str">
        <f t="shared" si="22"/>
        <v/>
      </c>
      <c r="S919" s="37" t="str">
        <f t="shared" si="23"/>
        <v/>
      </c>
      <c r="T919" s="37" t="str">
        <f t="shared" si="24"/>
        <v/>
      </c>
      <c r="U919" s="37" t="str">
        <f t="shared" si="25"/>
        <v/>
      </c>
      <c r="V919" s="37" t="str">
        <f t="shared" si="26"/>
        <v/>
      </c>
      <c r="W919" s="37" t="str">
        <f t="shared" si="27"/>
        <v/>
      </c>
      <c r="X919" s="37" t="str">
        <f t="shared" si="28"/>
        <v/>
      </c>
      <c r="Y919" s="37" t="str">
        <f t="shared" si="29"/>
        <v/>
      </c>
      <c r="Z919" s="38" t="str">
        <f t="shared" si="30"/>
        <v/>
      </c>
      <c r="AA919" s="39" t="str">
        <f t="shared" si="31"/>
        <v/>
      </c>
    </row>
    <row r="920" ht="15.75" customHeight="1">
      <c r="B920" s="1"/>
      <c r="C920" s="28"/>
      <c r="D920" s="79"/>
      <c r="E920" s="1"/>
      <c r="F920" s="76"/>
      <c r="G920" s="1"/>
      <c r="H920" s="1"/>
      <c r="J920" s="77"/>
      <c r="K920" s="80"/>
      <c r="L920" s="80"/>
      <c r="M920" s="80"/>
      <c r="N920" s="80"/>
      <c r="O920" s="80"/>
      <c r="P920" s="81"/>
      <c r="Q920" s="35" t="str">
        <f>IF(D920="","",VLOOKUP(MONTH(D920),Listas!$C$2:$D$14,2,0))</f>
        <v/>
      </c>
      <c r="R920" s="36" t="str">
        <f t="shared" si="22"/>
        <v/>
      </c>
      <c r="S920" s="37" t="str">
        <f t="shared" si="23"/>
        <v/>
      </c>
      <c r="T920" s="37" t="str">
        <f t="shared" si="24"/>
        <v/>
      </c>
      <c r="U920" s="37" t="str">
        <f t="shared" si="25"/>
        <v/>
      </c>
      <c r="V920" s="37" t="str">
        <f t="shared" si="26"/>
        <v/>
      </c>
      <c r="W920" s="37" t="str">
        <f t="shared" si="27"/>
        <v/>
      </c>
      <c r="X920" s="37" t="str">
        <f t="shared" si="28"/>
        <v/>
      </c>
      <c r="Y920" s="37" t="str">
        <f t="shared" si="29"/>
        <v/>
      </c>
      <c r="Z920" s="38" t="str">
        <f t="shared" si="30"/>
        <v/>
      </c>
      <c r="AA920" s="39" t="str">
        <f t="shared" si="31"/>
        <v/>
      </c>
    </row>
    <row r="921" ht="15.75" customHeight="1">
      <c r="B921" s="1"/>
      <c r="C921" s="28"/>
      <c r="D921" s="79"/>
      <c r="E921" s="1"/>
      <c r="F921" s="76"/>
      <c r="G921" s="1"/>
      <c r="H921" s="1"/>
      <c r="J921" s="77"/>
      <c r="K921" s="80"/>
      <c r="L921" s="80"/>
      <c r="M921" s="80"/>
      <c r="N921" s="80"/>
      <c r="O921" s="80"/>
      <c r="P921" s="81"/>
      <c r="Q921" s="35" t="str">
        <f>IF(D921="","",VLOOKUP(MONTH(D921),Listas!$C$2:$D$14,2,0))</f>
        <v/>
      </c>
      <c r="R921" s="36" t="str">
        <f t="shared" si="22"/>
        <v/>
      </c>
      <c r="S921" s="37" t="str">
        <f t="shared" si="23"/>
        <v/>
      </c>
      <c r="T921" s="37" t="str">
        <f t="shared" si="24"/>
        <v/>
      </c>
      <c r="U921" s="37" t="str">
        <f t="shared" si="25"/>
        <v/>
      </c>
      <c r="V921" s="37" t="str">
        <f t="shared" si="26"/>
        <v/>
      </c>
      <c r="W921" s="37" t="str">
        <f t="shared" si="27"/>
        <v/>
      </c>
      <c r="X921" s="37" t="str">
        <f t="shared" si="28"/>
        <v/>
      </c>
      <c r="Y921" s="37" t="str">
        <f t="shared" si="29"/>
        <v/>
      </c>
      <c r="Z921" s="38" t="str">
        <f t="shared" si="30"/>
        <v/>
      </c>
      <c r="AA921" s="39" t="str">
        <f t="shared" si="31"/>
        <v/>
      </c>
    </row>
    <row r="922" ht="15.75" customHeight="1">
      <c r="B922" s="1"/>
      <c r="C922" s="28"/>
      <c r="D922" s="79"/>
      <c r="E922" s="1"/>
      <c r="F922" s="76"/>
      <c r="G922" s="1"/>
      <c r="H922" s="1"/>
      <c r="J922" s="77"/>
      <c r="K922" s="80"/>
      <c r="L922" s="80"/>
      <c r="M922" s="80"/>
      <c r="N922" s="80"/>
      <c r="O922" s="80"/>
      <c r="P922" s="81"/>
      <c r="Q922" s="35" t="str">
        <f>IF(D922="","",VLOOKUP(MONTH(D922),Listas!$C$2:$D$14,2,0))</f>
        <v/>
      </c>
      <c r="R922" s="36" t="str">
        <f t="shared" si="22"/>
        <v/>
      </c>
      <c r="S922" s="37" t="str">
        <f t="shared" si="23"/>
        <v/>
      </c>
      <c r="T922" s="37" t="str">
        <f t="shared" si="24"/>
        <v/>
      </c>
      <c r="U922" s="37" t="str">
        <f t="shared" si="25"/>
        <v/>
      </c>
      <c r="V922" s="37" t="str">
        <f t="shared" si="26"/>
        <v/>
      </c>
      <c r="W922" s="37" t="str">
        <f t="shared" si="27"/>
        <v/>
      </c>
      <c r="X922" s="37" t="str">
        <f t="shared" si="28"/>
        <v/>
      </c>
      <c r="Y922" s="37" t="str">
        <f t="shared" si="29"/>
        <v/>
      </c>
      <c r="Z922" s="38" t="str">
        <f t="shared" si="30"/>
        <v/>
      </c>
      <c r="AA922" s="39" t="str">
        <f t="shared" si="31"/>
        <v/>
      </c>
    </row>
    <row r="923" ht="15.75" customHeight="1">
      <c r="B923" s="1"/>
      <c r="C923" s="28"/>
      <c r="D923" s="79"/>
      <c r="E923" s="1"/>
      <c r="F923" s="76"/>
      <c r="G923" s="1"/>
      <c r="H923" s="1"/>
      <c r="J923" s="77"/>
      <c r="K923" s="80"/>
      <c r="L923" s="80"/>
      <c r="M923" s="80"/>
      <c r="N923" s="80"/>
      <c r="O923" s="80"/>
      <c r="P923" s="81"/>
      <c r="Q923" s="35" t="str">
        <f>IF(D923="","",VLOOKUP(MONTH(D923),Listas!$C$2:$D$14,2,0))</f>
        <v/>
      </c>
      <c r="R923" s="36" t="str">
        <f t="shared" si="22"/>
        <v/>
      </c>
      <c r="S923" s="37" t="str">
        <f t="shared" si="23"/>
        <v/>
      </c>
      <c r="T923" s="37" t="str">
        <f t="shared" si="24"/>
        <v/>
      </c>
      <c r="U923" s="37" t="str">
        <f t="shared" si="25"/>
        <v/>
      </c>
      <c r="V923" s="37" t="str">
        <f t="shared" si="26"/>
        <v/>
      </c>
      <c r="W923" s="37" t="str">
        <f t="shared" si="27"/>
        <v/>
      </c>
      <c r="X923" s="37" t="str">
        <f t="shared" si="28"/>
        <v/>
      </c>
      <c r="Y923" s="37" t="str">
        <f t="shared" si="29"/>
        <v/>
      </c>
      <c r="Z923" s="38" t="str">
        <f t="shared" si="30"/>
        <v/>
      </c>
      <c r="AA923" s="39" t="str">
        <f t="shared" si="31"/>
        <v/>
      </c>
    </row>
    <row r="924" ht="15.75" customHeight="1">
      <c r="B924" s="1"/>
      <c r="C924" s="28"/>
      <c r="D924" s="79"/>
      <c r="E924" s="1"/>
      <c r="F924" s="76"/>
      <c r="G924" s="1"/>
      <c r="H924" s="1"/>
      <c r="J924" s="77"/>
      <c r="K924" s="80"/>
      <c r="L924" s="80"/>
      <c r="M924" s="80"/>
      <c r="N924" s="80"/>
      <c r="O924" s="80"/>
      <c r="P924" s="81"/>
      <c r="Q924" s="35" t="str">
        <f>IF(D924="","",VLOOKUP(MONTH(D924),Listas!$C$2:$D$14,2,0))</f>
        <v/>
      </c>
      <c r="R924" s="36" t="str">
        <f t="shared" si="22"/>
        <v/>
      </c>
      <c r="S924" s="37" t="str">
        <f t="shared" si="23"/>
        <v/>
      </c>
      <c r="T924" s="37" t="str">
        <f t="shared" si="24"/>
        <v/>
      </c>
      <c r="U924" s="37" t="str">
        <f t="shared" si="25"/>
        <v/>
      </c>
      <c r="V924" s="37" t="str">
        <f t="shared" si="26"/>
        <v/>
      </c>
      <c r="W924" s="37" t="str">
        <f t="shared" si="27"/>
        <v/>
      </c>
      <c r="X924" s="37" t="str">
        <f t="shared" si="28"/>
        <v/>
      </c>
      <c r="Y924" s="37" t="str">
        <f t="shared" si="29"/>
        <v/>
      </c>
      <c r="Z924" s="38" t="str">
        <f t="shared" si="30"/>
        <v/>
      </c>
      <c r="AA924" s="39" t="str">
        <f t="shared" si="31"/>
        <v/>
      </c>
    </row>
    <row r="925" ht="15.75" customHeight="1">
      <c r="B925" s="1"/>
      <c r="C925" s="28"/>
      <c r="D925" s="79"/>
      <c r="E925" s="1"/>
      <c r="F925" s="76"/>
      <c r="G925" s="1"/>
      <c r="H925" s="1"/>
      <c r="J925" s="77"/>
      <c r="K925" s="80"/>
      <c r="L925" s="80"/>
      <c r="M925" s="80"/>
      <c r="N925" s="80"/>
      <c r="O925" s="80"/>
      <c r="P925" s="81"/>
      <c r="Q925" s="35" t="str">
        <f>IF(D925="","",VLOOKUP(MONTH(D925),Listas!$C$2:$D$14,2,0))</f>
        <v/>
      </c>
      <c r="R925" s="36" t="str">
        <f t="shared" si="22"/>
        <v/>
      </c>
      <c r="S925" s="37" t="str">
        <f t="shared" si="23"/>
        <v/>
      </c>
      <c r="T925" s="37" t="str">
        <f t="shared" si="24"/>
        <v/>
      </c>
      <c r="U925" s="37" t="str">
        <f t="shared" si="25"/>
        <v/>
      </c>
      <c r="V925" s="37" t="str">
        <f t="shared" si="26"/>
        <v/>
      </c>
      <c r="W925" s="37" t="str">
        <f t="shared" si="27"/>
        <v/>
      </c>
      <c r="X925" s="37" t="str">
        <f t="shared" si="28"/>
        <v/>
      </c>
      <c r="Y925" s="37" t="str">
        <f t="shared" si="29"/>
        <v/>
      </c>
      <c r="Z925" s="38" t="str">
        <f t="shared" si="30"/>
        <v/>
      </c>
      <c r="AA925" s="39" t="str">
        <f t="shared" si="31"/>
        <v/>
      </c>
    </row>
    <row r="926" ht="15.75" customHeight="1">
      <c r="B926" s="1"/>
      <c r="C926" s="28"/>
      <c r="D926" s="79"/>
      <c r="E926" s="1"/>
      <c r="F926" s="76"/>
      <c r="G926" s="1"/>
      <c r="H926" s="1"/>
      <c r="J926" s="77"/>
      <c r="K926" s="80"/>
      <c r="L926" s="80"/>
      <c r="M926" s="80"/>
      <c r="N926" s="80"/>
      <c r="O926" s="80"/>
      <c r="P926" s="81"/>
      <c r="Q926" s="35" t="str">
        <f>IF(D926="","",VLOOKUP(MONTH(D926),Listas!$C$2:$D$14,2,0))</f>
        <v/>
      </c>
      <c r="R926" s="36" t="str">
        <f t="shared" si="22"/>
        <v/>
      </c>
      <c r="S926" s="37" t="str">
        <f t="shared" si="23"/>
        <v/>
      </c>
      <c r="T926" s="37" t="str">
        <f t="shared" si="24"/>
        <v/>
      </c>
      <c r="U926" s="37" t="str">
        <f t="shared" si="25"/>
        <v/>
      </c>
      <c r="V926" s="37" t="str">
        <f t="shared" si="26"/>
        <v/>
      </c>
      <c r="W926" s="37" t="str">
        <f t="shared" si="27"/>
        <v/>
      </c>
      <c r="X926" s="37" t="str">
        <f t="shared" si="28"/>
        <v/>
      </c>
      <c r="Y926" s="37" t="str">
        <f t="shared" si="29"/>
        <v/>
      </c>
      <c r="Z926" s="38" t="str">
        <f t="shared" si="30"/>
        <v/>
      </c>
      <c r="AA926" s="39" t="str">
        <f t="shared" si="31"/>
        <v/>
      </c>
    </row>
    <row r="927" ht="15.75" customHeight="1">
      <c r="B927" s="1"/>
      <c r="C927" s="28"/>
      <c r="D927" s="79"/>
      <c r="E927" s="1"/>
      <c r="F927" s="76"/>
      <c r="G927" s="1"/>
      <c r="H927" s="1"/>
      <c r="J927" s="77"/>
      <c r="K927" s="80"/>
      <c r="L927" s="80"/>
      <c r="M927" s="80"/>
      <c r="N927" s="80"/>
      <c r="O927" s="80"/>
      <c r="P927" s="81"/>
      <c r="Q927" s="35" t="str">
        <f>IF(D927="","",VLOOKUP(MONTH(D927),Listas!$C$2:$D$14,2,0))</f>
        <v/>
      </c>
      <c r="R927" s="36" t="str">
        <f t="shared" si="22"/>
        <v/>
      </c>
      <c r="S927" s="37" t="str">
        <f t="shared" si="23"/>
        <v/>
      </c>
      <c r="T927" s="37" t="str">
        <f t="shared" si="24"/>
        <v/>
      </c>
      <c r="U927" s="37" t="str">
        <f t="shared" si="25"/>
        <v/>
      </c>
      <c r="V927" s="37" t="str">
        <f t="shared" si="26"/>
        <v/>
      </c>
      <c r="W927" s="37" t="str">
        <f t="shared" si="27"/>
        <v/>
      </c>
      <c r="X927" s="37" t="str">
        <f t="shared" si="28"/>
        <v/>
      </c>
      <c r="Y927" s="37" t="str">
        <f t="shared" si="29"/>
        <v/>
      </c>
      <c r="Z927" s="38" t="str">
        <f t="shared" si="30"/>
        <v/>
      </c>
      <c r="AA927" s="39" t="str">
        <f t="shared" si="31"/>
        <v/>
      </c>
    </row>
    <row r="928" ht="15.75" customHeight="1">
      <c r="B928" s="1"/>
      <c r="C928" s="28"/>
      <c r="D928" s="79"/>
      <c r="E928" s="1"/>
      <c r="F928" s="76"/>
      <c r="G928" s="1"/>
      <c r="H928" s="1"/>
      <c r="J928" s="77"/>
      <c r="K928" s="80"/>
      <c r="L928" s="80"/>
      <c r="M928" s="80"/>
      <c r="N928" s="80"/>
      <c r="O928" s="80"/>
      <c r="P928" s="81"/>
      <c r="Q928" s="35" t="str">
        <f>IF(D928="","",VLOOKUP(MONTH(D928),Listas!$C$2:$D$14,2,0))</f>
        <v/>
      </c>
      <c r="R928" s="36" t="str">
        <f t="shared" si="22"/>
        <v/>
      </c>
      <c r="S928" s="37" t="str">
        <f t="shared" si="23"/>
        <v/>
      </c>
      <c r="T928" s="37" t="str">
        <f t="shared" si="24"/>
        <v/>
      </c>
      <c r="U928" s="37" t="str">
        <f t="shared" si="25"/>
        <v/>
      </c>
      <c r="V928" s="37" t="str">
        <f t="shared" si="26"/>
        <v/>
      </c>
      <c r="W928" s="37" t="str">
        <f t="shared" si="27"/>
        <v/>
      </c>
      <c r="X928" s="37" t="str">
        <f t="shared" si="28"/>
        <v/>
      </c>
      <c r="Y928" s="37" t="str">
        <f t="shared" si="29"/>
        <v/>
      </c>
      <c r="Z928" s="38" t="str">
        <f t="shared" si="30"/>
        <v/>
      </c>
      <c r="AA928" s="39" t="str">
        <f t="shared" si="31"/>
        <v/>
      </c>
    </row>
    <row r="929" ht="15.75" customHeight="1">
      <c r="B929" s="1"/>
      <c r="C929" s="28"/>
      <c r="D929" s="79"/>
      <c r="E929" s="1"/>
      <c r="F929" s="76"/>
      <c r="G929" s="1"/>
      <c r="H929" s="1"/>
      <c r="J929" s="77"/>
      <c r="K929" s="80"/>
      <c r="L929" s="80"/>
      <c r="M929" s="80"/>
      <c r="N929" s="80"/>
      <c r="O929" s="80"/>
      <c r="P929" s="81"/>
      <c r="Q929" s="35" t="str">
        <f>IF(D929="","",VLOOKUP(MONTH(D929),Listas!$C$2:$D$14,2,0))</f>
        <v/>
      </c>
      <c r="R929" s="36" t="str">
        <f t="shared" si="22"/>
        <v/>
      </c>
      <c r="S929" s="37" t="str">
        <f t="shared" si="23"/>
        <v/>
      </c>
      <c r="T929" s="37" t="str">
        <f t="shared" si="24"/>
        <v/>
      </c>
      <c r="U929" s="37" t="str">
        <f t="shared" si="25"/>
        <v/>
      </c>
      <c r="V929" s="37" t="str">
        <f t="shared" si="26"/>
        <v/>
      </c>
      <c r="W929" s="37" t="str">
        <f t="shared" si="27"/>
        <v/>
      </c>
      <c r="X929" s="37" t="str">
        <f t="shared" si="28"/>
        <v/>
      </c>
      <c r="Y929" s="37" t="str">
        <f t="shared" si="29"/>
        <v/>
      </c>
      <c r="Z929" s="38" t="str">
        <f t="shared" si="30"/>
        <v/>
      </c>
      <c r="AA929" s="39" t="str">
        <f t="shared" si="31"/>
        <v/>
      </c>
    </row>
    <row r="930" ht="15.75" customHeight="1">
      <c r="B930" s="1"/>
      <c r="C930" s="28"/>
      <c r="D930" s="79"/>
      <c r="E930" s="1"/>
      <c r="F930" s="76"/>
      <c r="G930" s="1"/>
      <c r="H930" s="1"/>
      <c r="J930" s="77"/>
      <c r="K930" s="80"/>
      <c r="L930" s="80"/>
      <c r="M930" s="80"/>
      <c r="N930" s="80"/>
      <c r="O930" s="80"/>
      <c r="P930" s="81"/>
      <c r="Q930" s="35" t="str">
        <f>IF(D930="","",VLOOKUP(MONTH(D930),Listas!$C$2:$D$14,2,0))</f>
        <v/>
      </c>
      <c r="R930" s="36" t="str">
        <f t="shared" si="22"/>
        <v/>
      </c>
      <c r="S930" s="37" t="str">
        <f t="shared" si="23"/>
        <v/>
      </c>
      <c r="T930" s="37" t="str">
        <f t="shared" si="24"/>
        <v/>
      </c>
      <c r="U930" s="37" t="str">
        <f t="shared" si="25"/>
        <v/>
      </c>
      <c r="V930" s="37" t="str">
        <f t="shared" si="26"/>
        <v/>
      </c>
      <c r="W930" s="37" t="str">
        <f t="shared" si="27"/>
        <v/>
      </c>
      <c r="X930" s="37" t="str">
        <f t="shared" si="28"/>
        <v/>
      </c>
      <c r="Y930" s="37" t="str">
        <f t="shared" si="29"/>
        <v/>
      </c>
      <c r="Z930" s="38" t="str">
        <f t="shared" si="30"/>
        <v/>
      </c>
      <c r="AA930" s="39" t="str">
        <f t="shared" si="31"/>
        <v/>
      </c>
    </row>
    <row r="931" ht="15.75" customHeight="1">
      <c r="B931" s="1"/>
      <c r="C931" s="28"/>
      <c r="D931" s="79"/>
      <c r="E931" s="1"/>
      <c r="F931" s="76"/>
      <c r="G931" s="1"/>
      <c r="H931" s="1"/>
      <c r="J931" s="77"/>
      <c r="K931" s="80"/>
      <c r="L931" s="80"/>
      <c r="M931" s="80"/>
      <c r="N931" s="80"/>
      <c r="O931" s="80"/>
      <c r="P931" s="81"/>
      <c r="Q931" s="35" t="str">
        <f>IF(D931="","",VLOOKUP(MONTH(D931),Listas!$C$2:$D$14,2,0))</f>
        <v/>
      </c>
      <c r="R931" s="36" t="str">
        <f t="shared" si="22"/>
        <v/>
      </c>
      <c r="S931" s="37" t="str">
        <f t="shared" si="23"/>
        <v/>
      </c>
      <c r="T931" s="37" t="str">
        <f t="shared" si="24"/>
        <v/>
      </c>
      <c r="U931" s="37" t="str">
        <f t="shared" si="25"/>
        <v/>
      </c>
      <c r="V931" s="37" t="str">
        <f t="shared" si="26"/>
        <v/>
      </c>
      <c r="W931" s="37" t="str">
        <f t="shared" si="27"/>
        <v/>
      </c>
      <c r="X931" s="37" t="str">
        <f t="shared" si="28"/>
        <v/>
      </c>
      <c r="Y931" s="37" t="str">
        <f t="shared" si="29"/>
        <v/>
      </c>
      <c r="Z931" s="38" t="str">
        <f t="shared" si="30"/>
        <v/>
      </c>
      <c r="AA931" s="39" t="str">
        <f t="shared" si="31"/>
        <v/>
      </c>
    </row>
    <row r="932" ht="15.75" customHeight="1">
      <c r="B932" s="1"/>
      <c r="C932" s="28"/>
      <c r="D932" s="79"/>
      <c r="E932" s="1"/>
      <c r="F932" s="76"/>
      <c r="G932" s="1"/>
      <c r="H932" s="1"/>
      <c r="J932" s="77"/>
      <c r="K932" s="80"/>
      <c r="L932" s="80"/>
      <c r="M932" s="80"/>
      <c r="N932" s="80"/>
      <c r="O932" s="80"/>
      <c r="P932" s="81"/>
      <c r="Q932" s="35" t="str">
        <f>IF(D932="","",VLOOKUP(MONTH(D932),Listas!$C$2:$D$14,2,0))</f>
        <v/>
      </c>
      <c r="R932" s="36" t="str">
        <f t="shared" si="22"/>
        <v/>
      </c>
      <c r="S932" s="37" t="str">
        <f t="shared" si="23"/>
        <v/>
      </c>
      <c r="T932" s="37" t="str">
        <f t="shared" si="24"/>
        <v/>
      </c>
      <c r="U932" s="37" t="str">
        <f t="shared" si="25"/>
        <v/>
      </c>
      <c r="V932" s="37" t="str">
        <f t="shared" si="26"/>
        <v/>
      </c>
      <c r="W932" s="37" t="str">
        <f t="shared" si="27"/>
        <v/>
      </c>
      <c r="X932" s="37" t="str">
        <f t="shared" si="28"/>
        <v/>
      </c>
      <c r="Y932" s="37" t="str">
        <f t="shared" si="29"/>
        <v/>
      </c>
      <c r="Z932" s="38" t="str">
        <f t="shared" si="30"/>
        <v/>
      </c>
      <c r="AA932" s="39" t="str">
        <f t="shared" si="31"/>
        <v/>
      </c>
    </row>
    <row r="933" ht="15.75" customHeight="1">
      <c r="B933" s="1"/>
      <c r="C933" s="28"/>
      <c r="D933" s="79"/>
      <c r="E933" s="1"/>
      <c r="F933" s="76"/>
      <c r="G933" s="1"/>
      <c r="H933" s="1"/>
      <c r="J933" s="77"/>
      <c r="K933" s="80"/>
      <c r="L933" s="80"/>
      <c r="M933" s="80"/>
      <c r="N933" s="80"/>
      <c r="O933" s="80"/>
      <c r="P933" s="81"/>
      <c r="Q933" s="35" t="str">
        <f>IF(D933="","",VLOOKUP(MONTH(D933),Listas!$C$2:$D$14,2,0))</f>
        <v/>
      </c>
      <c r="R933" s="36" t="str">
        <f t="shared" si="22"/>
        <v/>
      </c>
      <c r="S933" s="37" t="str">
        <f t="shared" si="23"/>
        <v/>
      </c>
      <c r="T933" s="37" t="str">
        <f t="shared" si="24"/>
        <v/>
      </c>
      <c r="U933" s="37" t="str">
        <f t="shared" si="25"/>
        <v/>
      </c>
      <c r="V933" s="37" t="str">
        <f t="shared" si="26"/>
        <v/>
      </c>
      <c r="W933" s="37" t="str">
        <f t="shared" si="27"/>
        <v/>
      </c>
      <c r="X933" s="37" t="str">
        <f t="shared" si="28"/>
        <v/>
      </c>
      <c r="Y933" s="37" t="str">
        <f t="shared" si="29"/>
        <v/>
      </c>
      <c r="Z933" s="38" t="str">
        <f t="shared" si="30"/>
        <v/>
      </c>
      <c r="AA933" s="39" t="str">
        <f t="shared" si="31"/>
        <v/>
      </c>
    </row>
    <row r="934" ht="15.75" customHeight="1">
      <c r="B934" s="1"/>
      <c r="C934" s="28"/>
      <c r="D934" s="79"/>
      <c r="E934" s="1"/>
      <c r="F934" s="76"/>
      <c r="G934" s="1"/>
      <c r="H934" s="1"/>
      <c r="J934" s="77"/>
      <c r="K934" s="80"/>
      <c r="L934" s="80"/>
      <c r="M934" s="80"/>
      <c r="N934" s="80"/>
      <c r="O934" s="80"/>
      <c r="P934" s="81"/>
      <c r="Q934" s="35" t="str">
        <f>IF(D934="","",VLOOKUP(MONTH(D934),Listas!$C$2:$D$14,2,0))</f>
        <v/>
      </c>
      <c r="R934" s="36" t="str">
        <f t="shared" si="22"/>
        <v/>
      </c>
      <c r="S934" s="37" t="str">
        <f t="shared" si="23"/>
        <v/>
      </c>
      <c r="T934" s="37" t="str">
        <f t="shared" si="24"/>
        <v/>
      </c>
      <c r="U934" s="37" t="str">
        <f t="shared" si="25"/>
        <v/>
      </c>
      <c r="V934" s="37" t="str">
        <f t="shared" si="26"/>
        <v/>
      </c>
      <c r="W934" s="37" t="str">
        <f t="shared" si="27"/>
        <v/>
      </c>
      <c r="X934" s="37" t="str">
        <f t="shared" si="28"/>
        <v/>
      </c>
      <c r="Y934" s="37" t="str">
        <f t="shared" si="29"/>
        <v/>
      </c>
      <c r="Z934" s="38" t="str">
        <f t="shared" si="30"/>
        <v/>
      </c>
      <c r="AA934" s="39" t="str">
        <f t="shared" si="31"/>
        <v/>
      </c>
    </row>
    <row r="935" ht="15.75" customHeight="1">
      <c r="B935" s="1"/>
      <c r="C935" s="28"/>
      <c r="D935" s="79"/>
      <c r="E935" s="1"/>
      <c r="F935" s="76"/>
      <c r="G935" s="1"/>
      <c r="H935" s="1"/>
      <c r="J935" s="77"/>
      <c r="K935" s="80"/>
      <c r="L935" s="80"/>
      <c r="M935" s="80"/>
      <c r="N935" s="80"/>
      <c r="O935" s="80"/>
      <c r="P935" s="81"/>
      <c r="Q935" s="35" t="str">
        <f>IF(D935="","",VLOOKUP(MONTH(D935),Listas!$C$2:$D$14,2,0))</f>
        <v/>
      </c>
      <c r="R935" s="36" t="str">
        <f t="shared" si="22"/>
        <v/>
      </c>
      <c r="S935" s="37" t="str">
        <f t="shared" si="23"/>
        <v/>
      </c>
      <c r="T935" s="37" t="str">
        <f t="shared" si="24"/>
        <v/>
      </c>
      <c r="U935" s="37" t="str">
        <f t="shared" si="25"/>
        <v/>
      </c>
      <c r="V935" s="37" t="str">
        <f t="shared" si="26"/>
        <v/>
      </c>
      <c r="W935" s="37" t="str">
        <f t="shared" si="27"/>
        <v/>
      </c>
      <c r="X935" s="37" t="str">
        <f t="shared" si="28"/>
        <v/>
      </c>
      <c r="Y935" s="37" t="str">
        <f t="shared" si="29"/>
        <v/>
      </c>
      <c r="Z935" s="38" t="str">
        <f t="shared" si="30"/>
        <v/>
      </c>
      <c r="AA935" s="39" t="str">
        <f t="shared" si="31"/>
        <v/>
      </c>
    </row>
    <row r="936" ht="15.75" customHeight="1">
      <c r="B936" s="1"/>
      <c r="C936" s="28"/>
      <c r="D936" s="79"/>
      <c r="E936" s="1"/>
      <c r="F936" s="76"/>
      <c r="G936" s="1"/>
      <c r="H936" s="1"/>
      <c r="J936" s="77"/>
      <c r="K936" s="80"/>
      <c r="L936" s="80"/>
      <c r="M936" s="80"/>
      <c r="N936" s="80"/>
      <c r="O936" s="80"/>
      <c r="P936" s="81"/>
      <c r="Q936" s="35" t="str">
        <f>IF(D936="","",VLOOKUP(MONTH(D936),Listas!$C$2:$D$14,2,0))</f>
        <v/>
      </c>
      <c r="R936" s="36" t="str">
        <f t="shared" si="22"/>
        <v/>
      </c>
      <c r="S936" s="37" t="str">
        <f t="shared" si="23"/>
        <v/>
      </c>
      <c r="T936" s="37" t="str">
        <f t="shared" si="24"/>
        <v/>
      </c>
      <c r="U936" s="37" t="str">
        <f t="shared" si="25"/>
        <v/>
      </c>
      <c r="V936" s="37" t="str">
        <f t="shared" si="26"/>
        <v/>
      </c>
      <c r="W936" s="37" t="str">
        <f t="shared" si="27"/>
        <v/>
      </c>
      <c r="X936" s="37" t="str">
        <f t="shared" si="28"/>
        <v/>
      </c>
      <c r="Y936" s="37" t="str">
        <f t="shared" si="29"/>
        <v/>
      </c>
      <c r="Z936" s="38" t="str">
        <f t="shared" si="30"/>
        <v/>
      </c>
      <c r="AA936" s="39" t="str">
        <f t="shared" si="31"/>
        <v/>
      </c>
    </row>
    <row r="937" ht="15.75" customHeight="1">
      <c r="B937" s="1"/>
      <c r="C937" s="28"/>
      <c r="D937" s="79"/>
      <c r="E937" s="1"/>
      <c r="F937" s="76"/>
      <c r="G937" s="1"/>
      <c r="H937" s="1"/>
      <c r="J937" s="77"/>
      <c r="K937" s="80"/>
      <c r="L937" s="80"/>
      <c r="M937" s="80"/>
      <c r="N937" s="80"/>
      <c r="O937" s="80"/>
      <c r="P937" s="81"/>
      <c r="Q937" s="35" t="str">
        <f>IF(D937="","",VLOOKUP(MONTH(D937),Listas!$C$2:$D$14,2,0))</f>
        <v/>
      </c>
      <c r="R937" s="36" t="str">
        <f t="shared" si="22"/>
        <v/>
      </c>
      <c r="S937" s="37" t="str">
        <f t="shared" si="23"/>
        <v/>
      </c>
      <c r="T937" s="37" t="str">
        <f t="shared" si="24"/>
        <v/>
      </c>
      <c r="U937" s="37" t="str">
        <f t="shared" si="25"/>
        <v/>
      </c>
      <c r="V937" s="37" t="str">
        <f t="shared" si="26"/>
        <v/>
      </c>
      <c r="W937" s="37" t="str">
        <f t="shared" si="27"/>
        <v/>
      </c>
      <c r="X937" s="37" t="str">
        <f t="shared" si="28"/>
        <v/>
      </c>
      <c r="Y937" s="37" t="str">
        <f t="shared" si="29"/>
        <v/>
      </c>
      <c r="Z937" s="38" t="str">
        <f t="shared" si="30"/>
        <v/>
      </c>
      <c r="AA937" s="39" t="str">
        <f t="shared" si="31"/>
        <v/>
      </c>
    </row>
    <row r="938" ht="15.75" customHeight="1">
      <c r="B938" s="1"/>
      <c r="C938" s="28"/>
      <c r="D938" s="79"/>
      <c r="E938" s="1"/>
      <c r="F938" s="76"/>
      <c r="G938" s="1"/>
      <c r="H938" s="1"/>
      <c r="J938" s="77"/>
      <c r="K938" s="80"/>
      <c r="L938" s="80"/>
      <c r="M938" s="80"/>
      <c r="N938" s="80"/>
      <c r="O938" s="80"/>
      <c r="P938" s="81"/>
      <c r="Q938" s="35" t="str">
        <f>IF(D938="","",VLOOKUP(MONTH(D938),Listas!$C$2:$D$14,2,0))</f>
        <v/>
      </c>
      <c r="R938" s="36" t="str">
        <f t="shared" si="22"/>
        <v/>
      </c>
      <c r="S938" s="37" t="str">
        <f t="shared" si="23"/>
        <v/>
      </c>
      <c r="T938" s="37" t="str">
        <f t="shared" si="24"/>
        <v/>
      </c>
      <c r="U938" s="37" t="str">
        <f t="shared" si="25"/>
        <v/>
      </c>
      <c r="V938" s="37" t="str">
        <f t="shared" si="26"/>
        <v/>
      </c>
      <c r="W938" s="37" t="str">
        <f t="shared" si="27"/>
        <v/>
      </c>
      <c r="X938" s="37" t="str">
        <f t="shared" si="28"/>
        <v/>
      </c>
      <c r="Y938" s="37" t="str">
        <f t="shared" si="29"/>
        <v/>
      </c>
      <c r="Z938" s="38" t="str">
        <f t="shared" si="30"/>
        <v/>
      </c>
      <c r="AA938" s="39" t="str">
        <f t="shared" si="31"/>
        <v/>
      </c>
    </row>
    <row r="939" ht="15.75" customHeight="1">
      <c r="B939" s="1"/>
      <c r="C939" s="28"/>
      <c r="D939" s="79"/>
      <c r="E939" s="1"/>
      <c r="F939" s="76"/>
      <c r="G939" s="1"/>
      <c r="H939" s="1"/>
      <c r="J939" s="77"/>
      <c r="K939" s="80"/>
      <c r="L939" s="80"/>
      <c r="M939" s="80"/>
      <c r="N939" s="80"/>
      <c r="O939" s="80"/>
      <c r="P939" s="81"/>
      <c r="Q939" s="35" t="str">
        <f>IF(D939="","",VLOOKUP(MONTH(D939),Listas!$C$2:$D$14,2,0))</f>
        <v/>
      </c>
      <c r="R939" s="36" t="str">
        <f t="shared" si="22"/>
        <v/>
      </c>
      <c r="S939" s="37" t="str">
        <f t="shared" si="23"/>
        <v/>
      </c>
      <c r="T939" s="37" t="str">
        <f t="shared" si="24"/>
        <v/>
      </c>
      <c r="U939" s="37" t="str">
        <f t="shared" si="25"/>
        <v/>
      </c>
      <c r="V939" s="37" t="str">
        <f t="shared" si="26"/>
        <v/>
      </c>
      <c r="W939" s="37" t="str">
        <f t="shared" si="27"/>
        <v/>
      </c>
      <c r="X939" s="37" t="str">
        <f t="shared" si="28"/>
        <v/>
      </c>
      <c r="Y939" s="37" t="str">
        <f t="shared" si="29"/>
        <v/>
      </c>
      <c r="Z939" s="38" t="str">
        <f t="shared" si="30"/>
        <v/>
      </c>
      <c r="AA939" s="39" t="str">
        <f t="shared" si="31"/>
        <v/>
      </c>
    </row>
    <row r="940" ht="15.75" customHeight="1">
      <c r="B940" s="1"/>
      <c r="C940" s="28"/>
      <c r="D940" s="79"/>
      <c r="E940" s="1"/>
      <c r="F940" s="76"/>
      <c r="G940" s="1"/>
      <c r="H940" s="1"/>
      <c r="J940" s="77"/>
      <c r="K940" s="80"/>
      <c r="L940" s="80"/>
      <c r="M940" s="80"/>
      <c r="N940" s="80"/>
      <c r="O940" s="80"/>
      <c r="P940" s="81"/>
      <c r="Q940" s="35" t="str">
        <f>IF(D940="","",VLOOKUP(MONTH(D940),Listas!$C$2:$D$14,2,0))</f>
        <v/>
      </c>
      <c r="R940" s="36" t="str">
        <f t="shared" si="22"/>
        <v/>
      </c>
      <c r="S940" s="37" t="str">
        <f t="shared" si="23"/>
        <v/>
      </c>
      <c r="T940" s="37" t="str">
        <f t="shared" si="24"/>
        <v/>
      </c>
      <c r="U940" s="37" t="str">
        <f t="shared" si="25"/>
        <v/>
      </c>
      <c r="V940" s="37" t="str">
        <f t="shared" si="26"/>
        <v/>
      </c>
      <c r="W940" s="37" t="str">
        <f t="shared" si="27"/>
        <v/>
      </c>
      <c r="X940" s="37" t="str">
        <f t="shared" si="28"/>
        <v/>
      </c>
      <c r="Y940" s="37" t="str">
        <f t="shared" si="29"/>
        <v/>
      </c>
      <c r="Z940" s="38" t="str">
        <f t="shared" si="30"/>
        <v/>
      </c>
      <c r="AA940" s="39" t="str">
        <f t="shared" si="31"/>
        <v/>
      </c>
    </row>
    <row r="941" ht="15.75" customHeight="1">
      <c r="B941" s="1"/>
      <c r="C941" s="28"/>
      <c r="D941" s="79"/>
      <c r="E941" s="1"/>
      <c r="F941" s="76"/>
      <c r="G941" s="1"/>
      <c r="H941" s="1"/>
      <c r="J941" s="77"/>
      <c r="K941" s="80"/>
      <c r="L941" s="80"/>
      <c r="M941" s="80"/>
      <c r="N941" s="80"/>
      <c r="O941" s="80"/>
      <c r="P941" s="81"/>
      <c r="Q941" s="35" t="str">
        <f>IF(D941="","",VLOOKUP(MONTH(D941),Listas!$C$2:$D$14,2,0))</f>
        <v/>
      </c>
      <c r="R941" s="36" t="str">
        <f t="shared" si="22"/>
        <v/>
      </c>
      <c r="S941" s="37" t="str">
        <f t="shared" si="23"/>
        <v/>
      </c>
      <c r="T941" s="37" t="str">
        <f t="shared" si="24"/>
        <v/>
      </c>
      <c r="U941" s="37" t="str">
        <f t="shared" si="25"/>
        <v/>
      </c>
      <c r="V941" s="37" t="str">
        <f t="shared" si="26"/>
        <v/>
      </c>
      <c r="W941" s="37" t="str">
        <f t="shared" si="27"/>
        <v/>
      </c>
      <c r="X941" s="37" t="str">
        <f t="shared" si="28"/>
        <v/>
      </c>
      <c r="Y941" s="37" t="str">
        <f t="shared" si="29"/>
        <v/>
      </c>
      <c r="Z941" s="38" t="str">
        <f t="shared" si="30"/>
        <v/>
      </c>
      <c r="AA941" s="39" t="str">
        <f t="shared" si="31"/>
        <v/>
      </c>
    </row>
    <row r="942" ht="15.75" customHeight="1">
      <c r="B942" s="1"/>
      <c r="C942" s="28"/>
      <c r="D942" s="79"/>
      <c r="E942" s="1"/>
      <c r="F942" s="76"/>
      <c r="G942" s="1"/>
      <c r="H942" s="1"/>
      <c r="J942" s="77"/>
      <c r="K942" s="80"/>
      <c r="L942" s="80"/>
      <c r="M942" s="80"/>
      <c r="N942" s="80"/>
      <c r="O942" s="80"/>
      <c r="P942" s="81"/>
      <c r="Q942" s="35" t="str">
        <f>IF(D942="","",VLOOKUP(MONTH(D942),Listas!$C$2:$D$14,2,0))</f>
        <v/>
      </c>
      <c r="R942" s="36" t="str">
        <f t="shared" si="22"/>
        <v/>
      </c>
      <c r="S942" s="37" t="str">
        <f t="shared" si="23"/>
        <v/>
      </c>
      <c r="T942" s="37" t="str">
        <f t="shared" si="24"/>
        <v/>
      </c>
      <c r="U942" s="37" t="str">
        <f t="shared" si="25"/>
        <v/>
      </c>
      <c r="V942" s="37" t="str">
        <f t="shared" si="26"/>
        <v/>
      </c>
      <c r="W942" s="37" t="str">
        <f t="shared" si="27"/>
        <v/>
      </c>
      <c r="X942" s="37" t="str">
        <f t="shared" si="28"/>
        <v/>
      </c>
      <c r="Y942" s="37" t="str">
        <f t="shared" si="29"/>
        <v/>
      </c>
      <c r="Z942" s="38" t="str">
        <f t="shared" si="30"/>
        <v/>
      </c>
      <c r="AA942" s="39" t="str">
        <f t="shared" si="31"/>
        <v/>
      </c>
    </row>
    <row r="943" ht="15.75" customHeight="1">
      <c r="B943" s="1"/>
      <c r="C943" s="28"/>
      <c r="D943" s="79"/>
      <c r="E943" s="1"/>
      <c r="F943" s="76"/>
      <c r="G943" s="1"/>
      <c r="H943" s="1"/>
      <c r="J943" s="77"/>
      <c r="K943" s="80"/>
      <c r="L943" s="80"/>
      <c r="M943" s="80"/>
      <c r="N943" s="80"/>
      <c r="O943" s="80"/>
      <c r="P943" s="81"/>
      <c r="Q943" s="35" t="str">
        <f>IF(D943="","",VLOOKUP(MONTH(D943),Listas!$C$2:$D$14,2,0))</f>
        <v/>
      </c>
      <c r="R943" s="36" t="str">
        <f t="shared" si="22"/>
        <v/>
      </c>
      <c r="S943" s="37" t="str">
        <f t="shared" si="23"/>
        <v/>
      </c>
      <c r="T943" s="37" t="str">
        <f t="shared" si="24"/>
        <v/>
      </c>
      <c r="U943" s="37" t="str">
        <f t="shared" si="25"/>
        <v/>
      </c>
      <c r="V943" s="37" t="str">
        <f t="shared" si="26"/>
        <v/>
      </c>
      <c r="W943" s="37" t="str">
        <f t="shared" si="27"/>
        <v/>
      </c>
      <c r="X943" s="37" t="str">
        <f t="shared" si="28"/>
        <v/>
      </c>
      <c r="Y943" s="37" t="str">
        <f t="shared" si="29"/>
        <v/>
      </c>
      <c r="Z943" s="38" t="str">
        <f t="shared" si="30"/>
        <v/>
      </c>
      <c r="AA943" s="39" t="str">
        <f t="shared" si="31"/>
        <v/>
      </c>
    </row>
    <row r="944" ht="15.75" customHeight="1">
      <c r="B944" s="1"/>
      <c r="C944" s="28"/>
      <c r="D944" s="79"/>
      <c r="E944" s="1"/>
      <c r="F944" s="76"/>
      <c r="G944" s="1"/>
      <c r="H944" s="1"/>
      <c r="J944" s="77"/>
      <c r="K944" s="80"/>
      <c r="L944" s="80"/>
      <c r="M944" s="80"/>
      <c r="N944" s="80"/>
      <c r="O944" s="80"/>
      <c r="P944" s="81"/>
      <c r="Q944" s="35" t="str">
        <f>IF(D944="","",VLOOKUP(MONTH(D944),Listas!$C$2:$D$14,2,0))</f>
        <v/>
      </c>
      <c r="R944" s="36" t="str">
        <f t="shared" si="22"/>
        <v/>
      </c>
      <c r="S944" s="37" t="str">
        <f t="shared" si="23"/>
        <v/>
      </c>
      <c r="T944" s="37" t="str">
        <f t="shared" si="24"/>
        <v/>
      </c>
      <c r="U944" s="37" t="str">
        <f t="shared" si="25"/>
        <v/>
      </c>
      <c r="V944" s="37" t="str">
        <f t="shared" si="26"/>
        <v/>
      </c>
      <c r="W944" s="37" t="str">
        <f t="shared" si="27"/>
        <v/>
      </c>
      <c r="X944" s="37" t="str">
        <f t="shared" si="28"/>
        <v/>
      </c>
      <c r="Y944" s="37" t="str">
        <f t="shared" si="29"/>
        <v/>
      </c>
      <c r="Z944" s="38" t="str">
        <f t="shared" si="30"/>
        <v/>
      </c>
      <c r="AA944" s="39" t="str">
        <f t="shared" si="31"/>
        <v/>
      </c>
    </row>
    <row r="945" ht="15.75" customHeight="1">
      <c r="B945" s="1"/>
      <c r="C945" s="28"/>
      <c r="D945" s="79"/>
      <c r="E945" s="1"/>
      <c r="F945" s="76"/>
      <c r="G945" s="1"/>
      <c r="H945" s="1"/>
      <c r="J945" s="77"/>
      <c r="K945" s="80"/>
      <c r="L945" s="80"/>
      <c r="M945" s="80"/>
      <c r="N945" s="80"/>
      <c r="O945" s="80"/>
      <c r="P945" s="81"/>
      <c r="Q945" s="35" t="str">
        <f>IF(D945="","",VLOOKUP(MONTH(D945),Listas!$C$2:$D$14,2,0))</f>
        <v/>
      </c>
      <c r="R945" s="36" t="str">
        <f t="shared" si="22"/>
        <v/>
      </c>
      <c r="S945" s="37" t="str">
        <f t="shared" si="23"/>
        <v/>
      </c>
      <c r="T945" s="37" t="str">
        <f t="shared" si="24"/>
        <v/>
      </c>
      <c r="U945" s="37" t="str">
        <f t="shared" si="25"/>
        <v/>
      </c>
      <c r="V945" s="37" t="str">
        <f t="shared" si="26"/>
        <v/>
      </c>
      <c r="W945" s="37" t="str">
        <f t="shared" si="27"/>
        <v/>
      </c>
      <c r="X945" s="37" t="str">
        <f t="shared" si="28"/>
        <v/>
      </c>
      <c r="Y945" s="37" t="str">
        <f t="shared" si="29"/>
        <v/>
      </c>
      <c r="Z945" s="38" t="str">
        <f t="shared" si="30"/>
        <v/>
      </c>
      <c r="AA945" s="39" t="str">
        <f t="shared" si="31"/>
        <v/>
      </c>
    </row>
    <row r="946" ht="15.75" customHeight="1">
      <c r="B946" s="1"/>
      <c r="C946" s="28"/>
      <c r="D946" s="79"/>
      <c r="E946" s="1"/>
      <c r="F946" s="76"/>
      <c r="G946" s="1"/>
      <c r="H946" s="1"/>
      <c r="J946" s="77"/>
      <c r="K946" s="80"/>
      <c r="L946" s="80"/>
      <c r="M946" s="80"/>
      <c r="N946" s="80"/>
      <c r="O946" s="80"/>
      <c r="P946" s="81"/>
      <c r="Q946" s="35" t="str">
        <f>IF(D946="","",VLOOKUP(MONTH(D946),Listas!$C$2:$D$14,2,0))</f>
        <v/>
      </c>
      <c r="R946" s="36" t="str">
        <f t="shared" si="22"/>
        <v/>
      </c>
      <c r="S946" s="37" t="str">
        <f t="shared" si="23"/>
        <v/>
      </c>
      <c r="T946" s="37" t="str">
        <f t="shared" si="24"/>
        <v/>
      </c>
      <c r="U946" s="37" t="str">
        <f t="shared" si="25"/>
        <v/>
      </c>
      <c r="V946" s="37" t="str">
        <f t="shared" si="26"/>
        <v/>
      </c>
      <c r="W946" s="37" t="str">
        <f t="shared" si="27"/>
        <v/>
      </c>
      <c r="X946" s="37" t="str">
        <f t="shared" si="28"/>
        <v/>
      </c>
      <c r="Y946" s="37" t="str">
        <f t="shared" si="29"/>
        <v/>
      </c>
      <c r="Z946" s="38" t="str">
        <f t="shared" si="30"/>
        <v/>
      </c>
      <c r="AA946" s="39" t="str">
        <f t="shared" si="31"/>
        <v/>
      </c>
    </row>
    <row r="947" ht="15.75" customHeight="1">
      <c r="B947" s="1"/>
      <c r="C947" s="28"/>
      <c r="D947" s="79"/>
      <c r="E947" s="1"/>
      <c r="F947" s="76"/>
      <c r="G947" s="1"/>
      <c r="H947" s="1"/>
      <c r="J947" s="77"/>
      <c r="K947" s="80"/>
      <c r="L947" s="80"/>
      <c r="M947" s="80"/>
      <c r="N947" s="80"/>
      <c r="O947" s="80"/>
      <c r="P947" s="81"/>
      <c r="Q947" s="35" t="str">
        <f>IF(D947="","",VLOOKUP(MONTH(D947),Listas!$C$2:$D$14,2,0))</f>
        <v/>
      </c>
      <c r="R947" s="36" t="str">
        <f t="shared" si="22"/>
        <v/>
      </c>
      <c r="S947" s="37" t="str">
        <f t="shared" si="23"/>
        <v/>
      </c>
      <c r="T947" s="37" t="str">
        <f t="shared" si="24"/>
        <v/>
      </c>
      <c r="U947" s="37" t="str">
        <f t="shared" si="25"/>
        <v/>
      </c>
      <c r="V947" s="37" t="str">
        <f t="shared" si="26"/>
        <v/>
      </c>
      <c r="W947" s="37" t="str">
        <f t="shared" si="27"/>
        <v/>
      </c>
      <c r="X947" s="37" t="str">
        <f t="shared" si="28"/>
        <v/>
      </c>
      <c r="Y947" s="37" t="str">
        <f t="shared" si="29"/>
        <v/>
      </c>
      <c r="Z947" s="38" t="str">
        <f t="shared" si="30"/>
        <v/>
      </c>
      <c r="AA947" s="39" t="str">
        <f t="shared" si="31"/>
        <v/>
      </c>
    </row>
    <row r="948" ht="15.75" customHeight="1">
      <c r="B948" s="1"/>
      <c r="C948" s="28"/>
      <c r="D948" s="79"/>
      <c r="E948" s="1"/>
      <c r="F948" s="76"/>
      <c r="G948" s="1"/>
      <c r="H948" s="1"/>
      <c r="J948" s="77"/>
      <c r="K948" s="80"/>
      <c r="L948" s="80"/>
      <c r="M948" s="80"/>
      <c r="N948" s="80"/>
      <c r="O948" s="80"/>
      <c r="P948" s="81"/>
      <c r="Q948" s="35" t="str">
        <f>IF(D948="","",VLOOKUP(MONTH(D948),Listas!$C$2:$D$14,2,0))</f>
        <v/>
      </c>
      <c r="R948" s="36" t="str">
        <f t="shared" si="22"/>
        <v/>
      </c>
      <c r="S948" s="37" t="str">
        <f t="shared" si="23"/>
        <v/>
      </c>
      <c r="T948" s="37" t="str">
        <f t="shared" si="24"/>
        <v/>
      </c>
      <c r="U948" s="37" t="str">
        <f t="shared" si="25"/>
        <v/>
      </c>
      <c r="V948" s="37" t="str">
        <f t="shared" si="26"/>
        <v/>
      </c>
      <c r="W948" s="37" t="str">
        <f t="shared" si="27"/>
        <v/>
      </c>
      <c r="X948" s="37" t="str">
        <f t="shared" si="28"/>
        <v/>
      </c>
      <c r="Y948" s="37" t="str">
        <f t="shared" si="29"/>
        <v/>
      </c>
      <c r="Z948" s="38" t="str">
        <f t="shared" si="30"/>
        <v/>
      </c>
      <c r="AA948" s="39" t="str">
        <f t="shared" si="31"/>
        <v/>
      </c>
    </row>
    <row r="949" ht="15.75" customHeight="1">
      <c r="B949" s="1"/>
      <c r="C949" s="28"/>
      <c r="D949" s="79"/>
      <c r="E949" s="1"/>
      <c r="F949" s="76"/>
      <c r="G949" s="1"/>
      <c r="H949" s="1"/>
      <c r="J949" s="77"/>
      <c r="K949" s="80"/>
      <c r="L949" s="80"/>
      <c r="M949" s="80"/>
      <c r="N949" s="80"/>
      <c r="O949" s="80"/>
      <c r="P949" s="81"/>
      <c r="Q949" s="35" t="str">
        <f>IF(D949="","",VLOOKUP(MONTH(D949),Listas!$C$2:$D$14,2,0))</f>
        <v/>
      </c>
      <c r="R949" s="36" t="str">
        <f t="shared" si="22"/>
        <v/>
      </c>
      <c r="S949" s="37" t="str">
        <f t="shared" si="23"/>
        <v/>
      </c>
      <c r="T949" s="37" t="str">
        <f t="shared" si="24"/>
        <v/>
      </c>
      <c r="U949" s="37" t="str">
        <f t="shared" si="25"/>
        <v/>
      </c>
      <c r="V949" s="37" t="str">
        <f t="shared" si="26"/>
        <v/>
      </c>
      <c r="W949" s="37" t="str">
        <f t="shared" si="27"/>
        <v/>
      </c>
      <c r="X949" s="37" t="str">
        <f t="shared" si="28"/>
        <v/>
      </c>
      <c r="Y949" s="37" t="str">
        <f t="shared" si="29"/>
        <v/>
      </c>
      <c r="Z949" s="38" t="str">
        <f t="shared" si="30"/>
        <v/>
      </c>
      <c r="AA949" s="39" t="str">
        <f t="shared" si="31"/>
        <v/>
      </c>
    </row>
    <row r="950" ht="15.75" customHeight="1">
      <c r="B950" s="1"/>
      <c r="C950" s="28"/>
      <c r="D950" s="79"/>
      <c r="E950" s="1"/>
      <c r="F950" s="76"/>
      <c r="G950" s="1"/>
      <c r="H950" s="1"/>
      <c r="J950" s="77"/>
      <c r="K950" s="80"/>
      <c r="L950" s="80"/>
      <c r="M950" s="80"/>
      <c r="N950" s="80"/>
      <c r="O950" s="80"/>
      <c r="P950" s="81"/>
      <c r="Q950" s="35" t="str">
        <f>IF(D950="","",VLOOKUP(MONTH(D950),Listas!$C$2:$D$14,2,0))</f>
        <v/>
      </c>
      <c r="R950" s="36" t="str">
        <f t="shared" si="22"/>
        <v/>
      </c>
      <c r="S950" s="37" t="str">
        <f t="shared" si="23"/>
        <v/>
      </c>
      <c r="T950" s="37" t="str">
        <f t="shared" si="24"/>
        <v/>
      </c>
      <c r="U950" s="37" t="str">
        <f t="shared" si="25"/>
        <v/>
      </c>
      <c r="V950" s="37" t="str">
        <f t="shared" si="26"/>
        <v/>
      </c>
      <c r="W950" s="37" t="str">
        <f t="shared" si="27"/>
        <v/>
      </c>
      <c r="X950" s="37" t="str">
        <f t="shared" si="28"/>
        <v/>
      </c>
      <c r="Y950" s="37" t="str">
        <f t="shared" si="29"/>
        <v/>
      </c>
      <c r="Z950" s="38" t="str">
        <f t="shared" si="30"/>
        <v/>
      </c>
      <c r="AA950" s="39" t="str">
        <f t="shared" si="31"/>
        <v/>
      </c>
    </row>
    <row r="951" ht="15.75" customHeight="1">
      <c r="B951" s="1"/>
      <c r="C951" s="28"/>
      <c r="D951" s="79"/>
      <c r="E951" s="1"/>
      <c r="F951" s="76"/>
      <c r="G951" s="1"/>
      <c r="H951" s="1"/>
      <c r="J951" s="77"/>
      <c r="K951" s="80"/>
      <c r="L951" s="80"/>
      <c r="M951" s="80"/>
      <c r="N951" s="80"/>
      <c r="O951" s="80"/>
      <c r="P951" s="81"/>
      <c r="Q951" s="35" t="str">
        <f>IF(D951="","",VLOOKUP(MONTH(D951),Listas!$C$2:$D$14,2,0))</f>
        <v/>
      </c>
      <c r="R951" s="36" t="str">
        <f t="shared" si="22"/>
        <v/>
      </c>
      <c r="S951" s="37" t="str">
        <f t="shared" si="23"/>
        <v/>
      </c>
      <c r="T951" s="37" t="str">
        <f t="shared" si="24"/>
        <v/>
      </c>
      <c r="U951" s="37" t="str">
        <f t="shared" si="25"/>
        <v/>
      </c>
      <c r="V951" s="37" t="str">
        <f t="shared" si="26"/>
        <v/>
      </c>
      <c r="W951" s="37" t="str">
        <f t="shared" si="27"/>
        <v/>
      </c>
      <c r="X951" s="37" t="str">
        <f t="shared" si="28"/>
        <v/>
      </c>
      <c r="Y951" s="37" t="str">
        <f t="shared" si="29"/>
        <v/>
      </c>
      <c r="Z951" s="38" t="str">
        <f t="shared" si="30"/>
        <v/>
      </c>
      <c r="AA951" s="39" t="str">
        <f t="shared" si="31"/>
        <v/>
      </c>
    </row>
    <row r="952" ht="15.75" customHeight="1">
      <c r="B952" s="1"/>
      <c r="C952" s="28"/>
      <c r="D952" s="79"/>
      <c r="E952" s="1"/>
      <c r="F952" s="76"/>
      <c r="G952" s="1"/>
      <c r="H952" s="1"/>
      <c r="J952" s="77"/>
      <c r="K952" s="80"/>
      <c r="L952" s="80"/>
      <c r="M952" s="80"/>
      <c r="N952" s="80"/>
      <c r="O952" s="80"/>
      <c r="P952" s="81"/>
      <c r="Q952" s="35" t="str">
        <f>IF(D952="","",VLOOKUP(MONTH(D952),Listas!$C$2:$D$14,2,0))</f>
        <v/>
      </c>
      <c r="R952" s="36" t="str">
        <f t="shared" si="22"/>
        <v/>
      </c>
      <c r="S952" s="37" t="str">
        <f t="shared" si="23"/>
        <v/>
      </c>
      <c r="T952" s="37" t="str">
        <f t="shared" si="24"/>
        <v/>
      </c>
      <c r="U952" s="37" t="str">
        <f t="shared" si="25"/>
        <v/>
      </c>
      <c r="V952" s="37" t="str">
        <f t="shared" si="26"/>
        <v/>
      </c>
      <c r="W952" s="37" t="str">
        <f t="shared" si="27"/>
        <v/>
      </c>
      <c r="X952" s="37" t="str">
        <f t="shared" si="28"/>
        <v/>
      </c>
      <c r="Y952" s="37" t="str">
        <f t="shared" si="29"/>
        <v/>
      </c>
      <c r="Z952" s="38" t="str">
        <f t="shared" si="30"/>
        <v/>
      </c>
      <c r="AA952" s="39" t="str">
        <f t="shared" si="31"/>
        <v/>
      </c>
    </row>
    <row r="953" ht="15.75" customHeight="1">
      <c r="B953" s="1"/>
      <c r="C953" s="28"/>
      <c r="D953" s="79"/>
      <c r="E953" s="1"/>
      <c r="F953" s="76"/>
      <c r="G953" s="1"/>
      <c r="H953" s="1"/>
      <c r="J953" s="77"/>
      <c r="K953" s="80"/>
      <c r="L953" s="80"/>
      <c r="M953" s="80"/>
      <c r="N953" s="80"/>
      <c r="O953" s="80"/>
      <c r="P953" s="81"/>
      <c r="Q953" s="35" t="str">
        <f>IF(D953="","",VLOOKUP(MONTH(D953),Listas!$C$2:$D$14,2,0))</f>
        <v/>
      </c>
      <c r="R953" s="36" t="str">
        <f t="shared" si="22"/>
        <v/>
      </c>
      <c r="S953" s="37" t="str">
        <f t="shared" si="23"/>
        <v/>
      </c>
      <c r="T953" s="37" t="str">
        <f t="shared" si="24"/>
        <v/>
      </c>
      <c r="U953" s="37" t="str">
        <f t="shared" si="25"/>
        <v/>
      </c>
      <c r="V953" s="37" t="str">
        <f t="shared" si="26"/>
        <v/>
      </c>
      <c r="W953" s="37" t="str">
        <f t="shared" si="27"/>
        <v/>
      </c>
      <c r="X953" s="37" t="str">
        <f t="shared" si="28"/>
        <v/>
      </c>
      <c r="Y953" s="37" t="str">
        <f t="shared" si="29"/>
        <v/>
      </c>
      <c r="Z953" s="38" t="str">
        <f t="shared" si="30"/>
        <v/>
      </c>
      <c r="AA953" s="39" t="str">
        <f t="shared" si="31"/>
        <v/>
      </c>
    </row>
    <row r="954" ht="15.75" customHeight="1">
      <c r="B954" s="1"/>
      <c r="C954" s="28"/>
      <c r="D954" s="79"/>
      <c r="E954" s="1"/>
      <c r="F954" s="76"/>
      <c r="G954" s="1"/>
      <c r="H954" s="1"/>
      <c r="J954" s="77"/>
      <c r="K954" s="80"/>
      <c r="L954" s="80"/>
      <c r="M954" s="80"/>
      <c r="N954" s="80"/>
      <c r="O954" s="80"/>
      <c r="P954" s="81"/>
      <c r="Q954" s="35" t="str">
        <f>IF(D954="","",VLOOKUP(MONTH(D954),Listas!$C$2:$D$14,2,0))</f>
        <v/>
      </c>
      <c r="R954" s="36" t="str">
        <f t="shared" si="22"/>
        <v/>
      </c>
      <c r="S954" s="37" t="str">
        <f t="shared" si="23"/>
        <v/>
      </c>
      <c r="T954" s="37" t="str">
        <f t="shared" si="24"/>
        <v/>
      </c>
      <c r="U954" s="37" t="str">
        <f t="shared" si="25"/>
        <v/>
      </c>
      <c r="V954" s="37" t="str">
        <f t="shared" si="26"/>
        <v/>
      </c>
      <c r="W954" s="37" t="str">
        <f t="shared" si="27"/>
        <v/>
      </c>
      <c r="X954" s="37" t="str">
        <f t="shared" si="28"/>
        <v/>
      </c>
      <c r="Y954" s="37" t="str">
        <f t="shared" si="29"/>
        <v/>
      </c>
      <c r="Z954" s="38" t="str">
        <f t="shared" si="30"/>
        <v/>
      </c>
      <c r="AA954" s="39" t="str">
        <f t="shared" si="31"/>
        <v/>
      </c>
    </row>
    <row r="955" ht="15.75" customHeight="1">
      <c r="B955" s="1"/>
      <c r="C955" s="28"/>
      <c r="D955" s="79"/>
      <c r="E955" s="1"/>
      <c r="F955" s="76"/>
      <c r="G955" s="1"/>
      <c r="H955" s="1"/>
      <c r="J955" s="77"/>
      <c r="K955" s="80"/>
      <c r="L955" s="80"/>
      <c r="M955" s="80"/>
      <c r="N955" s="80"/>
      <c r="O955" s="80"/>
      <c r="P955" s="81"/>
      <c r="Q955" s="35" t="str">
        <f>IF(D955="","",VLOOKUP(MONTH(D955),Listas!$C$2:$D$14,2,0))</f>
        <v/>
      </c>
      <c r="R955" s="36" t="str">
        <f t="shared" si="22"/>
        <v/>
      </c>
      <c r="S955" s="37" t="str">
        <f t="shared" si="23"/>
        <v/>
      </c>
      <c r="T955" s="37" t="str">
        <f t="shared" si="24"/>
        <v/>
      </c>
      <c r="U955" s="37" t="str">
        <f t="shared" si="25"/>
        <v/>
      </c>
      <c r="V955" s="37" t="str">
        <f t="shared" si="26"/>
        <v/>
      </c>
      <c r="W955" s="37" t="str">
        <f t="shared" si="27"/>
        <v/>
      </c>
      <c r="X955" s="37" t="str">
        <f t="shared" si="28"/>
        <v/>
      </c>
      <c r="Y955" s="37" t="str">
        <f t="shared" si="29"/>
        <v/>
      </c>
      <c r="Z955" s="38" t="str">
        <f t="shared" si="30"/>
        <v/>
      </c>
      <c r="AA955" s="39" t="str">
        <f t="shared" si="31"/>
        <v/>
      </c>
    </row>
    <row r="956" ht="15.75" customHeight="1">
      <c r="B956" s="1"/>
      <c r="C956" s="28"/>
      <c r="D956" s="79"/>
      <c r="E956" s="1"/>
      <c r="F956" s="76"/>
      <c r="G956" s="1"/>
      <c r="H956" s="1"/>
      <c r="J956" s="77"/>
      <c r="K956" s="80"/>
      <c r="L956" s="80"/>
      <c r="M956" s="80"/>
      <c r="N956" s="80"/>
      <c r="O956" s="80"/>
      <c r="P956" s="81"/>
      <c r="Q956" s="35" t="str">
        <f>IF(D956="","",VLOOKUP(MONTH(D956),Listas!$C$2:$D$14,2,0))</f>
        <v/>
      </c>
      <c r="R956" s="36" t="str">
        <f t="shared" si="22"/>
        <v/>
      </c>
      <c r="S956" s="37" t="str">
        <f t="shared" si="23"/>
        <v/>
      </c>
      <c r="T956" s="37" t="str">
        <f t="shared" si="24"/>
        <v/>
      </c>
      <c r="U956" s="37" t="str">
        <f t="shared" si="25"/>
        <v/>
      </c>
      <c r="V956" s="37" t="str">
        <f t="shared" si="26"/>
        <v/>
      </c>
      <c r="W956" s="37" t="str">
        <f t="shared" si="27"/>
        <v/>
      </c>
      <c r="X956" s="37" t="str">
        <f t="shared" si="28"/>
        <v/>
      </c>
      <c r="Y956" s="37" t="str">
        <f t="shared" si="29"/>
        <v/>
      </c>
      <c r="Z956" s="38" t="str">
        <f t="shared" si="30"/>
        <v/>
      </c>
      <c r="AA956" s="39" t="str">
        <f t="shared" si="31"/>
        <v/>
      </c>
    </row>
    <row r="957" ht="15.75" customHeight="1">
      <c r="B957" s="1"/>
      <c r="C957" s="28"/>
      <c r="D957" s="79"/>
      <c r="E957" s="1"/>
      <c r="F957" s="76"/>
      <c r="G957" s="1"/>
      <c r="H957" s="1"/>
      <c r="J957" s="77"/>
      <c r="K957" s="80"/>
      <c r="L957" s="80"/>
      <c r="M957" s="80"/>
      <c r="N957" s="80"/>
      <c r="O957" s="80"/>
      <c r="P957" s="81"/>
      <c r="Q957" s="35" t="str">
        <f>IF(D957="","",VLOOKUP(MONTH(D957),Listas!$C$2:$D$14,2,0))</f>
        <v/>
      </c>
      <c r="R957" s="36" t="str">
        <f t="shared" si="22"/>
        <v/>
      </c>
      <c r="S957" s="37" t="str">
        <f t="shared" si="23"/>
        <v/>
      </c>
      <c r="T957" s="37" t="str">
        <f t="shared" si="24"/>
        <v/>
      </c>
      <c r="U957" s="37" t="str">
        <f t="shared" si="25"/>
        <v/>
      </c>
      <c r="V957" s="37" t="str">
        <f t="shared" si="26"/>
        <v/>
      </c>
      <c r="W957" s="37" t="str">
        <f t="shared" si="27"/>
        <v/>
      </c>
      <c r="X957" s="37" t="str">
        <f t="shared" si="28"/>
        <v/>
      </c>
      <c r="Y957" s="37" t="str">
        <f t="shared" si="29"/>
        <v/>
      </c>
      <c r="Z957" s="38" t="str">
        <f t="shared" si="30"/>
        <v/>
      </c>
      <c r="AA957" s="39" t="str">
        <f t="shared" si="31"/>
        <v/>
      </c>
    </row>
    <row r="958" ht="15.75" customHeight="1">
      <c r="B958" s="1"/>
      <c r="C958" s="28"/>
      <c r="D958" s="79"/>
      <c r="E958" s="1"/>
      <c r="F958" s="76"/>
      <c r="G958" s="1"/>
      <c r="H958" s="1"/>
      <c r="J958" s="77"/>
      <c r="K958" s="80"/>
      <c r="L958" s="80"/>
      <c r="M958" s="80"/>
      <c r="N958" s="80"/>
      <c r="O958" s="80"/>
      <c r="P958" s="81"/>
      <c r="Q958" s="35" t="str">
        <f>IF(D958="","",VLOOKUP(MONTH(D958),Listas!$C$2:$D$14,2,0))</f>
        <v/>
      </c>
      <c r="R958" s="36" t="str">
        <f t="shared" si="22"/>
        <v/>
      </c>
      <c r="S958" s="37" t="str">
        <f t="shared" si="23"/>
        <v/>
      </c>
      <c r="T958" s="37" t="str">
        <f t="shared" si="24"/>
        <v/>
      </c>
      <c r="U958" s="37" t="str">
        <f t="shared" si="25"/>
        <v/>
      </c>
      <c r="V958" s="37" t="str">
        <f t="shared" si="26"/>
        <v/>
      </c>
      <c r="W958" s="37" t="str">
        <f t="shared" si="27"/>
        <v/>
      </c>
      <c r="X958" s="37" t="str">
        <f t="shared" si="28"/>
        <v/>
      </c>
      <c r="Y958" s="37" t="str">
        <f t="shared" si="29"/>
        <v/>
      </c>
      <c r="Z958" s="38" t="str">
        <f t="shared" si="30"/>
        <v/>
      </c>
      <c r="AA958" s="39" t="str">
        <f t="shared" si="31"/>
        <v/>
      </c>
    </row>
    <row r="959" ht="15.75" customHeight="1">
      <c r="B959" s="1"/>
      <c r="C959" s="28"/>
      <c r="D959" s="79"/>
      <c r="E959" s="1"/>
      <c r="F959" s="76"/>
      <c r="G959" s="1"/>
      <c r="H959" s="1"/>
      <c r="J959" s="77"/>
      <c r="K959" s="80"/>
      <c r="L959" s="80"/>
      <c r="M959" s="80"/>
      <c r="N959" s="80"/>
      <c r="O959" s="80"/>
      <c r="P959" s="81"/>
      <c r="Q959" s="35" t="str">
        <f>IF(D959="","",VLOOKUP(MONTH(D959),Listas!$C$2:$D$14,2,0))</f>
        <v/>
      </c>
      <c r="R959" s="36" t="str">
        <f t="shared" si="22"/>
        <v/>
      </c>
      <c r="S959" s="37" t="str">
        <f t="shared" si="23"/>
        <v/>
      </c>
      <c r="T959" s="37" t="str">
        <f t="shared" si="24"/>
        <v/>
      </c>
      <c r="U959" s="37" t="str">
        <f t="shared" si="25"/>
        <v/>
      </c>
      <c r="V959" s="37" t="str">
        <f t="shared" si="26"/>
        <v/>
      </c>
      <c r="W959" s="37" t="str">
        <f t="shared" si="27"/>
        <v/>
      </c>
      <c r="X959" s="37" t="str">
        <f t="shared" si="28"/>
        <v/>
      </c>
      <c r="Y959" s="37" t="str">
        <f t="shared" si="29"/>
        <v/>
      </c>
      <c r="Z959" s="38" t="str">
        <f t="shared" si="30"/>
        <v/>
      </c>
      <c r="AA959" s="39" t="str">
        <f t="shared" si="31"/>
        <v/>
      </c>
    </row>
    <row r="960" ht="15.75" customHeight="1">
      <c r="B960" s="1"/>
      <c r="C960" s="28"/>
      <c r="D960" s="79"/>
      <c r="E960" s="1"/>
      <c r="F960" s="76"/>
      <c r="G960" s="1"/>
      <c r="H960" s="1"/>
      <c r="J960" s="77"/>
      <c r="K960" s="80"/>
      <c r="L960" s="80"/>
      <c r="M960" s="80"/>
      <c r="N960" s="80"/>
      <c r="O960" s="80"/>
      <c r="P960" s="81"/>
      <c r="Q960" s="35" t="str">
        <f>IF(D960="","",VLOOKUP(MONTH(D960),Listas!$C$2:$D$14,2,0))</f>
        <v/>
      </c>
      <c r="R960" s="36" t="str">
        <f t="shared" si="22"/>
        <v/>
      </c>
      <c r="S960" s="37" t="str">
        <f t="shared" si="23"/>
        <v/>
      </c>
      <c r="T960" s="37" t="str">
        <f t="shared" si="24"/>
        <v/>
      </c>
      <c r="U960" s="37" t="str">
        <f t="shared" si="25"/>
        <v/>
      </c>
      <c r="V960" s="37" t="str">
        <f t="shared" si="26"/>
        <v/>
      </c>
      <c r="W960" s="37" t="str">
        <f t="shared" si="27"/>
        <v/>
      </c>
      <c r="X960" s="37" t="str">
        <f t="shared" si="28"/>
        <v/>
      </c>
      <c r="Y960" s="37" t="str">
        <f t="shared" si="29"/>
        <v/>
      </c>
      <c r="Z960" s="38" t="str">
        <f t="shared" si="30"/>
        <v/>
      </c>
      <c r="AA960" s="39" t="str">
        <f t="shared" si="31"/>
        <v/>
      </c>
    </row>
    <row r="961" ht="15.75" customHeight="1">
      <c r="B961" s="1"/>
      <c r="C961" s="28"/>
      <c r="D961" s="79"/>
      <c r="E961" s="1"/>
      <c r="F961" s="76"/>
      <c r="G961" s="1"/>
      <c r="H961" s="1"/>
      <c r="J961" s="77"/>
      <c r="K961" s="80"/>
      <c r="L961" s="80"/>
      <c r="M961" s="80"/>
      <c r="N961" s="80"/>
      <c r="O961" s="80"/>
      <c r="P961" s="81"/>
      <c r="Q961" s="35" t="str">
        <f>IF(D961="","",VLOOKUP(MONTH(D961),Listas!$C$2:$D$14,2,0))</f>
        <v/>
      </c>
      <c r="R961" s="36" t="str">
        <f t="shared" si="22"/>
        <v/>
      </c>
      <c r="S961" s="37" t="str">
        <f t="shared" si="23"/>
        <v/>
      </c>
      <c r="T961" s="37" t="str">
        <f t="shared" si="24"/>
        <v/>
      </c>
      <c r="U961" s="37" t="str">
        <f t="shared" si="25"/>
        <v/>
      </c>
      <c r="V961" s="37" t="str">
        <f t="shared" si="26"/>
        <v/>
      </c>
      <c r="W961" s="37" t="str">
        <f t="shared" si="27"/>
        <v/>
      </c>
      <c r="X961" s="37" t="str">
        <f t="shared" si="28"/>
        <v/>
      </c>
      <c r="Y961" s="37" t="str">
        <f t="shared" si="29"/>
        <v/>
      </c>
      <c r="Z961" s="38" t="str">
        <f t="shared" si="30"/>
        <v/>
      </c>
      <c r="AA961" s="39" t="str">
        <f t="shared" si="31"/>
        <v/>
      </c>
    </row>
    <row r="962" ht="15.75" customHeight="1">
      <c r="B962" s="1"/>
      <c r="C962" s="28"/>
      <c r="D962" s="79"/>
      <c r="E962" s="1"/>
      <c r="F962" s="76"/>
      <c r="G962" s="1"/>
      <c r="H962" s="1"/>
      <c r="J962" s="77"/>
      <c r="K962" s="80"/>
      <c r="L962" s="80"/>
      <c r="M962" s="80"/>
      <c r="N962" s="80"/>
      <c r="O962" s="80"/>
      <c r="P962" s="81"/>
      <c r="Q962" s="35" t="str">
        <f>IF(D962="","",VLOOKUP(MONTH(D962),Listas!$C$2:$D$14,2,0))</f>
        <v/>
      </c>
      <c r="R962" s="36" t="str">
        <f t="shared" si="22"/>
        <v/>
      </c>
      <c r="S962" s="37" t="str">
        <f t="shared" si="23"/>
        <v/>
      </c>
      <c r="T962" s="37" t="str">
        <f t="shared" si="24"/>
        <v/>
      </c>
      <c r="U962" s="37" t="str">
        <f t="shared" si="25"/>
        <v/>
      </c>
      <c r="V962" s="37" t="str">
        <f t="shared" si="26"/>
        <v/>
      </c>
      <c r="W962" s="37" t="str">
        <f t="shared" si="27"/>
        <v/>
      </c>
      <c r="X962" s="37" t="str">
        <f t="shared" si="28"/>
        <v/>
      </c>
      <c r="Y962" s="37" t="str">
        <f t="shared" si="29"/>
        <v/>
      </c>
      <c r="Z962" s="38" t="str">
        <f t="shared" si="30"/>
        <v/>
      </c>
      <c r="AA962" s="39" t="str">
        <f t="shared" si="31"/>
        <v/>
      </c>
    </row>
    <row r="963" ht="15.75" customHeight="1">
      <c r="B963" s="1"/>
      <c r="C963" s="28"/>
      <c r="D963" s="79"/>
      <c r="E963" s="1"/>
      <c r="F963" s="76"/>
      <c r="G963" s="1"/>
      <c r="H963" s="1"/>
      <c r="J963" s="77"/>
      <c r="K963" s="80"/>
      <c r="L963" s="80"/>
      <c r="M963" s="80"/>
      <c r="N963" s="80"/>
      <c r="O963" s="80"/>
      <c r="P963" s="81"/>
      <c r="Q963" s="35" t="str">
        <f>IF(D963="","",VLOOKUP(MONTH(D963),Listas!$C$2:$D$14,2,0))</f>
        <v/>
      </c>
      <c r="R963" s="36" t="str">
        <f t="shared" si="22"/>
        <v/>
      </c>
      <c r="S963" s="37" t="str">
        <f t="shared" si="23"/>
        <v/>
      </c>
      <c r="T963" s="37" t="str">
        <f t="shared" si="24"/>
        <v/>
      </c>
      <c r="U963" s="37" t="str">
        <f t="shared" si="25"/>
        <v/>
      </c>
      <c r="V963" s="37" t="str">
        <f t="shared" si="26"/>
        <v/>
      </c>
      <c r="W963" s="37" t="str">
        <f t="shared" si="27"/>
        <v/>
      </c>
      <c r="X963" s="37" t="str">
        <f t="shared" si="28"/>
        <v/>
      </c>
      <c r="Y963" s="37" t="str">
        <f t="shared" si="29"/>
        <v/>
      </c>
      <c r="Z963" s="38" t="str">
        <f t="shared" si="30"/>
        <v/>
      </c>
      <c r="AA963" s="39" t="str">
        <f t="shared" si="31"/>
        <v/>
      </c>
    </row>
    <row r="964" ht="15.75" customHeight="1">
      <c r="B964" s="1"/>
      <c r="C964" s="28"/>
      <c r="D964" s="79"/>
      <c r="E964" s="1"/>
      <c r="F964" s="76"/>
      <c r="G964" s="1"/>
      <c r="H964" s="1"/>
      <c r="J964" s="77"/>
      <c r="K964" s="80"/>
      <c r="L964" s="80"/>
      <c r="M964" s="80"/>
      <c r="N964" s="80"/>
      <c r="O964" s="80"/>
      <c r="P964" s="81"/>
      <c r="Q964" s="35" t="str">
        <f>IF(D964="","",VLOOKUP(MONTH(D964),Listas!$C$2:$D$14,2,0))</f>
        <v/>
      </c>
      <c r="R964" s="36" t="str">
        <f t="shared" si="22"/>
        <v/>
      </c>
      <c r="S964" s="37" t="str">
        <f t="shared" si="23"/>
        <v/>
      </c>
      <c r="T964" s="37" t="str">
        <f t="shared" si="24"/>
        <v/>
      </c>
      <c r="U964" s="37" t="str">
        <f t="shared" si="25"/>
        <v/>
      </c>
      <c r="V964" s="37" t="str">
        <f t="shared" si="26"/>
        <v/>
      </c>
      <c r="W964" s="37" t="str">
        <f t="shared" si="27"/>
        <v/>
      </c>
      <c r="X964" s="37" t="str">
        <f t="shared" si="28"/>
        <v/>
      </c>
      <c r="Y964" s="37" t="str">
        <f t="shared" si="29"/>
        <v/>
      </c>
      <c r="Z964" s="38" t="str">
        <f t="shared" si="30"/>
        <v/>
      </c>
      <c r="AA964" s="39" t="str">
        <f t="shared" si="31"/>
        <v/>
      </c>
    </row>
    <row r="965" ht="15.75" customHeight="1">
      <c r="B965" s="1"/>
      <c r="C965" s="28"/>
      <c r="D965" s="79"/>
      <c r="E965" s="1"/>
      <c r="F965" s="76"/>
      <c r="G965" s="1"/>
      <c r="H965" s="1"/>
      <c r="J965" s="77"/>
      <c r="K965" s="80"/>
      <c r="L965" s="80"/>
      <c r="M965" s="80"/>
      <c r="N965" s="80"/>
      <c r="O965" s="80"/>
      <c r="P965" s="81"/>
      <c r="Q965" s="35" t="str">
        <f>IF(D965="","",VLOOKUP(MONTH(D965),Listas!$C$2:$D$14,2,0))</f>
        <v/>
      </c>
      <c r="R965" s="36" t="str">
        <f t="shared" si="22"/>
        <v/>
      </c>
      <c r="S965" s="37" t="str">
        <f t="shared" si="23"/>
        <v/>
      </c>
      <c r="T965" s="37" t="str">
        <f t="shared" si="24"/>
        <v/>
      </c>
      <c r="U965" s="37" t="str">
        <f t="shared" si="25"/>
        <v/>
      </c>
      <c r="V965" s="37" t="str">
        <f t="shared" si="26"/>
        <v/>
      </c>
      <c r="W965" s="37" t="str">
        <f t="shared" si="27"/>
        <v/>
      </c>
      <c r="X965" s="37" t="str">
        <f t="shared" si="28"/>
        <v/>
      </c>
      <c r="Y965" s="37" t="str">
        <f t="shared" si="29"/>
        <v/>
      </c>
      <c r="Z965" s="38" t="str">
        <f t="shared" si="30"/>
        <v/>
      </c>
      <c r="AA965" s="39" t="str">
        <f t="shared" si="31"/>
        <v/>
      </c>
    </row>
    <row r="966" ht="15.75" customHeight="1">
      <c r="B966" s="1"/>
      <c r="C966" s="28"/>
      <c r="D966" s="79"/>
      <c r="E966" s="1"/>
      <c r="F966" s="76"/>
      <c r="G966" s="1"/>
      <c r="H966" s="1"/>
      <c r="J966" s="77"/>
      <c r="K966" s="80"/>
      <c r="L966" s="80"/>
      <c r="M966" s="80"/>
      <c r="N966" s="80"/>
      <c r="O966" s="80"/>
      <c r="P966" s="81"/>
      <c r="Q966" s="35" t="str">
        <f>IF(D966="","",VLOOKUP(MONTH(D966),Listas!$C$2:$D$14,2,0))</f>
        <v/>
      </c>
      <c r="R966" s="36" t="str">
        <f t="shared" si="22"/>
        <v/>
      </c>
      <c r="S966" s="37" t="str">
        <f t="shared" si="23"/>
        <v/>
      </c>
      <c r="T966" s="37" t="str">
        <f t="shared" si="24"/>
        <v/>
      </c>
      <c r="U966" s="37" t="str">
        <f t="shared" si="25"/>
        <v/>
      </c>
      <c r="V966" s="37" t="str">
        <f t="shared" si="26"/>
        <v/>
      </c>
      <c r="W966" s="37" t="str">
        <f t="shared" si="27"/>
        <v/>
      </c>
      <c r="X966" s="37" t="str">
        <f t="shared" si="28"/>
        <v/>
      </c>
      <c r="Y966" s="37" t="str">
        <f t="shared" si="29"/>
        <v/>
      </c>
      <c r="Z966" s="38" t="str">
        <f t="shared" si="30"/>
        <v/>
      </c>
      <c r="AA966" s="39" t="str">
        <f t="shared" si="31"/>
        <v/>
      </c>
    </row>
    <row r="967" ht="15.75" customHeight="1">
      <c r="B967" s="1"/>
      <c r="C967" s="28"/>
      <c r="D967" s="79"/>
      <c r="E967" s="1"/>
      <c r="F967" s="76"/>
      <c r="G967" s="1"/>
      <c r="H967" s="1"/>
      <c r="J967" s="77"/>
      <c r="K967" s="80"/>
      <c r="L967" s="80"/>
      <c r="M967" s="80"/>
      <c r="N967" s="80"/>
      <c r="O967" s="80"/>
      <c r="P967" s="81"/>
      <c r="Q967" s="35" t="str">
        <f>IF(D967="","",VLOOKUP(MONTH(D967),Listas!$C$2:$D$14,2,0))</f>
        <v/>
      </c>
      <c r="R967" s="36" t="str">
        <f t="shared" si="22"/>
        <v/>
      </c>
      <c r="S967" s="37" t="str">
        <f t="shared" si="23"/>
        <v/>
      </c>
      <c r="T967" s="37" t="str">
        <f t="shared" si="24"/>
        <v/>
      </c>
      <c r="U967" s="37" t="str">
        <f t="shared" si="25"/>
        <v/>
      </c>
      <c r="V967" s="37" t="str">
        <f t="shared" si="26"/>
        <v/>
      </c>
      <c r="W967" s="37" t="str">
        <f t="shared" si="27"/>
        <v/>
      </c>
      <c r="X967" s="37" t="str">
        <f t="shared" si="28"/>
        <v/>
      </c>
      <c r="Y967" s="37" t="str">
        <f t="shared" si="29"/>
        <v/>
      </c>
      <c r="Z967" s="38" t="str">
        <f t="shared" si="30"/>
        <v/>
      </c>
      <c r="AA967" s="39" t="str">
        <f t="shared" si="31"/>
        <v/>
      </c>
    </row>
    <row r="968" ht="15.75" customHeight="1">
      <c r="B968" s="1"/>
      <c r="C968" s="28"/>
      <c r="D968" s="79"/>
      <c r="E968" s="1"/>
      <c r="F968" s="76"/>
      <c r="G968" s="1"/>
      <c r="H968" s="1"/>
      <c r="J968" s="77"/>
      <c r="K968" s="80"/>
      <c r="L968" s="80"/>
      <c r="M968" s="80"/>
      <c r="N968" s="80"/>
      <c r="O968" s="80"/>
      <c r="P968" s="81"/>
      <c r="Q968" s="35" t="str">
        <f>IF(D968="","",VLOOKUP(MONTH(D968),Listas!$C$2:$D$14,2,0))</f>
        <v/>
      </c>
      <c r="R968" s="36" t="str">
        <f t="shared" si="22"/>
        <v/>
      </c>
      <c r="S968" s="37" t="str">
        <f t="shared" si="23"/>
        <v/>
      </c>
      <c r="T968" s="37" t="str">
        <f t="shared" si="24"/>
        <v/>
      </c>
      <c r="U968" s="37" t="str">
        <f t="shared" si="25"/>
        <v/>
      </c>
      <c r="V968" s="37" t="str">
        <f t="shared" si="26"/>
        <v/>
      </c>
      <c r="W968" s="37" t="str">
        <f t="shared" si="27"/>
        <v/>
      </c>
      <c r="X968" s="37" t="str">
        <f t="shared" si="28"/>
        <v/>
      </c>
      <c r="Y968" s="37" t="str">
        <f t="shared" si="29"/>
        <v/>
      </c>
      <c r="Z968" s="38" t="str">
        <f t="shared" si="30"/>
        <v/>
      </c>
      <c r="AA968" s="39" t="str">
        <f t="shared" si="31"/>
        <v/>
      </c>
    </row>
    <row r="969" ht="15.75" customHeight="1">
      <c r="B969" s="1"/>
      <c r="C969" s="28"/>
      <c r="D969" s="79"/>
      <c r="E969" s="1"/>
      <c r="F969" s="76"/>
      <c r="G969" s="1"/>
      <c r="H969" s="1"/>
      <c r="J969" s="77"/>
      <c r="K969" s="80"/>
      <c r="L969" s="80"/>
      <c r="M969" s="80"/>
      <c r="N969" s="80"/>
      <c r="O969" s="80"/>
      <c r="P969" s="81"/>
      <c r="Q969" s="35" t="str">
        <f>IF(D969="","",VLOOKUP(MONTH(D969),Listas!$C$2:$D$14,2,0))</f>
        <v/>
      </c>
      <c r="R969" s="36" t="str">
        <f t="shared" si="22"/>
        <v/>
      </c>
      <c r="S969" s="37" t="str">
        <f t="shared" si="23"/>
        <v/>
      </c>
      <c r="T969" s="37" t="str">
        <f t="shared" si="24"/>
        <v/>
      </c>
      <c r="U969" s="37" t="str">
        <f t="shared" si="25"/>
        <v/>
      </c>
      <c r="V969" s="37" t="str">
        <f t="shared" si="26"/>
        <v/>
      </c>
      <c r="W969" s="37" t="str">
        <f t="shared" si="27"/>
        <v/>
      </c>
      <c r="X969" s="37" t="str">
        <f t="shared" si="28"/>
        <v/>
      </c>
      <c r="Y969" s="37" t="str">
        <f t="shared" si="29"/>
        <v/>
      </c>
      <c r="Z969" s="38" t="str">
        <f t="shared" si="30"/>
        <v/>
      </c>
      <c r="AA969" s="39" t="str">
        <f t="shared" si="31"/>
        <v/>
      </c>
    </row>
    <row r="970" ht="15.75" customHeight="1">
      <c r="B970" s="1"/>
      <c r="C970" s="28"/>
      <c r="D970" s="79"/>
      <c r="E970" s="1"/>
      <c r="F970" s="76"/>
      <c r="G970" s="1"/>
      <c r="H970" s="1"/>
      <c r="J970" s="77"/>
      <c r="K970" s="80"/>
      <c r="L970" s="80"/>
      <c r="M970" s="80"/>
      <c r="N970" s="80"/>
      <c r="O970" s="80"/>
      <c r="P970" s="81"/>
      <c r="Q970" s="35" t="str">
        <f>IF(D970="","",VLOOKUP(MONTH(D970),Listas!$C$2:$D$14,2,0))</f>
        <v/>
      </c>
      <c r="R970" s="36" t="str">
        <f t="shared" si="22"/>
        <v/>
      </c>
      <c r="S970" s="37" t="str">
        <f t="shared" si="23"/>
        <v/>
      </c>
      <c r="T970" s="37" t="str">
        <f t="shared" si="24"/>
        <v/>
      </c>
      <c r="U970" s="37" t="str">
        <f t="shared" si="25"/>
        <v/>
      </c>
      <c r="V970" s="37" t="str">
        <f t="shared" si="26"/>
        <v/>
      </c>
      <c r="W970" s="37" t="str">
        <f t="shared" si="27"/>
        <v/>
      </c>
      <c r="X970" s="37" t="str">
        <f t="shared" si="28"/>
        <v/>
      </c>
      <c r="Y970" s="37" t="str">
        <f t="shared" si="29"/>
        <v/>
      </c>
      <c r="Z970" s="38" t="str">
        <f t="shared" si="30"/>
        <v/>
      </c>
      <c r="AA970" s="39" t="str">
        <f t="shared" si="31"/>
        <v/>
      </c>
    </row>
    <row r="971" ht="15.75" customHeight="1">
      <c r="B971" s="1"/>
      <c r="C971" s="28"/>
      <c r="D971" s="79"/>
      <c r="E971" s="1"/>
      <c r="F971" s="76"/>
      <c r="G971" s="1"/>
      <c r="H971" s="1"/>
      <c r="J971" s="77"/>
      <c r="K971" s="80"/>
      <c r="L971" s="80"/>
      <c r="M971" s="80"/>
      <c r="N971" s="80"/>
      <c r="O971" s="80"/>
      <c r="P971" s="81"/>
      <c r="Q971" s="35" t="str">
        <f>IF(D971="","",VLOOKUP(MONTH(D971),Listas!$C$2:$D$14,2,0))</f>
        <v/>
      </c>
      <c r="R971" s="36" t="str">
        <f t="shared" si="22"/>
        <v/>
      </c>
      <c r="S971" s="37" t="str">
        <f t="shared" si="23"/>
        <v/>
      </c>
      <c r="T971" s="37" t="str">
        <f t="shared" si="24"/>
        <v/>
      </c>
      <c r="U971" s="37" t="str">
        <f t="shared" si="25"/>
        <v/>
      </c>
      <c r="V971" s="37" t="str">
        <f t="shared" si="26"/>
        <v/>
      </c>
      <c r="W971" s="37" t="str">
        <f t="shared" si="27"/>
        <v/>
      </c>
      <c r="X971" s="37" t="str">
        <f t="shared" si="28"/>
        <v/>
      </c>
      <c r="Y971" s="37" t="str">
        <f t="shared" si="29"/>
        <v/>
      </c>
      <c r="Z971" s="38" t="str">
        <f t="shared" si="30"/>
        <v/>
      </c>
      <c r="AA971" s="39" t="str">
        <f t="shared" si="31"/>
        <v/>
      </c>
    </row>
    <row r="972" ht="15.75" customHeight="1">
      <c r="B972" s="1"/>
      <c r="C972" s="28"/>
      <c r="D972" s="79"/>
      <c r="E972" s="1"/>
      <c r="F972" s="76"/>
      <c r="G972" s="1"/>
      <c r="H972" s="1"/>
      <c r="J972" s="77"/>
      <c r="K972" s="80"/>
      <c r="L972" s="80"/>
      <c r="M972" s="80"/>
      <c r="N972" s="80"/>
      <c r="O972" s="80"/>
      <c r="P972" s="81"/>
      <c r="Q972" s="35" t="str">
        <f>IF(D972="","",VLOOKUP(MONTH(D972),Listas!$C$2:$D$14,2,0))</f>
        <v/>
      </c>
      <c r="R972" s="36" t="str">
        <f t="shared" si="22"/>
        <v/>
      </c>
      <c r="S972" s="37" t="str">
        <f t="shared" si="23"/>
        <v/>
      </c>
      <c r="T972" s="37" t="str">
        <f t="shared" si="24"/>
        <v/>
      </c>
      <c r="U972" s="37" t="str">
        <f t="shared" si="25"/>
        <v/>
      </c>
      <c r="V972" s="37" t="str">
        <f t="shared" si="26"/>
        <v/>
      </c>
      <c r="W972" s="37" t="str">
        <f t="shared" si="27"/>
        <v/>
      </c>
      <c r="X972" s="37" t="str">
        <f t="shared" si="28"/>
        <v/>
      </c>
      <c r="Y972" s="37" t="str">
        <f t="shared" si="29"/>
        <v/>
      </c>
      <c r="Z972" s="38" t="str">
        <f t="shared" si="30"/>
        <v/>
      </c>
      <c r="AA972" s="39" t="str">
        <f t="shared" si="31"/>
        <v/>
      </c>
    </row>
    <row r="973" ht="15.75" customHeight="1">
      <c r="B973" s="1"/>
      <c r="C973" s="28"/>
      <c r="D973" s="79"/>
      <c r="E973" s="1"/>
      <c r="F973" s="76"/>
      <c r="G973" s="1"/>
      <c r="H973" s="1"/>
      <c r="J973" s="77"/>
      <c r="K973" s="80"/>
      <c r="L973" s="80"/>
      <c r="M973" s="80"/>
      <c r="N973" s="80"/>
      <c r="O973" s="80"/>
      <c r="P973" s="81"/>
      <c r="Q973" s="35" t="str">
        <f>IF(D973="","",VLOOKUP(MONTH(D973),Listas!$C$2:$D$14,2,0))</f>
        <v/>
      </c>
      <c r="R973" s="36" t="str">
        <f t="shared" si="22"/>
        <v/>
      </c>
      <c r="S973" s="37" t="str">
        <f t="shared" si="23"/>
        <v/>
      </c>
      <c r="T973" s="37" t="str">
        <f t="shared" si="24"/>
        <v/>
      </c>
      <c r="U973" s="37" t="str">
        <f t="shared" si="25"/>
        <v/>
      </c>
      <c r="V973" s="37" t="str">
        <f t="shared" si="26"/>
        <v/>
      </c>
      <c r="W973" s="37" t="str">
        <f t="shared" si="27"/>
        <v/>
      </c>
      <c r="X973" s="37" t="str">
        <f t="shared" si="28"/>
        <v/>
      </c>
      <c r="Y973" s="37" t="str">
        <f t="shared" si="29"/>
        <v/>
      </c>
      <c r="Z973" s="38" t="str">
        <f t="shared" si="30"/>
        <v/>
      </c>
      <c r="AA973" s="39" t="str">
        <f t="shared" si="31"/>
        <v/>
      </c>
    </row>
    <row r="974" ht="15.75" customHeight="1">
      <c r="B974" s="1"/>
      <c r="C974" s="28"/>
      <c r="D974" s="79"/>
      <c r="E974" s="1"/>
      <c r="F974" s="76"/>
      <c r="G974" s="1"/>
      <c r="H974" s="1"/>
      <c r="J974" s="77"/>
      <c r="K974" s="80"/>
      <c r="L974" s="80"/>
      <c r="M974" s="80"/>
      <c r="N974" s="80"/>
      <c r="O974" s="80"/>
      <c r="P974" s="81"/>
      <c r="Q974" s="35" t="str">
        <f>IF(D974="","",VLOOKUP(MONTH(D974),Listas!$C$2:$D$14,2,0))</f>
        <v/>
      </c>
      <c r="R974" s="36" t="str">
        <f t="shared" si="22"/>
        <v/>
      </c>
      <c r="S974" s="37" t="str">
        <f t="shared" si="23"/>
        <v/>
      </c>
      <c r="T974" s="37" t="str">
        <f t="shared" si="24"/>
        <v/>
      </c>
      <c r="U974" s="37" t="str">
        <f t="shared" si="25"/>
        <v/>
      </c>
      <c r="V974" s="37" t="str">
        <f t="shared" si="26"/>
        <v/>
      </c>
      <c r="W974" s="37" t="str">
        <f t="shared" si="27"/>
        <v/>
      </c>
      <c r="X974" s="37" t="str">
        <f t="shared" si="28"/>
        <v/>
      </c>
      <c r="Y974" s="37" t="str">
        <f t="shared" si="29"/>
        <v/>
      </c>
      <c r="Z974" s="38" t="str">
        <f t="shared" si="30"/>
        <v/>
      </c>
      <c r="AA974" s="39" t="str">
        <f t="shared" si="31"/>
        <v/>
      </c>
    </row>
    <row r="975" ht="15.75" customHeight="1">
      <c r="B975" s="1"/>
      <c r="C975" s="28"/>
      <c r="D975" s="79"/>
      <c r="E975" s="1"/>
      <c r="F975" s="76"/>
      <c r="G975" s="1"/>
      <c r="H975" s="1"/>
      <c r="J975" s="77"/>
      <c r="K975" s="80"/>
      <c r="L975" s="80"/>
      <c r="M975" s="80"/>
      <c r="N975" s="80"/>
      <c r="O975" s="80"/>
      <c r="P975" s="81"/>
      <c r="Q975" s="35" t="str">
        <f>IF(D975="","",VLOOKUP(MONTH(D975),Listas!$C$2:$D$14,2,0))</f>
        <v/>
      </c>
      <c r="R975" s="36" t="str">
        <f t="shared" si="22"/>
        <v/>
      </c>
      <c r="S975" s="37" t="str">
        <f t="shared" si="23"/>
        <v/>
      </c>
      <c r="T975" s="37" t="str">
        <f t="shared" si="24"/>
        <v/>
      </c>
      <c r="U975" s="37" t="str">
        <f t="shared" si="25"/>
        <v/>
      </c>
      <c r="V975" s="37" t="str">
        <f t="shared" si="26"/>
        <v/>
      </c>
      <c r="W975" s="37" t="str">
        <f t="shared" si="27"/>
        <v/>
      </c>
      <c r="X975" s="37" t="str">
        <f t="shared" si="28"/>
        <v/>
      </c>
      <c r="Y975" s="37" t="str">
        <f t="shared" si="29"/>
        <v/>
      </c>
      <c r="Z975" s="38" t="str">
        <f t="shared" si="30"/>
        <v/>
      </c>
      <c r="AA975" s="39" t="str">
        <f t="shared" si="31"/>
        <v/>
      </c>
    </row>
    <row r="976" ht="15.75" customHeight="1">
      <c r="B976" s="1"/>
      <c r="C976" s="28"/>
      <c r="D976" s="79"/>
      <c r="E976" s="1"/>
      <c r="F976" s="76"/>
      <c r="G976" s="1"/>
      <c r="H976" s="1"/>
      <c r="J976" s="77"/>
      <c r="K976" s="80"/>
      <c r="L976" s="80"/>
      <c r="M976" s="80"/>
      <c r="N976" s="80"/>
      <c r="O976" s="80"/>
      <c r="P976" s="81"/>
      <c r="Q976" s="35" t="str">
        <f>IF(D976="","",VLOOKUP(MONTH(D976),Listas!$C$2:$D$14,2,0))</f>
        <v/>
      </c>
      <c r="R976" s="36" t="str">
        <f t="shared" si="22"/>
        <v/>
      </c>
      <c r="S976" s="37" t="str">
        <f t="shared" si="23"/>
        <v/>
      </c>
      <c r="T976" s="37" t="str">
        <f t="shared" si="24"/>
        <v/>
      </c>
      <c r="U976" s="37" t="str">
        <f t="shared" si="25"/>
        <v/>
      </c>
      <c r="V976" s="37" t="str">
        <f t="shared" si="26"/>
        <v/>
      </c>
      <c r="W976" s="37" t="str">
        <f t="shared" si="27"/>
        <v/>
      </c>
      <c r="X976" s="37" t="str">
        <f t="shared" si="28"/>
        <v/>
      </c>
      <c r="Y976" s="37" t="str">
        <f t="shared" si="29"/>
        <v/>
      </c>
      <c r="Z976" s="38" t="str">
        <f t="shared" si="30"/>
        <v/>
      </c>
      <c r="AA976" s="39" t="str">
        <f t="shared" si="31"/>
        <v/>
      </c>
    </row>
    <row r="977" ht="15.75" customHeight="1">
      <c r="B977" s="1"/>
      <c r="C977" s="28"/>
      <c r="D977" s="79"/>
      <c r="E977" s="1"/>
      <c r="F977" s="76"/>
      <c r="G977" s="1"/>
      <c r="H977" s="1"/>
      <c r="J977" s="77"/>
      <c r="K977" s="80"/>
      <c r="L977" s="80"/>
      <c r="M977" s="80"/>
      <c r="N977" s="80"/>
      <c r="O977" s="80"/>
      <c r="P977" s="81"/>
      <c r="Q977" s="35" t="str">
        <f>IF(D977="","",VLOOKUP(MONTH(D977),Listas!$C$2:$D$14,2,0))</f>
        <v/>
      </c>
      <c r="R977" s="36" t="str">
        <f t="shared" si="22"/>
        <v/>
      </c>
      <c r="S977" s="37" t="str">
        <f t="shared" si="23"/>
        <v/>
      </c>
      <c r="T977" s="37" t="str">
        <f t="shared" si="24"/>
        <v/>
      </c>
      <c r="U977" s="37" t="str">
        <f t="shared" si="25"/>
        <v/>
      </c>
      <c r="V977" s="37" t="str">
        <f t="shared" si="26"/>
        <v/>
      </c>
      <c r="W977" s="37" t="str">
        <f t="shared" si="27"/>
        <v/>
      </c>
      <c r="X977" s="37" t="str">
        <f t="shared" si="28"/>
        <v/>
      </c>
      <c r="Y977" s="37" t="str">
        <f t="shared" si="29"/>
        <v/>
      </c>
      <c r="Z977" s="38" t="str">
        <f t="shared" si="30"/>
        <v/>
      </c>
      <c r="AA977" s="39" t="str">
        <f t="shared" si="31"/>
        <v/>
      </c>
    </row>
    <row r="978" ht="15.75" customHeight="1">
      <c r="B978" s="1"/>
      <c r="C978" s="28"/>
      <c r="D978" s="79"/>
      <c r="E978" s="1"/>
      <c r="F978" s="76"/>
      <c r="G978" s="1"/>
      <c r="H978" s="1"/>
      <c r="J978" s="77"/>
      <c r="K978" s="80"/>
      <c r="L978" s="80"/>
      <c r="M978" s="80"/>
      <c r="N978" s="80"/>
      <c r="O978" s="80"/>
      <c r="P978" s="81"/>
      <c r="Q978" s="35" t="str">
        <f>IF(D978="","",VLOOKUP(MONTH(D978),Listas!$C$2:$D$14,2,0))</f>
        <v/>
      </c>
      <c r="R978" s="36" t="str">
        <f t="shared" si="22"/>
        <v/>
      </c>
      <c r="S978" s="37" t="str">
        <f t="shared" si="23"/>
        <v/>
      </c>
      <c r="T978" s="37" t="str">
        <f t="shared" si="24"/>
        <v/>
      </c>
      <c r="U978" s="37" t="str">
        <f t="shared" si="25"/>
        <v/>
      </c>
      <c r="V978" s="37" t="str">
        <f t="shared" si="26"/>
        <v/>
      </c>
      <c r="W978" s="37" t="str">
        <f t="shared" si="27"/>
        <v/>
      </c>
      <c r="X978" s="37" t="str">
        <f t="shared" si="28"/>
        <v/>
      </c>
      <c r="Y978" s="37" t="str">
        <f t="shared" si="29"/>
        <v/>
      </c>
      <c r="Z978" s="38" t="str">
        <f t="shared" si="30"/>
        <v/>
      </c>
      <c r="AA978" s="39" t="str">
        <f t="shared" si="31"/>
        <v/>
      </c>
    </row>
    <row r="979" ht="15.75" customHeight="1">
      <c r="B979" s="1"/>
      <c r="C979" s="28"/>
      <c r="D979" s="79"/>
      <c r="E979" s="1"/>
      <c r="F979" s="76"/>
      <c r="G979" s="1"/>
      <c r="H979" s="1"/>
      <c r="J979" s="77"/>
      <c r="K979" s="80"/>
      <c r="L979" s="80"/>
      <c r="M979" s="80"/>
      <c r="N979" s="80"/>
      <c r="O979" s="80"/>
      <c r="P979" s="81"/>
      <c r="Q979" s="35" t="str">
        <f>IF(D979="","",VLOOKUP(MONTH(D979),Listas!$C$2:$D$14,2,0))</f>
        <v/>
      </c>
      <c r="R979" s="36" t="str">
        <f t="shared" si="22"/>
        <v/>
      </c>
      <c r="S979" s="37" t="str">
        <f t="shared" si="23"/>
        <v/>
      </c>
      <c r="T979" s="37" t="str">
        <f t="shared" si="24"/>
        <v/>
      </c>
      <c r="U979" s="37" t="str">
        <f t="shared" si="25"/>
        <v/>
      </c>
      <c r="V979" s="37" t="str">
        <f t="shared" si="26"/>
        <v/>
      </c>
      <c r="W979" s="37" t="str">
        <f t="shared" si="27"/>
        <v/>
      </c>
      <c r="X979" s="37" t="str">
        <f t="shared" si="28"/>
        <v/>
      </c>
      <c r="Y979" s="37" t="str">
        <f t="shared" si="29"/>
        <v/>
      </c>
      <c r="Z979" s="38" t="str">
        <f t="shared" si="30"/>
        <v/>
      </c>
      <c r="AA979" s="39" t="str">
        <f t="shared" si="31"/>
        <v/>
      </c>
    </row>
    <row r="980" ht="15.75" customHeight="1">
      <c r="B980" s="1"/>
      <c r="C980" s="28"/>
      <c r="D980" s="79"/>
      <c r="E980" s="1"/>
      <c r="F980" s="76"/>
      <c r="G980" s="1"/>
      <c r="H980" s="1"/>
      <c r="J980" s="77"/>
      <c r="K980" s="80"/>
      <c r="L980" s="80"/>
      <c r="M980" s="80"/>
      <c r="N980" s="80"/>
      <c r="O980" s="80"/>
      <c r="P980" s="81"/>
      <c r="Q980" s="35" t="str">
        <f>IF(D980="","",VLOOKUP(MONTH(D980),Listas!$C$2:$D$14,2,0))</f>
        <v/>
      </c>
      <c r="R980" s="36" t="str">
        <f t="shared" si="22"/>
        <v/>
      </c>
      <c r="S980" s="37" t="str">
        <f t="shared" si="23"/>
        <v/>
      </c>
      <c r="T980" s="37" t="str">
        <f t="shared" si="24"/>
        <v/>
      </c>
      <c r="U980" s="37" t="str">
        <f t="shared" si="25"/>
        <v/>
      </c>
      <c r="V980" s="37" t="str">
        <f t="shared" si="26"/>
        <v/>
      </c>
      <c r="W980" s="37" t="str">
        <f t="shared" si="27"/>
        <v/>
      </c>
      <c r="X980" s="37" t="str">
        <f t="shared" si="28"/>
        <v/>
      </c>
      <c r="Y980" s="37" t="str">
        <f t="shared" si="29"/>
        <v/>
      </c>
      <c r="Z980" s="38" t="str">
        <f t="shared" si="30"/>
        <v/>
      </c>
      <c r="AA980" s="39" t="str">
        <f t="shared" si="31"/>
        <v/>
      </c>
    </row>
    <row r="981" ht="15.75" customHeight="1">
      <c r="B981" s="1"/>
      <c r="C981" s="28"/>
      <c r="D981" s="79"/>
      <c r="E981" s="1"/>
      <c r="F981" s="76"/>
      <c r="G981" s="1"/>
      <c r="H981" s="1"/>
      <c r="J981" s="77"/>
      <c r="K981" s="80"/>
      <c r="L981" s="80"/>
      <c r="M981" s="80"/>
      <c r="N981" s="80"/>
      <c r="O981" s="80"/>
      <c r="P981" s="81"/>
      <c r="Q981" s="35" t="str">
        <f>IF(D981="","",VLOOKUP(MONTH(D981),Listas!$C$2:$D$14,2,0))</f>
        <v/>
      </c>
      <c r="R981" s="36" t="str">
        <f t="shared" si="22"/>
        <v/>
      </c>
      <c r="S981" s="37" t="str">
        <f t="shared" si="23"/>
        <v/>
      </c>
      <c r="T981" s="37" t="str">
        <f t="shared" si="24"/>
        <v/>
      </c>
      <c r="U981" s="37" t="str">
        <f t="shared" si="25"/>
        <v/>
      </c>
      <c r="V981" s="37" t="str">
        <f t="shared" si="26"/>
        <v/>
      </c>
      <c r="W981" s="37" t="str">
        <f t="shared" si="27"/>
        <v/>
      </c>
      <c r="X981" s="37" t="str">
        <f t="shared" si="28"/>
        <v/>
      </c>
      <c r="Y981" s="37" t="str">
        <f t="shared" si="29"/>
        <v/>
      </c>
      <c r="Z981" s="38" t="str">
        <f t="shared" si="30"/>
        <v/>
      </c>
      <c r="AA981" s="39" t="str">
        <f t="shared" si="31"/>
        <v/>
      </c>
    </row>
    <row r="982" ht="15.75" customHeight="1">
      <c r="B982" s="1"/>
      <c r="C982" s="28"/>
      <c r="D982" s="79"/>
      <c r="E982" s="1"/>
      <c r="F982" s="76"/>
      <c r="G982" s="1"/>
      <c r="H982" s="1"/>
      <c r="J982" s="77"/>
      <c r="K982" s="80"/>
      <c r="L982" s="80"/>
      <c r="M982" s="80"/>
      <c r="N982" s="80"/>
      <c r="O982" s="80"/>
      <c r="P982" s="81"/>
      <c r="Q982" s="35" t="str">
        <f>IF(D982="","",VLOOKUP(MONTH(D982),Listas!$C$2:$D$14,2,0))</f>
        <v/>
      </c>
      <c r="R982" s="36" t="str">
        <f t="shared" si="22"/>
        <v/>
      </c>
      <c r="S982" s="37" t="str">
        <f t="shared" si="23"/>
        <v/>
      </c>
      <c r="T982" s="37" t="str">
        <f t="shared" si="24"/>
        <v/>
      </c>
      <c r="U982" s="37" t="str">
        <f t="shared" si="25"/>
        <v/>
      </c>
      <c r="V982" s="37" t="str">
        <f t="shared" si="26"/>
        <v/>
      </c>
      <c r="W982" s="37" t="str">
        <f t="shared" si="27"/>
        <v/>
      </c>
      <c r="X982" s="37" t="str">
        <f t="shared" si="28"/>
        <v/>
      </c>
      <c r="Y982" s="37" t="str">
        <f t="shared" si="29"/>
        <v/>
      </c>
      <c r="Z982" s="38" t="str">
        <f t="shared" si="30"/>
        <v/>
      </c>
      <c r="AA982" s="39" t="str">
        <f t="shared" si="31"/>
        <v/>
      </c>
    </row>
    <row r="983" ht="15.75" customHeight="1">
      <c r="B983" s="1"/>
      <c r="C983" s="28"/>
      <c r="D983" s="79"/>
      <c r="E983" s="1"/>
      <c r="F983" s="76"/>
      <c r="G983" s="1"/>
      <c r="H983" s="1"/>
      <c r="J983" s="77"/>
      <c r="K983" s="80"/>
      <c r="L983" s="80"/>
      <c r="M983" s="80"/>
      <c r="N983" s="80"/>
      <c r="O983" s="80"/>
      <c r="P983" s="81"/>
      <c r="Q983" s="35" t="str">
        <f>IF(D983="","",VLOOKUP(MONTH(D983),Listas!$C$2:$D$14,2,0))</f>
        <v/>
      </c>
      <c r="R983" s="36" t="str">
        <f t="shared" si="22"/>
        <v/>
      </c>
      <c r="S983" s="37" t="str">
        <f t="shared" si="23"/>
        <v/>
      </c>
      <c r="T983" s="37" t="str">
        <f t="shared" si="24"/>
        <v/>
      </c>
      <c r="U983" s="37" t="str">
        <f t="shared" si="25"/>
        <v/>
      </c>
      <c r="V983" s="37" t="str">
        <f t="shared" si="26"/>
        <v/>
      </c>
      <c r="W983" s="37" t="str">
        <f t="shared" si="27"/>
        <v/>
      </c>
      <c r="X983" s="37" t="str">
        <f t="shared" si="28"/>
        <v/>
      </c>
      <c r="Y983" s="37" t="str">
        <f t="shared" si="29"/>
        <v/>
      </c>
      <c r="Z983" s="38" t="str">
        <f t="shared" si="30"/>
        <v/>
      </c>
      <c r="AA983" s="39" t="str">
        <f t="shared" si="31"/>
        <v/>
      </c>
    </row>
    <row r="984" ht="15.75" customHeight="1">
      <c r="B984" s="1"/>
      <c r="C984" s="28"/>
      <c r="D984" s="79"/>
      <c r="E984" s="1"/>
      <c r="F984" s="76"/>
      <c r="G984" s="1"/>
      <c r="H984" s="1"/>
      <c r="J984" s="77"/>
      <c r="K984" s="80"/>
      <c r="L984" s="80"/>
      <c r="M984" s="80"/>
      <c r="N984" s="80"/>
      <c r="O984" s="80"/>
      <c r="P984" s="81"/>
      <c r="Q984" s="35" t="str">
        <f>IF(D984="","",VLOOKUP(MONTH(D984),Listas!$C$2:$D$14,2,0))</f>
        <v/>
      </c>
      <c r="R984" s="36" t="str">
        <f t="shared" si="22"/>
        <v/>
      </c>
      <c r="S984" s="37" t="str">
        <f t="shared" si="23"/>
        <v/>
      </c>
      <c r="T984" s="37" t="str">
        <f t="shared" si="24"/>
        <v/>
      </c>
      <c r="U984" s="37" t="str">
        <f t="shared" si="25"/>
        <v/>
      </c>
      <c r="V984" s="37" t="str">
        <f t="shared" si="26"/>
        <v/>
      </c>
      <c r="W984" s="37" t="str">
        <f t="shared" si="27"/>
        <v/>
      </c>
      <c r="X984" s="37" t="str">
        <f t="shared" si="28"/>
        <v/>
      </c>
      <c r="Y984" s="37" t="str">
        <f t="shared" si="29"/>
        <v/>
      </c>
      <c r="Z984" s="38" t="str">
        <f t="shared" si="30"/>
        <v/>
      </c>
      <c r="AA984" s="39" t="str">
        <f t="shared" si="31"/>
        <v/>
      </c>
    </row>
    <row r="985" ht="15.75" customHeight="1">
      <c r="B985" s="1"/>
      <c r="C985" s="28"/>
      <c r="D985" s="79"/>
      <c r="E985" s="1"/>
      <c r="F985" s="76"/>
      <c r="G985" s="1"/>
      <c r="H985" s="1"/>
      <c r="J985" s="77"/>
      <c r="K985" s="80"/>
      <c r="L985" s="80"/>
      <c r="M985" s="80"/>
      <c r="N985" s="80"/>
      <c r="O985" s="80"/>
      <c r="P985" s="81"/>
      <c r="Q985" s="35" t="str">
        <f>IF(D985="","",VLOOKUP(MONTH(D985),Listas!$C$2:$D$14,2,0))</f>
        <v/>
      </c>
      <c r="R985" s="36" t="str">
        <f t="shared" si="22"/>
        <v/>
      </c>
      <c r="S985" s="37" t="str">
        <f t="shared" si="23"/>
        <v/>
      </c>
      <c r="T985" s="37" t="str">
        <f t="shared" si="24"/>
        <v/>
      </c>
      <c r="U985" s="37" t="str">
        <f t="shared" si="25"/>
        <v/>
      </c>
      <c r="V985" s="37" t="str">
        <f t="shared" si="26"/>
        <v/>
      </c>
      <c r="W985" s="37" t="str">
        <f t="shared" si="27"/>
        <v/>
      </c>
      <c r="X985" s="37" t="str">
        <f t="shared" si="28"/>
        <v/>
      </c>
      <c r="Y985" s="37" t="str">
        <f t="shared" si="29"/>
        <v/>
      </c>
      <c r="Z985" s="38" t="str">
        <f t="shared" si="30"/>
        <v/>
      </c>
      <c r="AA985" s="39" t="str">
        <f t="shared" si="31"/>
        <v/>
      </c>
    </row>
    <row r="986" ht="15.75" customHeight="1">
      <c r="B986" s="1"/>
      <c r="C986" s="28"/>
      <c r="D986" s="79"/>
      <c r="E986" s="1"/>
      <c r="F986" s="76"/>
      <c r="G986" s="1"/>
      <c r="H986" s="1"/>
      <c r="J986" s="77"/>
      <c r="K986" s="80"/>
      <c r="L986" s="80"/>
      <c r="M986" s="80"/>
      <c r="N986" s="80"/>
      <c r="O986" s="80"/>
      <c r="P986" s="81"/>
      <c r="Q986" s="35" t="str">
        <f>IF(D986="","",VLOOKUP(MONTH(D986),Listas!$C$2:$D$14,2,0))</f>
        <v/>
      </c>
      <c r="R986" s="36" t="str">
        <f t="shared" si="22"/>
        <v/>
      </c>
      <c r="S986" s="37" t="str">
        <f t="shared" si="23"/>
        <v/>
      </c>
      <c r="T986" s="37" t="str">
        <f t="shared" si="24"/>
        <v/>
      </c>
      <c r="U986" s="37" t="str">
        <f t="shared" si="25"/>
        <v/>
      </c>
      <c r="V986" s="37" t="str">
        <f t="shared" si="26"/>
        <v/>
      </c>
      <c r="W986" s="37" t="str">
        <f t="shared" si="27"/>
        <v/>
      </c>
      <c r="X986" s="37" t="str">
        <f t="shared" si="28"/>
        <v/>
      </c>
      <c r="Y986" s="37" t="str">
        <f t="shared" si="29"/>
        <v/>
      </c>
      <c r="Z986" s="38" t="str">
        <f t="shared" si="30"/>
        <v/>
      </c>
      <c r="AA986" s="39" t="str">
        <f t="shared" si="31"/>
        <v/>
      </c>
    </row>
    <row r="987" ht="15.75" customHeight="1">
      <c r="B987" s="1"/>
      <c r="C987" s="28"/>
      <c r="D987" s="79"/>
      <c r="E987" s="1"/>
      <c r="F987" s="76"/>
      <c r="G987" s="1"/>
      <c r="H987" s="1"/>
      <c r="J987" s="77"/>
      <c r="K987" s="80"/>
      <c r="L987" s="80"/>
      <c r="M987" s="80"/>
      <c r="N987" s="80"/>
      <c r="O987" s="80"/>
      <c r="P987" s="81"/>
      <c r="Q987" s="35" t="str">
        <f>IF(D987="","",VLOOKUP(MONTH(D987),Listas!$C$2:$D$14,2,0))</f>
        <v/>
      </c>
      <c r="R987" s="36" t="str">
        <f t="shared" si="22"/>
        <v/>
      </c>
      <c r="S987" s="37" t="str">
        <f t="shared" si="23"/>
        <v/>
      </c>
      <c r="T987" s="37" t="str">
        <f t="shared" si="24"/>
        <v/>
      </c>
      <c r="U987" s="37" t="str">
        <f t="shared" si="25"/>
        <v/>
      </c>
      <c r="V987" s="37" t="str">
        <f t="shared" si="26"/>
        <v/>
      </c>
      <c r="W987" s="37" t="str">
        <f t="shared" si="27"/>
        <v/>
      </c>
      <c r="X987" s="37" t="str">
        <f t="shared" si="28"/>
        <v/>
      </c>
      <c r="Y987" s="37" t="str">
        <f t="shared" si="29"/>
        <v/>
      </c>
      <c r="Z987" s="38" t="str">
        <f t="shared" si="30"/>
        <v/>
      </c>
      <c r="AA987" s="39" t="str">
        <f t="shared" si="31"/>
        <v/>
      </c>
    </row>
    <row r="988" ht="15.75" customHeight="1">
      <c r="B988" s="1"/>
      <c r="C988" s="28"/>
      <c r="D988" s="79"/>
      <c r="E988" s="1"/>
      <c r="F988" s="76"/>
      <c r="G988" s="1"/>
      <c r="H988" s="1"/>
      <c r="J988" s="77"/>
      <c r="K988" s="80"/>
      <c r="L988" s="80"/>
      <c r="M988" s="80"/>
      <c r="N988" s="80"/>
      <c r="O988" s="80"/>
      <c r="P988" s="81"/>
      <c r="Q988" s="35" t="str">
        <f>IF(D988="","",VLOOKUP(MONTH(D988),Listas!$C$2:$D$14,2,0))</f>
        <v/>
      </c>
      <c r="R988" s="36" t="str">
        <f t="shared" si="22"/>
        <v/>
      </c>
      <c r="S988" s="37" t="str">
        <f t="shared" si="23"/>
        <v/>
      </c>
      <c r="T988" s="37" t="str">
        <f t="shared" si="24"/>
        <v/>
      </c>
      <c r="U988" s="37" t="str">
        <f t="shared" si="25"/>
        <v/>
      </c>
      <c r="V988" s="37" t="str">
        <f t="shared" si="26"/>
        <v/>
      </c>
      <c r="W988" s="37" t="str">
        <f t="shared" si="27"/>
        <v/>
      </c>
      <c r="X988" s="37" t="str">
        <f t="shared" si="28"/>
        <v/>
      </c>
      <c r="Y988" s="37" t="str">
        <f t="shared" si="29"/>
        <v/>
      </c>
      <c r="Z988" s="38" t="str">
        <f t="shared" si="30"/>
        <v/>
      </c>
      <c r="AA988" s="39" t="str">
        <f t="shared" si="31"/>
        <v/>
      </c>
    </row>
    <row r="989" ht="15.75" customHeight="1">
      <c r="B989" s="1"/>
      <c r="C989" s="28"/>
      <c r="D989" s="79"/>
      <c r="E989" s="1"/>
      <c r="F989" s="76"/>
      <c r="G989" s="1"/>
      <c r="H989" s="1"/>
      <c r="J989" s="77"/>
      <c r="K989" s="80"/>
      <c r="L989" s="80"/>
      <c r="M989" s="80"/>
      <c r="N989" s="80"/>
      <c r="O989" s="80"/>
      <c r="P989" s="81"/>
      <c r="Q989" s="35" t="str">
        <f>IF(D989="","",VLOOKUP(MONTH(D989),Listas!$C$2:$D$14,2,0))</f>
        <v/>
      </c>
      <c r="R989" s="36" t="str">
        <f t="shared" si="22"/>
        <v/>
      </c>
      <c r="S989" s="37" t="str">
        <f t="shared" si="23"/>
        <v/>
      </c>
      <c r="T989" s="37" t="str">
        <f t="shared" si="24"/>
        <v/>
      </c>
      <c r="U989" s="37" t="str">
        <f t="shared" si="25"/>
        <v/>
      </c>
      <c r="V989" s="37" t="str">
        <f t="shared" si="26"/>
        <v/>
      </c>
      <c r="W989" s="37" t="str">
        <f t="shared" si="27"/>
        <v/>
      </c>
      <c r="X989" s="37" t="str">
        <f t="shared" si="28"/>
        <v/>
      </c>
      <c r="Y989" s="37" t="str">
        <f t="shared" si="29"/>
        <v/>
      </c>
      <c r="Z989" s="38" t="str">
        <f t="shared" si="30"/>
        <v/>
      </c>
      <c r="AA989" s="39" t="str">
        <f t="shared" si="31"/>
        <v/>
      </c>
    </row>
    <row r="990" ht="15.75" customHeight="1">
      <c r="B990" s="1"/>
      <c r="C990" s="28"/>
      <c r="D990" s="79"/>
      <c r="E990" s="1"/>
      <c r="F990" s="76"/>
      <c r="G990" s="1"/>
      <c r="H990" s="1"/>
      <c r="J990" s="77"/>
      <c r="K990" s="80"/>
      <c r="L990" s="80"/>
      <c r="M990" s="80"/>
      <c r="N990" s="80"/>
      <c r="O990" s="80"/>
      <c r="P990" s="81"/>
      <c r="Q990" s="35" t="str">
        <f>IF(D990="","",VLOOKUP(MONTH(D990),Listas!$C$2:$D$14,2,0))</f>
        <v/>
      </c>
      <c r="R990" s="36" t="str">
        <f t="shared" si="22"/>
        <v/>
      </c>
      <c r="S990" s="37" t="str">
        <f t="shared" si="23"/>
        <v/>
      </c>
      <c r="T990" s="37" t="str">
        <f t="shared" si="24"/>
        <v/>
      </c>
      <c r="U990" s="37" t="str">
        <f t="shared" si="25"/>
        <v/>
      </c>
      <c r="V990" s="37" t="str">
        <f t="shared" si="26"/>
        <v/>
      </c>
      <c r="W990" s="37" t="str">
        <f t="shared" si="27"/>
        <v/>
      </c>
      <c r="X990" s="37" t="str">
        <f t="shared" si="28"/>
        <v/>
      </c>
      <c r="Y990" s="37" t="str">
        <f t="shared" si="29"/>
        <v/>
      </c>
      <c r="Z990" s="38" t="str">
        <f t="shared" si="30"/>
        <v/>
      </c>
      <c r="AA990" s="39" t="str">
        <f t="shared" si="31"/>
        <v/>
      </c>
    </row>
    <row r="991" ht="15.75" customHeight="1">
      <c r="B991" s="1"/>
      <c r="C991" s="28"/>
      <c r="D991" s="79"/>
      <c r="E991" s="1"/>
      <c r="F991" s="76"/>
      <c r="G991" s="1"/>
      <c r="H991" s="1"/>
      <c r="J991" s="77"/>
      <c r="K991" s="80"/>
      <c r="L991" s="80"/>
      <c r="M991" s="80"/>
      <c r="N991" s="80"/>
      <c r="O991" s="80"/>
      <c r="P991" s="81"/>
      <c r="Q991" s="35" t="str">
        <f>IF(D991="","",VLOOKUP(MONTH(D991),Listas!$C$2:$D$14,2,0))</f>
        <v/>
      </c>
      <c r="R991" s="36" t="str">
        <f t="shared" si="22"/>
        <v/>
      </c>
      <c r="S991" s="37" t="str">
        <f t="shared" si="23"/>
        <v/>
      </c>
      <c r="T991" s="37" t="str">
        <f t="shared" si="24"/>
        <v/>
      </c>
      <c r="U991" s="37" t="str">
        <f t="shared" si="25"/>
        <v/>
      </c>
      <c r="V991" s="37" t="str">
        <f t="shared" si="26"/>
        <v/>
      </c>
      <c r="W991" s="37" t="str">
        <f t="shared" si="27"/>
        <v/>
      </c>
      <c r="X991" s="37" t="str">
        <f t="shared" si="28"/>
        <v/>
      </c>
      <c r="Y991" s="37" t="str">
        <f t="shared" si="29"/>
        <v/>
      </c>
      <c r="Z991" s="38" t="str">
        <f t="shared" si="30"/>
        <v/>
      </c>
      <c r="AA991" s="39" t="str">
        <f t="shared" si="31"/>
        <v/>
      </c>
    </row>
    <row r="992" ht="15.75" customHeight="1">
      <c r="B992" s="1"/>
      <c r="C992" s="28"/>
      <c r="D992" s="79"/>
      <c r="E992" s="1"/>
      <c r="F992" s="76"/>
      <c r="G992" s="1"/>
      <c r="H992" s="1"/>
      <c r="J992" s="77"/>
      <c r="K992" s="80"/>
      <c r="L992" s="80"/>
      <c r="M992" s="80"/>
      <c r="N992" s="80"/>
      <c r="O992" s="80"/>
      <c r="P992" s="81"/>
      <c r="Q992" s="35" t="str">
        <f>IF(D992="","",VLOOKUP(MONTH(D992),Listas!$C$2:$D$14,2,0))</f>
        <v/>
      </c>
      <c r="R992" s="36" t="str">
        <f t="shared" si="22"/>
        <v/>
      </c>
      <c r="S992" s="37" t="str">
        <f t="shared" si="23"/>
        <v/>
      </c>
      <c r="T992" s="37" t="str">
        <f t="shared" si="24"/>
        <v/>
      </c>
      <c r="U992" s="37" t="str">
        <f t="shared" si="25"/>
        <v/>
      </c>
      <c r="V992" s="37" t="str">
        <f t="shared" si="26"/>
        <v/>
      </c>
      <c r="W992" s="37" t="str">
        <f t="shared" si="27"/>
        <v/>
      </c>
      <c r="X992" s="37" t="str">
        <f t="shared" si="28"/>
        <v/>
      </c>
      <c r="Y992" s="37" t="str">
        <f t="shared" si="29"/>
        <v/>
      </c>
      <c r="Z992" s="38" t="str">
        <f t="shared" si="30"/>
        <v/>
      </c>
      <c r="AA992" s="39" t="str">
        <f t="shared" si="31"/>
        <v/>
      </c>
    </row>
    <row r="993" ht="15.75" customHeight="1">
      <c r="B993" s="1"/>
      <c r="C993" s="28"/>
      <c r="D993" s="79"/>
      <c r="E993" s="1"/>
      <c r="F993" s="76"/>
      <c r="G993" s="1"/>
      <c r="H993" s="1"/>
      <c r="J993" s="77"/>
      <c r="K993" s="80"/>
      <c r="L993" s="80"/>
      <c r="M993" s="80"/>
      <c r="N993" s="80"/>
      <c r="O993" s="80"/>
      <c r="P993" s="81"/>
      <c r="Q993" s="35" t="str">
        <f>IF(D993="","",VLOOKUP(MONTH(D993),Listas!$C$2:$D$14,2,0))</f>
        <v/>
      </c>
      <c r="R993" s="36" t="str">
        <f t="shared" si="22"/>
        <v/>
      </c>
      <c r="S993" s="37" t="str">
        <f t="shared" si="23"/>
        <v/>
      </c>
      <c r="T993" s="37" t="str">
        <f t="shared" si="24"/>
        <v/>
      </c>
      <c r="U993" s="37" t="str">
        <f t="shared" si="25"/>
        <v/>
      </c>
      <c r="V993" s="37" t="str">
        <f t="shared" si="26"/>
        <v/>
      </c>
      <c r="W993" s="37" t="str">
        <f t="shared" si="27"/>
        <v/>
      </c>
      <c r="X993" s="37" t="str">
        <f t="shared" si="28"/>
        <v/>
      </c>
      <c r="Y993" s="37" t="str">
        <f t="shared" si="29"/>
        <v/>
      </c>
      <c r="Z993" s="38" t="str">
        <f t="shared" si="30"/>
        <v/>
      </c>
      <c r="AA993" s="39" t="str">
        <f t="shared" si="31"/>
        <v/>
      </c>
    </row>
    <row r="994" ht="15.75" customHeight="1">
      <c r="B994" s="1"/>
      <c r="C994" s="28"/>
      <c r="D994" s="79"/>
      <c r="E994" s="1"/>
      <c r="F994" s="76"/>
      <c r="G994" s="1"/>
      <c r="H994" s="1"/>
      <c r="J994" s="77"/>
      <c r="K994" s="80"/>
      <c r="L994" s="80"/>
      <c r="M994" s="80"/>
      <c r="N994" s="80"/>
      <c r="O994" s="80"/>
      <c r="P994" s="81"/>
      <c r="Q994" s="35" t="str">
        <f>IF(D994="","",VLOOKUP(MONTH(D994),Listas!$C$2:$D$14,2,0))</f>
        <v/>
      </c>
      <c r="R994" s="36" t="str">
        <f t="shared" si="22"/>
        <v/>
      </c>
      <c r="S994" s="37" t="str">
        <f t="shared" si="23"/>
        <v/>
      </c>
      <c r="T994" s="37" t="str">
        <f t="shared" si="24"/>
        <v/>
      </c>
      <c r="U994" s="37" t="str">
        <f t="shared" si="25"/>
        <v/>
      </c>
      <c r="V994" s="37" t="str">
        <f t="shared" si="26"/>
        <v/>
      </c>
      <c r="W994" s="37" t="str">
        <f t="shared" si="27"/>
        <v/>
      </c>
      <c r="X994" s="37" t="str">
        <f t="shared" si="28"/>
        <v/>
      </c>
      <c r="Y994" s="37" t="str">
        <f t="shared" si="29"/>
        <v/>
      </c>
      <c r="Z994" s="38" t="str">
        <f t="shared" si="30"/>
        <v/>
      </c>
      <c r="AA994" s="39" t="str">
        <f t="shared" si="31"/>
        <v/>
      </c>
    </row>
    <row r="995" ht="15.75" customHeight="1">
      <c r="B995" s="1"/>
      <c r="C995" s="28"/>
      <c r="D995" s="79"/>
      <c r="E995" s="1"/>
      <c r="F995" s="76"/>
      <c r="G995" s="1"/>
      <c r="H995" s="1"/>
      <c r="J995" s="77"/>
      <c r="K995" s="80"/>
      <c r="L995" s="80"/>
      <c r="M995" s="80"/>
      <c r="N995" s="80"/>
      <c r="O995" s="80"/>
      <c r="P995" s="81"/>
      <c r="Q995" s="35" t="str">
        <f>IF(D995="","",VLOOKUP(MONTH(D995),Listas!$C$2:$D$14,2,0))</f>
        <v/>
      </c>
      <c r="R995" s="36" t="str">
        <f t="shared" si="22"/>
        <v/>
      </c>
      <c r="S995" s="37" t="str">
        <f t="shared" si="23"/>
        <v/>
      </c>
      <c r="T995" s="37" t="str">
        <f t="shared" si="24"/>
        <v/>
      </c>
      <c r="U995" s="37" t="str">
        <f t="shared" si="25"/>
        <v/>
      </c>
      <c r="V995" s="37" t="str">
        <f t="shared" si="26"/>
        <v/>
      </c>
      <c r="W995" s="37" t="str">
        <f t="shared" si="27"/>
        <v/>
      </c>
      <c r="X995" s="37" t="str">
        <f t="shared" si="28"/>
        <v/>
      </c>
      <c r="Y995" s="37" t="str">
        <f t="shared" si="29"/>
        <v/>
      </c>
      <c r="Z995" s="38" t="str">
        <f t="shared" si="30"/>
        <v/>
      </c>
      <c r="AA995" s="39" t="str">
        <f t="shared" si="31"/>
        <v/>
      </c>
    </row>
    <row r="996" ht="15.75" customHeight="1">
      <c r="B996" s="1"/>
      <c r="C996" s="28"/>
      <c r="D996" s="79"/>
      <c r="E996" s="1"/>
      <c r="F996" s="76"/>
      <c r="G996" s="1"/>
      <c r="H996" s="1"/>
      <c r="J996" s="77"/>
      <c r="K996" s="80"/>
      <c r="L996" s="80"/>
      <c r="M996" s="80"/>
      <c r="N996" s="80"/>
      <c r="O996" s="80"/>
      <c r="P996" s="81"/>
      <c r="Q996" s="35" t="str">
        <f>IF(D996="","",VLOOKUP(MONTH(D996),Listas!$C$2:$D$14,2,0))</f>
        <v/>
      </c>
      <c r="R996" s="36" t="str">
        <f t="shared" si="22"/>
        <v/>
      </c>
      <c r="S996" s="37" t="str">
        <f t="shared" si="23"/>
        <v/>
      </c>
      <c r="T996" s="37" t="str">
        <f t="shared" si="24"/>
        <v/>
      </c>
      <c r="U996" s="37" t="str">
        <f t="shared" si="25"/>
        <v/>
      </c>
      <c r="V996" s="37" t="str">
        <f t="shared" si="26"/>
        <v/>
      </c>
      <c r="W996" s="37" t="str">
        <f t="shared" si="27"/>
        <v/>
      </c>
      <c r="X996" s="37" t="str">
        <f t="shared" si="28"/>
        <v/>
      </c>
      <c r="Y996" s="37" t="str">
        <f t="shared" si="29"/>
        <v/>
      </c>
      <c r="Z996" s="38" t="str">
        <f t="shared" si="30"/>
        <v/>
      </c>
      <c r="AA996" s="39" t="str">
        <f t="shared" si="31"/>
        <v/>
      </c>
    </row>
    <row r="997" ht="15.75" customHeight="1">
      <c r="B997" s="1"/>
      <c r="C997" s="28"/>
      <c r="D997" s="79"/>
      <c r="E997" s="1"/>
      <c r="F997" s="76"/>
      <c r="G997" s="1"/>
      <c r="H997" s="1"/>
      <c r="J997" s="77"/>
      <c r="K997" s="80"/>
      <c r="L997" s="80"/>
      <c r="M997" s="80"/>
      <c r="N997" s="80"/>
      <c r="O997" s="80"/>
      <c r="P997" s="81"/>
      <c r="Q997" s="35" t="str">
        <f>IF(D997="","",VLOOKUP(MONTH(D997),Listas!$C$2:$D$14,2,0))</f>
        <v/>
      </c>
      <c r="R997" s="36" t="str">
        <f t="shared" si="22"/>
        <v/>
      </c>
      <c r="S997" s="37" t="str">
        <f t="shared" si="23"/>
        <v/>
      </c>
      <c r="T997" s="37" t="str">
        <f t="shared" si="24"/>
        <v/>
      </c>
      <c r="U997" s="37" t="str">
        <f t="shared" si="25"/>
        <v/>
      </c>
      <c r="V997" s="37" t="str">
        <f t="shared" si="26"/>
        <v/>
      </c>
      <c r="W997" s="37" t="str">
        <f t="shared" si="27"/>
        <v/>
      </c>
      <c r="X997" s="37" t="str">
        <f t="shared" si="28"/>
        <v/>
      </c>
      <c r="Y997" s="37" t="str">
        <f t="shared" si="29"/>
        <v/>
      </c>
      <c r="Z997" s="38" t="str">
        <f t="shared" si="30"/>
        <v/>
      </c>
      <c r="AA997" s="39" t="str">
        <f t="shared" si="31"/>
        <v/>
      </c>
    </row>
    <row r="998" ht="15.75" customHeight="1">
      <c r="B998" s="1"/>
      <c r="C998" s="28"/>
      <c r="D998" s="79"/>
      <c r="E998" s="1"/>
      <c r="F998" s="76"/>
      <c r="G998" s="1"/>
      <c r="H998" s="1"/>
      <c r="J998" s="77"/>
      <c r="K998" s="80"/>
      <c r="L998" s="80"/>
      <c r="M998" s="80"/>
      <c r="N998" s="80"/>
      <c r="O998" s="80"/>
      <c r="P998" s="81"/>
      <c r="Q998" s="35" t="str">
        <f>IF(D998="","",VLOOKUP(MONTH(D998),Listas!$C$2:$D$14,2,0))</f>
        <v/>
      </c>
      <c r="R998" s="36" t="str">
        <f t="shared" si="22"/>
        <v/>
      </c>
      <c r="S998" s="37" t="str">
        <f t="shared" si="23"/>
        <v/>
      </c>
      <c r="T998" s="37" t="str">
        <f t="shared" si="24"/>
        <v/>
      </c>
      <c r="U998" s="37" t="str">
        <f t="shared" si="25"/>
        <v/>
      </c>
      <c r="V998" s="37" t="str">
        <f t="shared" si="26"/>
        <v/>
      </c>
      <c r="W998" s="37" t="str">
        <f t="shared" si="27"/>
        <v/>
      </c>
      <c r="X998" s="37" t="str">
        <f t="shared" si="28"/>
        <v/>
      </c>
      <c r="Y998" s="37" t="str">
        <f t="shared" si="29"/>
        <v/>
      </c>
      <c r="Z998" s="38" t="str">
        <f t="shared" si="30"/>
        <v/>
      </c>
      <c r="AA998" s="39" t="str">
        <f t="shared" si="31"/>
        <v/>
      </c>
    </row>
    <row r="999" ht="15.75" customHeight="1">
      <c r="B999" s="1"/>
      <c r="C999" s="28"/>
      <c r="D999" s="79"/>
      <c r="E999" s="1"/>
      <c r="F999" s="76"/>
      <c r="G999" s="1"/>
      <c r="H999" s="1"/>
      <c r="J999" s="77"/>
      <c r="K999" s="80"/>
      <c r="L999" s="80"/>
      <c r="M999" s="80"/>
      <c r="N999" s="80"/>
      <c r="O999" s="80"/>
      <c r="P999" s="81"/>
      <c r="Q999" s="35" t="str">
        <f>IF(D999="","",VLOOKUP(MONTH(D999),Listas!$C$2:$D$14,2,0))</f>
        <v/>
      </c>
      <c r="R999" s="36" t="str">
        <f t="shared" si="22"/>
        <v/>
      </c>
      <c r="S999" s="37" t="str">
        <f t="shared" si="23"/>
        <v/>
      </c>
      <c r="T999" s="37" t="str">
        <f t="shared" si="24"/>
        <v/>
      </c>
      <c r="U999" s="37" t="str">
        <f t="shared" si="25"/>
        <v/>
      </c>
      <c r="V999" s="37" t="str">
        <f t="shared" si="26"/>
        <v/>
      </c>
      <c r="W999" s="37" t="str">
        <f t="shared" si="27"/>
        <v/>
      </c>
      <c r="X999" s="37" t="str">
        <f t="shared" si="28"/>
        <v/>
      </c>
      <c r="Y999" s="37" t="str">
        <f t="shared" si="29"/>
        <v/>
      </c>
      <c r="Z999" s="38" t="str">
        <f t="shared" si="30"/>
        <v/>
      </c>
      <c r="AA999" s="39" t="str">
        <f t="shared" si="31"/>
        <v/>
      </c>
    </row>
    <row r="1000" ht="15.75" customHeight="1">
      <c r="B1000" s="1"/>
      <c r="C1000" s="28"/>
      <c r="D1000" s="79"/>
      <c r="E1000" s="1"/>
      <c r="F1000" s="76"/>
      <c r="G1000" s="1"/>
      <c r="H1000" s="1"/>
      <c r="J1000" s="77"/>
      <c r="K1000" s="80"/>
      <c r="L1000" s="80"/>
      <c r="M1000" s="80"/>
      <c r="N1000" s="80"/>
      <c r="O1000" s="80"/>
      <c r="P1000" s="81"/>
      <c r="Q1000" s="35" t="str">
        <f>IF(D1000="","",VLOOKUP(MONTH(D1000),Listas!$C$2:$D$14,2,0))</f>
        <v/>
      </c>
      <c r="R1000" s="36" t="str">
        <f t="shared" si="22"/>
        <v/>
      </c>
      <c r="S1000" s="37" t="str">
        <f t="shared" si="23"/>
        <v/>
      </c>
      <c r="T1000" s="37" t="str">
        <f t="shared" si="24"/>
        <v/>
      </c>
      <c r="U1000" s="37" t="str">
        <f t="shared" si="25"/>
        <v/>
      </c>
      <c r="V1000" s="37" t="str">
        <f t="shared" si="26"/>
        <v/>
      </c>
      <c r="W1000" s="37" t="str">
        <f t="shared" si="27"/>
        <v/>
      </c>
      <c r="X1000" s="37" t="str">
        <f t="shared" si="28"/>
        <v/>
      </c>
      <c r="Y1000" s="37" t="str">
        <f t="shared" si="29"/>
        <v/>
      </c>
      <c r="Z1000" s="38" t="str">
        <f t="shared" si="30"/>
        <v/>
      </c>
      <c r="AA1000" s="39" t="str">
        <f t="shared" si="31"/>
        <v/>
      </c>
    </row>
    <row r="1001" ht="15.75" customHeight="1">
      <c r="B1001" s="1"/>
      <c r="C1001" s="28"/>
      <c r="D1001" s="79"/>
      <c r="E1001" s="1"/>
      <c r="F1001" s="76"/>
      <c r="G1001" s="1"/>
      <c r="H1001" s="1"/>
      <c r="J1001" s="77"/>
      <c r="K1001" s="80"/>
      <c r="L1001" s="80"/>
      <c r="M1001" s="80"/>
      <c r="N1001" s="80"/>
      <c r="O1001" s="80"/>
      <c r="P1001" s="81"/>
      <c r="Q1001" s="35" t="str">
        <f>IF(D1001="","",VLOOKUP(MONTH(D1001),Listas!$C$2:$D$14,2,0))</f>
        <v/>
      </c>
      <c r="R1001" s="36" t="str">
        <f t="shared" si="22"/>
        <v/>
      </c>
      <c r="S1001" s="37" t="str">
        <f t="shared" si="23"/>
        <v/>
      </c>
      <c r="T1001" s="37" t="str">
        <f t="shared" si="24"/>
        <v/>
      </c>
      <c r="U1001" s="37" t="str">
        <f t="shared" si="25"/>
        <v/>
      </c>
      <c r="V1001" s="37" t="str">
        <f t="shared" si="26"/>
        <v/>
      </c>
      <c r="W1001" s="37" t="str">
        <f t="shared" si="27"/>
        <v/>
      </c>
      <c r="X1001" s="37" t="str">
        <f t="shared" si="28"/>
        <v/>
      </c>
      <c r="Y1001" s="37" t="str">
        <f t="shared" si="29"/>
        <v/>
      </c>
      <c r="Z1001" s="38" t="str">
        <f t="shared" si="30"/>
        <v/>
      </c>
      <c r="AA1001" s="39" t="str">
        <f t="shared" si="31"/>
        <v/>
      </c>
    </row>
    <row r="1002" ht="15.75" customHeight="1">
      <c r="B1002" s="1"/>
      <c r="C1002" s="28"/>
      <c r="D1002" s="79"/>
      <c r="E1002" s="1"/>
      <c r="F1002" s="76"/>
      <c r="G1002" s="1"/>
      <c r="H1002" s="1"/>
      <c r="J1002" s="77"/>
      <c r="K1002" s="80"/>
      <c r="L1002" s="80"/>
      <c r="M1002" s="80"/>
      <c r="N1002" s="80"/>
      <c r="O1002" s="80"/>
      <c r="P1002" s="81"/>
      <c r="Q1002" s="35" t="str">
        <f>IF(D1002="","",VLOOKUP(MONTH(D1002),Listas!$C$2:$D$14,2,0))</f>
        <v/>
      </c>
      <c r="R1002" s="36" t="str">
        <f t="shared" si="22"/>
        <v/>
      </c>
      <c r="S1002" s="37" t="str">
        <f t="shared" si="23"/>
        <v/>
      </c>
      <c r="T1002" s="37" t="str">
        <f t="shared" si="24"/>
        <v/>
      </c>
      <c r="U1002" s="37" t="str">
        <f t="shared" si="25"/>
        <v/>
      </c>
      <c r="V1002" s="37" t="str">
        <f t="shared" si="26"/>
        <v/>
      </c>
      <c r="W1002" s="37" t="str">
        <f t="shared" si="27"/>
        <v/>
      </c>
      <c r="X1002" s="37" t="str">
        <f t="shared" si="28"/>
        <v/>
      </c>
      <c r="Y1002" s="37" t="str">
        <f t="shared" si="29"/>
        <v/>
      </c>
      <c r="Z1002" s="38" t="str">
        <f t="shared" si="30"/>
        <v/>
      </c>
      <c r="AA1002" s="39" t="str">
        <f t="shared" si="31"/>
        <v/>
      </c>
    </row>
    <row r="1003" ht="15.75" customHeight="1">
      <c r="B1003" s="1"/>
      <c r="C1003" s="28"/>
      <c r="D1003" s="79"/>
      <c r="E1003" s="1"/>
      <c r="F1003" s="76"/>
      <c r="G1003" s="1"/>
      <c r="H1003" s="1"/>
      <c r="J1003" s="77"/>
      <c r="K1003" s="80"/>
      <c r="L1003" s="80"/>
      <c r="M1003" s="80"/>
      <c r="N1003" s="80"/>
      <c r="O1003" s="80"/>
      <c r="P1003" s="81"/>
      <c r="Q1003" s="35" t="str">
        <f>IF(D1003="","",VLOOKUP(MONTH(D1003),Listas!$C$2:$D$14,2,0))</f>
        <v/>
      </c>
      <c r="R1003" s="36" t="str">
        <f t="shared" si="22"/>
        <v/>
      </c>
      <c r="S1003" s="37" t="str">
        <f t="shared" si="23"/>
        <v/>
      </c>
      <c r="T1003" s="37" t="str">
        <f t="shared" si="24"/>
        <v/>
      </c>
      <c r="U1003" s="37" t="str">
        <f t="shared" si="25"/>
        <v/>
      </c>
      <c r="V1003" s="37" t="str">
        <f t="shared" si="26"/>
        <v/>
      </c>
      <c r="W1003" s="37" t="str">
        <f t="shared" si="27"/>
        <v/>
      </c>
      <c r="X1003" s="37" t="str">
        <f t="shared" si="28"/>
        <v/>
      </c>
      <c r="Y1003" s="37" t="str">
        <f t="shared" si="29"/>
        <v/>
      </c>
      <c r="Z1003" s="38" t="str">
        <f t="shared" si="30"/>
        <v/>
      </c>
      <c r="AA1003" s="39" t="str">
        <f t="shared" si="31"/>
        <v/>
      </c>
    </row>
    <row r="1004" ht="15.75" customHeight="1">
      <c r="B1004" s="1"/>
      <c r="C1004" s="28"/>
      <c r="D1004" s="79"/>
      <c r="E1004" s="1"/>
      <c r="F1004" s="76"/>
      <c r="G1004" s="1"/>
      <c r="H1004" s="1"/>
      <c r="J1004" s="77"/>
      <c r="K1004" s="80"/>
      <c r="L1004" s="80"/>
      <c r="M1004" s="80"/>
      <c r="N1004" s="80"/>
      <c r="O1004" s="80"/>
      <c r="P1004" s="81"/>
      <c r="Q1004" s="35" t="str">
        <f>IF(D1004="","",VLOOKUP(MONTH(D1004),Listas!$C$2:$D$14,2,0))</f>
        <v/>
      </c>
      <c r="R1004" s="36" t="str">
        <f t="shared" si="22"/>
        <v/>
      </c>
      <c r="S1004" s="37" t="str">
        <f t="shared" si="23"/>
        <v/>
      </c>
      <c r="T1004" s="37" t="str">
        <f t="shared" si="24"/>
        <v/>
      </c>
      <c r="U1004" s="37" t="str">
        <f t="shared" si="25"/>
        <v/>
      </c>
      <c r="V1004" s="37" t="str">
        <f t="shared" si="26"/>
        <v/>
      </c>
      <c r="W1004" s="37" t="str">
        <f t="shared" si="27"/>
        <v/>
      </c>
      <c r="X1004" s="37" t="str">
        <f t="shared" si="28"/>
        <v/>
      </c>
      <c r="Y1004" s="37" t="str">
        <f t="shared" si="29"/>
        <v/>
      </c>
      <c r="Z1004" s="38" t="str">
        <f t="shared" si="30"/>
        <v/>
      </c>
      <c r="AA1004" s="39" t="str">
        <f t="shared" si="31"/>
        <v/>
      </c>
    </row>
    <row r="1005" ht="15.75" customHeight="1">
      <c r="B1005" s="1"/>
      <c r="C1005" s="28"/>
      <c r="D1005" s="79"/>
      <c r="E1005" s="1"/>
      <c r="F1005" s="76"/>
      <c r="G1005" s="1"/>
      <c r="H1005" s="1"/>
      <c r="J1005" s="77"/>
      <c r="K1005" s="80"/>
      <c r="L1005" s="80"/>
      <c r="M1005" s="80"/>
      <c r="N1005" s="80"/>
      <c r="O1005" s="80"/>
      <c r="P1005" s="81"/>
      <c r="Q1005" s="35" t="str">
        <f>IF(D1005="","",VLOOKUP(MONTH(D1005),Listas!$C$2:$D$14,2,0))</f>
        <v/>
      </c>
      <c r="R1005" s="36" t="str">
        <f t="shared" si="22"/>
        <v/>
      </c>
      <c r="S1005" s="37" t="str">
        <f t="shared" si="23"/>
        <v/>
      </c>
      <c r="T1005" s="37" t="str">
        <f t="shared" si="24"/>
        <v/>
      </c>
      <c r="U1005" s="37" t="str">
        <f t="shared" si="25"/>
        <v/>
      </c>
      <c r="V1005" s="37" t="str">
        <f t="shared" si="26"/>
        <v/>
      </c>
      <c r="W1005" s="37" t="str">
        <f t="shared" si="27"/>
        <v/>
      </c>
      <c r="X1005" s="37" t="str">
        <f t="shared" si="28"/>
        <v/>
      </c>
      <c r="Y1005" s="37" t="str">
        <f t="shared" si="29"/>
        <v/>
      </c>
      <c r="Z1005" s="38" t="str">
        <f t="shared" si="30"/>
        <v/>
      </c>
      <c r="AA1005" s="39" t="str">
        <f t="shared" si="31"/>
        <v/>
      </c>
    </row>
    <row r="1006" ht="15.75" customHeight="1">
      <c r="B1006" s="1"/>
      <c r="C1006" s="28"/>
      <c r="D1006" s="79"/>
      <c r="E1006" s="1"/>
      <c r="F1006" s="76"/>
      <c r="G1006" s="1"/>
      <c r="H1006" s="1"/>
      <c r="J1006" s="77"/>
      <c r="K1006" s="80"/>
      <c r="L1006" s="80"/>
      <c r="M1006" s="80"/>
      <c r="N1006" s="80"/>
      <c r="O1006" s="80"/>
      <c r="P1006" s="81"/>
      <c r="Q1006" s="35" t="str">
        <f>IF(D1006="","",VLOOKUP(MONTH(D1006),Listas!$C$2:$D$14,2,0))</f>
        <v/>
      </c>
      <c r="R1006" s="36" t="str">
        <f t="shared" si="22"/>
        <v/>
      </c>
      <c r="S1006" s="37" t="str">
        <f t="shared" si="23"/>
        <v/>
      </c>
      <c r="T1006" s="37" t="str">
        <f t="shared" si="24"/>
        <v/>
      </c>
      <c r="U1006" s="37" t="str">
        <f t="shared" si="25"/>
        <v/>
      </c>
      <c r="V1006" s="37" t="str">
        <f t="shared" si="26"/>
        <v/>
      </c>
      <c r="W1006" s="37" t="str">
        <f t="shared" si="27"/>
        <v/>
      </c>
      <c r="X1006" s="37" t="str">
        <f t="shared" si="28"/>
        <v/>
      </c>
      <c r="Y1006" s="37" t="str">
        <f t="shared" si="29"/>
        <v/>
      </c>
      <c r="Z1006" s="38" t="str">
        <f t="shared" si="30"/>
        <v/>
      </c>
      <c r="AA1006" s="39" t="str">
        <f t="shared" si="31"/>
        <v/>
      </c>
    </row>
    <row r="1007" ht="15.75" customHeight="1">
      <c r="B1007" s="1"/>
      <c r="C1007" s="28"/>
      <c r="D1007" s="79"/>
      <c r="E1007" s="1"/>
      <c r="F1007" s="76"/>
      <c r="G1007" s="1"/>
      <c r="H1007" s="1"/>
      <c r="J1007" s="77"/>
      <c r="K1007" s="80"/>
      <c r="L1007" s="80"/>
      <c r="M1007" s="80"/>
      <c r="N1007" s="80"/>
      <c r="O1007" s="80"/>
      <c r="P1007" s="81"/>
      <c r="Q1007" s="35" t="str">
        <f>IF(D1007="","",VLOOKUP(MONTH(D1007),Listas!$C$2:$D$14,2,0))</f>
        <v/>
      </c>
      <c r="R1007" s="36" t="str">
        <f t="shared" si="22"/>
        <v/>
      </c>
      <c r="S1007" s="37" t="str">
        <f t="shared" si="23"/>
        <v/>
      </c>
      <c r="T1007" s="37" t="str">
        <f t="shared" si="24"/>
        <v/>
      </c>
      <c r="U1007" s="37" t="str">
        <f t="shared" si="25"/>
        <v/>
      </c>
      <c r="V1007" s="37" t="str">
        <f t="shared" si="26"/>
        <v/>
      </c>
      <c r="W1007" s="37" t="str">
        <f t="shared" si="27"/>
        <v/>
      </c>
      <c r="X1007" s="37" t="str">
        <f t="shared" si="28"/>
        <v/>
      </c>
      <c r="Y1007" s="37" t="str">
        <f t="shared" si="29"/>
        <v/>
      </c>
      <c r="Z1007" s="38" t="str">
        <f t="shared" si="30"/>
        <v/>
      </c>
      <c r="AA1007" s="39" t="str">
        <f t="shared" si="31"/>
        <v/>
      </c>
    </row>
    <row r="1008" ht="15.75" customHeight="1">
      <c r="B1008" s="1"/>
      <c r="C1008" s="28"/>
      <c r="D1008" s="79"/>
      <c r="E1008" s="1"/>
      <c r="F1008" s="76"/>
      <c r="G1008" s="1"/>
      <c r="H1008" s="1"/>
      <c r="J1008" s="77"/>
      <c r="K1008" s="80"/>
      <c r="L1008" s="80"/>
      <c r="M1008" s="80"/>
      <c r="N1008" s="80"/>
      <c r="O1008" s="80"/>
      <c r="P1008" s="81"/>
      <c r="Q1008" s="35" t="str">
        <f>IF(D1008="","",VLOOKUP(MONTH(D1008),Listas!$C$2:$D$14,2,0))</f>
        <v/>
      </c>
      <c r="R1008" s="36" t="str">
        <f t="shared" si="22"/>
        <v/>
      </c>
      <c r="S1008" s="37" t="str">
        <f t="shared" si="23"/>
        <v/>
      </c>
      <c r="T1008" s="37" t="str">
        <f t="shared" si="24"/>
        <v/>
      </c>
      <c r="U1008" s="37" t="str">
        <f t="shared" si="25"/>
        <v/>
      </c>
      <c r="V1008" s="37" t="str">
        <f t="shared" si="26"/>
        <v/>
      </c>
      <c r="W1008" s="37" t="str">
        <f t="shared" si="27"/>
        <v/>
      </c>
      <c r="X1008" s="37" t="str">
        <f t="shared" si="28"/>
        <v/>
      </c>
      <c r="Y1008" s="37" t="str">
        <f t="shared" si="29"/>
        <v/>
      </c>
      <c r="Z1008" s="38" t="str">
        <f t="shared" si="30"/>
        <v/>
      </c>
      <c r="AA1008" s="39" t="str">
        <f t="shared" si="31"/>
        <v/>
      </c>
    </row>
    <row r="1009" ht="15.75" customHeight="1">
      <c r="B1009" s="1"/>
      <c r="C1009" s="28"/>
      <c r="D1009" s="79"/>
      <c r="E1009" s="1"/>
      <c r="F1009" s="76"/>
      <c r="G1009" s="1"/>
      <c r="H1009" s="1"/>
      <c r="J1009" s="77"/>
      <c r="K1009" s="80"/>
      <c r="L1009" s="80"/>
      <c r="M1009" s="80"/>
      <c r="N1009" s="80"/>
      <c r="O1009" s="80"/>
      <c r="P1009" s="81"/>
      <c r="Q1009" s="35" t="str">
        <f>IF(D1009="","",VLOOKUP(MONTH(D1009),Listas!$C$2:$D$14,2,0))</f>
        <v/>
      </c>
      <c r="R1009" s="36" t="str">
        <f t="shared" si="22"/>
        <v/>
      </c>
      <c r="S1009" s="37" t="str">
        <f t="shared" si="23"/>
        <v/>
      </c>
      <c r="T1009" s="37" t="str">
        <f t="shared" si="24"/>
        <v/>
      </c>
      <c r="U1009" s="37" t="str">
        <f t="shared" si="25"/>
        <v/>
      </c>
      <c r="V1009" s="37" t="str">
        <f t="shared" si="26"/>
        <v/>
      </c>
      <c r="W1009" s="37" t="str">
        <f t="shared" si="27"/>
        <v/>
      </c>
      <c r="X1009" s="37" t="str">
        <f t="shared" si="28"/>
        <v/>
      </c>
      <c r="Y1009" s="37" t="str">
        <f t="shared" si="29"/>
        <v/>
      </c>
      <c r="Z1009" s="38" t="str">
        <f t="shared" si="30"/>
        <v/>
      </c>
      <c r="AA1009" s="39" t="str">
        <f t="shared" si="31"/>
        <v/>
      </c>
    </row>
    <row r="1010" ht="15.75" customHeight="1">
      <c r="B1010" s="1"/>
      <c r="C1010" s="28"/>
      <c r="D1010" s="79"/>
      <c r="E1010" s="1"/>
      <c r="F1010" s="76"/>
      <c r="G1010" s="1"/>
      <c r="H1010" s="1"/>
      <c r="J1010" s="77"/>
      <c r="K1010" s="80"/>
      <c r="L1010" s="80"/>
      <c r="M1010" s="80"/>
      <c r="N1010" s="80"/>
      <c r="O1010" s="80"/>
      <c r="P1010" s="81"/>
      <c r="Q1010" s="35" t="str">
        <f>IF(D1010="","",VLOOKUP(MONTH(D1010),Listas!$C$2:$D$14,2,0))</f>
        <v/>
      </c>
      <c r="R1010" s="36" t="str">
        <f t="shared" si="22"/>
        <v/>
      </c>
      <c r="S1010" s="37" t="str">
        <f t="shared" si="23"/>
        <v/>
      </c>
      <c r="T1010" s="37" t="str">
        <f t="shared" si="24"/>
        <v/>
      </c>
      <c r="U1010" s="37" t="str">
        <f t="shared" si="25"/>
        <v/>
      </c>
      <c r="V1010" s="37" t="str">
        <f t="shared" si="26"/>
        <v/>
      </c>
      <c r="W1010" s="37" t="str">
        <f t="shared" si="27"/>
        <v/>
      </c>
      <c r="X1010" s="37" t="str">
        <f t="shared" si="28"/>
        <v/>
      </c>
      <c r="Y1010" s="37" t="str">
        <f t="shared" si="29"/>
        <v/>
      </c>
      <c r="Z1010" s="38" t="str">
        <f t="shared" si="30"/>
        <v/>
      </c>
      <c r="AA1010" s="39" t="str">
        <f t="shared" si="31"/>
        <v/>
      </c>
    </row>
    <row r="1011" ht="15.75" customHeight="1">
      <c r="B1011" s="1"/>
      <c r="C1011" s="28"/>
      <c r="D1011" s="79"/>
      <c r="E1011" s="1"/>
      <c r="F1011" s="76"/>
      <c r="G1011" s="1"/>
      <c r="H1011" s="1"/>
      <c r="J1011" s="77"/>
      <c r="K1011" s="80"/>
      <c r="L1011" s="80"/>
      <c r="M1011" s="80"/>
      <c r="N1011" s="80"/>
      <c r="O1011" s="80"/>
      <c r="P1011" s="81"/>
      <c r="Q1011" s="35" t="str">
        <f>IF(D1011="","",VLOOKUP(MONTH(D1011),Listas!$C$2:$D$14,2,0))</f>
        <v/>
      </c>
      <c r="R1011" s="36" t="str">
        <f t="shared" si="22"/>
        <v/>
      </c>
      <c r="S1011" s="37" t="str">
        <f t="shared" si="23"/>
        <v/>
      </c>
      <c r="T1011" s="37" t="str">
        <f t="shared" si="24"/>
        <v/>
      </c>
      <c r="U1011" s="37" t="str">
        <f t="shared" si="25"/>
        <v/>
      </c>
      <c r="V1011" s="37" t="str">
        <f t="shared" si="26"/>
        <v/>
      </c>
      <c r="W1011" s="37" t="str">
        <f t="shared" si="27"/>
        <v/>
      </c>
      <c r="X1011" s="37" t="str">
        <f t="shared" si="28"/>
        <v/>
      </c>
      <c r="Y1011" s="37" t="str">
        <f t="shared" si="29"/>
        <v/>
      </c>
      <c r="Z1011" s="38" t="str">
        <f t="shared" si="30"/>
        <v/>
      </c>
      <c r="AA1011" s="39" t="str">
        <f t="shared" si="31"/>
        <v/>
      </c>
    </row>
    <row r="1012" ht="15.75" customHeight="1">
      <c r="B1012" s="1"/>
      <c r="C1012" s="28"/>
      <c r="D1012" s="79"/>
      <c r="E1012" s="1"/>
      <c r="F1012" s="76"/>
      <c r="G1012" s="1"/>
      <c r="H1012" s="1"/>
      <c r="J1012" s="77"/>
      <c r="K1012" s="80"/>
      <c r="L1012" s="80"/>
      <c r="M1012" s="80"/>
      <c r="N1012" s="80"/>
      <c r="O1012" s="80"/>
      <c r="P1012" s="81"/>
      <c r="Q1012" s="35" t="str">
        <f>IF(D1012="","",VLOOKUP(MONTH(D1012),Listas!$C$2:$D$14,2,0))</f>
        <v/>
      </c>
      <c r="R1012" s="36" t="str">
        <f t="shared" si="22"/>
        <v/>
      </c>
      <c r="S1012" s="37" t="str">
        <f t="shared" si="23"/>
        <v/>
      </c>
      <c r="T1012" s="37" t="str">
        <f t="shared" si="24"/>
        <v/>
      </c>
      <c r="U1012" s="37" t="str">
        <f t="shared" si="25"/>
        <v/>
      </c>
      <c r="V1012" s="37" t="str">
        <f t="shared" si="26"/>
        <v/>
      </c>
      <c r="W1012" s="37" t="str">
        <f t="shared" si="27"/>
        <v/>
      </c>
      <c r="X1012" s="37" t="str">
        <f t="shared" si="28"/>
        <v/>
      </c>
      <c r="Y1012" s="37" t="str">
        <f t="shared" si="29"/>
        <v/>
      </c>
      <c r="Z1012" s="38" t="str">
        <f t="shared" si="30"/>
        <v/>
      </c>
      <c r="AA1012" s="39" t="str">
        <f t="shared" si="31"/>
        <v/>
      </c>
    </row>
    <row r="1013" ht="15.75" customHeight="1">
      <c r="B1013" s="1"/>
      <c r="C1013" s="28"/>
      <c r="D1013" s="79"/>
      <c r="E1013" s="1"/>
      <c r="F1013" s="76"/>
      <c r="G1013" s="1"/>
      <c r="H1013" s="1"/>
      <c r="J1013" s="77"/>
      <c r="K1013" s="80"/>
      <c r="L1013" s="80"/>
      <c r="M1013" s="80"/>
      <c r="N1013" s="80"/>
      <c r="O1013" s="80"/>
      <c r="P1013" s="81"/>
      <c r="Q1013" s="35" t="str">
        <f>IF(D1013="","",VLOOKUP(MONTH(D1013),Listas!$C$2:$D$14,2,0))</f>
        <v/>
      </c>
      <c r="R1013" s="36" t="str">
        <f t="shared" si="22"/>
        <v/>
      </c>
      <c r="S1013" s="37" t="str">
        <f t="shared" si="23"/>
        <v/>
      </c>
      <c r="T1013" s="37" t="str">
        <f t="shared" si="24"/>
        <v/>
      </c>
      <c r="U1013" s="37" t="str">
        <f t="shared" si="25"/>
        <v/>
      </c>
      <c r="V1013" s="37" t="str">
        <f t="shared" si="26"/>
        <v/>
      </c>
      <c r="W1013" s="37" t="str">
        <f t="shared" si="27"/>
        <v/>
      </c>
      <c r="X1013" s="37" t="str">
        <f t="shared" si="28"/>
        <v/>
      </c>
      <c r="Y1013" s="37" t="str">
        <f t="shared" si="29"/>
        <v/>
      </c>
      <c r="Z1013" s="38" t="str">
        <f t="shared" si="30"/>
        <v/>
      </c>
      <c r="AA1013" s="39" t="str">
        <f t="shared" si="31"/>
        <v/>
      </c>
    </row>
    <row r="1014" ht="15.75" customHeight="1">
      <c r="B1014" s="1"/>
      <c r="C1014" s="28"/>
      <c r="D1014" s="79"/>
      <c r="E1014" s="1"/>
      <c r="F1014" s="76"/>
      <c r="G1014" s="1"/>
      <c r="H1014" s="1"/>
      <c r="J1014" s="77"/>
      <c r="K1014" s="80"/>
      <c r="L1014" s="80"/>
      <c r="M1014" s="80"/>
      <c r="N1014" s="80"/>
      <c r="O1014" s="80"/>
      <c r="P1014" s="81"/>
      <c r="Q1014" s="35" t="str">
        <f>IF(D1014="","",VLOOKUP(MONTH(D1014),Listas!$C$2:$D$14,2,0))</f>
        <v/>
      </c>
      <c r="R1014" s="36" t="str">
        <f t="shared" si="22"/>
        <v/>
      </c>
      <c r="S1014" s="37" t="str">
        <f t="shared" si="23"/>
        <v/>
      </c>
      <c r="T1014" s="37" t="str">
        <f t="shared" si="24"/>
        <v/>
      </c>
      <c r="U1014" s="37" t="str">
        <f t="shared" si="25"/>
        <v/>
      </c>
      <c r="V1014" s="37" t="str">
        <f t="shared" si="26"/>
        <v/>
      </c>
      <c r="W1014" s="37" t="str">
        <f t="shared" si="27"/>
        <v/>
      </c>
      <c r="X1014" s="37" t="str">
        <f t="shared" si="28"/>
        <v/>
      </c>
      <c r="Y1014" s="37" t="str">
        <f t="shared" si="29"/>
        <v/>
      </c>
      <c r="Z1014" s="38" t="str">
        <f t="shared" si="30"/>
        <v/>
      </c>
      <c r="AA1014" s="39" t="str">
        <f t="shared" si="31"/>
        <v/>
      </c>
    </row>
    <row r="1015" ht="15.75" customHeight="1">
      <c r="B1015" s="1"/>
      <c r="C1015" s="28"/>
      <c r="D1015" s="79"/>
      <c r="E1015" s="1"/>
      <c r="F1015" s="76"/>
      <c r="G1015" s="1"/>
      <c r="H1015" s="1"/>
      <c r="J1015" s="77"/>
      <c r="K1015" s="80"/>
      <c r="L1015" s="80"/>
      <c r="M1015" s="80"/>
      <c r="N1015" s="80"/>
      <c r="O1015" s="80"/>
      <c r="P1015" s="81"/>
      <c r="Q1015" s="35" t="str">
        <f>IF(D1015="","",VLOOKUP(MONTH(D1015),Listas!$C$2:$D$14,2,0))</f>
        <v/>
      </c>
      <c r="R1015" s="36" t="str">
        <f t="shared" si="22"/>
        <v/>
      </c>
      <c r="S1015" s="37" t="str">
        <f t="shared" si="23"/>
        <v/>
      </c>
      <c r="T1015" s="37" t="str">
        <f t="shared" si="24"/>
        <v/>
      </c>
      <c r="U1015" s="37" t="str">
        <f t="shared" si="25"/>
        <v/>
      </c>
      <c r="V1015" s="37" t="str">
        <f t="shared" si="26"/>
        <v/>
      </c>
      <c r="W1015" s="37" t="str">
        <f t="shared" si="27"/>
        <v/>
      </c>
      <c r="X1015" s="37" t="str">
        <f t="shared" si="28"/>
        <v/>
      </c>
      <c r="Y1015" s="37" t="str">
        <f t="shared" si="29"/>
        <v/>
      </c>
      <c r="Z1015" s="38" t="str">
        <f t="shared" si="30"/>
        <v/>
      </c>
      <c r="AA1015" s="39" t="str">
        <f t="shared" si="31"/>
        <v/>
      </c>
    </row>
    <row r="1016" ht="15.75" customHeight="1">
      <c r="B1016" s="1"/>
      <c r="C1016" s="28"/>
      <c r="D1016" s="79"/>
      <c r="E1016" s="1"/>
      <c r="F1016" s="76"/>
      <c r="G1016" s="1"/>
      <c r="H1016" s="1"/>
      <c r="J1016" s="77"/>
      <c r="K1016" s="80"/>
      <c r="L1016" s="80"/>
      <c r="M1016" s="80"/>
      <c r="N1016" s="80"/>
      <c r="O1016" s="80"/>
      <c r="P1016" s="81"/>
      <c r="Q1016" s="35" t="str">
        <f>IF(D1016="","",VLOOKUP(MONTH(D1016),Listas!$C$2:$D$14,2,0))</f>
        <v/>
      </c>
      <c r="R1016" s="36" t="str">
        <f t="shared" si="22"/>
        <v/>
      </c>
      <c r="S1016" s="37" t="str">
        <f t="shared" si="23"/>
        <v/>
      </c>
      <c r="T1016" s="37" t="str">
        <f t="shared" si="24"/>
        <v/>
      </c>
      <c r="U1016" s="37" t="str">
        <f t="shared" si="25"/>
        <v/>
      </c>
      <c r="V1016" s="37" t="str">
        <f t="shared" si="26"/>
        <v/>
      </c>
      <c r="W1016" s="37" t="str">
        <f t="shared" si="27"/>
        <v/>
      </c>
      <c r="X1016" s="37" t="str">
        <f t="shared" si="28"/>
        <v/>
      </c>
      <c r="Y1016" s="37" t="str">
        <f t="shared" si="29"/>
        <v/>
      </c>
      <c r="Z1016" s="38" t="str">
        <f t="shared" si="30"/>
        <v/>
      </c>
      <c r="AA1016" s="39" t="str">
        <f t="shared" si="31"/>
        <v/>
      </c>
    </row>
    <row r="1017" ht="15.75" customHeight="1">
      <c r="B1017" s="1"/>
      <c r="C1017" s="28"/>
      <c r="D1017" s="79"/>
      <c r="E1017" s="1"/>
      <c r="F1017" s="76"/>
      <c r="G1017" s="1"/>
      <c r="H1017" s="1"/>
      <c r="J1017" s="77"/>
      <c r="K1017" s="80"/>
      <c r="L1017" s="80"/>
      <c r="M1017" s="80"/>
      <c r="N1017" s="80"/>
      <c r="O1017" s="80"/>
      <c r="P1017" s="81"/>
      <c r="Q1017" s="35" t="str">
        <f>IF(D1017="","",VLOOKUP(MONTH(D1017),Listas!$C$2:$D$14,2,0))</f>
        <v/>
      </c>
      <c r="R1017" s="36" t="str">
        <f t="shared" si="22"/>
        <v/>
      </c>
      <c r="S1017" s="37" t="str">
        <f t="shared" si="23"/>
        <v/>
      </c>
      <c r="T1017" s="37" t="str">
        <f t="shared" si="24"/>
        <v/>
      </c>
      <c r="U1017" s="37" t="str">
        <f t="shared" si="25"/>
        <v/>
      </c>
      <c r="V1017" s="37" t="str">
        <f t="shared" si="26"/>
        <v/>
      </c>
      <c r="W1017" s="37" t="str">
        <f t="shared" si="27"/>
        <v/>
      </c>
      <c r="X1017" s="37" t="str">
        <f t="shared" si="28"/>
        <v/>
      </c>
      <c r="Y1017" s="37" t="str">
        <f t="shared" si="29"/>
        <v/>
      </c>
      <c r="Z1017" s="38" t="str">
        <f t="shared" si="30"/>
        <v/>
      </c>
      <c r="AA1017" s="39" t="str">
        <f t="shared" si="31"/>
        <v/>
      </c>
    </row>
    <row r="1018" ht="15.75" customHeight="1">
      <c r="B1018" s="1"/>
      <c r="C1018" s="28"/>
      <c r="D1018" s="79"/>
      <c r="E1018" s="1"/>
      <c r="F1018" s="76"/>
      <c r="G1018" s="1"/>
      <c r="H1018" s="1"/>
      <c r="J1018" s="77"/>
      <c r="K1018" s="80"/>
      <c r="L1018" s="80"/>
      <c r="M1018" s="80"/>
      <c r="N1018" s="80"/>
      <c r="O1018" s="80"/>
      <c r="P1018" s="81"/>
      <c r="Q1018" s="35" t="str">
        <f>IF(D1018="","",VLOOKUP(MONTH(D1018),Listas!$C$2:$D$14,2,0))</f>
        <v/>
      </c>
      <c r="R1018" s="36" t="str">
        <f t="shared" si="22"/>
        <v/>
      </c>
      <c r="S1018" s="37" t="str">
        <f t="shared" si="23"/>
        <v/>
      </c>
      <c r="T1018" s="37" t="str">
        <f t="shared" si="24"/>
        <v/>
      </c>
      <c r="U1018" s="37" t="str">
        <f t="shared" si="25"/>
        <v/>
      </c>
      <c r="V1018" s="37" t="str">
        <f t="shared" si="26"/>
        <v/>
      </c>
      <c r="W1018" s="37" t="str">
        <f t="shared" si="27"/>
        <v/>
      </c>
      <c r="X1018" s="37" t="str">
        <f t="shared" si="28"/>
        <v/>
      </c>
      <c r="Y1018" s="37" t="str">
        <f t="shared" si="29"/>
        <v/>
      </c>
      <c r="Z1018" s="38" t="str">
        <f t="shared" si="30"/>
        <v/>
      </c>
      <c r="AA1018" s="39" t="str">
        <f t="shared" si="31"/>
        <v/>
      </c>
    </row>
    <row r="1019" ht="15.75" customHeight="1">
      <c r="B1019" s="1"/>
      <c r="C1019" s="28"/>
      <c r="D1019" s="79"/>
      <c r="E1019" s="1"/>
      <c r="F1019" s="76"/>
      <c r="G1019" s="1"/>
      <c r="H1019" s="1"/>
      <c r="J1019" s="77"/>
      <c r="K1019" s="80"/>
      <c r="L1019" s="80"/>
      <c r="M1019" s="80"/>
      <c r="N1019" s="80"/>
      <c r="O1019" s="80"/>
      <c r="P1019" s="81"/>
      <c r="Q1019" s="35" t="str">
        <f>IF(D1019="","",VLOOKUP(MONTH(D1019),Listas!$C$2:$D$14,2,0))</f>
        <v/>
      </c>
      <c r="R1019" s="36" t="str">
        <f t="shared" si="22"/>
        <v/>
      </c>
      <c r="S1019" s="37" t="str">
        <f t="shared" si="23"/>
        <v/>
      </c>
      <c r="T1019" s="37" t="str">
        <f t="shared" si="24"/>
        <v/>
      </c>
      <c r="U1019" s="37" t="str">
        <f t="shared" si="25"/>
        <v/>
      </c>
      <c r="V1019" s="37" t="str">
        <f t="shared" si="26"/>
        <v/>
      </c>
      <c r="W1019" s="37" t="str">
        <f t="shared" si="27"/>
        <v/>
      </c>
      <c r="X1019" s="37" t="str">
        <f t="shared" si="28"/>
        <v/>
      </c>
      <c r="Y1019" s="37" t="str">
        <f t="shared" si="29"/>
        <v/>
      </c>
      <c r="Z1019" s="38" t="str">
        <f t="shared" si="30"/>
        <v/>
      </c>
      <c r="AA1019" s="39" t="str">
        <f t="shared" si="31"/>
        <v/>
      </c>
    </row>
    <row r="1020" ht="15.75" customHeight="1">
      <c r="B1020" s="1"/>
      <c r="C1020" s="28"/>
      <c r="D1020" s="79"/>
      <c r="E1020" s="1"/>
      <c r="F1020" s="76"/>
      <c r="G1020" s="1"/>
      <c r="H1020" s="1"/>
      <c r="J1020" s="77"/>
      <c r="K1020" s="80"/>
      <c r="L1020" s="80"/>
      <c r="M1020" s="80"/>
      <c r="N1020" s="80"/>
      <c r="O1020" s="80"/>
      <c r="P1020" s="81"/>
      <c r="Q1020" s="35" t="str">
        <f>IF(D1020="","",VLOOKUP(MONTH(D1020),Listas!$C$2:$D$14,2,0))</f>
        <v/>
      </c>
      <c r="R1020" s="36" t="str">
        <f t="shared" si="22"/>
        <v/>
      </c>
      <c r="S1020" s="37" t="str">
        <f t="shared" si="23"/>
        <v/>
      </c>
      <c r="T1020" s="37" t="str">
        <f t="shared" si="24"/>
        <v/>
      </c>
      <c r="U1020" s="37" t="str">
        <f t="shared" si="25"/>
        <v/>
      </c>
      <c r="V1020" s="37" t="str">
        <f t="shared" si="26"/>
        <v/>
      </c>
      <c r="W1020" s="37" t="str">
        <f t="shared" si="27"/>
        <v/>
      </c>
      <c r="X1020" s="37" t="str">
        <f t="shared" si="28"/>
        <v/>
      </c>
      <c r="Y1020" s="37" t="str">
        <f t="shared" si="29"/>
        <v/>
      </c>
      <c r="Z1020" s="38" t="str">
        <f t="shared" si="30"/>
        <v/>
      </c>
      <c r="AA1020" s="39" t="str">
        <f t="shared" si="31"/>
        <v/>
      </c>
    </row>
    <row r="1021" ht="15.75" customHeight="1">
      <c r="B1021" s="1"/>
      <c r="C1021" s="28"/>
      <c r="D1021" s="79"/>
      <c r="E1021" s="1"/>
      <c r="F1021" s="76"/>
      <c r="G1021" s="1"/>
      <c r="H1021" s="1"/>
      <c r="J1021" s="77"/>
      <c r="K1021" s="80"/>
      <c r="L1021" s="80"/>
      <c r="M1021" s="80"/>
      <c r="N1021" s="80"/>
      <c r="O1021" s="80"/>
      <c r="P1021" s="81"/>
      <c r="Q1021" s="35" t="str">
        <f>IF(D1021="","",VLOOKUP(MONTH(D1021),Listas!$C$2:$D$14,2,0))</f>
        <v/>
      </c>
      <c r="R1021" s="36" t="str">
        <f t="shared" si="22"/>
        <v/>
      </c>
      <c r="S1021" s="37" t="str">
        <f t="shared" si="23"/>
        <v/>
      </c>
      <c r="T1021" s="37" t="str">
        <f t="shared" si="24"/>
        <v/>
      </c>
      <c r="U1021" s="37" t="str">
        <f t="shared" si="25"/>
        <v/>
      </c>
      <c r="V1021" s="37" t="str">
        <f t="shared" si="26"/>
        <v/>
      </c>
      <c r="W1021" s="37" t="str">
        <f t="shared" si="27"/>
        <v/>
      </c>
      <c r="X1021" s="37" t="str">
        <f t="shared" si="28"/>
        <v/>
      </c>
      <c r="Y1021" s="37" t="str">
        <f t="shared" si="29"/>
        <v/>
      </c>
      <c r="Z1021" s="38" t="str">
        <f t="shared" si="30"/>
        <v/>
      </c>
      <c r="AA1021" s="39" t="str">
        <f t="shared" si="31"/>
        <v/>
      </c>
    </row>
    <row r="1022" ht="15.75" customHeight="1">
      <c r="B1022" s="1"/>
      <c r="C1022" s="28"/>
      <c r="D1022" s="79"/>
      <c r="E1022" s="1"/>
      <c r="F1022" s="76"/>
      <c r="G1022" s="1"/>
      <c r="H1022" s="1"/>
      <c r="J1022" s="77"/>
      <c r="K1022" s="80"/>
      <c r="L1022" s="80"/>
      <c r="M1022" s="80"/>
      <c r="N1022" s="80"/>
      <c r="O1022" s="80"/>
      <c r="P1022" s="81"/>
      <c r="Q1022" s="35" t="str">
        <f>IF(D1022="","",VLOOKUP(MONTH(D1022),Listas!$C$2:$D$14,2,0))</f>
        <v/>
      </c>
      <c r="R1022" s="36" t="str">
        <f t="shared" si="22"/>
        <v/>
      </c>
      <c r="S1022" s="37" t="str">
        <f t="shared" si="23"/>
        <v/>
      </c>
      <c r="T1022" s="37" t="str">
        <f t="shared" si="24"/>
        <v/>
      </c>
      <c r="U1022" s="37" t="str">
        <f t="shared" si="25"/>
        <v/>
      </c>
      <c r="V1022" s="37" t="str">
        <f t="shared" si="26"/>
        <v/>
      </c>
      <c r="W1022" s="37" t="str">
        <f t="shared" si="27"/>
        <v/>
      </c>
      <c r="X1022" s="37" t="str">
        <f t="shared" si="28"/>
        <v/>
      </c>
      <c r="Y1022" s="37" t="str">
        <f t="shared" si="29"/>
        <v/>
      </c>
      <c r="Z1022" s="38" t="str">
        <f t="shared" si="30"/>
        <v/>
      </c>
      <c r="AA1022" s="39" t="str">
        <f t="shared" si="31"/>
        <v/>
      </c>
    </row>
    <row r="1023" ht="15.75" customHeight="1">
      <c r="B1023" s="1"/>
      <c r="C1023" s="28"/>
      <c r="D1023" s="79"/>
      <c r="E1023" s="1"/>
      <c r="F1023" s="76"/>
      <c r="G1023" s="1"/>
      <c r="H1023" s="1"/>
      <c r="J1023" s="77"/>
      <c r="K1023" s="80"/>
      <c r="L1023" s="80"/>
      <c r="M1023" s="80"/>
      <c r="N1023" s="80"/>
      <c r="O1023" s="80"/>
      <c r="P1023" s="81"/>
      <c r="Q1023" s="35" t="str">
        <f>IF(D1023="","",VLOOKUP(MONTH(D1023),Listas!$C$2:$D$14,2,0))</f>
        <v/>
      </c>
      <c r="R1023" s="36" t="str">
        <f t="shared" si="22"/>
        <v/>
      </c>
      <c r="S1023" s="37" t="str">
        <f t="shared" si="23"/>
        <v/>
      </c>
      <c r="T1023" s="37" t="str">
        <f t="shared" si="24"/>
        <v/>
      </c>
      <c r="U1023" s="37" t="str">
        <f t="shared" si="25"/>
        <v/>
      </c>
      <c r="V1023" s="37" t="str">
        <f t="shared" si="26"/>
        <v/>
      </c>
      <c r="W1023" s="37" t="str">
        <f t="shared" si="27"/>
        <v/>
      </c>
      <c r="X1023" s="37" t="str">
        <f t="shared" si="28"/>
        <v/>
      </c>
      <c r="Y1023" s="37" t="str">
        <f t="shared" si="29"/>
        <v/>
      </c>
      <c r="Z1023" s="38" t="str">
        <f t="shared" si="30"/>
        <v/>
      </c>
      <c r="AA1023" s="39" t="str">
        <f t="shared" si="31"/>
        <v/>
      </c>
    </row>
    <row r="1024" ht="15.75" customHeight="1">
      <c r="B1024" s="1"/>
      <c r="C1024" s="28"/>
      <c r="D1024" s="79"/>
      <c r="E1024" s="1"/>
      <c r="F1024" s="76"/>
      <c r="G1024" s="1"/>
      <c r="H1024" s="1"/>
      <c r="J1024" s="77"/>
      <c r="K1024" s="80"/>
      <c r="L1024" s="80"/>
      <c r="M1024" s="80"/>
      <c r="N1024" s="80"/>
      <c r="O1024" s="80"/>
      <c r="P1024" s="81"/>
      <c r="Q1024" s="35" t="str">
        <f>IF(D1024="","",VLOOKUP(MONTH(D1024),Listas!$C$2:$D$14,2,0))</f>
        <v/>
      </c>
      <c r="R1024" s="36" t="str">
        <f t="shared" si="22"/>
        <v/>
      </c>
      <c r="S1024" s="37" t="str">
        <f t="shared" si="23"/>
        <v/>
      </c>
      <c r="T1024" s="37" t="str">
        <f t="shared" si="24"/>
        <v/>
      </c>
      <c r="U1024" s="37" t="str">
        <f t="shared" si="25"/>
        <v/>
      </c>
      <c r="V1024" s="37" t="str">
        <f t="shared" si="26"/>
        <v/>
      </c>
      <c r="W1024" s="37" t="str">
        <f t="shared" si="27"/>
        <v/>
      </c>
      <c r="X1024" s="37" t="str">
        <f t="shared" si="28"/>
        <v/>
      </c>
      <c r="Y1024" s="37" t="str">
        <f t="shared" si="29"/>
        <v/>
      </c>
      <c r="Z1024" s="38" t="str">
        <f t="shared" si="30"/>
        <v/>
      </c>
      <c r="AA1024" s="39" t="str">
        <f t="shared" si="31"/>
        <v/>
      </c>
    </row>
    <row r="1025" ht="15.75" customHeight="1">
      <c r="B1025" s="1"/>
      <c r="C1025" s="28"/>
      <c r="D1025" s="79"/>
      <c r="E1025" s="1"/>
      <c r="F1025" s="76"/>
      <c r="G1025" s="1"/>
      <c r="H1025" s="1"/>
      <c r="J1025" s="77"/>
      <c r="K1025" s="80"/>
      <c r="L1025" s="80"/>
      <c r="M1025" s="80"/>
      <c r="N1025" s="80"/>
      <c r="O1025" s="80"/>
      <c r="P1025" s="81"/>
      <c r="Q1025" s="35" t="str">
        <f>IF(D1025="","",VLOOKUP(MONTH(D1025),Listas!$C$2:$D$14,2,0))</f>
        <v/>
      </c>
      <c r="R1025" s="36" t="str">
        <f t="shared" si="22"/>
        <v/>
      </c>
      <c r="S1025" s="37" t="str">
        <f t="shared" si="23"/>
        <v/>
      </c>
      <c r="T1025" s="37" t="str">
        <f t="shared" si="24"/>
        <v/>
      </c>
      <c r="U1025" s="37" t="str">
        <f t="shared" si="25"/>
        <v/>
      </c>
      <c r="V1025" s="37" t="str">
        <f t="shared" si="26"/>
        <v/>
      </c>
      <c r="W1025" s="37" t="str">
        <f t="shared" si="27"/>
        <v/>
      </c>
      <c r="X1025" s="37" t="str">
        <f t="shared" si="28"/>
        <v/>
      </c>
      <c r="Y1025" s="37" t="str">
        <f t="shared" si="29"/>
        <v/>
      </c>
      <c r="Z1025" s="38" t="str">
        <f t="shared" si="30"/>
        <v/>
      </c>
      <c r="AA1025" s="39" t="str">
        <f t="shared" si="31"/>
        <v/>
      </c>
    </row>
    <row r="1026" ht="15.75" customHeight="1">
      <c r="B1026" s="1"/>
      <c r="C1026" s="28"/>
      <c r="D1026" s="79"/>
      <c r="E1026" s="1"/>
      <c r="F1026" s="76"/>
      <c r="G1026" s="1"/>
      <c r="H1026" s="1"/>
      <c r="J1026" s="77"/>
      <c r="K1026" s="80"/>
      <c r="L1026" s="80"/>
      <c r="M1026" s="80"/>
      <c r="N1026" s="80"/>
      <c r="O1026" s="80"/>
      <c r="P1026" s="81"/>
      <c r="Q1026" s="35" t="str">
        <f>IF(D1026="","",VLOOKUP(MONTH(D1026),Listas!$C$2:$D$14,2,0))</f>
        <v/>
      </c>
      <c r="R1026" s="36" t="str">
        <f t="shared" si="22"/>
        <v/>
      </c>
      <c r="S1026" s="37" t="str">
        <f t="shared" si="23"/>
        <v/>
      </c>
      <c r="T1026" s="37" t="str">
        <f t="shared" si="24"/>
        <v/>
      </c>
      <c r="U1026" s="37" t="str">
        <f t="shared" si="25"/>
        <v/>
      </c>
      <c r="V1026" s="37" t="str">
        <f t="shared" si="26"/>
        <v/>
      </c>
      <c r="W1026" s="37" t="str">
        <f t="shared" si="27"/>
        <v/>
      </c>
      <c r="X1026" s="37" t="str">
        <f t="shared" si="28"/>
        <v/>
      </c>
      <c r="Y1026" s="37" t="str">
        <f t="shared" si="29"/>
        <v/>
      </c>
      <c r="Z1026" s="38" t="str">
        <f t="shared" si="30"/>
        <v/>
      </c>
      <c r="AA1026" s="39" t="str">
        <f t="shared" si="31"/>
        <v/>
      </c>
    </row>
    <row r="1027" ht="15.75" customHeight="1">
      <c r="B1027" s="1"/>
      <c r="C1027" s="28"/>
      <c r="D1027" s="79"/>
      <c r="E1027" s="1"/>
      <c r="F1027" s="76"/>
      <c r="G1027" s="1"/>
      <c r="H1027" s="1"/>
      <c r="J1027" s="77"/>
      <c r="K1027" s="80"/>
      <c r="L1027" s="80"/>
      <c r="M1027" s="80"/>
      <c r="N1027" s="80"/>
      <c r="O1027" s="80"/>
      <c r="P1027" s="81"/>
      <c r="Q1027" s="35" t="str">
        <f>IF(D1027="","",VLOOKUP(MONTH(D1027),Listas!$C$2:$D$14,2,0))</f>
        <v/>
      </c>
      <c r="R1027" s="36" t="str">
        <f t="shared" si="22"/>
        <v/>
      </c>
      <c r="S1027" s="37" t="str">
        <f t="shared" si="23"/>
        <v/>
      </c>
      <c r="T1027" s="37" t="str">
        <f t="shared" si="24"/>
        <v/>
      </c>
      <c r="U1027" s="37" t="str">
        <f t="shared" si="25"/>
        <v/>
      </c>
      <c r="V1027" s="37" t="str">
        <f t="shared" si="26"/>
        <v/>
      </c>
      <c r="W1027" s="37" t="str">
        <f t="shared" si="27"/>
        <v/>
      </c>
      <c r="X1027" s="37" t="str">
        <f t="shared" si="28"/>
        <v/>
      </c>
      <c r="Y1027" s="37" t="str">
        <f t="shared" si="29"/>
        <v/>
      </c>
      <c r="Z1027" s="38" t="str">
        <f t="shared" si="30"/>
        <v/>
      </c>
      <c r="AA1027" s="39" t="str">
        <f t="shared" si="31"/>
        <v/>
      </c>
    </row>
    <row r="1028" ht="15.75" customHeight="1">
      <c r="B1028" s="1"/>
      <c r="C1028" s="28"/>
      <c r="D1028" s="79"/>
      <c r="E1028" s="1"/>
      <c r="F1028" s="76"/>
      <c r="G1028" s="1"/>
      <c r="H1028" s="1"/>
      <c r="J1028" s="77"/>
      <c r="K1028" s="80"/>
      <c r="L1028" s="80"/>
      <c r="M1028" s="80"/>
      <c r="N1028" s="80"/>
      <c r="O1028" s="80"/>
      <c r="P1028" s="81"/>
      <c r="Q1028" s="35" t="str">
        <f>IF(D1028="","",VLOOKUP(MONTH(D1028),Listas!$C$2:$D$14,2,0))</f>
        <v/>
      </c>
      <c r="R1028" s="36" t="str">
        <f t="shared" si="22"/>
        <v/>
      </c>
      <c r="S1028" s="37" t="str">
        <f t="shared" si="23"/>
        <v/>
      </c>
      <c r="T1028" s="37" t="str">
        <f t="shared" si="24"/>
        <v/>
      </c>
      <c r="U1028" s="37" t="str">
        <f t="shared" si="25"/>
        <v/>
      </c>
      <c r="V1028" s="37" t="str">
        <f t="shared" si="26"/>
        <v/>
      </c>
      <c r="W1028" s="37" t="str">
        <f t="shared" si="27"/>
        <v/>
      </c>
      <c r="X1028" s="37" t="str">
        <f t="shared" si="28"/>
        <v/>
      </c>
      <c r="Y1028" s="37" t="str">
        <f t="shared" si="29"/>
        <v/>
      </c>
      <c r="Z1028" s="38" t="str">
        <f t="shared" si="30"/>
        <v/>
      </c>
      <c r="AA1028" s="39" t="str">
        <f t="shared" si="31"/>
        <v/>
      </c>
    </row>
    <row r="1029" ht="15.75" customHeight="1">
      <c r="B1029" s="1"/>
      <c r="C1029" s="28"/>
      <c r="D1029" s="79"/>
      <c r="E1029" s="1"/>
      <c r="F1029" s="76"/>
      <c r="G1029" s="1"/>
      <c r="H1029" s="1"/>
      <c r="J1029" s="77"/>
      <c r="K1029" s="80"/>
      <c r="L1029" s="80"/>
      <c r="M1029" s="80"/>
      <c r="N1029" s="80"/>
      <c r="O1029" s="80"/>
      <c r="P1029" s="81"/>
      <c r="Q1029" s="35" t="str">
        <f>IF(D1029="","",VLOOKUP(MONTH(D1029),Listas!$C$2:$D$14,2,0))</f>
        <v/>
      </c>
      <c r="R1029" s="36" t="str">
        <f t="shared" si="22"/>
        <v/>
      </c>
      <c r="S1029" s="37" t="str">
        <f t="shared" si="23"/>
        <v/>
      </c>
      <c r="T1029" s="37" t="str">
        <f t="shared" si="24"/>
        <v/>
      </c>
      <c r="U1029" s="37" t="str">
        <f t="shared" si="25"/>
        <v/>
      </c>
      <c r="V1029" s="37" t="str">
        <f t="shared" si="26"/>
        <v/>
      </c>
      <c r="W1029" s="37" t="str">
        <f t="shared" si="27"/>
        <v/>
      </c>
      <c r="X1029" s="37" t="str">
        <f t="shared" si="28"/>
        <v/>
      </c>
      <c r="Y1029" s="37" t="str">
        <f t="shared" si="29"/>
        <v/>
      </c>
      <c r="Z1029" s="38" t="str">
        <f t="shared" si="30"/>
        <v/>
      </c>
      <c r="AA1029" s="39" t="str">
        <f t="shared" si="31"/>
        <v/>
      </c>
    </row>
    <row r="1030" ht="15.75" customHeight="1">
      <c r="B1030" s="1"/>
      <c r="C1030" s="28"/>
      <c r="D1030" s="79"/>
      <c r="E1030" s="1"/>
      <c r="F1030" s="76"/>
      <c r="G1030" s="1"/>
      <c r="H1030" s="1"/>
      <c r="J1030" s="77"/>
      <c r="K1030" s="80"/>
      <c r="L1030" s="80"/>
      <c r="M1030" s="80"/>
      <c r="N1030" s="80"/>
      <c r="O1030" s="80"/>
      <c r="P1030" s="81"/>
      <c r="Q1030" s="35" t="str">
        <f>IF(D1030="","",VLOOKUP(MONTH(D1030),Listas!$C$2:$D$14,2,0))</f>
        <v/>
      </c>
      <c r="R1030" s="36" t="str">
        <f t="shared" si="22"/>
        <v/>
      </c>
      <c r="S1030" s="37" t="str">
        <f t="shared" si="23"/>
        <v/>
      </c>
      <c r="T1030" s="37" t="str">
        <f t="shared" si="24"/>
        <v/>
      </c>
      <c r="U1030" s="37" t="str">
        <f t="shared" si="25"/>
        <v/>
      </c>
      <c r="V1030" s="37" t="str">
        <f t="shared" si="26"/>
        <v/>
      </c>
      <c r="W1030" s="37" t="str">
        <f t="shared" si="27"/>
        <v/>
      </c>
      <c r="X1030" s="37" t="str">
        <f t="shared" si="28"/>
        <v/>
      </c>
      <c r="Y1030" s="37" t="str">
        <f t="shared" si="29"/>
        <v/>
      </c>
      <c r="Z1030" s="38" t="str">
        <f t="shared" si="30"/>
        <v/>
      </c>
      <c r="AA1030" s="39" t="str">
        <f t="shared" si="31"/>
        <v/>
      </c>
    </row>
    <row r="1031" ht="15.75" customHeight="1">
      <c r="B1031" s="1"/>
      <c r="C1031" s="28"/>
      <c r="D1031" s="79"/>
      <c r="E1031" s="1"/>
      <c r="F1031" s="76"/>
      <c r="G1031" s="1"/>
      <c r="H1031" s="1"/>
      <c r="J1031" s="77"/>
      <c r="K1031" s="80"/>
      <c r="L1031" s="80"/>
      <c r="M1031" s="80"/>
      <c r="N1031" s="80"/>
      <c r="O1031" s="80"/>
      <c r="P1031" s="81"/>
      <c r="Q1031" s="35" t="str">
        <f>IF(D1031="","",VLOOKUP(MONTH(D1031),Listas!$C$2:$D$14,2,0))</f>
        <v/>
      </c>
      <c r="R1031" s="36" t="str">
        <f t="shared" si="22"/>
        <v/>
      </c>
      <c r="S1031" s="37" t="str">
        <f t="shared" si="23"/>
        <v/>
      </c>
      <c r="T1031" s="37" t="str">
        <f t="shared" si="24"/>
        <v/>
      </c>
      <c r="U1031" s="37" t="str">
        <f t="shared" si="25"/>
        <v/>
      </c>
      <c r="V1031" s="37" t="str">
        <f t="shared" si="26"/>
        <v/>
      </c>
      <c r="W1031" s="37" t="str">
        <f t="shared" si="27"/>
        <v/>
      </c>
      <c r="X1031" s="37" t="str">
        <f t="shared" si="28"/>
        <v/>
      </c>
      <c r="Y1031" s="37" t="str">
        <f t="shared" si="29"/>
        <v/>
      </c>
      <c r="Z1031" s="38" t="str">
        <f t="shared" si="30"/>
        <v/>
      </c>
      <c r="AA1031" s="39" t="str">
        <f t="shared" si="31"/>
        <v/>
      </c>
    </row>
    <row r="1032" ht="15.75" customHeight="1">
      <c r="B1032" s="1"/>
      <c r="C1032" s="28"/>
      <c r="D1032" s="79"/>
      <c r="E1032" s="1"/>
      <c r="F1032" s="76"/>
      <c r="G1032" s="1"/>
      <c r="H1032" s="1"/>
      <c r="J1032" s="77"/>
      <c r="K1032" s="80"/>
      <c r="L1032" s="80"/>
      <c r="M1032" s="80"/>
      <c r="N1032" s="80"/>
      <c r="O1032" s="80"/>
      <c r="P1032" s="81"/>
      <c r="Q1032" s="35" t="str">
        <f>IF(D1032="","",VLOOKUP(MONTH(D1032),Listas!$C$2:$D$14,2,0))</f>
        <v/>
      </c>
      <c r="R1032" s="36" t="str">
        <f t="shared" si="22"/>
        <v/>
      </c>
      <c r="S1032" s="37" t="str">
        <f t="shared" si="23"/>
        <v/>
      </c>
      <c r="T1032" s="37" t="str">
        <f t="shared" si="24"/>
        <v/>
      </c>
      <c r="U1032" s="37" t="str">
        <f t="shared" si="25"/>
        <v/>
      </c>
      <c r="V1032" s="37" t="str">
        <f t="shared" si="26"/>
        <v/>
      </c>
      <c r="W1032" s="37" t="str">
        <f t="shared" si="27"/>
        <v/>
      </c>
      <c r="X1032" s="37" t="str">
        <f t="shared" si="28"/>
        <v/>
      </c>
      <c r="Y1032" s="37" t="str">
        <f t="shared" si="29"/>
        <v/>
      </c>
      <c r="Z1032" s="38" t="str">
        <f t="shared" si="30"/>
        <v/>
      </c>
      <c r="AA1032" s="39" t="str">
        <f t="shared" si="31"/>
        <v/>
      </c>
    </row>
    <row r="1033" ht="15.75" customHeight="1">
      <c r="B1033" s="1"/>
      <c r="C1033" s="28"/>
      <c r="D1033" s="79"/>
      <c r="E1033" s="1"/>
      <c r="F1033" s="76"/>
      <c r="G1033" s="1"/>
      <c r="H1033" s="1"/>
      <c r="J1033" s="77"/>
      <c r="K1033" s="80"/>
      <c r="L1033" s="80"/>
      <c r="M1033" s="80"/>
      <c r="N1033" s="80"/>
      <c r="O1033" s="80"/>
      <c r="P1033" s="81"/>
      <c r="Q1033" s="35" t="str">
        <f>IF(D1033="","",VLOOKUP(MONTH(D1033),Listas!$C$2:$D$14,2,0))</f>
        <v/>
      </c>
      <c r="R1033" s="36" t="str">
        <f t="shared" si="22"/>
        <v/>
      </c>
      <c r="S1033" s="37" t="str">
        <f t="shared" si="23"/>
        <v/>
      </c>
      <c r="T1033" s="37" t="str">
        <f t="shared" si="24"/>
        <v/>
      </c>
      <c r="U1033" s="37" t="str">
        <f t="shared" si="25"/>
        <v/>
      </c>
      <c r="V1033" s="37" t="str">
        <f t="shared" si="26"/>
        <v/>
      </c>
      <c r="W1033" s="37" t="str">
        <f t="shared" si="27"/>
        <v/>
      </c>
      <c r="X1033" s="37" t="str">
        <f t="shared" si="28"/>
        <v/>
      </c>
      <c r="Y1033" s="37" t="str">
        <f t="shared" si="29"/>
        <v/>
      </c>
      <c r="Z1033" s="38" t="str">
        <f t="shared" si="30"/>
        <v/>
      </c>
      <c r="AA1033" s="39" t="str">
        <f t="shared" si="31"/>
        <v/>
      </c>
    </row>
    <row r="1034" ht="15.75" customHeight="1">
      <c r="B1034" s="1"/>
      <c r="C1034" s="28"/>
      <c r="D1034" s="79"/>
      <c r="E1034" s="1"/>
      <c r="F1034" s="76"/>
      <c r="G1034" s="1"/>
      <c r="H1034" s="1"/>
      <c r="J1034" s="77"/>
      <c r="K1034" s="80"/>
      <c r="L1034" s="80"/>
      <c r="M1034" s="80"/>
      <c r="N1034" s="80"/>
      <c r="O1034" s="80"/>
      <c r="P1034" s="81"/>
      <c r="Q1034" s="35" t="str">
        <f>IF(D1034="","",VLOOKUP(MONTH(D1034),Listas!$C$2:$D$14,2,0))</f>
        <v/>
      </c>
      <c r="R1034" s="36" t="str">
        <f t="shared" si="22"/>
        <v/>
      </c>
      <c r="S1034" s="37" t="str">
        <f t="shared" si="23"/>
        <v/>
      </c>
      <c r="T1034" s="37" t="str">
        <f t="shared" si="24"/>
        <v/>
      </c>
      <c r="U1034" s="37" t="str">
        <f t="shared" si="25"/>
        <v/>
      </c>
      <c r="V1034" s="37" t="str">
        <f t="shared" si="26"/>
        <v/>
      </c>
      <c r="W1034" s="37" t="str">
        <f t="shared" si="27"/>
        <v/>
      </c>
      <c r="X1034" s="37" t="str">
        <f t="shared" si="28"/>
        <v/>
      </c>
      <c r="Y1034" s="37" t="str">
        <f t="shared" si="29"/>
        <v/>
      </c>
      <c r="Z1034" s="38" t="str">
        <f t="shared" si="30"/>
        <v/>
      </c>
      <c r="AA1034" s="39" t="str">
        <f t="shared" si="31"/>
        <v/>
      </c>
    </row>
  </sheetData>
  <customSheetViews>
    <customSheetView guid="{641EEE01-6565-4715-A15B-3BAE8BC67C08}" filter="1" showAutoFilter="1">
      <autoFilter ref="$A$5:$P$134"/>
    </customSheetView>
    <customSheetView guid="{7E46A594-AA5C-4E5C-8DF4-6E7636E5EBD9}" filter="1" showAutoFilter="1">
      <autoFilter ref="$A$8:$A$119"/>
    </customSheetView>
  </customSheetViews>
  <mergeCells count="1">
    <mergeCell ref="B3:P3"/>
  </mergeCells>
  <conditionalFormatting sqref="I120">
    <cfRule type="expression" dxfId="0" priority="1">
      <formula>(AND(W:W=$V$1,Y:Y=$X$1))</formula>
    </cfRule>
  </conditionalFormatting>
  <conditionalFormatting sqref="I120">
    <cfRule type="expression" dxfId="1" priority="2">
      <formula>(AND(X:X&lt;=5,X:X&gt;0,Y:Y=$X$1))</formula>
    </cfRule>
  </conditionalFormatting>
  <conditionalFormatting sqref="A120:A122 A265">
    <cfRule type="expression" dxfId="2" priority="3">
      <formula>(AND(S:S&lt;=10,S:S&gt;=0,T:T=$X$1))</formula>
    </cfRule>
  </conditionalFormatting>
  <conditionalFormatting sqref="A120:A122 A265">
    <cfRule type="expression" dxfId="3" priority="4">
      <formula>AND(S:S&gt;10,T:T=$X$1)</formula>
    </cfRule>
  </conditionalFormatting>
  <conditionalFormatting sqref="A120:A122 A265">
    <cfRule type="expression" dxfId="3" priority="5">
      <formula>AND(S:S&lt;=0,T:T=$X$1+2)</formula>
    </cfRule>
  </conditionalFormatting>
  <conditionalFormatting sqref="A120:A122 A265">
    <cfRule type="expression" dxfId="3" priority="6">
      <formula>AND(T:T=$X$1+1)</formula>
    </cfRule>
  </conditionalFormatting>
  <conditionalFormatting sqref="C8:C267 D8:D119 D123:D268 E245 C1034">
    <cfRule type="expression" dxfId="2" priority="7">
      <formula>(AND(R:R&lt;=10,R:R&gt;=0,S:S=$X$1))</formula>
    </cfRule>
  </conditionalFormatting>
  <conditionalFormatting sqref="C8:C267 D8:D119 D123:D268 E245 C1034">
    <cfRule type="expression" dxfId="3" priority="8">
      <formula>AND(R:R&gt;10,S:S=$X$1)</formula>
    </cfRule>
  </conditionalFormatting>
  <conditionalFormatting sqref="G8:G156 H8:H267 I8:I119 I121:I269 G158:G267 F265 J265">
    <cfRule type="expression" dxfId="0" priority="9">
      <formula>(AND(U:U=$V$1,W:W=$X$1))</formula>
    </cfRule>
  </conditionalFormatting>
  <conditionalFormatting sqref="G8:G156 H8:H267 I8:I119 I121:I269 G158:G267 F265 J265">
    <cfRule type="expression" dxfId="1" priority="10">
      <formula>(AND(V:V&lt;=5,V:V&gt;0,W:W=$X$1))</formula>
    </cfRule>
  </conditionalFormatting>
  <conditionalFormatting sqref="C8:C267 D8:D119 D123:D268 E245 C1034">
    <cfRule type="expression" dxfId="3" priority="11">
      <formula>AND(S:S=$X$1+1)</formula>
    </cfRule>
  </conditionalFormatting>
  <conditionalFormatting sqref="C8:C267 D8:D119 D123:D268 E245 C1034">
    <cfRule type="expression" dxfId="3" priority="12">
      <formula>AND(R:R&lt;=0,S:S=$X$1+2)</formula>
    </cfRule>
  </conditionalFormatting>
  <dataValidations>
    <dataValidation type="list" allowBlank="1" sqref="L8:L267">
      <formula1>Listas!$F$2:$G$2</formula1>
    </dataValidation>
    <dataValidation type="list" allowBlank="1" sqref="M204">
      <formula1>Listas!$F$4:$F$202</formula1>
    </dataValidation>
    <dataValidation type="list" allowBlank="1" sqref="M233">
      <formula1>Listas!$F$4:$F$232</formula1>
    </dataValidation>
    <dataValidation type="list" allowBlank="1" sqref="C8:C1034">
      <formula1>"Activo,Inactivo"</formula1>
    </dataValidation>
    <dataValidation type="list" allowBlank="1" sqref="M205">
      <formula1>Listas!$F$4:$F$204</formula1>
    </dataValidation>
    <dataValidation type="list" allowBlank="1" sqref="M251">
      <formula1>Listas!$G$4:$G$251</formula1>
    </dataValidation>
    <dataValidation type="custom" allowBlank="1" showDropDown="1" showErrorMessage="1" sqref="P8:P269">
      <formula1>NOT(ISERROR(SEARCH(("DARINKA UREÑA CASILLAS"),(P8))))</formula1>
    </dataValidation>
    <dataValidation type="list" allowBlank="1" sqref="M207">
      <formula1>Listas!$F$4:$F$206</formula1>
    </dataValidation>
    <dataValidation type="list" allowBlank="1" sqref="M243">
      <formula1>Listas!$G$4:$G$242</formula1>
    </dataValidation>
    <dataValidation type="list" allowBlank="1" sqref="M213">
      <formula1>Listas!$G$4:$G$212</formula1>
    </dataValidation>
    <dataValidation type="list" allowBlank="1" sqref="M242">
      <formula1>Listas!$F$4:$F$241</formula1>
    </dataValidation>
    <dataValidation type="list" allowBlank="1" sqref="M239">
      <formula1>Listas!$F$4:$F$238</formula1>
    </dataValidation>
    <dataValidation type="list" allowBlank="1" sqref="M224">
      <formula1>Listas!$F$4:$F$223</formula1>
    </dataValidation>
    <dataValidation type="list" allowBlank="1" sqref="H8:H267">
      <formula1>"Mensual,Trimestral,Semestral,Anual"</formula1>
    </dataValidation>
    <dataValidation type="list" allowBlank="1" sqref="N149 N151:N195 N245 N266">
      <formula1>Listas!$E$4:$E$16</formula1>
    </dataValidation>
    <dataValidation type="list" allowBlank="1" sqref="M230:M231">
      <formula1>Listas!$G$4:$G$230</formula1>
    </dataValidation>
    <dataValidation type="list" allowBlank="1" sqref="M226">
      <formula1>Listas!$F$4:$F$225</formula1>
    </dataValidation>
    <dataValidation type="list" allowBlank="1" sqref="M232">
      <formula1>Listas!$G$4:$G$231</formula1>
    </dataValidation>
    <dataValidation type="list" allowBlank="1" sqref="M196:M197">
      <formula1>Listas!$F$4:$F$18</formula1>
    </dataValidation>
    <dataValidation type="list" allowBlank="1" sqref="M250">
      <formula1>Listas!$G$4:$G$249</formula1>
    </dataValidation>
    <dataValidation type="list" allowBlank="1" sqref="M240">
      <formula1>Listas!$F$4:$F$239</formula1>
    </dataValidation>
    <dataValidation type="list" allowBlank="1" sqref="M209">
      <formula1>Listas!$F$4:$F$208</formula1>
    </dataValidation>
    <dataValidation type="list" allowBlank="1" sqref="M212">
      <formula1>Listas!$F$4:$F$211</formula1>
    </dataValidation>
    <dataValidation type="list" allowBlank="1" sqref="M203">
      <formula1>Listas!$G$4:$G$202</formula1>
    </dataValidation>
    <dataValidation type="list" allowBlank="1" sqref="M214">
      <formula1>Listas!$F$4:$F$213</formula1>
    </dataValidation>
    <dataValidation type="list" allowBlank="1" sqref="M9 M11:M12 M15:M16 M18 M20 M23:M29 M31:M36 M38:M39 M41:M42 M44 M46 M48:M49 M51:M52 M55:M56 M59:M61 M63:M64 M67:M69 M71 M73 M75:M80 M83 M85 M87:M89 M91:M97 M99:M102 M104:M106 M108 M110 M113 M115:M118 M120 M122:M127 M129 M132 M134:M136 M139:M141 M147:M148 M165 M265">
      <formula1>Listas!$F$4:$F$16</formula1>
    </dataValidation>
    <dataValidation type="list" allowBlank="1" sqref="K8:K267">
      <formula1>"TC,TD"</formula1>
    </dataValidation>
    <dataValidation type="list" allowBlank="1" sqref="M228">
      <formula1>Listas!$F$4:$F$227</formula1>
    </dataValidation>
    <dataValidation type="list" allowBlank="1" sqref="M245">
      <formula1>Listas!$F$4:$F$244</formula1>
    </dataValidation>
    <dataValidation type="list" allowBlank="1" sqref="M247">
      <formula1>Listas!$F$4:$F$246</formula1>
    </dataValidation>
    <dataValidation type="list" allowBlank="1" sqref="M216">
      <formula1>Listas!$F$4:$F$215</formula1>
    </dataValidation>
    <dataValidation type="list" allowBlank="1" sqref="M238">
      <formula1>Listas!$G$4:$G$237</formula1>
    </dataValidation>
    <dataValidation type="list" allowBlank="1" sqref="M198">
      <formula1>Listas!$G$4:$G$18</formula1>
    </dataValidation>
    <dataValidation type="list" allowBlank="1" sqref="M202">
      <formula1>Listas!$F$4:$F$201</formula1>
    </dataValidation>
    <dataValidation type="list" allowBlank="1" sqref="M249">
      <formula1>Listas!$F$4:$F$248</formula1>
    </dataValidation>
    <dataValidation type="list" allowBlank="1" sqref="M219:M220">
      <formula1>Listas!$F$4:$F$218</formula1>
    </dataValidation>
    <dataValidation type="list" allowBlank="1" sqref="M254">
      <formula1>Listas!$G$4:$G$254</formula1>
    </dataValidation>
    <dataValidation type="list" allowBlank="1" sqref="B8:B267">
      <formula1>"H,M"</formula1>
    </dataValidation>
    <dataValidation type="list" allowBlank="1" sqref="M217:M218">
      <formula1>Listas!$F$4:$F$216</formula1>
    </dataValidation>
    <dataValidation type="list" allowBlank="1" sqref="G8:G156 G158:G267">
      <formula1>"MXN,USD,UDIS"</formula1>
    </dataValidation>
    <dataValidation type="list" allowBlank="1" sqref="M8 M10 M13:M14 M17 M19 M21:M22 M30 M37 M40 M43 M45 M47 M50 M53:M54 M57:M58 M62 M65:M66 M70 M72 M74 M86 M90 M98 M103 M107 M109 M111:M112 M114 M119 M121 M130:M131 M133 M137:M138 M142:M146">
      <formula1>Listas!$G$4:$G$16</formula1>
    </dataValidation>
    <dataValidation type="list" allowBlank="1" sqref="J8:J90 J92:J149 N150 J151:J267">
      <formula1>"Sí,No"</formula1>
    </dataValidation>
    <dataValidation type="list" allowBlank="1" sqref="M208">
      <formula1>Listas!$G$4:$G$207</formula1>
    </dataValidation>
    <dataValidation type="list" allowBlank="1" sqref="M221:M222">
      <formula1>Listas!$F$4:$F$220</formula1>
    </dataValidation>
    <dataValidation type="list" allowBlank="1" sqref="M236:M237">
      <formula1>Listas!$F$4:$F$235</formula1>
    </dataValidation>
    <dataValidation type="list" allowBlank="1" sqref="M199">
      <formula1>Listas!$G$4:$G$198</formula1>
    </dataValidation>
    <dataValidation type="list" allowBlank="1" sqref="M223">
      <formula1>Listas!$F$4:$F$222</formula1>
    </dataValidation>
    <dataValidation type="list" allowBlank="1" sqref="M241">
      <formula1>Listas!$F$4:$F$240</formula1>
    </dataValidation>
    <dataValidation type="list" allowBlank="1" sqref="M253">
      <formula1>Listas!$F$4:$F$254</formula1>
    </dataValidation>
    <dataValidation type="list" allowBlank="1" showErrorMessage="1" sqref="E8:E246">
      <formula1>"GM0000512930,VI0002585905,GM0000551209,VI0002645864,VI0002570983,GM0000478411,GM0000579437,VI0002521501,VI0002678022,GM0000551319,VI0002650072,GM0000540142,VI0002546462,GM0000496075,GM0000513096,VI0002566080,VI0002591407,VI0002573965,VI0002517934,VI000269"&amp;"7696,VI0002698084,VI0002558023,GM0000588897,VI0002654798,VI0002682439,VI0002662475,VI0002613039,VI0002657416,VI0002692302,GM0000549543,VI0002601742,VI0002672529,VI0002678390,VI0002690934,VI0002652270,GM0000537417,VI0002709431,GM0000510955,VI0002582479,GM0"&amp;"000546753,VI0002617376,VI0002531698,GM0000573459,VI0002583535,VI0002563282,GM0000526123,GM0000351999,VI0002550138,VI0002571494,GM0000585100,GM0000482513,VI0002585935,VI0002613934,VI0002711484,GM0000556025,VI0002548210,VI00025924219,GM0000492375,GM00005868"&amp;"71,VI0002591210,VI0002555595,VI0002542137,GM0000479419,VI0002541931,GM0000540124,VI0002656531,GM0000452776,VI0002607534,VI0002530480,VI0002608269,VI0002634302,VI0002549354,VI0002572565,VI0002379720,VI0002675317,VI0002695547,VI0002475012,VI0002554845,GM000"&amp;"0537792,VI0002639310,VI0002517688,VI0002689899,GM0000544016,VI0002666463,VI0002571751,VI0002645729,VI0002662801,VI0002597383,VI0002683192,VI0002591305,GM0000586501,VI0002667040,VI0002588611,VI0002592088,VI0002620401,GM0000559843,VI0002626529,VI0002546647,"&amp;"VI0002552195,GM0000543671,VI0002632359,GM000543045,VI0002682147,GM0000580168,GM0000538831,VI0002610198,GM0000501198,VI0002669529,VI0002606703,VI0002603817,VI0002598609,GM000537085,VI0002660408,GM0000482649,VI0002566243,VI0002529863,VI0002560246,VI00025694"&amp;"21,VI0002686391,VI0002644574,VI0002675267,VI0002606377,GM0000547172,GM0000581018,VI0002698126,GM0000570410,VI0002597603,VI0002717134,VI0002719472,GM0000593612,GM00000594397,VI0002722090,VI0002722445,VI0002726188,GM0000597472,GM0000599355,GM0000599595,GM00"&amp;"00599611,GM0000600689,VI0002736210,VI0002737615,VI0002740454,VI0002742125,VI0002747846,VI0002748901,GM0000612213,GM0000612841,GM0000613371,VI0002754599,GM0000614530,GM0000614783,GM0000615542,GM0000615625,GM0000616881,VI0002762846,VI0002764000,VI0002765196"&amp;",GM0000619189,GM0000623434,GM0000624742,GM0000626399,VI0002779689,GM0000626694,VI0002779648,VI0002781309,GM0000627132,GM0000628200,GM0000631291,VI0002790754,VI0002791784,VI0002796083,VI0002789159,GM0000635721,VI0002801119,GM0000637539,GM0000637690,GM00006"&amp;"37709
,VI0002803707,VI0002806324,VI0002806319,VI0002811699,VI0002815231,GM0000646763
,VI0002818961,VI0002821361,VI0002821938,VI0002822471,VI0002824693,VI0002825632,VI0002827377,GM0000653524,GM0000657031,VI0002832905,VI0002835245,VI0002839392
,GM0000664424"&amp;",VI0002849484,VI0002849827,GM0000668487,VI0002854840,GM0000672845,VI0002860799,VI0002860951  ,VI0002864556,VI0002865953,GM000677220,VI0002867999,VI0002382839,VI0002868817,VI0002868903,VI0002868991,VI0002869958,VI0002871387,VI0002875542,VI0002879209,VI0002"&amp;"883180,VI0002883288,VI0002883856,VI0002885836,VI0002835520 ,VI0002888021,VI0002889651,GM0000690516,GM0000690659,GM0000691919,VI0002893868,GM0000693679,GM0000694259,VI0002892849,VI0002894340,GM0000697387,VI0002908138,VI0002907604,VI0002377266,VI0002912807,"&amp;"GM0000109592,VI0002918199,VI0002920158,VI0002926711"</formula1>
    </dataValidation>
    <dataValidation type="list" allowBlank="1" sqref="M211">
      <formula1>Listas!$F$4:$F$210</formula1>
    </dataValidation>
    <dataValidation type="list" allowBlank="1" sqref="M225">
      <formula1>Listas!$F$4:$F$224</formula1>
    </dataValidation>
    <dataValidation type="list" allowBlank="1" sqref="M248">
      <formula1>Listas!$G$4:$G$246</formula1>
    </dataValidation>
    <dataValidation type="list" allowBlank="1" sqref="M252">
      <formula1>Listas!$F$4:$F$252</formula1>
    </dataValidation>
    <dataValidation type="list" allowBlank="1" sqref="M210">
      <formula1>Listas!$F$4:$F$209</formula1>
    </dataValidation>
    <dataValidation type="list" allowBlank="1" sqref="M227">
      <formula1>Listas!$F$4:$F$226</formula1>
    </dataValidation>
    <dataValidation type="list" allowBlank="1" sqref="M244">
      <formula1>Listas!$F$4:$F$243</formula1>
    </dataValidation>
    <dataValidation type="list" allowBlank="1" sqref="M234:M235">
      <formula1>Listas!$G$4:$G$234</formula1>
    </dataValidation>
    <dataValidation type="list" allowBlank="1" sqref="M200">
      <formula1>Listas!$F$4:$F$199</formula1>
    </dataValidation>
    <dataValidation type="list" allowBlank="1" sqref="M246">
      <formula1>Listas!$F$4:$F$245</formula1>
    </dataValidation>
    <dataValidation type="list" allowBlank="1" sqref="M201">
      <formula1>Listas!$F$4:$F$200</formula1>
    </dataValidation>
    <dataValidation type="list" allowBlank="1" sqref="M215">
      <formula1>Listas!$F$4:$F$214</formula1>
    </dataValidation>
    <dataValidation type="list" allowBlank="1" sqref="M229">
      <formula1>Listas!$F$4:$F$228</formula1>
    </dataValidation>
    <dataValidation type="list" allowBlank="1" sqref="M206">
      <formula1>Listas!$G$4:$G$205</formula1>
    </dataValidation>
  </dataValidations>
  <hyperlinks>
    <hyperlink r:id="rId1" ref="N8"/>
    <hyperlink r:id="rId2" ref="N9"/>
    <hyperlink r:id="rId3" ref="N10"/>
    <hyperlink r:id="rId4" ref="N11"/>
    <hyperlink r:id="rId5" ref="N12"/>
    <hyperlink r:id="rId6" ref="N13"/>
    <hyperlink r:id="rId7" ref="N14"/>
    <hyperlink r:id="rId8" ref="N15"/>
    <hyperlink r:id="rId9" ref="N16"/>
    <hyperlink r:id="rId10" ref="N17"/>
    <hyperlink r:id="rId11" ref="N18"/>
    <hyperlink r:id="rId12" ref="N19"/>
    <hyperlink r:id="rId13" ref="N20"/>
    <hyperlink r:id="rId14" ref="N21"/>
    <hyperlink r:id="rId15" ref="N22"/>
    <hyperlink r:id="rId16" ref="N23"/>
    <hyperlink r:id="rId17" ref="N24"/>
    <hyperlink r:id="rId18" ref="N25"/>
    <hyperlink r:id="rId19" ref="N26"/>
    <hyperlink r:id="rId20" ref="N27"/>
    <hyperlink r:id="rId21" ref="N28"/>
    <hyperlink r:id="rId22" ref="N29"/>
    <hyperlink r:id="rId23" ref="N30"/>
    <hyperlink r:id="rId24" ref="N31"/>
    <hyperlink r:id="rId25" ref="N32"/>
    <hyperlink r:id="rId26" ref="N33"/>
    <hyperlink r:id="rId27" ref="N34"/>
    <hyperlink r:id="rId28" ref="N35"/>
    <hyperlink r:id="rId29" ref="N36"/>
    <hyperlink r:id="rId30" ref="N37"/>
    <hyperlink r:id="rId31" ref="N38"/>
    <hyperlink r:id="rId32" ref="N39"/>
    <hyperlink r:id="rId33" ref="N40"/>
    <hyperlink r:id="rId34" ref="N41"/>
    <hyperlink r:id="rId35" ref="N42"/>
    <hyperlink r:id="rId36" ref="N43"/>
    <hyperlink r:id="rId37" ref="N44"/>
    <hyperlink r:id="rId38" ref="N45"/>
    <hyperlink r:id="rId39" ref="N46"/>
    <hyperlink r:id="rId40" ref="N47"/>
    <hyperlink r:id="rId41" ref="N48"/>
    <hyperlink r:id="rId42" ref="N49"/>
    <hyperlink r:id="rId43" ref="N50"/>
    <hyperlink r:id="rId44" ref="N51"/>
    <hyperlink r:id="rId45" ref="N52"/>
    <hyperlink r:id="rId46" ref="N53"/>
    <hyperlink r:id="rId47" ref="N54"/>
    <hyperlink r:id="rId48" ref="N55"/>
    <hyperlink r:id="rId49" ref="N56"/>
    <hyperlink r:id="rId50" ref="N57"/>
    <hyperlink r:id="rId51" ref="N58"/>
    <hyperlink r:id="rId52" ref="N59"/>
    <hyperlink r:id="rId53" ref="N60"/>
    <hyperlink r:id="rId54" ref="N61"/>
    <hyperlink r:id="rId55" ref="N62"/>
    <hyperlink r:id="rId56" ref="N63"/>
    <hyperlink r:id="rId57" ref="N64"/>
    <hyperlink r:id="rId58" ref="N65"/>
    <hyperlink r:id="rId59" ref="N66"/>
    <hyperlink r:id="rId60" ref="N67"/>
    <hyperlink r:id="rId61" ref="N68"/>
    <hyperlink r:id="rId62" ref="N69"/>
    <hyperlink r:id="rId63" ref="N70"/>
    <hyperlink r:id="rId64" ref="N71"/>
    <hyperlink r:id="rId65" ref="N72"/>
    <hyperlink r:id="rId66" ref="N73"/>
    <hyperlink r:id="rId67" ref="N74"/>
    <hyperlink r:id="rId68" ref="N75"/>
    <hyperlink r:id="rId69" ref="N76"/>
    <hyperlink r:id="rId70" ref="N77"/>
    <hyperlink r:id="rId71" ref="N78"/>
    <hyperlink r:id="rId72" ref="N79"/>
    <hyperlink r:id="rId73" ref="N80"/>
    <hyperlink r:id="rId74" ref="N81"/>
    <hyperlink r:id="rId75" ref="N82"/>
    <hyperlink r:id="rId76" ref="N83"/>
    <hyperlink r:id="rId77" ref="N84"/>
    <hyperlink r:id="rId78" ref="N85"/>
    <hyperlink r:id="rId79" ref="N86"/>
    <hyperlink r:id="rId80" ref="N87"/>
    <hyperlink r:id="rId81" ref="N88"/>
    <hyperlink r:id="rId82" ref="N89"/>
    <hyperlink r:id="rId83" ref="N90"/>
    <hyperlink r:id="rId84" ref="N91"/>
    <hyperlink r:id="rId85" ref="N92"/>
    <hyperlink r:id="rId86" ref="N93"/>
    <hyperlink r:id="rId87" ref="N94"/>
    <hyperlink r:id="rId88" ref="N95"/>
    <hyperlink r:id="rId89" ref="N96"/>
    <hyperlink r:id="rId90" ref="N97"/>
    <hyperlink r:id="rId91" ref="N98"/>
    <hyperlink r:id="rId92" ref="N99"/>
    <hyperlink r:id="rId93" ref="N100"/>
    <hyperlink r:id="rId94" ref="N101"/>
    <hyperlink r:id="rId95" ref="N102"/>
    <hyperlink r:id="rId96" ref="N103"/>
    <hyperlink r:id="rId97" ref="N104"/>
    <hyperlink r:id="rId98" ref="N105"/>
    <hyperlink r:id="rId99" ref="N106"/>
    <hyperlink r:id="rId100" ref="N107"/>
    <hyperlink r:id="rId101" ref="N108"/>
    <hyperlink r:id="rId102" ref="N109"/>
    <hyperlink r:id="rId103" ref="N110"/>
    <hyperlink r:id="rId104" ref="N111"/>
    <hyperlink r:id="rId105" ref="N112"/>
    <hyperlink r:id="rId106" ref="N113"/>
    <hyperlink r:id="rId107" ref="N114"/>
    <hyperlink r:id="rId108" ref="N115"/>
    <hyperlink r:id="rId109" ref="N116"/>
    <hyperlink r:id="rId110" ref="N117"/>
    <hyperlink r:id="rId111" ref="N118"/>
    <hyperlink r:id="rId112" ref="N119"/>
    <hyperlink r:id="rId113" ref="N120"/>
    <hyperlink r:id="rId114" ref="N121"/>
    <hyperlink r:id="rId115" ref="N122"/>
    <hyperlink r:id="rId116" ref="N123"/>
    <hyperlink r:id="rId117" ref="N124"/>
    <hyperlink r:id="rId118" ref="N125"/>
    <hyperlink r:id="rId119" ref="N126"/>
    <hyperlink r:id="rId120" ref="N127"/>
    <hyperlink r:id="rId121" ref="N128"/>
    <hyperlink r:id="rId122" ref="N129"/>
    <hyperlink r:id="rId123" ref="N130"/>
    <hyperlink r:id="rId124" ref="N131"/>
    <hyperlink r:id="rId125" ref="N132"/>
    <hyperlink r:id="rId126" ref="N133"/>
    <hyperlink r:id="rId127" ref="N134"/>
    <hyperlink r:id="rId128" ref="N135"/>
    <hyperlink r:id="rId129" ref="N136"/>
    <hyperlink r:id="rId130" ref="N137"/>
    <hyperlink r:id="rId131" ref="N138"/>
    <hyperlink r:id="rId132" ref="N139"/>
    <hyperlink r:id="rId133" ref="N140"/>
    <hyperlink r:id="rId134" ref="N141"/>
    <hyperlink r:id="rId135" ref="N142"/>
    <hyperlink r:id="rId136" ref="N143"/>
    <hyperlink r:id="rId137" ref="N144"/>
    <hyperlink r:id="rId138" ref="N145"/>
    <hyperlink r:id="rId139" ref="N146"/>
    <hyperlink r:id="rId140" ref="N147"/>
    <hyperlink r:id="rId141" ref="N148"/>
    <hyperlink r:id="rId142" ref="N149"/>
    <hyperlink r:id="rId143" ref="N150"/>
    <hyperlink r:id="rId144" ref="N151"/>
    <hyperlink r:id="rId145" ref="N152"/>
    <hyperlink r:id="rId146" ref="N153"/>
    <hyperlink r:id="rId147" ref="N154"/>
    <hyperlink r:id="rId148" ref="N155"/>
    <hyperlink r:id="rId149" ref="N156"/>
    <hyperlink r:id="rId150" ref="N157"/>
    <hyperlink r:id="rId151" ref="N158"/>
    <hyperlink r:id="rId152" ref="N159"/>
    <hyperlink r:id="rId153" ref="N160"/>
    <hyperlink r:id="rId154" ref="N161"/>
    <hyperlink r:id="rId155" ref="N162"/>
    <hyperlink r:id="rId156" ref="N163"/>
    <hyperlink r:id="rId157" ref="N164"/>
    <hyperlink r:id="rId158" ref="N165"/>
    <hyperlink r:id="rId159" ref="N166"/>
    <hyperlink r:id="rId160" ref="N167"/>
    <hyperlink r:id="rId161" ref="N168"/>
    <hyperlink r:id="rId162" ref="N169"/>
    <hyperlink r:id="rId163" ref="N170"/>
    <hyperlink r:id="rId164" ref="N171"/>
    <hyperlink r:id="rId165" ref="N172"/>
    <hyperlink r:id="rId166" ref="N173"/>
    <hyperlink r:id="rId167" ref="N174"/>
    <hyperlink r:id="rId168" ref="N175"/>
    <hyperlink r:id="rId169" ref="N176"/>
    <hyperlink r:id="rId170" ref="N177"/>
    <hyperlink r:id="rId171" ref="N178"/>
    <hyperlink r:id="rId172" ref="N179"/>
    <hyperlink r:id="rId173" ref="N180"/>
    <hyperlink r:id="rId174" ref="N181"/>
    <hyperlink r:id="rId175" ref="N183"/>
    <hyperlink r:id="rId176" ref="N185"/>
    <hyperlink r:id="rId177" ref="N186"/>
    <hyperlink r:id="rId178" ref="N187"/>
    <hyperlink r:id="rId179" ref="N188"/>
    <hyperlink r:id="rId180" ref="N189"/>
    <hyperlink r:id="rId181" ref="N190"/>
    <hyperlink r:id="rId182" ref="N192"/>
    <hyperlink r:id="rId183" ref="N194"/>
    <hyperlink r:id="rId184" ref="N196"/>
    <hyperlink r:id="rId185" ref="N199"/>
    <hyperlink r:id="rId186" ref="N201"/>
    <hyperlink r:id="rId187" ref="N204"/>
    <hyperlink r:id="rId188" ref="N208"/>
    <hyperlink r:id="rId189" ref="N212"/>
    <hyperlink r:id="rId190" ref="N215"/>
    <hyperlink r:id="rId191" ref="N229"/>
    <hyperlink r:id="rId192" ref="N230"/>
    <hyperlink r:id="rId193" ref="N233"/>
    <hyperlink r:id="rId194" ref="N234"/>
    <hyperlink r:id="rId195" ref="N235"/>
    <hyperlink r:id="rId196" ref="N245"/>
    <hyperlink r:id="rId197" ref="N266"/>
    <hyperlink r:id="rId198" ref="N267"/>
    <hyperlink r:id="rId199" ref="N268"/>
  </hyperlinks>
  <printOptions/>
  <pageMargins bottom="0.75" footer="0.0" header="0.0" left="0.7" right="0.7" top="0.75"/>
  <pageSetup orientation="landscape"/>
  <drawing r:id="rId2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6.38"/>
    <col customWidth="1" min="2" max="2" width="15.75"/>
    <col customWidth="1" min="3" max="3" width="25.75"/>
    <col customWidth="1" min="4" max="4" width="16.13"/>
    <col customWidth="1" min="5" max="5" width="17.5"/>
    <col customWidth="1" hidden="1" min="6" max="6" width="14.38"/>
  </cols>
  <sheetData>
    <row r="1">
      <c r="F1" s="1"/>
    </row>
    <row r="2">
      <c r="F2" s="1"/>
    </row>
    <row r="3">
      <c r="F3" s="1"/>
    </row>
    <row r="4">
      <c r="F4" s="1"/>
    </row>
    <row r="5">
      <c r="A5" s="82" t="s">
        <v>5</v>
      </c>
      <c r="B5" s="83" t="s">
        <v>9</v>
      </c>
      <c r="C5" s="82" t="s">
        <v>767</v>
      </c>
      <c r="D5" s="82" t="s">
        <v>768</v>
      </c>
      <c r="E5" s="82" t="s">
        <v>13</v>
      </c>
      <c r="F5" s="83" t="s">
        <v>769</v>
      </c>
    </row>
    <row r="6">
      <c r="A6" s="84"/>
      <c r="B6" s="84" t="str">
        <f>IF(A6="","",VLOOKUP(A6,'BD Asesor'!$A$8:$E$1998,5,0))</f>
        <v/>
      </c>
      <c r="D6" s="84"/>
      <c r="E6" s="85"/>
      <c r="F6" s="1" t="str">
        <f t="shared" ref="F6:F1000" si="1">IF(E6="","",(MONTH(E6)))</f>
        <v/>
      </c>
    </row>
    <row r="7">
      <c r="A7" s="84"/>
      <c r="B7" s="84" t="str">
        <f>IF(A7="","",VLOOKUP(A7,'BD Asesor'!$A$8:$E$1998,5,0))</f>
        <v/>
      </c>
      <c r="D7" s="84"/>
      <c r="F7" s="1" t="str">
        <f t="shared" si="1"/>
        <v/>
      </c>
    </row>
    <row r="8">
      <c r="A8" s="84"/>
      <c r="B8" s="84" t="str">
        <f>IF(A8="","",VLOOKUP(A8,'BD Asesor'!$A$8:$E$1998,5,0))</f>
        <v/>
      </c>
      <c r="D8" s="84"/>
      <c r="F8" s="1" t="str">
        <f t="shared" si="1"/>
        <v/>
      </c>
    </row>
    <row r="9">
      <c r="A9" s="84"/>
      <c r="B9" s="84" t="str">
        <f>IF(A9="","",VLOOKUP(A9,'BD Asesor'!$A$8:$E$1998,5,0))</f>
        <v/>
      </c>
      <c r="D9" s="84"/>
      <c r="F9" s="1" t="str">
        <f t="shared" si="1"/>
        <v/>
      </c>
    </row>
    <row r="10">
      <c r="A10" s="84"/>
      <c r="B10" s="84" t="str">
        <f>IF(A10="","",VLOOKUP(A10,'BD Asesor'!$A$8:$E$1998,5,0))</f>
        <v/>
      </c>
      <c r="D10" s="84"/>
      <c r="F10" s="1" t="str">
        <f t="shared" si="1"/>
        <v/>
      </c>
    </row>
    <row r="11">
      <c r="A11" s="84"/>
      <c r="B11" s="84" t="str">
        <f>IF(A11="","",VLOOKUP(A11,'BD Asesor'!$A$8:$E$1998,5,0))</f>
        <v/>
      </c>
      <c r="D11" s="84"/>
      <c r="F11" s="1" t="str">
        <f t="shared" si="1"/>
        <v/>
      </c>
    </row>
    <row r="12">
      <c r="A12" s="84"/>
      <c r="B12" s="84" t="str">
        <f>IF(A12="","",VLOOKUP(A12,'BD Asesor'!$A$8:$E$1998,5,0))</f>
        <v/>
      </c>
      <c r="D12" s="84"/>
      <c r="F12" s="1" t="str">
        <f t="shared" si="1"/>
        <v/>
      </c>
    </row>
    <row r="13">
      <c r="A13" s="84"/>
      <c r="B13" s="84" t="str">
        <f>IF(A13="","",VLOOKUP(A13,'BD Asesor'!$A$8:$E$1998,5,0))</f>
        <v/>
      </c>
      <c r="D13" s="84"/>
      <c r="F13" s="1" t="str">
        <f t="shared" si="1"/>
        <v/>
      </c>
    </row>
    <row r="14">
      <c r="A14" s="84"/>
      <c r="B14" s="84" t="str">
        <f>IF(A14="","",VLOOKUP(A14,'BD Asesor'!$A$8:$E$1998,5,0))</f>
        <v/>
      </c>
      <c r="D14" s="84"/>
      <c r="F14" s="1" t="str">
        <f t="shared" si="1"/>
        <v/>
      </c>
    </row>
    <row r="15">
      <c r="A15" s="84"/>
      <c r="B15" s="84" t="str">
        <f>IF(A15="","",VLOOKUP(A15,'BD Asesor'!$A$8:$E$1998,5,0))</f>
        <v/>
      </c>
      <c r="D15" s="84"/>
      <c r="F15" s="1" t="str">
        <f t="shared" si="1"/>
        <v/>
      </c>
    </row>
    <row r="16">
      <c r="A16" s="84"/>
      <c r="B16" s="84" t="str">
        <f>IF(A16="","",VLOOKUP(A16,'BD Asesor'!$A$8:$E$1998,5,0))</f>
        <v/>
      </c>
      <c r="D16" s="84"/>
      <c r="F16" s="1" t="str">
        <f t="shared" si="1"/>
        <v/>
      </c>
    </row>
    <row r="17">
      <c r="A17" s="84"/>
      <c r="B17" s="84" t="str">
        <f>IF(A17="","",VLOOKUP(A17,'BD Asesor'!$A$8:$E$1998,5,0))</f>
        <v/>
      </c>
      <c r="D17" s="84"/>
      <c r="F17" s="1" t="str">
        <f t="shared" si="1"/>
        <v/>
      </c>
    </row>
    <row r="18">
      <c r="A18" s="84"/>
      <c r="B18" s="84" t="str">
        <f>IF(A18="","",VLOOKUP(A18,'BD Asesor'!$A$8:$E$1998,5,0))</f>
        <v/>
      </c>
      <c r="D18" s="84"/>
      <c r="F18" s="1" t="str">
        <f t="shared" si="1"/>
        <v/>
      </c>
    </row>
    <row r="19">
      <c r="A19" s="84"/>
      <c r="B19" s="84" t="str">
        <f>IF(A19="","",VLOOKUP(A19,'BD Asesor'!$A$8:$E$1998,5,0))</f>
        <v/>
      </c>
      <c r="D19" s="84"/>
      <c r="F19" s="1" t="str">
        <f t="shared" si="1"/>
        <v/>
      </c>
    </row>
    <row r="20">
      <c r="A20" s="84"/>
      <c r="B20" s="84" t="str">
        <f>IF(A20="","",VLOOKUP(A20,'BD Asesor'!$A$8:$E$1998,5,0))</f>
        <v/>
      </c>
      <c r="D20" s="84"/>
      <c r="F20" s="1" t="str">
        <f t="shared" si="1"/>
        <v/>
      </c>
    </row>
    <row r="21">
      <c r="A21" s="84"/>
      <c r="B21" s="84" t="str">
        <f>IF(A21="","",VLOOKUP(A21,'BD Asesor'!$A$8:$E$1998,5,0))</f>
        <v/>
      </c>
      <c r="D21" s="84"/>
      <c r="F21" s="1" t="str">
        <f t="shared" si="1"/>
        <v/>
      </c>
    </row>
    <row r="22">
      <c r="A22" s="84"/>
      <c r="B22" s="84" t="str">
        <f>IF(A22="","",VLOOKUP(A22,'BD Asesor'!$A$8:$E$1998,5,0))</f>
        <v/>
      </c>
      <c r="D22" s="84"/>
      <c r="F22" s="1" t="str">
        <f t="shared" si="1"/>
        <v/>
      </c>
    </row>
    <row r="23">
      <c r="A23" s="84"/>
      <c r="B23" s="84" t="str">
        <f>IF(A23="","",VLOOKUP(A23,'BD Asesor'!$A$8:$E$1998,5,0))</f>
        <v/>
      </c>
      <c r="D23" s="84"/>
      <c r="F23" s="1" t="str">
        <f t="shared" si="1"/>
        <v/>
      </c>
    </row>
    <row r="24">
      <c r="A24" s="84"/>
      <c r="B24" s="84" t="str">
        <f>IF(A24="","",VLOOKUP(A24,'BD Asesor'!$A$8:$E$1998,5,0))</f>
        <v/>
      </c>
      <c r="D24" s="84"/>
      <c r="F24" s="1" t="str">
        <f t="shared" si="1"/>
        <v/>
      </c>
    </row>
    <row r="25">
      <c r="A25" s="84"/>
      <c r="B25" s="84" t="str">
        <f>IF(A25="","",VLOOKUP(A25,'BD Asesor'!$A$8:$E$1998,5,0))</f>
        <v/>
      </c>
      <c r="D25" s="84"/>
      <c r="F25" s="1" t="str">
        <f t="shared" si="1"/>
        <v/>
      </c>
    </row>
    <row r="26">
      <c r="A26" s="84"/>
      <c r="B26" s="84" t="str">
        <f>IF(A26="","",VLOOKUP(A26,'BD Asesor'!$A$8:$E$1998,5,0))</f>
        <v/>
      </c>
      <c r="D26" s="84"/>
      <c r="F26" s="1" t="str">
        <f t="shared" si="1"/>
        <v/>
      </c>
    </row>
    <row r="27">
      <c r="A27" s="84"/>
      <c r="B27" s="84" t="str">
        <f>IF(A27="","",VLOOKUP(A27,'BD Asesor'!$A$8:$E$1998,5,0))</f>
        <v/>
      </c>
      <c r="D27" s="84"/>
      <c r="F27" s="1" t="str">
        <f t="shared" si="1"/>
        <v/>
      </c>
    </row>
    <row r="28">
      <c r="A28" s="84"/>
      <c r="B28" s="84" t="str">
        <f>IF(A28="","",VLOOKUP(A28,'BD Asesor'!$A$8:$E$1998,5,0))</f>
        <v/>
      </c>
      <c r="D28" s="84"/>
      <c r="F28" s="1" t="str">
        <f t="shared" si="1"/>
        <v/>
      </c>
    </row>
    <row r="29">
      <c r="A29" s="84"/>
      <c r="B29" s="84" t="str">
        <f>IF(A29="","",VLOOKUP(A29,'BD Asesor'!$A$8:$E$1998,5,0))</f>
        <v/>
      </c>
      <c r="D29" s="84"/>
      <c r="F29" s="1" t="str">
        <f t="shared" si="1"/>
        <v/>
      </c>
    </row>
    <row r="30">
      <c r="A30" s="84"/>
      <c r="B30" s="84" t="str">
        <f>IF(A30="","",VLOOKUP(A30,'BD Asesor'!$A$8:$E$1998,5,0))</f>
        <v/>
      </c>
      <c r="D30" s="84"/>
      <c r="F30" s="1" t="str">
        <f t="shared" si="1"/>
        <v/>
      </c>
    </row>
    <row r="31">
      <c r="A31" s="84"/>
      <c r="B31" s="84" t="str">
        <f>IF(A31="","",VLOOKUP(A31,'BD Asesor'!$A$8:$E$1998,5,0))</f>
        <v/>
      </c>
      <c r="D31" s="84"/>
      <c r="F31" s="1" t="str">
        <f t="shared" si="1"/>
        <v/>
      </c>
    </row>
    <row r="32">
      <c r="A32" s="84"/>
      <c r="B32" s="84" t="str">
        <f>IF(A32="","",VLOOKUP(A32,'BD Asesor'!$A$8:$E$1998,5,0))</f>
        <v/>
      </c>
      <c r="D32" s="84"/>
      <c r="F32" s="1" t="str">
        <f t="shared" si="1"/>
        <v/>
      </c>
    </row>
    <row r="33">
      <c r="A33" s="84"/>
      <c r="B33" s="84" t="str">
        <f>IF(A33="","",VLOOKUP(A33,'BD Asesor'!$A$8:$E$1998,5,0))</f>
        <v/>
      </c>
      <c r="D33" s="84"/>
      <c r="F33" s="1" t="str">
        <f t="shared" si="1"/>
        <v/>
      </c>
    </row>
    <row r="34">
      <c r="A34" s="84"/>
      <c r="B34" s="84" t="str">
        <f>IF(A34="","",VLOOKUP(A34,'BD Asesor'!$A$8:$E$1998,5,0))</f>
        <v/>
      </c>
      <c r="D34" s="84"/>
      <c r="F34" s="1" t="str">
        <f t="shared" si="1"/>
        <v/>
      </c>
    </row>
    <row r="35">
      <c r="A35" s="84"/>
      <c r="B35" s="84" t="str">
        <f>IF(A35="","",VLOOKUP(A35,'BD Asesor'!$A$8:$E$1998,5,0))</f>
        <v/>
      </c>
      <c r="D35" s="84"/>
      <c r="F35" s="1" t="str">
        <f t="shared" si="1"/>
        <v/>
      </c>
    </row>
    <row r="36">
      <c r="A36" s="84"/>
      <c r="B36" s="84" t="str">
        <f>IF(A36="","",VLOOKUP(A36,'BD Asesor'!$A$8:$E$1998,5,0))</f>
        <v/>
      </c>
      <c r="D36" s="84"/>
      <c r="F36" s="1" t="str">
        <f t="shared" si="1"/>
        <v/>
      </c>
    </row>
    <row r="37">
      <c r="A37" s="84"/>
      <c r="B37" s="84" t="str">
        <f>IF(A37="","",VLOOKUP(A37,'BD Asesor'!$A$8:$E$1998,5,0))</f>
        <v/>
      </c>
      <c r="D37" s="84"/>
      <c r="F37" s="1" t="str">
        <f t="shared" si="1"/>
        <v/>
      </c>
    </row>
    <row r="38">
      <c r="A38" s="84"/>
      <c r="B38" s="84" t="str">
        <f>IF(A38="","",VLOOKUP(A38,'BD Asesor'!$A$8:$E$1998,5,0))</f>
        <v/>
      </c>
      <c r="D38" s="84"/>
      <c r="F38" s="1" t="str">
        <f t="shared" si="1"/>
        <v/>
      </c>
    </row>
    <row r="39">
      <c r="A39" s="84"/>
      <c r="B39" s="84" t="str">
        <f>IF(A39="","",VLOOKUP(A39,'BD Asesor'!$A$8:$E$1998,5,0))</f>
        <v/>
      </c>
      <c r="D39" s="84"/>
      <c r="F39" s="1" t="str">
        <f t="shared" si="1"/>
        <v/>
      </c>
    </row>
    <row r="40">
      <c r="A40" s="84"/>
      <c r="B40" s="84" t="str">
        <f>IF(A40="","",VLOOKUP(A40,'BD Asesor'!$A$8:$E$1998,5,0))</f>
        <v/>
      </c>
      <c r="D40" s="84"/>
      <c r="F40" s="1" t="str">
        <f t="shared" si="1"/>
        <v/>
      </c>
    </row>
    <row r="41">
      <c r="A41" s="84"/>
      <c r="B41" s="84" t="str">
        <f>IF(A41="","",VLOOKUP(A41,'BD Asesor'!$A$8:$E$1998,5,0))</f>
        <v/>
      </c>
      <c r="D41" s="84"/>
      <c r="F41" s="1" t="str">
        <f t="shared" si="1"/>
        <v/>
      </c>
    </row>
    <row r="42">
      <c r="A42" s="84"/>
      <c r="B42" s="84" t="str">
        <f>IF(A42="","",VLOOKUP(A42,'BD Asesor'!$A$8:$E$1998,5,0))</f>
        <v/>
      </c>
      <c r="D42" s="84"/>
      <c r="F42" s="1" t="str">
        <f t="shared" si="1"/>
        <v/>
      </c>
    </row>
    <row r="43">
      <c r="A43" s="84"/>
      <c r="B43" s="84" t="str">
        <f>IF(A43="","",VLOOKUP(A43,'BD Asesor'!$A$8:$E$1998,5,0))</f>
        <v/>
      </c>
      <c r="D43" s="84"/>
      <c r="F43" s="1" t="str">
        <f t="shared" si="1"/>
        <v/>
      </c>
    </row>
    <row r="44">
      <c r="A44" s="84"/>
      <c r="B44" s="84" t="str">
        <f>IF(A44="","",VLOOKUP(A44,'BD Asesor'!$A$8:$E$1998,5,0))</f>
        <v/>
      </c>
      <c r="D44" s="84"/>
      <c r="F44" s="1" t="str">
        <f t="shared" si="1"/>
        <v/>
      </c>
    </row>
    <row r="45">
      <c r="A45" s="84"/>
      <c r="B45" s="84" t="str">
        <f>IF(A45="","",VLOOKUP(A45,'BD Asesor'!$A$8:$E$1998,5,0))</f>
        <v/>
      </c>
      <c r="D45" s="84"/>
      <c r="F45" s="1" t="str">
        <f t="shared" si="1"/>
        <v/>
      </c>
    </row>
    <row r="46">
      <c r="A46" s="84"/>
      <c r="B46" s="84" t="str">
        <f>IF(A46="","",VLOOKUP(A46,'BD Asesor'!$A$8:$E$1998,5,0))</f>
        <v/>
      </c>
      <c r="D46" s="84"/>
      <c r="F46" s="1" t="str">
        <f t="shared" si="1"/>
        <v/>
      </c>
    </row>
    <row r="47">
      <c r="A47" s="84"/>
      <c r="B47" s="84" t="str">
        <f>IF(A47="","",VLOOKUP(A47,'BD Asesor'!$A$8:$E$1998,5,0))</f>
        <v/>
      </c>
      <c r="D47" s="84"/>
      <c r="F47" s="1" t="str">
        <f t="shared" si="1"/>
        <v/>
      </c>
    </row>
    <row r="48">
      <c r="A48" s="84"/>
      <c r="B48" s="84" t="str">
        <f>IF(A48="","",VLOOKUP(A48,'BD Asesor'!$A$8:$E$1998,5,0))</f>
        <v/>
      </c>
      <c r="D48" s="84"/>
      <c r="F48" s="1" t="str">
        <f t="shared" si="1"/>
        <v/>
      </c>
    </row>
    <row r="49">
      <c r="A49" s="84"/>
      <c r="B49" s="84" t="str">
        <f>IF(A49="","",VLOOKUP(A49,'BD Asesor'!$A$8:$E$1998,5,0))</f>
        <v/>
      </c>
      <c r="D49" s="84"/>
      <c r="F49" s="1" t="str">
        <f t="shared" si="1"/>
        <v/>
      </c>
    </row>
    <row r="50">
      <c r="A50" s="84"/>
      <c r="B50" s="84" t="str">
        <f>IF(A50="","",VLOOKUP(A50,'BD Asesor'!$A$8:$E$1998,5,0))</f>
        <v/>
      </c>
      <c r="D50" s="84"/>
      <c r="F50" s="1" t="str">
        <f t="shared" si="1"/>
        <v/>
      </c>
    </row>
    <row r="51">
      <c r="A51" s="84"/>
      <c r="B51" s="84" t="str">
        <f>IF(A51="","",VLOOKUP(A51,'BD Asesor'!$A$8:$E$1998,5,0))</f>
        <v/>
      </c>
      <c r="D51" s="84"/>
      <c r="F51" s="1" t="str">
        <f t="shared" si="1"/>
        <v/>
      </c>
    </row>
    <row r="52">
      <c r="A52" s="84"/>
      <c r="B52" s="84" t="str">
        <f>IF(A52="","",VLOOKUP(A52,'BD Asesor'!$A$8:$E$1998,5,0))</f>
        <v/>
      </c>
      <c r="D52" s="84"/>
      <c r="F52" s="1" t="str">
        <f t="shared" si="1"/>
        <v/>
      </c>
    </row>
    <row r="53">
      <c r="A53" s="84"/>
      <c r="B53" s="84" t="str">
        <f>IF(A53="","",VLOOKUP(A53,'BD Asesor'!$A$8:$E$1998,5,0))</f>
        <v/>
      </c>
      <c r="D53" s="84"/>
      <c r="F53" s="1" t="str">
        <f t="shared" si="1"/>
        <v/>
      </c>
    </row>
    <row r="54">
      <c r="A54" s="84"/>
      <c r="B54" s="84" t="str">
        <f>IF(A54="","",VLOOKUP(A54,'BD Asesor'!$A$8:$E$1998,5,0))</f>
        <v/>
      </c>
      <c r="D54" s="84"/>
      <c r="F54" s="1" t="str">
        <f t="shared" si="1"/>
        <v/>
      </c>
    </row>
    <row r="55">
      <c r="A55" s="84"/>
      <c r="B55" s="84" t="str">
        <f>IF(A55="","",VLOOKUP(A55,'BD Asesor'!$A$8:$E$1998,5,0))</f>
        <v/>
      </c>
      <c r="D55" s="84"/>
      <c r="F55" s="1" t="str">
        <f t="shared" si="1"/>
        <v/>
      </c>
    </row>
    <row r="56">
      <c r="A56" s="84"/>
      <c r="B56" s="84" t="str">
        <f>IF(A56="","",VLOOKUP(A56,'BD Asesor'!$A$8:$E$1998,5,0))</f>
        <v/>
      </c>
      <c r="D56" s="84"/>
      <c r="F56" s="1" t="str">
        <f t="shared" si="1"/>
        <v/>
      </c>
    </row>
    <row r="57">
      <c r="A57" s="84"/>
      <c r="B57" s="84" t="str">
        <f>IF(A57="","",VLOOKUP(A57,'BD Asesor'!$A$8:$E$1998,5,0))</f>
        <v/>
      </c>
      <c r="D57" s="84"/>
      <c r="F57" s="1" t="str">
        <f t="shared" si="1"/>
        <v/>
      </c>
    </row>
    <row r="58">
      <c r="A58" s="84"/>
      <c r="B58" s="84" t="str">
        <f>IF(A58="","",VLOOKUP(A58,'BD Asesor'!$A$8:$E$1998,5,0))</f>
        <v/>
      </c>
      <c r="D58" s="84"/>
      <c r="F58" s="1" t="str">
        <f t="shared" si="1"/>
        <v/>
      </c>
    </row>
    <row r="59">
      <c r="A59" s="84"/>
      <c r="B59" s="84" t="str">
        <f>IF(A59="","",VLOOKUP(A59,'BD Asesor'!$A$8:$E$1998,5,0))</f>
        <v/>
      </c>
      <c r="D59" s="84"/>
      <c r="F59" s="1" t="str">
        <f t="shared" si="1"/>
        <v/>
      </c>
    </row>
    <row r="60">
      <c r="A60" s="84"/>
      <c r="B60" s="84" t="str">
        <f>IF(A60="","",VLOOKUP(A60,'BD Asesor'!$A$8:$E$1998,5,0))</f>
        <v/>
      </c>
      <c r="D60" s="84"/>
      <c r="F60" s="1" t="str">
        <f t="shared" si="1"/>
        <v/>
      </c>
    </row>
    <row r="61">
      <c r="A61" s="84"/>
      <c r="B61" s="84" t="str">
        <f>IF(A61="","",VLOOKUP(A61,'BD Asesor'!$A$8:$E$1998,5,0))</f>
        <v/>
      </c>
      <c r="D61" s="84"/>
      <c r="F61" s="1" t="str">
        <f t="shared" si="1"/>
        <v/>
      </c>
    </row>
    <row r="62">
      <c r="A62" s="84"/>
      <c r="B62" s="84" t="str">
        <f>IF(A62="","",VLOOKUP(A62,'BD Asesor'!$A$8:$E$1998,5,0))</f>
        <v/>
      </c>
      <c r="D62" s="84"/>
      <c r="F62" s="1" t="str">
        <f t="shared" si="1"/>
        <v/>
      </c>
    </row>
    <row r="63">
      <c r="A63" s="84"/>
      <c r="B63" s="84" t="str">
        <f>IF(A63="","",VLOOKUP(A63,'BD Asesor'!$A$8:$E$1998,5,0))</f>
        <v/>
      </c>
      <c r="D63" s="84"/>
      <c r="F63" s="1" t="str">
        <f t="shared" si="1"/>
        <v/>
      </c>
    </row>
    <row r="64">
      <c r="A64" s="84"/>
      <c r="B64" s="84" t="str">
        <f>IF(A64="","",VLOOKUP(A64,'BD Asesor'!$A$8:$E$1998,5,0))</f>
        <v/>
      </c>
      <c r="D64" s="84"/>
      <c r="F64" s="1" t="str">
        <f t="shared" si="1"/>
        <v/>
      </c>
    </row>
    <row r="65">
      <c r="A65" s="84"/>
      <c r="B65" s="84" t="str">
        <f>IF(A65="","",VLOOKUP(A65,'BD Asesor'!$A$8:$E$1998,5,0))</f>
        <v/>
      </c>
      <c r="D65" s="84"/>
      <c r="F65" s="1" t="str">
        <f t="shared" si="1"/>
        <v/>
      </c>
    </row>
    <row r="66">
      <c r="A66" s="84"/>
      <c r="B66" s="84" t="str">
        <f>IF(A66="","",VLOOKUP(A66,'BD Asesor'!$A$8:$E$1998,5,0))</f>
        <v/>
      </c>
      <c r="D66" s="84"/>
      <c r="F66" s="1" t="str">
        <f t="shared" si="1"/>
        <v/>
      </c>
    </row>
    <row r="67">
      <c r="A67" s="84"/>
      <c r="B67" s="84" t="str">
        <f>IF(A67="","",VLOOKUP(A67,'BD Asesor'!$A$8:$E$1998,5,0))</f>
        <v/>
      </c>
      <c r="D67" s="84"/>
      <c r="F67" s="1" t="str">
        <f t="shared" si="1"/>
        <v/>
      </c>
    </row>
    <row r="68">
      <c r="A68" s="84"/>
      <c r="B68" s="84" t="str">
        <f>IF(A68="","",VLOOKUP(A68,'BD Asesor'!$A$8:$E$1998,5,0))</f>
        <v/>
      </c>
      <c r="D68" s="84"/>
      <c r="F68" s="1" t="str">
        <f t="shared" si="1"/>
        <v/>
      </c>
    </row>
    <row r="69">
      <c r="A69" s="84"/>
      <c r="B69" s="84" t="str">
        <f>IF(A69="","",VLOOKUP(A69,'BD Asesor'!$A$8:$E$1998,5,0))</f>
        <v/>
      </c>
      <c r="D69" s="84"/>
      <c r="F69" s="1" t="str">
        <f t="shared" si="1"/>
        <v/>
      </c>
    </row>
    <row r="70">
      <c r="A70" s="84"/>
      <c r="B70" s="84" t="str">
        <f>IF(A70="","",VLOOKUP(A70,'BD Asesor'!$A$8:$E$1998,5,0))</f>
        <v/>
      </c>
      <c r="D70" s="84"/>
      <c r="F70" s="1" t="str">
        <f t="shared" si="1"/>
        <v/>
      </c>
    </row>
    <row r="71">
      <c r="A71" s="84"/>
      <c r="B71" s="84" t="str">
        <f>IF(A71="","",VLOOKUP(A71,'BD Asesor'!$A$8:$E$1998,5,0))</f>
        <v/>
      </c>
      <c r="D71" s="84"/>
      <c r="F71" s="1" t="str">
        <f t="shared" si="1"/>
        <v/>
      </c>
    </row>
    <row r="72">
      <c r="A72" s="84"/>
      <c r="B72" s="84" t="str">
        <f>IF(A72="","",VLOOKUP(A72,'BD Asesor'!$A$8:$E$1998,5,0))</f>
        <v/>
      </c>
      <c r="D72" s="84"/>
      <c r="F72" s="1" t="str">
        <f t="shared" si="1"/>
        <v/>
      </c>
    </row>
    <row r="73">
      <c r="A73" s="84"/>
      <c r="B73" s="84" t="str">
        <f>IF(A73="","",VLOOKUP(A73,'BD Asesor'!$A$8:$E$1998,5,0))</f>
        <v/>
      </c>
      <c r="D73" s="84"/>
      <c r="F73" s="1" t="str">
        <f t="shared" si="1"/>
        <v/>
      </c>
    </row>
    <row r="74">
      <c r="A74" s="84"/>
      <c r="B74" s="84" t="str">
        <f>IF(A74="","",VLOOKUP(A74,'BD Asesor'!$A$8:$E$1998,5,0))</f>
        <v/>
      </c>
      <c r="D74" s="84"/>
      <c r="F74" s="1" t="str">
        <f t="shared" si="1"/>
        <v/>
      </c>
    </row>
    <row r="75">
      <c r="A75" s="84"/>
      <c r="B75" s="84" t="str">
        <f>IF(A75="","",VLOOKUP(A75,'BD Asesor'!$A$8:$E$1998,5,0))</f>
        <v/>
      </c>
      <c r="D75" s="84"/>
      <c r="F75" s="1" t="str">
        <f t="shared" si="1"/>
        <v/>
      </c>
    </row>
    <row r="76">
      <c r="A76" s="84"/>
      <c r="B76" s="84" t="str">
        <f>IF(A76="","",VLOOKUP(A76,'BD Asesor'!$A$8:$E$1998,5,0))</f>
        <v/>
      </c>
      <c r="D76" s="84"/>
      <c r="F76" s="1" t="str">
        <f t="shared" si="1"/>
        <v/>
      </c>
    </row>
    <row r="77">
      <c r="A77" s="84"/>
      <c r="B77" s="84" t="str">
        <f>IF(A77="","",VLOOKUP(A77,'BD Asesor'!$A$8:$E$1998,5,0))</f>
        <v/>
      </c>
      <c r="D77" s="84"/>
      <c r="F77" s="1" t="str">
        <f t="shared" si="1"/>
        <v/>
      </c>
    </row>
    <row r="78">
      <c r="A78" s="84"/>
      <c r="B78" s="84" t="str">
        <f>IF(A78="","",VLOOKUP(A78,'BD Asesor'!$A$8:$E$1998,5,0))</f>
        <v/>
      </c>
      <c r="D78" s="84"/>
      <c r="F78" s="1" t="str">
        <f t="shared" si="1"/>
        <v/>
      </c>
    </row>
    <row r="79">
      <c r="A79" s="84"/>
      <c r="B79" s="84" t="str">
        <f>IF(A79="","",VLOOKUP(A79,'BD Asesor'!$A$8:$E$1998,5,0))</f>
        <v/>
      </c>
      <c r="D79" s="84"/>
      <c r="F79" s="1" t="str">
        <f t="shared" si="1"/>
        <v/>
      </c>
    </row>
    <row r="80">
      <c r="A80" s="84"/>
      <c r="B80" s="84" t="str">
        <f>IF(A80="","",VLOOKUP(A80,'BD Asesor'!$A$8:$E$1998,5,0))</f>
        <v/>
      </c>
      <c r="D80" s="84"/>
      <c r="F80" s="1" t="str">
        <f t="shared" si="1"/>
        <v/>
      </c>
    </row>
    <row r="81">
      <c r="A81" s="84"/>
      <c r="B81" s="84" t="str">
        <f>IF(A81="","",VLOOKUP(A81,'BD Asesor'!$A$8:$E$1998,5,0))</f>
        <v/>
      </c>
      <c r="D81" s="84"/>
      <c r="F81" s="1" t="str">
        <f t="shared" si="1"/>
        <v/>
      </c>
    </row>
    <row r="82">
      <c r="A82" s="84"/>
      <c r="B82" s="84" t="str">
        <f>IF(A82="","",VLOOKUP(A82,'BD Asesor'!$A$8:$E$1998,5,0))</f>
        <v/>
      </c>
      <c r="D82" s="84"/>
      <c r="F82" s="1" t="str">
        <f t="shared" si="1"/>
        <v/>
      </c>
    </row>
    <row r="83">
      <c r="A83" s="84"/>
      <c r="B83" s="84" t="str">
        <f>IF(A83="","",VLOOKUP(A83,'BD Asesor'!$A$8:$E$1998,5,0))</f>
        <v/>
      </c>
      <c r="D83" s="84"/>
      <c r="F83" s="1" t="str">
        <f t="shared" si="1"/>
        <v/>
      </c>
    </row>
    <row r="84">
      <c r="A84" s="84"/>
      <c r="B84" s="84" t="str">
        <f>IF(A84="","",VLOOKUP(A84,'BD Asesor'!$A$8:$E$1998,5,0))</f>
        <v/>
      </c>
      <c r="D84" s="84"/>
      <c r="F84" s="1" t="str">
        <f t="shared" si="1"/>
        <v/>
      </c>
    </row>
    <row r="85">
      <c r="A85" s="84"/>
      <c r="B85" s="84" t="str">
        <f>IF(A85="","",VLOOKUP(A85,'BD Asesor'!$A$8:$E$1998,5,0))</f>
        <v/>
      </c>
      <c r="D85" s="84"/>
      <c r="F85" s="1" t="str">
        <f t="shared" si="1"/>
        <v/>
      </c>
    </row>
    <row r="86">
      <c r="A86" s="84"/>
      <c r="B86" s="84" t="str">
        <f>IF(A86="","",VLOOKUP(A86,'BD Asesor'!$A$8:$E$1998,5,0))</f>
        <v/>
      </c>
      <c r="D86" s="84"/>
      <c r="F86" s="1" t="str">
        <f t="shared" si="1"/>
        <v/>
      </c>
    </row>
    <row r="87">
      <c r="A87" s="84"/>
      <c r="B87" s="84" t="str">
        <f>IF(A87="","",VLOOKUP(A87,'BD Asesor'!$A$8:$E$1998,5,0))</f>
        <v/>
      </c>
      <c r="D87" s="84"/>
      <c r="F87" s="1" t="str">
        <f t="shared" si="1"/>
        <v/>
      </c>
    </row>
    <row r="88">
      <c r="A88" s="84"/>
      <c r="B88" s="84" t="str">
        <f>IF(A88="","",VLOOKUP(A88,'BD Asesor'!$A$8:$E$1998,5,0))</f>
        <v/>
      </c>
      <c r="D88" s="84"/>
      <c r="F88" s="1" t="str">
        <f t="shared" si="1"/>
        <v/>
      </c>
    </row>
    <row r="89">
      <c r="A89" s="84"/>
      <c r="B89" s="84" t="str">
        <f>IF(A89="","",VLOOKUP(A89,'BD Asesor'!$A$8:$E$1998,5,0))</f>
        <v/>
      </c>
      <c r="D89" s="84"/>
      <c r="F89" s="1" t="str">
        <f t="shared" si="1"/>
        <v/>
      </c>
    </row>
    <row r="90">
      <c r="A90" s="84"/>
      <c r="B90" s="84" t="str">
        <f>IF(A90="","",VLOOKUP(A90,'BD Asesor'!$A$8:$E$1998,5,0))</f>
        <v/>
      </c>
      <c r="D90" s="84"/>
      <c r="F90" s="1" t="str">
        <f t="shared" si="1"/>
        <v/>
      </c>
    </row>
    <row r="91">
      <c r="A91" s="84"/>
      <c r="B91" s="84" t="str">
        <f>IF(A91="","",VLOOKUP(A91,'BD Asesor'!$A$8:$E$1998,5,0))</f>
        <v/>
      </c>
      <c r="D91" s="84"/>
      <c r="F91" s="1" t="str">
        <f t="shared" si="1"/>
        <v/>
      </c>
    </row>
    <row r="92">
      <c r="A92" s="84"/>
      <c r="B92" s="84" t="str">
        <f>IF(A92="","",VLOOKUP(A92,'BD Asesor'!$A$8:$E$1998,5,0))</f>
        <v/>
      </c>
      <c r="D92" s="84"/>
      <c r="F92" s="1" t="str">
        <f t="shared" si="1"/>
        <v/>
      </c>
    </row>
    <row r="93">
      <c r="A93" s="84"/>
      <c r="B93" s="84" t="str">
        <f>IF(A93="","",VLOOKUP(A93,'BD Asesor'!$A$8:$E$1998,5,0))</f>
        <v/>
      </c>
      <c r="D93" s="84"/>
      <c r="F93" s="1" t="str">
        <f t="shared" si="1"/>
        <v/>
      </c>
    </row>
    <row r="94">
      <c r="A94" s="84"/>
      <c r="B94" s="84" t="str">
        <f>IF(A94="","",VLOOKUP(A94,'BD Asesor'!$A$8:$E$1998,5,0))</f>
        <v/>
      </c>
      <c r="D94" s="84"/>
      <c r="F94" s="1" t="str">
        <f t="shared" si="1"/>
        <v/>
      </c>
    </row>
    <row r="95">
      <c r="A95" s="84"/>
      <c r="B95" s="84" t="str">
        <f>IF(A95="","",VLOOKUP(A95,'BD Asesor'!$A$8:$E$1998,5,0))</f>
        <v/>
      </c>
      <c r="D95" s="84"/>
      <c r="F95" s="1" t="str">
        <f t="shared" si="1"/>
        <v/>
      </c>
    </row>
    <row r="96">
      <c r="A96" s="84"/>
      <c r="B96" s="84" t="str">
        <f>IF(A96="","",VLOOKUP(A96,'BD Asesor'!$A$8:$E$1998,5,0))</f>
        <v/>
      </c>
      <c r="D96" s="84"/>
      <c r="F96" s="1" t="str">
        <f t="shared" si="1"/>
        <v/>
      </c>
    </row>
    <row r="97">
      <c r="A97" s="84"/>
      <c r="B97" s="84" t="str">
        <f>IF(A97="","",VLOOKUP(A97,'BD Asesor'!$A$8:$E$1998,5,0))</f>
        <v/>
      </c>
      <c r="D97" s="84"/>
      <c r="F97" s="1" t="str">
        <f t="shared" si="1"/>
        <v/>
      </c>
    </row>
    <row r="98">
      <c r="A98" s="84"/>
      <c r="B98" s="84" t="str">
        <f>IF(A98="","",VLOOKUP(A98,'BD Asesor'!$A$8:$E$1998,5,0))</f>
        <v/>
      </c>
      <c r="D98" s="84"/>
      <c r="F98" s="1" t="str">
        <f t="shared" si="1"/>
        <v/>
      </c>
    </row>
    <row r="99">
      <c r="A99" s="84"/>
      <c r="B99" s="84" t="str">
        <f>IF(A99="","",VLOOKUP(A99,'BD Asesor'!$A$8:$E$1998,5,0))</f>
        <v/>
      </c>
      <c r="D99" s="84"/>
      <c r="F99" s="1" t="str">
        <f t="shared" si="1"/>
        <v/>
      </c>
    </row>
    <row r="100">
      <c r="A100" s="84"/>
      <c r="B100" s="84" t="str">
        <f>IF(A100="","",VLOOKUP(A100,'BD Asesor'!$A$8:$E$1998,5,0))</f>
        <v/>
      </c>
      <c r="D100" s="84"/>
      <c r="F100" s="1" t="str">
        <f t="shared" si="1"/>
        <v/>
      </c>
    </row>
    <row r="101">
      <c r="A101" s="84"/>
      <c r="B101" s="84" t="str">
        <f>IF(A101="","",VLOOKUP(A101,'BD Asesor'!$A$8:$E$1998,5,0))</f>
        <v/>
      </c>
      <c r="D101" s="84"/>
      <c r="F101" s="1" t="str">
        <f t="shared" si="1"/>
        <v/>
      </c>
    </row>
    <row r="102">
      <c r="A102" s="84"/>
      <c r="B102" s="84" t="str">
        <f>IF(A102="","",VLOOKUP(A102,'BD Asesor'!$A$8:$E$1998,5,0))</f>
        <v/>
      </c>
      <c r="D102" s="84"/>
      <c r="F102" s="1" t="str">
        <f t="shared" si="1"/>
        <v/>
      </c>
    </row>
    <row r="103">
      <c r="A103" s="84"/>
      <c r="B103" s="84" t="str">
        <f>IF(A103="","",VLOOKUP(A103,'BD Asesor'!$A$8:$E$1998,5,0))</f>
        <v/>
      </c>
      <c r="D103" s="84"/>
      <c r="F103" s="1" t="str">
        <f t="shared" si="1"/>
        <v/>
      </c>
    </row>
    <row r="104">
      <c r="A104" s="84"/>
      <c r="B104" s="84" t="str">
        <f>IF(A104="","",VLOOKUP(A104,'BD Asesor'!$A$8:$E$1998,5,0))</f>
        <v/>
      </c>
      <c r="D104" s="84"/>
      <c r="F104" s="1" t="str">
        <f t="shared" si="1"/>
        <v/>
      </c>
    </row>
    <row r="105">
      <c r="A105" s="84"/>
      <c r="B105" s="84" t="str">
        <f>IF(A105="","",VLOOKUP(A105,'BD Asesor'!$A$8:$E$1998,5,0))</f>
        <v/>
      </c>
      <c r="D105" s="84"/>
      <c r="F105" s="1" t="str">
        <f t="shared" si="1"/>
        <v/>
      </c>
    </row>
    <row r="106">
      <c r="A106" s="84"/>
      <c r="B106" s="84" t="str">
        <f>IF(A106="","",VLOOKUP(A106,'BD Asesor'!$A$8:$E$1998,5,0))</f>
        <v/>
      </c>
      <c r="D106" s="84"/>
      <c r="F106" s="1" t="str">
        <f t="shared" si="1"/>
        <v/>
      </c>
    </row>
    <row r="107">
      <c r="A107" s="84"/>
      <c r="B107" s="84" t="str">
        <f>IF(A107="","",VLOOKUP(A107,'BD Asesor'!$A$8:$E$1998,5,0))</f>
        <v/>
      </c>
      <c r="D107" s="84"/>
      <c r="F107" s="1" t="str">
        <f t="shared" si="1"/>
        <v/>
      </c>
    </row>
    <row r="108">
      <c r="A108" s="84"/>
      <c r="B108" s="84" t="str">
        <f>IF(A108="","",VLOOKUP(A108,'BD Asesor'!$A$8:$E$1998,5,0))</f>
        <v/>
      </c>
      <c r="D108" s="84"/>
      <c r="F108" s="1" t="str">
        <f t="shared" si="1"/>
        <v/>
      </c>
    </row>
    <row r="109">
      <c r="A109" s="84"/>
      <c r="B109" s="84" t="str">
        <f>IF(A109="","",VLOOKUP(A109,'BD Asesor'!$A$8:$E$1998,5,0))</f>
        <v/>
      </c>
      <c r="D109" s="84"/>
      <c r="F109" s="1" t="str">
        <f t="shared" si="1"/>
        <v/>
      </c>
    </row>
    <row r="110">
      <c r="A110" s="84"/>
      <c r="B110" s="84" t="str">
        <f>IF(A110="","",VLOOKUP(A110,'BD Asesor'!$A$8:$E$1998,5,0))</f>
        <v/>
      </c>
      <c r="D110" s="84"/>
      <c r="F110" s="1" t="str">
        <f t="shared" si="1"/>
        <v/>
      </c>
    </row>
    <row r="111">
      <c r="A111" s="84"/>
      <c r="B111" s="84" t="str">
        <f>IF(A111="","",VLOOKUP(A111,'BD Asesor'!$A$8:$E$1998,5,0))</f>
        <v/>
      </c>
      <c r="D111" s="84"/>
      <c r="F111" s="1" t="str">
        <f t="shared" si="1"/>
        <v/>
      </c>
    </row>
    <row r="112">
      <c r="A112" s="84"/>
      <c r="B112" s="84" t="str">
        <f>IF(A112="","",VLOOKUP(A112,'BD Asesor'!$A$8:$E$1998,5,0))</f>
        <v/>
      </c>
      <c r="D112" s="84"/>
      <c r="F112" s="1" t="str">
        <f t="shared" si="1"/>
        <v/>
      </c>
    </row>
    <row r="113">
      <c r="A113" s="84"/>
      <c r="B113" s="84" t="str">
        <f>IF(A113="","",VLOOKUP(A113,'BD Asesor'!$A$8:$E$1998,5,0))</f>
        <v/>
      </c>
      <c r="D113" s="84"/>
      <c r="F113" s="1" t="str">
        <f t="shared" si="1"/>
        <v/>
      </c>
    </row>
    <row r="114">
      <c r="A114" s="84"/>
      <c r="B114" s="84" t="str">
        <f>IF(A114="","",VLOOKUP(A114,'BD Asesor'!$A$8:$E$1998,5,0))</f>
        <v/>
      </c>
      <c r="D114" s="84"/>
      <c r="F114" s="1" t="str">
        <f t="shared" si="1"/>
        <v/>
      </c>
    </row>
    <row r="115">
      <c r="A115" s="84"/>
      <c r="B115" s="84" t="str">
        <f>IF(A115="","",VLOOKUP(A115,'BD Asesor'!$A$8:$E$1998,5,0))</f>
        <v/>
      </c>
      <c r="D115" s="84"/>
      <c r="F115" s="1" t="str">
        <f t="shared" si="1"/>
        <v/>
      </c>
    </row>
    <row r="116">
      <c r="A116" s="84"/>
      <c r="B116" s="84" t="str">
        <f>IF(A116="","",VLOOKUP(A116,'BD Asesor'!$A$8:$E$1998,5,0))</f>
        <v/>
      </c>
      <c r="D116" s="84"/>
      <c r="F116" s="1" t="str">
        <f t="shared" si="1"/>
        <v/>
      </c>
    </row>
    <row r="117">
      <c r="A117" s="84"/>
      <c r="B117" s="84" t="str">
        <f>IF(A117="","",VLOOKUP(A117,'BD Asesor'!$A$8:$E$1998,5,0))</f>
        <v/>
      </c>
      <c r="D117" s="84"/>
      <c r="F117" s="1" t="str">
        <f t="shared" si="1"/>
        <v/>
      </c>
    </row>
    <row r="118">
      <c r="A118" s="84"/>
      <c r="B118" s="84" t="str">
        <f>IF(A118="","",VLOOKUP(A118,'BD Asesor'!$A$8:$E$1998,5,0))</f>
        <v/>
      </c>
      <c r="D118" s="84"/>
      <c r="F118" s="1" t="str">
        <f t="shared" si="1"/>
        <v/>
      </c>
    </row>
    <row r="119">
      <c r="A119" s="84"/>
      <c r="B119" s="84" t="str">
        <f>IF(A119="","",VLOOKUP(A119,'BD Asesor'!$A$8:$E$1998,5,0))</f>
        <v/>
      </c>
      <c r="D119" s="84"/>
      <c r="F119" s="1" t="str">
        <f t="shared" si="1"/>
        <v/>
      </c>
    </row>
    <row r="120">
      <c r="A120" s="84"/>
      <c r="B120" s="84" t="str">
        <f>IF(A120="","",VLOOKUP(A120,'BD Asesor'!$A$8:$E$1998,5,0))</f>
        <v/>
      </c>
      <c r="D120" s="84"/>
      <c r="F120" s="1" t="str">
        <f t="shared" si="1"/>
        <v/>
      </c>
    </row>
    <row r="121">
      <c r="A121" s="84"/>
      <c r="B121" s="84" t="str">
        <f>IF(A121="","",VLOOKUP(A121,'BD Asesor'!$A$8:$E$1998,5,0))</f>
        <v/>
      </c>
      <c r="D121" s="84"/>
      <c r="F121" s="1" t="str">
        <f t="shared" si="1"/>
        <v/>
      </c>
    </row>
    <row r="122">
      <c r="A122" s="84"/>
      <c r="B122" s="84" t="str">
        <f>IF(A122="","",VLOOKUP(A122,'BD Asesor'!$A$8:$E$1998,5,0))</f>
        <v/>
      </c>
      <c r="D122" s="84"/>
      <c r="F122" s="1" t="str">
        <f t="shared" si="1"/>
        <v/>
      </c>
    </row>
    <row r="123">
      <c r="A123" s="84"/>
      <c r="B123" s="84" t="str">
        <f>IF(A123="","",VLOOKUP(A123,'BD Asesor'!$A$8:$E$1998,5,0))</f>
        <v/>
      </c>
      <c r="D123" s="84"/>
      <c r="F123" s="1" t="str">
        <f t="shared" si="1"/>
        <v/>
      </c>
    </row>
    <row r="124">
      <c r="A124" s="84"/>
      <c r="B124" s="84" t="str">
        <f>IF(A124="","",VLOOKUP(A124,'BD Asesor'!$A$8:$E$1998,5,0))</f>
        <v/>
      </c>
      <c r="D124" s="84"/>
      <c r="F124" s="1" t="str">
        <f t="shared" si="1"/>
        <v/>
      </c>
    </row>
    <row r="125">
      <c r="A125" s="84"/>
      <c r="B125" s="84" t="str">
        <f>IF(A125="","",VLOOKUP(A125,'BD Asesor'!$A$8:$E$1998,5,0))</f>
        <v/>
      </c>
      <c r="D125" s="84"/>
      <c r="F125" s="1" t="str">
        <f t="shared" si="1"/>
        <v/>
      </c>
    </row>
    <row r="126">
      <c r="A126" s="84"/>
      <c r="B126" s="84" t="str">
        <f>IF(A126="","",VLOOKUP(A126,'BD Asesor'!$A$8:$E$1998,5,0))</f>
        <v/>
      </c>
      <c r="D126" s="84"/>
      <c r="F126" s="1" t="str">
        <f t="shared" si="1"/>
        <v/>
      </c>
    </row>
    <row r="127">
      <c r="A127" s="84"/>
      <c r="B127" s="84" t="str">
        <f>IF(A127="","",VLOOKUP(A127,'BD Asesor'!$A$8:$E$1998,5,0))</f>
        <v/>
      </c>
      <c r="D127" s="84"/>
      <c r="F127" s="1" t="str">
        <f t="shared" si="1"/>
        <v/>
      </c>
    </row>
    <row r="128">
      <c r="A128" s="84"/>
      <c r="B128" s="84" t="str">
        <f>IF(A128="","",VLOOKUP(A128,'BD Asesor'!$A$8:$E$1998,5,0))</f>
        <v/>
      </c>
      <c r="D128" s="84"/>
      <c r="F128" s="1" t="str">
        <f t="shared" si="1"/>
        <v/>
      </c>
    </row>
    <row r="129">
      <c r="A129" s="84"/>
      <c r="B129" s="84" t="str">
        <f>IF(A129="","",VLOOKUP(A129,'BD Asesor'!$A$8:$E$1998,5,0))</f>
        <v/>
      </c>
      <c r="D129" s="84"/>
      <c r="F129" s="1" t="str">
        <f t="shared" si="1"/>
        <v/>
      </c>
    </row>
    <row r="130">
      <c r="A130" s="84"/>
      <c r="B130" s="84" t="str">
        <f>IF(A130="","",VLOOKUP(A130,'BD Asesor'!$A$8:$E$1998,5,0))</f>
        <v/>
      </c>
      <c r="D130" s="84"/>
      <c r="F130" s="1" t="str">
        <f t="shared" si="1"/>
        <v/>
      </c>
    </row>
    <row r="131">
      <c r="A131" s="84"/>
      <c r="B131" s="84" t="str">
        <f>IF(A131="","",VLOOKUP(A131,'BD Asesor'!$A$8:$E$1998,5,0))</f>
        <v/>
      </c>
      <c r="D131" s="84"/>
      <c r="F131" s="1" t="str">
        <f t="shared" si="1"/>
        <v/>
      </c>
    </row>
    <row r="132">
      <c r="A132" s="84"/>
      <c r="B132" s="84" t="str">
        <f>IF(A132="","",VLOOKUP(A132,'BD Asesor'!$A$8:$E$1998,5,0))</f>
        <v/>
      </c>
      <c r="D132" s="84"/>
      <c r="F132" s="1" t="str">
        <f t="shared" si="1"/>
        <v/>
      </c>
    </row>
    <row r="133">
      <c r="A133" s="84"/>
      <c r="B133" s="84" t="str">
        <f>IF(A133="","",VLOOKUP(A133,'BD Asesor'!$A$8:$E$1998,5,0))</f>
        <v/>
      </c>
      <c r="D133" s="84"/>
      <c r="F133" s="1" t="str">
        <f t="shared" si="1"/>
        <v/>
      </c>
    </row>
    <row r="134">
      <c r="A134" s="84"/>
      <c r="B134" s="84" t="str">
        <f>IF(A134="","",VLOOKUP(A134,'BD Asesor'!$A$8:$E$1998,5,0))</f>
        <v/>
      </c>
      <c r="D134" s="84"/>
      <c r="F134" s="1" t="str">
        <f t="shared" si="1"/>
        <v/>
      </c>
    </row>
    <row r="135">
      <c r="A135" s="84"/>
      <c r="B135" s="84" t="str">
        <f>IF(A135="","",VLOOKUP(A135,'BD Asesor'!$A$8:$E$1998,5,0))</f>
        <v/>
      </c>
      <c r="D135" s="84"/>
      <c r="F135" s="1" t="str">
        <f t="shared" si="1"/>
        <v/>
      </c>
    </row>
    <row r="136">
      <c r="A136" s="84"/>
      <c r="B136" s="84" t="str">
        <f>IF(A136="","",VLOOKUP(A136,'BD Asesor'!$A$8:$E$1998,5,0))</f>
        <v/>
      </c>
      <c r="D136" s="84"/>
      <c r="F136" s="1" t="str">
        <f t="shared" si="1"/>
        <v/>
      </c>
    </row>
    <row r="137">
      <c r="A137" s="84"/>
      <c r="B137" s="84" t="str">
        <f>IF(A137="","",VLOOKUP(A137,'BD Asesor'!$A$8:$E$1998,5,0))</f>
        <v/>
      </c>
      <c r="D137" s="84"/>
      <c r="F137" s="1" t="str">
        <f t="shared" si="1"/>
        <v/>
      </c>
    </row>
    <row r="138">
      <c r="A138" s="84"/>
      <c r="B138" s="84" t="str">
        <f>IF(A138="","",VLOOKUP(A138,'BD Asesor'!$A$8:$E$1998,5,0))</f>
        <v/>
      </c>
      <c r="D138" s="84"/>
      <c r="F138" s="1" t="str">
        <f t="shared" si="1"/>
        <v/>
      </c>
    </row>
    <row r="139">
      <c r="A139" s="84"/>
      <c r="B139" s="84" t="str">
        <f>IF(A139="","",VLOOKUP(A139,'BD Asesor'!$A$8:$E$1998,5,0))</f>
        <v/>
      </c>
      <c r="D139" s="84"/>
      <c r="F139" s="1" t="str">
        <f t="shared" si="1"/>
        <v/>
      </c>
    </row>
    <row r="140">
      <c r="A140" s="84"/>
      <c r="B140" s="84" t="str">
        <f>IF(A140="","",VLOOKUP(A140,'BD Asesor'!$A$8:$E$1998,5,0))</f>
        <v/>
      </c>
      <c r="D140" s="84"/>
      <c r="F140" s="1" t="str">
        <f t="shared" si="1"/>
        <v/>
      </c>
    </row>
    <row r="141">
      <c r="A141" s="84"/>
      <c r="B141" s="84" t="str">
        <f>IF(A141="","",VLOOKUP(A141,'BD Asesor'!$A$8:$E$1998,5,0))</f>
        <v/>
      </c>
      <c r="D141" s="84"/>
      <c r="F141" s="1" t="str">
        <f t="shared" si="1"/>
        <v/>
      </c>
    </row>
    <row r="142">
      <c r="A142" s="84"/>
      <c r="B142" s="84" t="str">
        <f>IF(A142="","",VLOOKUP(A142,'BD Asesor'!$A$8:$E$1998,5,0))</f>
        <v/>
      </c>
      <c r="D142" s="84"/>
      <c r="F142" s="1" t="str">
        <f t="shared" si="1"/>
        <v/>
      </c>
    </row>
    <row r="143">
      <c r="A143" s="84"/>
      <c r="B143" s="84" t="str">
        <f>IF(A143="","",VLOOKUP(A143,'BD Asesor'!$A$8:$E$1998,5,0))</f>
        <v/>
      </c>
      <c r="D143" s="84"/>
      <c r="F143" s="1" t="str">
        <f t="shared" si="1"/>
        <v/>
      </c>
    </row>
    <row r="144">
      <c r="A144" s="84"/>
      <c r="B144" s="84" t="str">
        <f>IF(A144="","",VLOOKUP(A144,'BD Asesor'!$A$8:$E$1998,5,0))</f>
        <v/>
      </c>
      <c r="D144" s="84"/>
      <c r="F144" s="1" t="str">
        <f t="shared" si="1"/>
        <v/>
      </c>
    </row>
    <row r="145">
      <c r="A145" s="84"/>
      <c r="B145" s="84" t="str">
        <f>IF(A145="","",VLOOKUP(A145,'BD Asesor'!$A$8:$E$1998,5,0))</f>
        <v/>
      </c>
      <c r="D145" s="84"/>
      <c r="F145" s="1" t="str">
        <f t="shared" si="1"/>
        <v/>
      </c>
    </row>
    <row r="146">
      <c r="A146" s="84"/>
      <c r="B146" s="84" t="str">
        <f>IF(A146="","",VLOOKUP(A146,'BD Asesor'!$A$8:$E$1998,5,0))</f>
        <v/>
      </c>
      <c r="D146" s="84"/>
      <c r="F146" s="1" t="str">
        <f t="shared" si="1"/>
        <v/>
      </c>
    </row>
    <row r="147">
      <c r="A147" s="84"/>
      <c r="B147" s="84" t="str">
        <f>IF(A147="","",VLOOKUP(A147,'BD Asesor'!$A$8:$E$1998,5,0))</f>
        <v/>
      </c>
      <c r="D147" s="84"/>
      <c r="F147" s="1" t="str">
        <f t="shared" si="1"/>
        <v/>
      </c>
    </row>
    <row r="148">
      <c r="A148" s="84"/>
      <c r="B148" s="84" t="str">
        <f>IF(A148="","",VLOOKUP(A148,'BD Asesor'!$A$8:$E$1998,5,0))</f>
        <v/>
      </c>
      <c r="D148" s="84"/>
      <c r="F148" s="1" t="str">
        <f t="shared" si="1"/>
        <v/>
      </c>
    </row>
    <row r="149">
      <c r="A149" s="84"/>
      <c r="B149" s="84" t="str">
        <f>IF(A149="","",VLOOKUP(A149,'BD Asesor'!$A$8:$E$1998,5,0))</f>
        <v/>
      </c>
      <c r="D149" s="84"/>
      <c r="F149" s="1" t="str">
        <f t="shared" si="1"/>
        <v/>
      </c>
    </row>
    <row r="150">
      <c r="A150" s="84"/>
      <c r="B150" s="84" t="str">
        <f>IF(A150="","",VLOOKUP(A150,'BD Asesor'!$A$8:$E$1998,5,0))</f>
        <v/>
      </c>
      <c r="D150" s="84"/>
      <c r="F150" s="1" t="str">
        <f t="shared" si="1"/>
        <v/>
      </c>
    </row>
    <row r="151">
      <c r="A151" s="84"/>
      <c r="B151" s="84" t="str">
        <f>IF(A151="","",VLOOKUP(A151,'BD Asesor'!$A$8:$E$1998,5,0))</f>
        <v/>
      </c>
      <c r="D151" s="84"/>
      <c r="F151" s="1" t="str">
        <f t="shared" si="1"/>
        <v/>
      </c>
    </row>
    <row r="152">
      <c r="A152" s="84"/>
      <c r="B152" s="84" t="str">
        <f>IF(A152="","",VLOOKUP(A152,'BD Asesor'!$A$8:$E$1998,5,0))</f>
        <v/>
      </c>
      <c r="D152" s="84"/>
      <c r="F152" s="1" t="str">
        <f t="shared" si="1"/>
        <v/>
      </c>
    </row>
    <row r="153">
      <c r="A153" s="84"/>
      <c r="B153" s="84" t="str">
        <f>IF(A153="","",VLOOKUP(A153,'BD Asesor'!$A$8:$E$1998,5,0))</f>
        <v/>
      </c>
      <c r="D153" s="84"/>
      <c r="F153" s="1" t="str">
        <f t="shared" si="1"/>
        <v/>
      </c>
    </row>
    <row r="154">
      <c r="A154" s="84"/>
      <c r="B154" s="84" t="str">
        <f>IF(A154="","",VLOOKUP(A154,'BD Asesor'!$A$8:$E$1998,5,0))</f>
        <v/>
      </c>
      <c r="D154" s="84"/>
      <c r="F154" s="1" t="str">
        <f t="shared" si="1"/>
        <v/>
      </c>
    </row>
    <row r="155">
      <c r="A155" s="84"/>
      <c r="B155" s="84" t="str">
        <f>IF(A155="","",VLOOKUP(A155,'BD Asesor'!$A$8:$E$1998,5,0))</f>
        <v/>
      </c>
      <c r="D155" s="84"/>
      <c r="F155" s="1" t="str">
        <f t="shared" si="1"/>
        <v/>
      </c>
    </row>
    <row r="156">
      <c r="A156" s="84"/>
      <c r="B156" s="84" t="str">
        <f>IF(A156="","",VLOOKUP(A156,'BD Asesor'!$A$8:$E$1998,5,0))</f>
        <v/>
      </c>
      <c r="D156" s="84"/>
      <c r="F156" s="1" t="str">
        <f t="shared" si="1"/>
        <v/>
      </c>
    </row>
    <row r="157">
      <c r="A157" s="84"/>
      <c r="B157" s="84" t="str">
        <f>IF(A157="","",VLOOKUP(A157,'BD Asesor'!$A$8:$E$1998,5,0))</f>
        <v/>
      </c>
      <c r="D157" s="84"/>
      <c r="F157" s="1" t="str">
        <f t="shared" si="1"/>
        <v/>
      </c>
    </row>
    <row r="158">
      <c r="A158" s="84"/>
      <c r="B158" s="84" t="str">
        <f>IF(A158="","",VLOOKUP(A158,'BD Asesor'!$A$8:$E$1998,5,0))</f>
        <v/>
      </c>
      <c r="D158" s="84"/>
      <c r="F158" s="1" t="str">
        <f t="shared" si="1"/>
        <v/>
      </c>
    </row>
    <row r="159">
      <c r="A159" s="84"/>
      <c r="B159" s="84" t="str">
        <f>IF(A159="","",VLOOKUP(A159,'BD Asesor'!$A$8:$E$1998,5,0))</f>
        <v/>
      </c>
      <c r="D159" s="84"/>
      <c r="F159" s="1" t="str">
        <f t="shared" si="1"/>
        <v/>
      </c>
    </row>
    <row r="160">
      <c r="A160" s="84"/>
      <c r="B160" s="84" t="str">
        <f>IF(A160="","",VLOOKUP(A160,'BD Asesor'!$A$8:$E$1998,5,0))</f>
        <v/>
      </c>
      <c r="D160" s="84"/>
      <c r="F160" s="1" t="str">
        <f t="shared" si="1"/>
        <v/>
      </c>
    </row>
    <row r="161">
      <c r="A161" s="84"/>
      <c r="B161" s="84" t="str">
        <f>IF(A161="","",VLOOKUP(A161,'BD Asesor'!$A$8:$E$1998,5,0))</f>
        <v/>
      </c>
      <c r="D161" s="84"/>
      <c r="F161" s="1" t="str">
        <f t="shared" si="1"/>
        <v/>
      </c>
    </row>
    <row r="162">
      <c r="A162" s="84"/>
      <c r="B162" s="84" t="str">
        <f>IF(A162="","",VLOOKUP(A162,'BD Asesor'!$A$8:$E$1998,5,0))</f>
        <v/>
      </c>
      <c r="D162" s="84"/>
      <c r="F162" s="1" t="str">
        <f t="shared" si="1"/>
        <v/>
      </c>
    </row>
    <row r="163">
      <c r="A163" s="84"/>
      <c r="B163" s="84" t="str">
        <f>IF(A163="","",VLOOKUP(A163,'BD Asesor'!$A$8:$E$1998,5,0))</f>
        <v/>
      </c>
      <c r="D163" s="84"/>
      <c r="F163" s="1" t="str">
        <f t="shared" si="1"/>
        <v/>
      </c>
    </row>
    <row r="164">
      <c r="A164" s="84"/>
      <c r="B164" s="84" t="str">
        <f>IF(A164="","",VLOOKUP(A164,'BD Asesor'!$A$8:$E$1998,5,0))</f>
        <v/>
      </c>
      <c r="D164" s="84"/>
      <c r="F164" s="1" t="str">
        <f t="shared" si="1"/>
        <v/>
      </c>
    </row>
    <row r="165">
      <c r="A165" s="84"/>
      <c r="B165" s="84" t="str">
        <f>IF(A165="","",VLOOKUP(A165,'BD Asesor'!$A$8:$E$1998,5,0))</f>
        <v/>
      </c>
      <c r="D165" s="84"/>
      <c r="F165" s="1" t="str">
        <f t="shared" si="1"/>
        <v/>
      </c>
    </row>
    <row r="166">
      <c r="A166" s="84"/>
      <c r="B166" s="84" t="str">
        <f>IF(A166="","",VLOOKUP(A166,'BD Asesor'!$A$8:$E$1998,5,0))</f>
        <v/>
      </c>
      <c r="D166" s="84"/>
      <c r="F166" s="1" t="str">
        <f t="shared" si="1"/>
        <v/>
      </c>
    </row>
    <row r="167">
      <c r="A167" s="84"/>
      <c r="B167" s="84" t="str">
        <f>IF(A167="","",VLOOKUP(A167,'BD Asesor'!$A$8:$E$1998,5,0))</f>
        <v/>
      </c>
      <c r="D167" s="84"/>
      <c r="F167" s="1" t="str">
        <f t="shared" si="1"/>
        <v/>
      </c>
    </row>
    <row r="168">
      <c r="A168" s="84"/>
      <c r="B168" s="84" t="str">
        <f>IF(A168="","",VLOOKUP(A168,'BD Asesor'!$A$8:$E$1998,5,0))</f>
        <v/>
      </c>
      <c r="D168" s="84"/>
      <c r="F168" s="1" t="str">
        <f t="shared" si="1"/>
        <v/>
      </c>
    </row>
    <row r="169">
      <c r="A169" s="84"/>
      <c r="B169" s="84" t="str">
        <f>IF(A169="","",VLOOKUP(A169,'BD Asesor'!$A$8:$E$1998,5,0))</f>
        <v/>
      </c>
      <c r="D169" s="84"/>
      <c r="F169" s="1" t="str">
        <f t="shared" si="1"/>
        <v/>
      </c>
    </row>
    <row r="170">
      <c r="A170" s="84"/>
      <c r="B170" s="84" t="str">
        <f>IF(A170="","",VLOOKUP(A170,'BD Asesor'!$A$8:$E$1998,5,0))</f>
        <v/>
      </c>
      <c r="D170" s="84"/>
      <c r="F170" s="1" t="str">
        <f t="shared" si="1"/>
        <v/>
      </c>
    </row>
    <row r="171">
      <c r="A171" s="84"/>
      <c r="B171" s="84" t="str">
        <f>IF(A171="","",VLOOKUP(A171,'BD Asesor'!$A$8:$E$1998,5,0))</f>
        <v/>
      </c>
      <c r="D171" s="84"/>
      <c r="F171" s="1" t="str">
        <f t="shared" si="1"/>
        <v/>
      </c>
    </row>
    <row r="172">
      <c r="A172" s="84"/>
      <c r="B172" s="84" t="str">
        <f>IF(A172="","",VLOOKUP(A172,'BD Asesor'!$A$8:$E$1998,5,0))</f>
        <v/>
      </c>
      <c r="D172" s="84"/>
      <c r="F172" s="1" t="str">
        <f t="shared" si="1"/>
        <v/>
      </c>
    </row>
    <row r="173">
      <c r="A173" s="84"/>
      <c r="B173" s="84" t="str">
        <f>IF(A173="","",VLOOKUP(A173,'BD Asesor'!$A$8:$E$1998,5,0))</f>
        <v/>
      </c>
      <c r="D173" s="84"/>
      <c r="F173" s="1" t="str">
        <f t="shared" si="1"/>
        <v/>
      </c>
    </row>
    <row r="174">
      <c r="A174" s="84"/>
      <c r="B174" s="84" t="str">
        <f>IF(A174="","",VLOOKUP(A174,'BD Asesor'!$A$8:$E$1998,5,0))</f>
        <v/>
      </c>
      <c r="D174" s="84"/>
      <c r="F174" s="1" t="str">
        <f t="shared" si="1"/>
        <v/>
      </c>
    </row>
    <row r="175">
      <c r="A175" s="84"/>
      <c r="B175" s="84" t="str">
        <f>IF(A175="","",VLOOKUP(A175,'BD Asesor'!$A$8:$E$1998,5,0))</f>
        <v/>
      </c>
      <c r="D175" s="84"/>
      <c r="F175" s="1" t="str">
        <f t="shared" si="1"/>
        <v/>
      </c>
    </row>
    <row r="176">
      <c r="A176" s="84"/>
      <c r="B176" s="84" t="str">
        <f>IF(A176="","",VLOOKUP(A176,'BD Asesor'!$A$8:$E$1998,5,0))</f>
        <v/>
      </c>
      <c r="D176" s="84"/>
      <c r="F176" s="1" t="str">
        <f t="shared" si="1"/>
        <v/>
      </c>
    </row>
    <row r="177">
      <c r="A177" s="84"/>
      <c r="B177" s="84" t="str">
        <f>IF(A177="","",VLOOKUP(A177,'BD Asesor'!$A$8:$E$1998,5,0))</f>
        <v/>
      </c>
      <c r="D177" s="84"/>
      <c r="F177" s="1" t="str">
        <f t="shared" si="1"/>
        <v/>
      </c>
    </row>
    <row r="178">
      <c r="A178" s="84"/>
      <c r="B178" s="84" t="str">
        <f>IF(A178="","",VLOOKUP(A178,'BD Asesor'!$A$8:$E$1998,5,0))</f>
        <v/>
      </c>
      <c r="D178" s="84"/>
      <c r="F178" s="1" t="str">
        <f t="shared" si="1"/>
        <v/>
      </c>
    </row>
    <row r="179">
      <c r="A179" s="84"/>
      <c r="B179" s="84" t="str">
        <f>IF(A179="","",VLOOKUP(A179,'BD Asesor'!$A$8:$E$1998,5,0))</f>
        <v/>
      </c>
      <c r="D179" s="84"/>
      <c r="F179" s="1" t="str">
        <f t="shared" si="1"/>
        <v/>
      </c>
    </row>
    <row r="180">
      <c r="A180" s="84"/>
      <c r="B180" s="84" t="str">
        <f>IF(A180="","",VLOOKUP(A180,'BD Asesor'!$A$8:$E$1998,5,0))</f>
        <v/>
      </c>
      <c r="D180" s="84"/>
      <c r="F180" s="1" t="str">
        <f t="shared" si="1"/>
        <v/>
      </c>
    </row>
    <row r="181">
      <c r="A181" s="84"/>
      <c r="B181" s="84" t="str">
        <f>IF(A181="","",VLOOKUP(A181,'BD Asesor'!$A$8:$E$1998,5,0))</f>
        <v/>
      </c>
      <c r="D181" s="84"/>
      <c r="F181" s="1" t="str">
        <f t="shared" si="1"/>
        <v/>
      </c>
    </row>
    <row r="182">
      <c r="A182" s="84"/>
      <c r="B182" s="84" t="str">
        <f>IF(A182="","",VLOOKUP(A182,'BD Asesor'!$A$8:$E$1998,5,0))</f>
        <v/>
      </c>
      <c r="D182" s="84"/>
      <c r="F182" s="1" t="str">
        <f t="shared" si="1"/>
        <v/>
      </c>
    </row>
    <row r="183">
      <c r="A183" s="84"/>
      <c r="B183" s="84" t="str">
        <f>IF(A183="","",VLOOKUP(A183,'BD Asesor'!$A$8:$E$1998,5,0))</f>
        <v/>
      </c>
      <c r="D183" s="84"/>
      <c r="F183" s="1" t="str">
        <f t="shared" si="1"/>
        <v/>
      </c>
    </row>
    <row r="184">
      <c r="A184" s="84"/>
      <c r="B184" s="84" t="str">
        <f>IF(A184="","",VLOOKUP(A184,'BD Asesor'!$A$8:$E$1998,5,0))</f>
        <v/>
      </c>
      <c r="D184" s="84"/>
      <c r="F184" s="1" t="str">
        <f t="shared" si="1"/>
        <v/>
      </c>
    </row>
    <row r="185">
      <c r="A185" s="84"/>
      <c r="B185" s="84" t="str">
        <f>IF(A185="","",VLOOKUP(A185,'BD Asesor'!$A$8:$E$1998,5,0))</f>
        <v/>
      </c>
      <c r="D185" s="84"/>
      <c r="F185" s="1" t="str">
        <f t="shared" si="1"/>
        <v/>
      </c>
    </row>
    <row r="186">
      <c r="A186" s="84"/>
      <c r="B186" s="84" t="str">
        <f>IF(A186="","",VLOOKUP(A186,'BD Asesor'!$A$8:$E$1998,5,0))</f>
        <v/>
      </c>
      <c r="D186" s="84"/>
      <c r="F186" s="1" t="str">
        <f t="shared" si="1"/>
        <v/>
      </c>
    </row>
    <row r="187">
      <c r="A187" s="84"/>
      <c r="B187" s="84" t="str">
        <f>IF(A187="","",VLOOKUP(A187,'BD Asesor'!$A$8:$E$1998,5,0))</f>
        <v/>
      </c>
      <c r="D187" s="84"/>
      <c r="F187" s="1" t="str">
        <f t="shared" si="1"/>
        <v/>
      </c>
    </row>
    <row r="188">
      <c r="A188" s="84"/>
      <c r="B188" s="84" t="str">
        <f>IF(A188="","",VLOOKUP(A188,'BD Asesor'!$A$8:$E$1998,5,0))</f>
        <v/>
      </c>
      <c r="D188" s="84"/>
      <c r="F188" s="1" t="str">
        <f t="shared" si="1"/>
        <v/>
      </c>
    </row>
    <row r="189">
      <c r="A189" s="84"/>
      <c r="B189" s="84" t="str">
        <f>IF(A189="","",VLOOKUP(A189,'BD Asesor'!$A$8:$E$1998,5,0))</f>
        <v/>
      </c>
      <c r="D189" s="84"/>
      <c r="F189" s="1" t="str">
        <f t="shared" si="1"/>
        <v/>
      </c>
    </row>
    <row r="190">
      <c r="A190" s="84"/>
      <c r="B190" s="84" t="str">
        <f>IF(A190="","",VLOOKUP(A190,'BD Asesor'!$A$8:$E$1998,5,0))</f>
        <v/>
      </c>
      <c r="D190" s="84"/>
      <c r="F190" s="1" t="str">
        <f t="shared" si="1"/>
        <v/>
      </c>
    </row>
    <row r="191">
      <c r="A191" s="84"/>
      <c r="B191" s="84" t="str">
        <f>IF(A191="","",VLOOKUP(A191,'BD Asesor'!$A$8:$E$1998,5,0))</f>
        <v/>
      </c>
      <c r="D191" s="84"/>
      <c r="F191" s="1" t="str">
        <f t="shared" si="1"/>
        <v/>
      </c>
    </row>
    <row r="192">
      <c r="A192" s="84"/>
      <c r="B192" s="84" t="str">
        <f>IF(A192="","",VLOOKUP(A192,'BD Asesor'!$A$8:$E$1998,5,0))</f>
        <v/>
      </c>
      <c r="D192" s="84"/>
      <c r="F192" s="1" t="str">
        <f t="shared" si="1"/>
        <v/>
      </c>
    </row>
    <row r="193">
      <c r="A193" s="84"/>
      <c r="B193" s="84" t="str">
        <f>IF(A193="","",VLOOKUP(A193,'BD Asesor'!$A$8:$E$1998,5,0))</f>
        <v/>
      </c>
      <c r="D193" s="84"/>
      <c r="F193" s="1" t="str">
        <f t="shared" si="1"/>
        <v/>
      </c>
    </row>
    <row r="194">
      <c r="A194" s="84"/>
      <c r="B194" s="84" t="str">
        <f>IF(A194="","",VLOOKUP(A194,'BD Asesor'!$A$8:$E$1998,5,0))</f>
        <v/>
      </c>
      <c r="D194" s="84"/>
      <c r="F194" s="1" t="str">
        <f t="shared" si="1"/>
        <v/>
      </c>
    </row>
    <row r="195">
      <c r="A195" s="84"/>
      <c r="B195" s="84" t="str">
        <f>IF(A195="","",VLOOKUP(A195,'BD Asesor'!$A$8:$E$1998,5,0))</f>
        <v/>
      </c>
      <c r="D195" s="84"/>
      <c r="F195" s="1" t="str">
        <f t="shared" si="1"/>
        <v/>
      </c>
    </row>
    <row r="196">
      <c r="A196" s="84"/>
      <c r="B196" s="84" t="str">
        <f>IF(A196="","",VLOOKUP(A196,'BD Asesor'!$A$8:$E$1998,5,0))</f>
        <v/>
      </c>
      <c r="D196" s="84"/>
      <c r="F196" s="1" t="str">
        <f t="shared" si="1"/>
        <v/>
      </c>
    </row>
    <row r="197">
      <c r="A197" s="84"/>
      <c r="B197" s="84" t="str">
        <f>IF(A197="","",VLOOKUP(A197,'BD Asesor'!$A$8:$E$1998,5,0))</f>
        <v/>
      </c>
      <c r="D197" s="84"/>
      <c r="F197" s="1" t="str">
        <f t="shared" si="1"/>
        <v/>
      </c>
    </row>
    <row r="198">
      <c r="A198" s="84"/>
      <c r="B198" s="84" t="str">
        <f>IF(A198="","",VLOOKUP(A198,'BD Asesor'!$A$8:$E$1998,5,0))</f>
        <v/>
      </c>
      <c r="D198" s="84"/>
      <c r="F198" s="1" t="str">
        <f t="shared" si="1"/>
        <v/>
      </c>
    </row>
    <row r="199">
      <c r="A199" s="84"/>
      <c r="B199" s="84" t="str">
        <f>IF(A199="","",VLOOKUP(A199,'BD Asesor'!$A$8:$E$1998,5,0))</f>
        <v/>
      </c>
      <c r="D199" s="84"/>
      <c r="F199" s="1" t="str">
        <f t="shared" si="1"/>
        <v/>
      </c>
    </row>
    <row r="200">
      <c r="A200" s="84"/>
      <c r="B200" s="84" t="str">
        <f>IF(A200="","",VLOOKUP(A200,'BD Asesor'!$A$8:$E$1998,5,0))</f>
        <v/>
      </c>
      <c r="D200" s="84"/>
      <c r="F200" s="1" t="str">
        <f t="shared" si="1"/>
        <v/>
      </c>
    </row>
    <row r="201">
      <c r="A201" s="84"/>
      <c r="B201" s="84" t="str">
        <f>IF(A201="","",VLOOKUP(A201,'BD Asesor'!$A$8:$E$1998,5,0))</f>
        <v/>
      </c>
      <c r="D201" s="84"/>
      <c r="F201" s="1" t="str">
        <f t="shared" si="1"/>
        <v/>
      </c>
    </row>
    <row r="202">
      <c r="A202" s="84"/>
      <c r="B202" s="84" t="str">
        <f>IF(A202="","",VLOOKUP(A202,'BD Asesor'!$A$8:$E$1998,5,0))</f>
        <v/>
      </c>
      <c r="D202" s="84"/>
      <c r="F202" s="1" t="str">
        <f t="shared" si="1"/>
        <v/>
      </c>
    </row>
    <row r="203">
      <c r="A203" s="84"/>
      <c r="B203" s="84" t="str">
        <f>IF(A203="","",VLOOKUP(A203,'BD Asesor'!$A$8:$E$1998,5,0))</f>
        <v/>
      </c>
      <c r="D203" s="84"/>
      <c r="F203" s="1" t="str">
        <f t="shared" si="1"/>
        <v/>
      </c>
    </row>
    <row r="204">
      <c r="A204" s="84"/>
      <c r="B204" s="84" t="str">
        <f>IF(A204="","",VLOOKUP(A204,'BD Asesor'!$A$8:$E$1998,5,0))</f>
        <v/>
      </c>
      <c r="D204" s="84"/>
      <c r="F204" s="1" t="str">
        <f t="shared" si="1"/>
        <v/>
      </c>
    </row>
    <row r="205">
      <c r="A205" s="84"/>
      <c r="B205" s="84" t="str">
        <f>IF(A205="","",VLOOKUP(A205,'BD Asesor'!$A$8:$E$1998,5,0))</f>
        <v/>
      </c>
      <c r="D205" s="84"/>
      <c r="F205" s="1" t="str">
        <f t="shared" si="1"/>
        <v/>
      </c>
    </row>
    <row r="206">
      <c r="A206" s="84"/>
      <c r="B206" s="84" t="str">
        <f>IF(A206="","",VLOOKUP(A206,'BD Asesor'!$A$8:$E$1998,5,0))</f>
        <v/>
      </c>
      <c r="D206" s="84"/>
      <c r="F206" s="1" t="str">
        <f t="shared" si="1"/>
        <v/>
      </c>
    </row>
    <row r="207">
      <c r="A207" s="84"/>
      <c r="B207" s="84" t="str">
        <f>IF(A207="","",VLOOKUP(A207,'BD Asesor'!$A$8:$E$1998,5,0))</f>
        <v/>
      </c>
      <c r="D207" s="84"/>
      <c r="F207" s="1" t="str">
        <f t="shared" si="1"/>
        <v/>
      </c>
    </row>
    <row r="208">
      <c r="A208" s="84"/>
      <c r="B208" s="84" t="str">
        <f>IF(A208="","",VLOOKUP(A208,'BD Asesor'!$A$8:$E$1998,5,0))</f>
        <v/>
      </c>
      <c r="D208" s="84"/>
      <c r="F208" s="1" t="str">
        <f t="shared" si="1"/>
        <v/>
      </c>
    </row>
    <row r="209">
      <c r="A209" s="84"/>
      <c r="B209" s="84" t="str">
        <f>IF(A209="","",VLOOKUP(A209,'BD Asesor'!$A$8:$E$1998,5,0))</f>
        <v/>
      </c>
      <c r="D209" s="84"/>
      <c r="F209" s="1" t="str">
        <f t="shared" si="1"/>
        <v/>
      </c>
    </row>
    <row r="210">
      <c r="A210" s="84"/>
      <c r="B210" s="84" t="str">
        <f>IF(A210="","",VLOOKUP(A210,'BD Asesor'!$A$8:$E$1998,5,0))</f>
        <v/>
      </c>
      <c r="D210" s="84"/>
      <c r="F210" s="1" t="str">
        <f t="shared" si="1"/>
        <v/>
      </c>
    </row>
    <row r="211">
      <c r="A211" s="84"/>
      <c r="B211" s="84" t="str">
        <f>IF(A211="","",VLOOKUP(A211,'BD Asesor'!$A$8:$E$1998,5,0))</f>
        <v/>
      </c>
      <c r="D211" s="84"/>
      <c r="F211" s="1" t="str">
        <f t="shared" si="1"/>
        <v/>
      </c>
    </row>
    <row r="212">
      <c r="A212" s="84"/>
      <c r="B212" s="84" t="str">
        <f>IF(A212="","",VLOOKUP(A212,'BD Asesor'!$A$8:$E$1998,5,0))</f>
        <v/>
      </c>
      <c r="D212" s="84"/>
      <c r="F212" s="1" t="str">
        <f t="shared" si="1"/>
        <v/>
      </c>
    </row>
    <row r="213">
      <c r="A213" s="84"/>
      <c r="B213" s="84" t="str">
        <f>IF(A213="","",VLOOKUP(A213,'BD Asesor'!$A$8:$E$1998,5,0))</f>
        <v/>
      </c>
      <c r="D213" s="84"/>
      <c r="F213" s="1" t="str">
        <f t="shared" si="1"/>
        <v/>
      </c>
    </row>
    <row r="214">
      <c r="A214" s="84"/>
      <c r="B214" s="84" t="str">
        <f>IF(A214="","",VLOOKUP(A214,'BD Asesor'!$A$8:$E$1998,5,0))</f>
        <v/>
      </c>
      <c r="D214" s="84"/>
      <c r="F214" s="1" t="str">
        <f t="shared" si="1"/>
        <v/>
      </c>
    </row>
    <row r="215">
      <c r="A215" s="84"/>
      <c r="B215" s="84" t="str">
        <f>IF(A215="","",VLOOKUP(A215,'BD Asesor'!$A$8:$E$1998,5,0))</f>
        <v/>
      </c>
      <c r="D215" s="84"/>
      <c r="F215" s="1" t="str">
        <f t="shared" si="1"/>
        <v/>
      </c>
    </row>
    <row r="216">
      <c r="A216" s="84"/>
      <c r="B216" s="84" t="str">
        <f>IF(A216="","",VLOOKUP(A216,'BD Asesor'!$A$8:$E$1998,5,0))</f>
        <v/>
      </c>
      <c r="D216" s="84"/>
      <c r="F216" s="1" t="str">
        <f t="shared" si="1"/>
        <v/>
      </c>
    </row>
    <row r="217">
      <c r="A217" s="84"/>
      <c r="B217" s="84" t="str">
        <f>IF(A217="","",VLOOKUP(A217,'BD Asesor'!$A$8:$E$1998,5,0))</f>
        <v/>
      </c>
      <c r="D217" s="84"/>
      <c r="F217" s="1" t="str">
        <f t="shared" si="1"/>
        <v/>
      </c>
    </row>
    <row r="218">
      <c r="A218" s="84"/>
      <c r="B218" s="84" t="str">
        <f>IF(A218="","",VLOOKUP(A218,'BD Asesor'!$A$8:$E$1998,5,0))</f>
        <v/>
      </c>
      <c r="D218" s="84"/>
      <c r="F218" s="1" t="str">
        <f t="shared" si="1"/>
        <v/>
      </c>
    </row>
    <row r="219">
      <c r="A219" s="84"/>
      <c r="B219" s="84" t="str">
        <f>IF(A219="","",VLOOKUP(A219,'BD Asesor'!$A$8:$E$1998,5,0))</f>
        <v/>
      </c>
      <c r="D219" s="84"/>
      <c r="F219" s="1" t="str">
        <f t="shared" si="1"/>
        <v/>
      </c>
    </row>
    <row r="220">
      <c r="A220" s="84"/>
      <c r="B220" s="84" t="str">
        <f>IF(A220="","",VLOOKUP(A220,'BD Asesor'!$A$8:$E$1998,5,0))</f>
        <v/>
      </c>
      <c r="D220" s="84"/>
      <c r="F220" s="1" t="str">
        <f t="shared" si="1"/>
        <v/>
      </c>
    </row>
    <row r="221">
      <c r="A221" s="84"/>
      <c r="B221" s="84" t="str">
        <f>IF(A221="","",VLOOKUP(A221,'BD Asesor'!$A$8:$E$1998,5,0))</f>
        <v/>
      </c>
      <c r="D221" s="84"/>
      <c r="F221" s="1" t="str">
        <f t="shared" si="1"/>
        <v/>
      </c>
    </row>
    <row r="222">
      <c r="A222" s="84"/>
      <c r="B222" s="84" t="str">
        <f>IF(A222="","",VLOOKUP(A222,'BD Asesor'!$A$8:$E$1998,5,0))</f>
        <v/>
      </c>
      <c r="D222" s="84"/>
      <c r="F222" s="1" t="str">
        <f t="shared" si="1"/>
        <v/>
      </c>
    </row>
    <row r="223">
      <c r="A223" s="84"/>
      <c r="B223" s="84" t="str">
        <f>IF(A223="","",VLOOKUP(A223,'BD Asesor'!$A$8:$E$1998,5,0))</f>
        <v/>
      </c>
      <c r="D223" s="84"/>
      <c r="F223" s="1" t="str">
        <f t="shared" si="1"/>
        <v/>
      </c>
    </row>
    <row r="224">
      <c r="A224" s="84"/>
      <c r="B224" s="84" t="str">
        <f>IF(A224="","",VLOOKUP(A224,'BD Asesor'!$A$8:$E$1998,5,0))</f>
        <v/>
      </c>
      <c r="D224" s="84"/>
      <c r="F224" s="1" t="str">
        <f t="shared" si="1"/>
        <v/>
      </c>
    </row>
    <row r="225">
      <c r="A225" s="84"/>
      <c r="B225" s="84" t="str">
        <f>IF(A225="","",VLOOKUP(A225,'BD Asesor'!$A$8:$E$1998,5,0))</f>
        <v/>
      </c>
      <c r="D225" s="84"/>
      <c r="F225" s="1" t="str">
        <f t="shared" si="1"/>
        <v/>
      </c>
    </row>
    <row r="226">
      <c r="A226" s="84"/>
      <c r="B226" s="84" t="str">
        <f>IF(A226="","",VLOOKUP(A226,'BD Asesor'!$A$8:$E$1998,5,0))</f>
        <v/>
      </c>
      <c r="D226" s="84"/>
      <c r="F226" s="1" t="str">
        <f t="shared" si="1"/>
        <v/>
      </c>
    </row>
    <row r="227">
      <c r="A227" s="84"/>
      <c r="B227" s="84" t="str">
        <f>IF(A227="","",VLOOKUP(A227,'BD Asesor'!$A$8:$E$1998,5,0))</f>
        <v/>
      </c>
      <c r="D227" s="84"/>
      <c r="F227" s="1" t="str">
        <f t="shared" si="1"/>
        <v/>
      </c>
    </row>
    <row r="228">
      <c r="A228" s="84"/>
      <c r="B228" s="84" t="str">
        <f>IF(A228="","",VLOOKUP(A228,'BD Asesor'!$A$8:$E$1998,5,0))</f>
        <v/>
      </c>
      <c r="D228" s="84"/>
      <c r="F228" s="1" t="str">
        <f t="shared" si="1"/>
        <v/>
      </c>
    </row>
    <row r="229">
      <c r="A229" s="84"/>
      <c r="B229" s="84" t="str">
        <f>IF(A229="","",VLOOKUP(A229,'BD Asesor'!$A$8:$E$1998,5,0))</f>
        <v/>
      </c>
      <c r="D229" s="84"/>
      <c r="F229" s="1" t="str">
        <f t="shared" si="1"/>
        <v/>
      </c>
    </row>
    <row r="230">
      <c r="A230" s="84"/>
      <c r="B230" s="84" t="str">
        <f>IF(A230="","",VLOOKUP(A230,'BD Asesor'!$A$8:$E$1998,5,0))</f>
        <v/>
      </c>
      <c r="D230" s="84"/>
      <c r="F230" s="1" t="str">
        <f t="shared" si="1"/>
        <v/>
      </c>
    </row>
    <row r="231">
      <c r="A231" s="84"/>
      <c r="B231" s="84" t="str">
        <f>IF(A231="","",VLOOKUP(A231,'BD Asesor'!$A$8:$E$1998,5,0))</f>
        <v/>
      </c>
      <c r="D231" s="84"/>
      <c r="F231" s="1" t="str">
        <f t="shared" si="1"/>
        <v/>
      </c>
    </row>
    <row r="232">
      <c r="A232" s="84"/>
      <c r="B232" s="84" t="str">
        <f>IF(A232="","",VLOOKUP(A232,'BD Asesor'!$A$8:$E$1998,5,0))</f>
        <v/>
      </c>
      <c r="D232" s="84"/>
      <c r="F232" s="1" t="str">
        <f t="shared" si="1"/>
        <v/>
      </c>
    </row>
    <row r="233">
      <c r="A233" s="84"/>
      <c r="B233" s="84" t="str">
        <f>IF(A233="","",VLOOKUP(A233,'BD Asesor'!$A$8:$E$1998,5,0))</f>
        <v/>
      </c>
      <c r="D233" s="84"/>
      <c r="F233" s="1" t="str">
        <f t="shared" si="1"/>
        <v/>
      </c>
    </row>
    <row r="234">
      <c r="A234" s="84"/>
      <c r="B234" s="84" t="str">
        <f>IF(A234="","",VLOOKUP(A234,'BD Asesor'!$A$8:$E$1998,5,0))</f>
        <v/>
      </c>
      <c r="D234" s="84"/>
      <c r="F234" s="1" t="str">
        <f t="shared" si="1"/>
        <v/>
      </c>
    </row>
    <row r="235">
      <c r="A235" s="84"/>
      <c r="B235" s="84" t="str">
        <f>IF(A235="","",VLOOKUP(A235,'BD Asesor'!$A$8:$E$1998,5,0))</f>
        <v/>
      </c>
      <c r="D235" s="84"/>
      <c r="F235" s="1" t="str">
        <f t="shared" si="1"/>
        <v/>
      </c>
    </row>
    <row r="236">
      <c r="A236" s="84"/>
      <c r="B236" s="84" t="str">
        <f>IF(A236="","",VLOOKUP(A236,'BD Asesor'!$A$8:$E$1998,5,0))</f>
        <v/>
      </c>
      <c r="D236" s="84"/>
      <c r="F236" s="1" t="str">
        <f t="shared" si="1"/>
        <v/>
      </c>
    </row>
    <row r="237">
      <c r="A237" s="84"/>
      <c r="B237" s="84" t="str">
        <f>IF(A237="","",VLOOKUP(A237,'BD Asesor'!$A$8:$E$1998,5,0))</f>
        <v/>
      </c>
      <c r="D237" s="84"/>
      <c r="F237" s="1" t="str">
        <f t="shared" si="1"/>
        <v/>
      </c>
    </row>
    <row r="238">
      <c r="A238" s="84"/>
      <c r="B238" s="84" t="str">
        <f>IF(A238="","",VLOOKUP(A238,'BD Asesor'!$A$8:$E$1998,5,0))</f>
        <v/>
      </c>
      <c r="D238" s="84"/>
      <c r="F238" s="1" t="str">
        <f t="shared" si="1"/>
        <v/>
      </c>
    </row>
    <row r="239">
      <c r="A239" s="84"/>
      <c r="B239" s="84" t="str">
        <f>IF(A239="","",VLOOKUP(A239,'BD Asesor'!$A$8:$E$1998,5,0))</f>
        <v/>
      </c>
      <c r="D239" s="84"/>
      <c r="F239" s="1" t="str">
        <f t="shared" si="1"/>
        <v/>
      </c>
    </row>
    <row r="240">
      <c r="A240" s="84"/>
      <c r="B240" s="84" t="str">
        <f>IF(A240="","",VLOOKUP(A240,'BD Asesor'!$A$8:$E$1998,5,0))</f>
        <v/>
      </c>
      <c r="D240" s="84"/>
      <c r="F240" s="1" t="str">
        <f t="shared" si="1"/>
        <v/>
      </c>
    </row>
    <row r="241">
      <c r="A241" s="84"/>
      <c r="B241" s="84" t="str">
        <f>IF(A241="","",VLOOKUP(A241,'BD Asesor'!$A$8:$E$1998,5,0))</f>
        <v/>
      </c>
      <c r="D241" s="84"/>
      <c r="F241" s="1" t="str">
        <f t="shared" si="1"/>
        <v/>
      </c>
    </row>
    <row r="242">
      <c r="A242" s="84"/>
      <c r="B242" s="84" t="str">
        <f>IF(A242="","",VLOOKUP(A242,'BD Asesor'!$A$8:$E$1998,5,0))</f>
        <v/>
      </c>
      <c r="D242" s="84"/>
      <c r="F242" s="1" t="str">
        <f t="shared" si="1"/>
        <v/>
      </c>
    </row>
    <row r="243">
      <c r="A243" s="84"/>
      <c r="B243" s="84" t="str">
        <f>IF(A243="","",VLOOKUP(A243,'BD Asesor'!$A$8:$E$1998,5,0))</f>
        <v/>
      </c>
      <c r="D243" s="84"/>
      <c r="F243" s="1" t="str">
        <f t="shared" si="1"/>
        <v/>
      </c>
    </row>
    <row r="244">
      <c r="A244" s="84"/>
      <c r="B244" s="84" t="str">
        <f>IF(A244="","",VLOOKUP(A244,'BD Asesor'!$A$8:$E$1998,5,0))</f>
        <v/>
      </c>
      <c r="D244" s="84"/>
      <c r="F244" s="1" t="str">
        <f t="shared" si="1"/>
        <v/>
      </c>
    </row>
    <row r="245">
      <c r="A245" s="84"/>
      <c r="B245" s="84" t="str">
        <f>IF(A245="","",VLOOKUP(A245,'BD Asesor'!$A$8:$E$1998,5,0))</f>
        <v/>
      </c>
      <c r="D245" s="84"/>
      <c r="F245" s="1" t="str">
        <f t="shared" si="1"/>
        <v/>
      </c>
    </row>
    <row r="246">
      <c r="A246" s="84"/>
      <c r="B246" s="84" t="str">
        <f>IF(A246="","",VLOOKUP(A246,'BD Asesor'!$A$8:$E$1998,5,0))</f>
        <v/>
      </c>
      <c r="D246" s="84"/>
      <c r="F246" s="1" t="str">
        <f t="shared" si="1"/>
        <v/>
      </c>
    </row>
    <row r="247">
      <c r="A247" s="84"/>
      <c r="B247" s="84" t="str">
        <f>IF(A247="","",VLOOKUP(A247,'BD Asesor'!$A$8:$E$1998,5,0))</f>
        <v/>
      </c>
      <c r="D247" s="84"/>
      <c r="F247" s="1" t="str">
        <f t="shared" si="1"/>
        <v/>
      </c>
    </row>
    <row r="248">
      <c r="A248" s="84"/>
      <c r="B248" s="84" t="str">
        <f>IF(A248="","",VLOOKUP(A248,'BD Asesor'!$A$8:$E$1998,5,0))</f>
        <v/>
      </c>
      <c r="D248" s="84"/>
      <c r="F248" s="1" t="str">
        <f t="shared" si="1"/>
        <v/>
      </c>
    </row>
    <row r="249">
      <c r="A249" s="84"/>
      <c r="B249" s="84" t="str">
        <f>IF(A249="","",VLOOKUP(A249,'BD Asesor'!$A$8:$E$1998,5,0))</f>
        <v/>
      </c>
      <c r="D249" s="84"/>
      <c r="F249" s="1" t="str">
        <f t="shared" si="1"/>
        <v/>
      </c>
    </row>
    <row r="250">
      <c r="A250" s="84"/>
      <c r="B250" s="84" t="str">
        <f>IF(A250="","",VLOOKUP(A250,'BD Asesor'!$A$8:$E$1998,5,0))</f>
        <v/>
      </c>
      <c r="D250" s="84"/>
      <c r="F250" s="1" t="str">
        <f t="shared" si="1"/>
        <v/>
      </c>
    </row>
    <row r="251">
      <c r="A251" s="84"/>
      <c r="B251" s="84" t="str">
        <f>IF(A251="","",VLOOKUP(A251,'BD Asesor'!$A$8:$E$1998,5,0))</f>
        <v/>
      </c>
      <c r="D251" s="84"/>
      <c r="F251" s="1" t="str">
        <f t="shared" si="1"/>
        <v/>
      </c>
    </row>
    <row r="252">
      <c r="A252" s="84"/>
      <c r="B252" s="84" t="str">
        <f>IF(A252="","",VLOOKUP(A252,'BD Asesor'!$A$8:$E$1998,5,0))</f>
        <v/>
      </c>
      <c r="D252" s="84"/>
      <c r="F252" s="1" t="str">
        <f t="shared" si="1"/>
        <v/>
      </c>
    </row>
    <row r="253">
      <c r="A253" s="84"/>
      <c r="B253" s="84" t="str">
        <f>IF(A253="","",VLOOKUP(A253,'BD Asesor'!$A$8:$E$1998,5,0))</f>
        <v/>
      </c>
      <c r="D253" s="84"/>
      <c r="F253" s="1" t="str">
        <f t="shared" si="1"/>
        <v/>
      </c>
    </row>
    <row r="254">
      <c r="A254" s="84"/>
      <c r="B254" s="84" t="str">
        <f>IF(A254="","",VLOOKUP(A254,'BD Asesor'!$A$8:$E$1998,5,0))</f>
        <v/>
      </c>
      <c r="D254" s="84"/>
      <c r="F254" s="1" t="str">
        <f t="shared" si="1"/>
        <v/>
      </c>
    </row>
    <row r="255">
      <c r="A255" s="84"/>
      <c r="B255" s="84" t="str">
        <f>IF(A255="","",VLOOKUP(A255,'BD Asesor'!$A$8:$E$1998,5,0))</f>
        <v/>
      </c>
      <c r="D255" s="84"/>
      <c r="F255" s="1" t="str">
        <f t="shared" si="1"/>
        <v/>
      </c>
    </row>
    <row r="256">
      <c r="A256" s="84"/>
      <c r="B256" s="84" t="str">
        <f>IF(A256="","",VLOOKUP(A256,'BD Asesor'!$A$8:$E$1998,5,0))</f>
        <v/>
      </c>
      <c r="D256" s="84"/>
      <c r="F256" s="1" t="str">
        <f t="shared" si="1"/>
        <v/>
      </c>
    </row>
    <row r="257">
      <c r="A257" s="84"/>
      <c r="B257" s="84" t="str">
        <f>IF(A257="","",VLOOKUP(A257,'BD Asesor'!$A$8:$E$1998,5,0))</f>
        <v/>
      </c>
      <c r="D257" s="84"/>
      <c r="F257" s="1" t="str">
        <f t="shared" si="1"/>
        <v/>
      </c>
    </row>
    <row r="258">
      <c r="A258" s="84"/>
      <c r="B258" s="84" t="str">
        <f>IF(A258="","",VLOOKUP(A258,'BD Asesor'!$A$8:$E$1998,5,0))</f>
        <v/>
      </c>
      <c r="D258" s="84"/>
      <c r="F258" s="1" t="str">
        <f t="shared" si="1"/>
        <v/>
      </c>
    </row>
    <row r="259">
      <c r="A259" s="84"/>
      <c r="B259" s="84" t="str">
        <f>IF(A259="","",VLOOKUP(A259,'BD Asesor'!$A$8:$E$1998,5,0))</f>
        <v/>
      </c>
      <c r="D259" s="84"/>
      <c r="F259" s="1" t="str">
        <f t="shared" si="1"/>
        <v/>
      </c>
    </row>
    <row r="260">
      <c r="A260" s="84"/>
      <c r="B260" s="84" t="str">
        <f>IF(A260="","",VLOOKUP(A260,'BD Asesor'!$A$8:$E$1998,5,0))</f>
        <v/>
      </c>
      <c r="D260" s="84"/>
      <c r="F260" s="1" t="str">
        <f t="shared" si="1"/>
        <v/>
      </c>
    </row>
    <row r="261">
      <c r="A261" s="84"/>
      <c r="B261" s="84" t="str">
        <f>IF(A261="","",VLOOKUP(A261,'BD Asesor'!$A$8:$E$1998,5,0))</f>
        <v/>
      </c>
      <c r="D261" s="84"/>
      <c r="F261" s="1" t="str">
        <f t="shared" si="1"/>
        <v/>
      </c>
    </row>
    <row r="262">
      <c r="A262" s="84"/>
      <c r="B262" s="84" t="str">
        <f>IF(A262="","",VLOOKUP(A262,'BD Asesor'!$A$8:$E$1998,5,0))</f>
        <v/>
      </c>
      <c r="D262" s="84"/>
      <c r="F262" s="1" t="str">
        <f t="shared" si="1"/>
        <v/>
      </c>
    </row>
    <row r="263">
      <c r="A263" s="84"/>
      <c r="B263" s="84" t="str">
        <f>IF(A263="","",VLOOKUP(A263,'BD Asesor'!$A$8:$E$1998,5,0))</f>
        <v/>
      </c>
      <c r="D263" s="84"/>
      <c r="F263" s="1" t="str">
        <f t="shared" si="1"/>
        <v/>
      </c>
    </row>
    <row r="264">
      <c r="A264" s="84"/>
      <c r="B264" s="84" t="str">
        <f>IF(A264="","",VLOOKUP(A264,'BD Asesor'!$A$8:$E$1998,5,0))</f>
        <v/>
      </c>
      <c r="D264" s="84"/>
      <c r="F264" s="1" t="str">
        <f t="shared" si="1"/>
        <v/>
      </c>
    </row>
    <row r="265">
      <c r="A265" s="84"/>
      <c r="B265" s="84" t="str">
        <f>IF(A265="","",VLOOKUP(A265,'BD Asesor'!$A$8:$E$1998,5,0))</f>
        <v/>
      </c>
      <c r="D265" s="84"/>
      <c r="F265" s="1" t="str">
        <f t="shared" si="1"/>
        <v/>
      </c>
    </row>
    <row r="266">
      <c r="A266" s="84"/>
      <c r="B266" s="84" t="str">
        <f>IF(A266="","",VLOOKUP(A266,'BD Asesor'!$A$8:$E$1998,5,0))</f>
        <v/>
      </c>
      <c r="D266" s="84"/>
      <c r="F266" s="1" t="str">
        <f t="shared" si="1"/>
        <v/>
      </c>
    </row>
    <row r="267">
      <c r="A267" s="84"/>
      <c r="B267" s="84" t="str">
        <f>IF(A267="","",VLOOKUP(A267,'BD Asesor'!$A$8:$E$1998,5,0))</f>
        <v/>
      </c>
      <c r="D267" s="84"/>
      <c r="F267" s="1" t="str">
        <f t="shared" si="1"/>
        <v/>
      </c>
    </row>
    <row r="268">
      <c r="A268" s="84"/>
      <c r="B268" s="84" t="str">
        <f>IF(A268="","",VLOOKUP(A268,'BD Asesor'!$A$8:$E$1998,5,0))</f>
        <v/>
      </c>
      <c r="D268" s="84"/>
      <c r="F268" s="1" t="str">
        <f t="shared" si="1"/>
        <v/>
      </c>
    </row>
    <row r="269">
      <c r="A269" s="84"/>
      <c r="B269" s="84" t="str">
        <f>IF(A269="","",VLOOKUP(A269,'BD Asesor'!$A$8:$E$1998,5,0))</f>
        <v/>
      </c>
      <c r="D269" s="84"/>
      <c r="F269" s="1" t="str">
        <f t="shared" si="1"/>
        <v/>
      </c>
    </row>
    <row r="270">
      <c r="A270" s="84"/>
      <c r="B270" s="84" t="str">
        <f>IF(A270="","",VLOOKUP(A270,'BD Asesor'!$A$8:$E$1998,5,0))</f>
        <v/>
      </c>
      <c r="D270" s="84"/>
      <c r="F270" s="1" t="str">
        <f t="shared" si="1"/>
        <v/>
      </c>
    </row>
    <row r="271">
      <c r="A271" s="84"/>
      <c r="B271" s="84" t="str">
        <f>IF(A271="","",VLOOKUP(A271,'BD Asesor'!$A$8:$E$1998,5,0))</f>
        <v/>
      </c>
      <c r="D271" s="84"/>
      <c r="F271" s="1" t="str">
        <f t="shared" si="1"/>
        <v/>
      </c>
    </row>
    <row r="272">
      <c r="A272" s="84"/>
      <c r="B272" s="84" t="str">
        <f>IF(A272="","",VLOOKUP(A272,'BD Asesor'!$A$8:$E$1998,5,0))</f>
        <v/>
      </c>
      <c r="D272" s="84"/>
      <c r="F272" s="1" t="str">
        <f t="shared" si="1"/>
        <v/>
      </c>
    </row>
    <row r="273">
      <c r="A273" s="84"/>
      <c r="B273" s="84" t="str">
        <f>IF(A273="","",VLOOKUP(A273,'BD Asesor'!$A$8:$E$1998,5,0))</f>
        <v/>
      </c>
      <c r="D273" s="84"/>
      <c r="F273" s="1" t="str">
        <f t="shared" si="1"/>
        <v/>
      </c>
    </row>
    <row r="274">
      <c r="A274" s="84"/>
      <c r="B274" s="84" t="str">
        <f>IF(A274="","",VLOOKUP(A274,'BD Asesor'!$A$8:$E$1998,5,0))</f>
        <v/>
      </c>
      <c r="D274" s="84"/>
      <c r="F274" s="1" t="str">
        <f t="shared" si="1"/>
        <v/>
      </c>
    </row>
    <row r="275">
      <c r="A275" s="84"/>
      <c r="B275" s="84" t="str">
        <f>IF(A275="","",VLOOKUP(A275,'BD Asesor'!$A$8:$E$1998,5,0))</f>
        <v/>
      </c>
      <c r="D275" s="84"/>
      <c r="F275" s="1" t="str">
        <f t="shared" si="1"/>
        <v/>
      </c>
    </row>
    <row r="276">
      <c r="A276" s="84"/>
      <c r="B276" s="84" t="str">
        <f>IF(A276="","",VLOOKUP(A276,'BD Asesor'!$A$8:$E$1998,5,0))</f>
        <v/>
      </c>
      <c r="D276" s="84"/>
      <c r="F276" s="1" t="str">
        <f t="shared" si="1"/>
        <v/>
      </c>
    </row>
    <row r="277">
      <c r="A277" s="84"/>
      <c r="B277" s="84" t="str">
        <f>IF(A277="","",VLOOKUP(A277,'BD Asesor'!$A$8:$E$1998,5,0))</f>
        <v/>
      </c>
      <c r="D277" s="84"/>
      <c r="F277" s="1" t="str">
        <f t="shared" si="1"/>
        <v/>
      </c>
    </row>
    <row r="278">
      <c r="A278" s="84"/>
      <c r="B278" s="84" t="str">
        <f>IF(A278="","",VLOOKUP(A278,'BD Asesor'!$A$8:$E$1998,5,0))</f>
        <v/>
      </c>
      <c r="D278" s="84"/>
      <c r="F278" s="1" t="str">
        <f t="shared" si="1"/>
        <v/>
      </c>
    </row>
    <row r="279">
      <c r="A279" s="84"/>
      <c r="B279" s="84" t="str">
        <f>IF(A279="","",VLOOKUP(A279,'BD Asesor'!$A$8:$E$1998,5,0))</f>
        <v/>
      </c>
      <c r="D279" s="84"/>
      <c r="F279" s="1" t="str">
        <f t="shared" si="1"/>
        <v/>
      </c>
    </row>
    <row r="280">
      <c r="A280" s="84"/>
      <c r="B280" s="84" t="str">
        <f>IF(A280="","",VLOOKUP(A280,'BD Asesor'!$A$8:$E$1998,5,0))</f>
        <v/>
      </c>
      <c r="D280" s="84"/>
      <c r="F280" s="1" t="str">
        <f t="shared" si="1"/>
        <v/>
      </c>
    </row>
    <row r="281">
      <c r="A281" s="84"/>
      <c r="B281" s="84" t="str">
        <f>IF(A281="","",VLOOKUP(A281,'BD Asesor'!$A$8:$E$1998,5,0))</f>
        <v/>
      </c>
      <c r="D281" s="84"/>
      <c r="F281" s="1" t="str">
        <f t="shared" si="1"/>
        <v/>
      </c>
    </row>
    <row r="282">
      <c r="A282" s="84"/>
      <c r="B282" s="84" t="str">
        <f>IF(A282="","",VLOOKUP(A282,'BD Asesor'!$A$8:$E$1998,5,0))</f>
        <v/>
      </c>
      <c r="D282" s="84"/>
      <c r="F282" s="1" t="str">
        <f t="shared" si="1"/>
        <v/>
      </c>
    </row>
    <row r="283">
      <c r="A283" s="84"/>
      <c r="B283" s="84" t="str">
        <f>IF(A283="","",VLOOKUP(A283,'BD Asesor'!$A$8:$E$1998,5,0))</f>
        <v/>
      </c>
      <c r="D283" s="84"/>
      <c r="F283" s="1" t="str">
        <f t="shared" si="1"/>
        <v/>
      </c>
    </row>
    <row r="284">
      <c r="A284" s="84"/>
      <c r="B284" s="84" t="str">
        <f>IF(A284="","",VLOOKUP(A284,'BD Asesor'!$A$8:$E$1998,5,0))</f>
        <v/>
      </c>
      <c r="D284" s="84"/>
      <c r="F284" s="1" t="str">
        <f t="shared" si="1"/>
        <v/>
      </c>
    </row>
    <row r="285">
      <c r="A285" s="84"/>
      <c r="B285" s="84" t="str">
        <f>IF(A285="","",VLOOKUP(A285,'BD Asesor'!$A$8:$E$1998,5,0))</f>
        <v/>
      </c>
      <c r="D285" s="84"/>
      <c r="F285" s="1" t="str">
        <f t="shared" si="1"/>
        <v/>
      </c>
    </row>
    <row r="286">
      <c r="A286" s="84"/>
      <c r="B286" s="84" t="str">
        <f>IF(A286="","",VLOOKUP(A286,'BD Asesor'!$A$8:$E$1998,5,0))</f>
        <v/>
      </c>
      <c r="D286" s="84"/>
      <c r="F286" s="1" t="str">
        <f t="shared" si="1"/>
        <v/>
      </c>
    </row>
    <row r="287">
      <c r="A287" s="84"/>
      <c r="B287" s="84" t="str">
        <f>IF(A287="","",VLOOKUP(A287,'BD Asesor'!$A$8:$E$1998,5,0))</f>
        <v/>
      </c>
      <c r="D287" s="84"/>
      <c r="F287" s="1" t="str">
        <f t="shared" si="1"/>
        <v/>
      </c>
    </row>
    <row r="288">
      <c r="A288" s="84"/>
      <c r="B288" s="84" t="str">
        <f>IF(A288="","",VLOOKUP(A288,'BD Asesor'!$A$8:$E$1998,5,0))</f>
        <v/>
      </c>
      <c r="D288" s="84"/>
      <c r="F288" s="1" t="str">
        <f t="shared" si="1"/>
        <v/>
      </c>
    </row>
    <row r="289">
      <c r="A289" s="84"/>
      <c r="B289" s="84" t="str">
        <f>IF(A289="","",VLOOKUP(A289,'BD Asesor'!$A$8:$E$1998,5,0))</f>
        <v/>
      </c>
      <c r="D289" s="84"/>
      <c r="F289" s="1" t="str">
        <f t="shared" si="1"/>
        <v/>
      </c>
    </row>
    <row r="290">
      <c r="A290" s="84"/>
      <c r="B290" s="84" t="str">
        <f>IF(A290="","",VLOOKUP(A290,'BD Asesor'!$A$8:$E$1998,5,0))</f>
        <v/>
      </c>
      <c r="D290" s="84"/>
      <c r="F290" s="1" t="str">
        <f t="shared" si="1"/>
        <v/>
      </c>
    </row>
    <row r="291">
      <c r="A291" s="84"/>
      <c r="B291" s="84" t="str">
        <f>IF(A291="","",VLOOKUP(A291,'BD Asesor'!$A$8:$E$1998,5,0))</f>
        <v/>
      </c>
      <c r="D291" s="84"/>
      <c r="F291" s="1" t="str">
        <f t="shared" si="1"/>
        <v/>
      </c>
    </row>
    <row r="292">
      <c r="A292" s="84"/>
      <c r="B292" s="84" t="str">
        <f>IF(A292="","",VLOOKUP(A292,'BD Asesor'!$A$8:$E$1998,5,0))</f>
        <v/>
      </c>
      <c r="D292" s="84"/>
      <c r="F292" s="1" t="str">
        <f t="shared" si="1"/>
        <v/>
      </c>
    </row>
    <row r="293">
      <c r="A293" s="84"/>
      <c r="B293" s="84" t="str">
        <f>IF(A293="","",VLOOKUP(A293,'BD Asesor'!$A$8:$E$1998,5,0))</f>
        <v/>
      </c>
      <c r="D293" s="84"/>
      <c r="F293" s="1" t="str">
        <f t="shared" si="1"/>
        <v/>
      </c>
    </row>
    <row r="294">
      <c r="A294" s="84"/>
      <c r="B294" s="84" t="str">
        <f>IF(A294="","",VLOOKUP(A294,'BD Asesor'!$A$8:$E$1998,5,0))</f>
        <v/>
      </c>
      <c r="D294" s="84"/>
      <c r="F294" s="1" t="str">
        <f t="shared" si="1"/>
        <v/>
      </c>
    </row>
    <row r="295">
      <c r="A295" s="84"/>
      <c r="B295" s="84" t="str">
        <f>IF(A295="","",VLOOKUP(A295,'BD Asesor'!$A$8:$E$1998,5,0))</f>
        <v/>
      </c>
      <c r="D295" s="84"/>
      <c r="F295" s="1" t="str">
        <f t="shared" si="1"/>
        <v/>
      </c>
    </row>
    <row r="296">
      <c r="A296" s="84"/>
      <c r="B296" s="84" t="str">
        <f>IF(A296="","",VLOOKUP(A296,'BD Asesor'!$A$8:$E$1998,5,0))</f>
        <v/>
      </c>
      <c r="D296" s="84"/>
      <c r="F296" s="1" t="str">
        <f t="shared" si="1"/>
        <v/>
      </c>
    </row>
    <row r="297">
      <c r="A297" s="84"/>
      <c r="B297" s="84" t="str">
        <f>IF(A297="","",VLOOKUP(A297,'BD Asesor'!$A$8:$E$1998,5,0))</f>
        <v/>
      </c>
      <c r="D297" s="84"/>
      <c r="F297" s="1" t="str">
        <f t="shared" si="1"/>
        <v/>
      </c>
    </row>
    <row r="298">
      <c r="A298" s="84"/>
      <c r="B298" s="84" t="str">
        <f>IF(A298="","",VLOOKUP(A298,'BD Asesor'!$A$8:$E$1998,5,0))</f>
        <v/>
      </c>
      <c r="D298" s="84"/>
      <c r="F298" s="1" t="str">
        <f t="shared" si="1"/>
        <v/>
      </c>
    </row>
    <row r="299">
      <c r="A299" s="84"/>
      <c r="B299" s="84" t="str">
        <f>IF(A299="","",VLOOKUP(A299,'BD Asesor'!$A$8:$E$1998,5,0))</f>
        <v/>
      </c>
      <c r="D299" s="84"/>
      <c r="F299" s="1" t="str">
        <f t="shared" si="1"/>
        <v/>
      </c>
    </row>
    <row r="300">
      <c r="A300" s="84"/>
      <c r="B300" s="84" t="str">
        <f>IF(A300="","",VLOOKUP(A300,'BD Asesor'!$A$8:$E$1998,5,0))</f>
        <v/>
      </c>
      <c r="D300" s="84"/>
      <c r="F300" s="1" t="str">
        <f t="shared" si="1"/>
        <v/>
      </c>
    </row>
    <row r="301">
      <c r="A301" s="84"/>
      <c r="B301" s="84" t="str">
        <f>IF(A301="","",VLOOKUP(A301,'BD Asesor'!$A$8:$E$1998,5,0))</f>
        <v/>
      </c>
      <c r="D301" s="84"/>
      <c r="F301" s="1" t="str">
        <f t="shared" si="1"/>
        <v/>
      </c>
    </row>
    <row r="302">
      <c r="A302" s="84"/>
      <c r="B302" s="84" t="str">
        <f>IF(A302="","",VLOOKUP(A302,'BD Asesor'!$A$8:$E$1998,5,0))</f>
        <v/>
      </c>
      <c r="D302" s="84"/>
      <c r="F302" s="1" t="str">
        <f t="shared" si="1"/>
        <v/>
      </c>
    </row>
    <row r="303">
      <c r="A303" s="84"/>
      <c r="B303" s="84" t="str">
        <f>IF(A303="","",VLOOKUP(A303,'BD Asesor'!$A$8:$E$1998,5,0))</f>
        <v/>
      </c>
      <c r="D303" s="84"/>
      <c r="F303" s="1" t="str">
        <f t="shared" si="1"/>
        <v/>
      </c>
    </row>
    <row r="304">
      <c r="A304" s="84"/>
      <c r="B304" s="84" t="str">
        <f>IF(A304="","",VLOOKUP(A304,'BD Asesor'!$A$8:$E$1998,5,0))</f>
        <v/>
      </c>
      <c r="D304" s="84"/>
      <c r="F304" s="1" t="str">
        <f t="shared" si="1"/>
        <v/>
      </c>
    </row>
    <row r="305">
      <c r="A305" s="84"/>
      <c r="B305" s="84" t="str">
        <f>IF(A305="","",VLOOKUP(A305,'BD Asesor'!$A$8:$E$1998,5,0))</f>
        <v/>
      </c>
      <c r="D305" s="84"/>
      <c r="F305" s="1" t="str">
        <f t="shared" si="1"/>
        <v/>
      </c>
    </row>
    <row r="306">
      <c r="A306" s="84"/>
      <c r="B306" s="84" t="str">
        <f>IF(A306="","",VLOOKUP(A306,'BD Asesor'!$A$8:$E$1998,5,0))</f>
        <v/>
      </c>
      <c r="D306" s="84"/>
      <c r="F306" s="1" t="str">
        <f t="shared" si="1"/>
        <v/>
      </c>
    </row>
    <row r="307">
      <c r="A307" s="84"/>
      <c r="B307" s="84" t="str">
        <f>IF(A307="","",VLOOKUP(A307,'BD Asesor'!$A$8:$E$1998,5,0))</f>
        <v/>
      </c>
      <c r="D307" s="84"/>
      <c r="F307" s="1" t="str">
        <f t="shared" si="1"/>
        <v/>
      </c>
    </row>
    <row r="308">
      <c r="A308" s="84"/>
      <c r="B308" s="84" t="str">
        <f>IF(A308="","",VLOOKUP(A308,'BD Asesor'!$A$8:$E$1998,5,0))</f>
        <v/>
      </c>
      <c r="D308" s="84"/>
      <c r="F308" s="1" t="str">
        <f t="shared" si="1"/>
        <v/>
      </c>
    </row>
    <row r="309">
      <c r="A309" s="84"/>
      <c r="B309" s="84" t="str">
        <f>IF(A309="","",VLOOKUP(A309,'BD Asesor'!$A$8:$E$1998,5,0))</f>
        <v/>
      </c>
      <c r="D309" s="84"/>
      <c r="F309" s="1" t="str">
        <f t="shared" si="1"/>
        <v/>
      </c>
    </row>
    <row r="310">
      <c r="A310" s="84"/>
      <c r="B310" s="84" t="str">
        <f>IF(A310="","",VLOOKUP(A310,'BD Asesor'!$A$8:$E$1998,5,0))</f>
        <v/>
      </c>
      <c r="D310" s="84"/>
      <c r="F310" s="1" t="str">
        <f t="shared" si="1"/>
        <v/>
      </c>
    </row>
    <row r="311">
      <c r="A311" s="84"/>
      <c r="B311" s="84" t="str">
        <f>IF(A311="","",VLOOKUP(A311,'BD Asesor'!$A$8:$E$1998,5,0))</f>
        <v/>
      </c>
      <c r="D311" s="84"/>
      <c r="F311" s="1" t="str">
        <f t="shared" si="1"/>
        <v/>
      </c>
    </row>
    <row r="312">
      <c r="A312" s="84"/>
      <c r="B312" s="84" t="str">
        <f>IF(A312="","",VLOOKUP(A312,'BD Asesor'!$A$8:$E$1998,5,0))</f>
        <v/>
      </c>
      <c r="D312" s="84"/>
      <c r="F312" s="1" t="str">
        <f t="shared" si="1"/>
        <v/>
      </c>
    </row>
    <row r="313">
      <c r="A313" s="84"/>
      <c r="B313" s="84" t="str">
        <f>IF(A313="","",VLOOKUP(A313,'BD Asesor'!$A$8:$E$1998,5,0))</f>
        <v/>
      </c>
      <c r="D313" s="84"/>
      <c r="F313" s="1" t="str">
        <f t="shared" si="1"/>
        <v/>
      </c>
    </row>
    <row r="314">
      <c r="A314" s="84"/>
      <c r="B314" s="84" t="str">
        <f>IF(A314="","",VLOOKUP(A314,'BD Asesor'!$A$8:$E$1998,5,0))</f>
        <v/>
      </c>
      <c r="D314" s="84"/>
      <c r="F314" s="1" t="str">
        <f t="shared" si="1"/>
        <v/>
      </c>
    </row>
    <row r="315">
      <c r="A315" s="84"/>
      <c r="B315" s="84" t="str">
        <f>IF(A315="","",VLOOKUP(A315,'BD Asesor'!$A$8:$E$1998,5,0))</f>
        <v/>
      </c>
      <c r="D315" s="84"/>
      <c r="F315" s="1" t="str">
        <f t="shared" si="1"/>
        <v/>
      </c>
    </row>
    <row r="316">
      <c r="A316" s="84"/>
      <c r="B316" s="84" t="str">
        <f>IF(A316="","",VLOOKUP(A316,'BD Asesor'!$A$8:$E$1998,5,0))</f>
        <v/>
      </c>
      <c r="D316" s="84"/>
      <c r="F316" s="1" t="str">
        <f t="shared" si="1"/>
        <v/>
      </c>
    </row>
    <row r="317">
      <c r="A317" s="84"/>
      <c r="B317" s="84" t="str">
        <f>IF(A317="","",VLOOKUP(A317,'BD Asesor'!$A$8:$E$1998,5,0))</f>
        <v/>
      </c>
      <c r="D317" s="84"/>
      <c r="F317" s="1" t="str">
        <f t="shared" si="1"/>
        <v/>
      </c>
    </row>
    <row r="318">
      <c r="A318" s="84"/>
      <c r="B318" s="84" t="str">
        <f>IF(A318="","",VLOOKUP(A318,'BD Asesor'!$A$8:$E$1998,5,0))</f>
        <v/>
      </c>
      <c r="D318" s="84"/>
      <c r="F318" s="1" t="str">
        <f t="shared" si="1"/>
        <v/>
      </c>
    </row>
    <row r="319">
      <c r="A319" s="84"/>
      <c r="B319" s="84" t="str">
        <f>IF(A319="","",VLOOKUP(A319,'BD Asesor'!$A$8:$E$1998,5,0))</f>
        <v/>
      </c>
      <c r="D319" s="84"/>
      <c r="F319" s="1" t="str">
        <f t="shared" si="1"/>
        <v/>
      </c>
    </row>
    <row r="320">
      <c r="A320" s="84"/>
      <c r="B320" s="84" t="str">
        <f>IF(A320="","",VLOOKUP(A320,'BD Asesor'!$A$8:$E$1998,5,0))</f>
        <v/>
      </c>
      <c r="D320" s="84"/>
      <c r="F320" s="1" t="str">
        <f t="shared" si="1"/>
        <v/>
      </c>
    </row>
    <row r="321">
      <c r="A321" s="84"/>
      <c r="B321" s="84" t="str">
        <f>IF(A321="","",VLOOKUP(A321,'BD Asesor'!$A$8:$E$1998,5,0))</f>
        <v/>
      </c>
      <c r="D321" s="84"/>
      <c r="F321" s="1" t="str">
        <f t="shared" si="1"/>
        <v/>
      </c>
    </row>
    <row r="322">
      <c r="A322" s="84"/>
      <c r="B322" s="84" t="str">
        <f>IF(A322="","",VLOOKUP(A322,'BD Asesor'!$A$8:$E$1998,5,0))</f>
        <v/>
      </c>
      <c r="D322" s="84"/>
      <c r="F322" s="1" t="str">
        <f t="shared" si="1"/>
        <v/>
      </c>
    </row>
    <row r="323">
      <c r="A323" s="84"/>
      <c r="B323" s="84" t="str">
        <f>IF(A323="","",VLOOKUP(A323,'BD Asesor'!$A$8:$E$1998,5,0))</f>
        <v/>
      </c>
      <c r="D323" s="84"/>
      <c r="F323" s="1" t="str">
        <f t="shared" si="1"/>
        <v/>
      </c>
    </row>
    <row r="324">
      <c r="A324" s="84"/>
      <c r="B324" s="84" t="str">
        <f>IF(A324="","",VLOOKUP(A324,'BD Asesor'!$A$8:$E$1998,5,0))</f>
        <v/>
      </c>
      <c r="D324" s="84"/>
      <c r="F324" s="1" t="str">
        <f t="shared" si="1"/>
        <v/>
      </c>
    </row>
    <row r="325">
      <c r="A325" s="84"/>
      <c r="B325" s="84" t="str">
        <f>IF(A325="","",VLOOKUP(A325,'BD Asesor'!$A$8:$E$1998,5,0))</f>
        <v/>
      </c>
      <c r="D325" s="84"/>
      <c r="F325" s="1" t="str">
        <f t="shared" si="1"/>
        <v/>
      </c>
    </row>
    <row r="326">
      <c r="A326" s="84"/>
      <c r="B326" s="84" t="str">
        <f>IF(A326="","",VLOOKUP(A326,'BD Asesor'!$A$8:$E$1998,5,0))</f>
        <v/>
      </c>
      <c r="D326" s="84"/>
      <c r="F326" s="1" t="str">
        <f t="shared" si="1"/>
        <v/>
      </c>
    </row>
    <row r="327">
      <c r="A327" s="84"/>
      <c r="B327" s="84" t="str">
        <f>IF(A327="","",VLOOKUP(A327,'BD Asesor'!$A$8:$E$1998,5,0))</f>
        <v/>
      </c>
      <c r="D327" s="84"/>
      <c r="F327" s="1" t="str">
        <f t="shared" si="1"/>
        <v/>
      </c>
    </row>
    <row r="328">
      <c r="A328" s="84"/>
      <c r="B328" s="84" t="str">
        <f>IF(A328="","",VLOOKUP(A328,'BD Asesor'!$A$8:$E$1998,5,0))</f>
        <v/>
      </c>
      <c r="D328" s="84"/>
      <c r="F328" s="1" t="str">
        <f t="shared" si="1"/>
        <v/>
      </c>
    </row>
    <row r="329">
      <c r="A329" s="84"/>
      <c r="B329" s="84" t="str">
        <f>IF(A329="","",VLOOKUP(A329,'BD Asesor'!$A$8:$E$1998,5,0))</f>
        <v/>
      </c>
      <c r="D329" s="84"/>
      <c r="F329" s="1" t="str">
        <f t="shared" si="1"/>
        <v/>
      </c>
    </row>
    <row r="330">
      <c r="A330" s="84"/>
      <c r="B330" s="84" t="str">
        <f>IF(A330="","",VLOOKUP(A330,'BD Asesor'!$A$8:$E$1998,5,0))</f>
        <v/>
      </c>
      <c r="D330" s="84"/>
      <c r="F330" s="1" t="str">
        <f t="shared" si="1"/>
        <v/>
      </c>
    </row>
    <row r="331">
      <c r="A331" s="84"/>
      <c r="B331" s="84" t="str">
        <f>IF(A331="","",VLOOKUP(A331,'BD Asesor'!$A$8:$E$1998,5,0))</f>
        <v/>
      </c>
      <c r="D331" s="84"/>
      <c r="F331" s="1" t="str">
        <f t="shared" si="1"/>
        <v/>
      </c>
    </row>
    <row r="332">
      <c r="A332" s="84"/>
      <c r="B332" s="84" t="str">
        <f>IF(A332="","",VLOOKUP(A332,'BD Asesor'!$A$8:$E$1998,5,0))</f>
        <v/>
      </c>
      <c r="D332" s="84"/>
      <c r="F332" s="1" t="str">
        <f t="shared" si="1"/>
        <v/>
      </c>
    </row>
    <row r="333">
      <c r="A333" s="84"/>
      <c r="B333" s="84" t="str">
        <f>IF(A333="","",VLOOKUP(A333,'BD Asesor'!$A$8:$E$1998,5,0))</f>
        <v/>
      </c>
      <c r="D333" s="84"/>
      <c r="F333" s="1" t="str">
        <f t="shared" si="1"/>
        <v/>
      </c>
    </row>
    <row r="334">
      <c r="A334" s="84"/>
      <c r="B334" s="84" t="str">
        <f>IF(A334="","",VLOOKUP(A334,'BD Asesor'!$A$8:$E$1998,5,0))</f>
        <v/>
      </c>
      <c r="D334" s="84"/>
      <c r="F334" s="1" t="str">
        <f t="shared" si="1"/>
        <v/>
      </c>
    </row>
    <row r="335">
      <c r="A335" s="84"/>
      <c r="B335" s="84" t="str">
        <f>IF(A335="","",VLOOKUP(A335,'BD Asesor'!$A$8:$E$1998,5,0))</f>
        <v/>
      </c>
      <c r="D335" s="84"/>
      <c r="F335" s="1" t="str">
        <f t="shared" si="1"/>
        <v/>
      </c>
    </row>
    <row r="336">
      <c r="A336" s="84"/>
      <c r="B336" s="84" t="str">
        <f>IF(A336="","",VLOOKUP(A336,'BD Asesor'!$A$8:$E$1998,5,0))</f>
        <v/>
      </c>
      <c r="D336" s="84"/>
      <c r="F336" s="1" t="str">
        <f t="shared" si="1"/>
        <v/>
      </c>
    </row>
    <row r="337">
      <c r="A337" s="84"/>
      <c r="B337" s="84" t="str">
        <f>IF(A337="","",VLOOKUP(A337,'BD Asesor'!$A$8:$E$1998,5,0))</f>
        <v/>
      </c>
      <c r="D337" s="84"/>
      <c r="F337" s="1" t="str">
        <f t="shared" si="1"/>
        <v/>
      </c>
    </row>
    <row r="338">
      <c r="A338" s="84"/>
      <c r="B338" s="84" t="str">
        <f>IF(A338="","",VLOOKUP(A338,'BD Asesor'!$A$8:$E$1998,5,0))</f>
        <v/>
      </c>
      <c r="D338" s="84"/>
      <c r="F338" s="1" t="str">
        <f t="shared" si="1"/>
        <v/>
      </c>
    </row>
    <row r="339">
      <c r="A339" s="84"/>
      <c r="B339" s="84" t="str">
        <f>IF(A339="","",VLOOKUP(A339,'BD Asesor'!$A$8:$E$1998,5,0))</f>
        <v/>
      </c>
      <c r="D339" s="84"/>
      <c r="F339" s="1" t="str">
        <f t="shared" si="1"/>
        <v/>
      </c>
    </row>
    <row r="340">
      <c r="A340" s="84"/>
      <c r="B340" s="84" t="str">
        <f>IF(A340="","",VLOOKUP(A340,'BD Asesor'!$A$8:$E$1998,5,0))</f>
        <v/>
      </c>
      <c r="D340" s="84"/>
      <c r="F340" s="1" t="str">
        <f t="shared" si="1"/>
        <v/>
      </c>
    </row>
    <row r="341">
      <c r="A341" s="84"/>
      <c r="B341" s="84" t="str">
        <f>IF(A341="","",VLOOKUP(A341,'BD Asesor'!$A$8:$E$1998,5,0))</f>
        <v/>
      </c>
      <c r="D341" s="84"/>
      <c r="F341" s="1" t="str">
        <f t="shared" si="1"/>
        <v/>
      </c>
    </row>
    <row r="342">
      <c r="A342" s="84"/>
      <c r="B342" s="84" t="str">
        <f>IF(A342="","",VLOOKUP(A342,'BD Asesor'!$A$8:$E$1998,5,0))</f>
        <v/>
      </c>
      <c r="D342" s="84"/>
      <c r="F342" s="1" t="str">
        <f t="shared" si="1"/>
        <v/>
      </c>
    </row>
    <row r="343">
      <c r="A343" s="84"/>
      <c r="B343" s="84" t="str">
        <f>IF(A343="","",VLOOKUP(A343,'BD Asesor'!$A$8:$E$1998,5,0))</f>
        <v/>
      </c>
      <c r="D343" s="84"/>
      <c r="F343" s="1" t="str">
        <f t="shared" si="1"/>
        <v/>
      </c>
    </row>
    <row r="344">
      <c r="A344" s="84"/>
      <c r="B344" s="84" t="str">
        <f>IF(A344="","",VLOOKUP(A344,'BD Asesor'!$A$8:$E$1998,5,0))</f>
        <v/>
      </c>
      <c r="D344" s="84"/>
      <c r="F344" s="1" t="str">
        <f t="shared" si="1"/>
        <v/>
      </c>
    </row>
    <row r="345">
      <c r="A345" s="84"/>
      <c r="B345" s="84" t="str">
        <f>IF(A345="","",VLOOKUP(A345,'BD Asesor'!$A$8:$E$1998,5,0))</f>
        <v/>
      </c>
      <c r="D345" s="84"/>
      <c r="F345" s="1" t="str">
        <f t="shared" si="1"/>
        <v/>
      </c>
    </row>
    <row r="346">
      <c r="A346" s="84"/>
      <c r="B346" s="84" t="str">
        <f>IF(A346="","",VLOOKUP(A346,'BD Asesor'!$A$8:$E$1998,5,0))</f>
        <v/>
      </c>
      <c r="D346" s="84"/>
      <c r="F346" s="1" t="str">
        <f t="shared" si="1"/>
        <v/>
      </c>
    </row>
    <row r="347">
      <c r="A347" s="84"/>
      <c r="B347" s="84" t="str">
        <f>IF(A347="","",VLOOKUP(A347,'BD Asesor'!$A$8:$E$1998,5,0))</f>
        <v/>
      </c>
      <c r="D347" s="84"/>
      <c r="F347" s="1" t="str">
        <f t="shared" si="1"/>
        <v/>
      </c>
    </row>
    <row r="348">
      <c r="A348" s="84"/>
      <c r="B348" s="84" t="str">
        <f>IF(A348="","",VLOOKUP(A348,'BD Asesor'!$A$8:$E$1998,5,0))</f>
        <v/>
      </c>
      <c r="D348" s="84"/>
      <c r="F348" s="1" t="str">
        <f t="shared" si="1"/>
        <v/>
      </c>
    </row>
    <row r="349">
      <c r="A349" s="84"/>
      <c r="B349" s="84" t="str">
        <f>IF(A349="","",VLOOKUP(A349,'BD Asesor'!$A$8:$E$1998,5,0))</f>
        <v/>
      </c>
      <c r="D349" s="84"/>
      <c r="F349" s="1" t="str">
        <f t="shared" si="1"/>
        <v/>
      </c>
    </row>
    <row r="350">
      <c r="A350" s="84"/>
      <c r="B350" s="84" t="str">
        <f>IF(A350="","",VLOOKUP(A350,'BD Asesor'!$A$8:$E$1998,5,0))</f>
        <v/>
      </c>
      <c r="D350" s="84"/>
      <c r="F350" s="1" t="str">
        <f t="shared" si="1"/>
        <v/>
      </c>
    </row>
    <row r="351">
      <c r="A351" s="84"/>
      <c r="B351" s="84" t="str">
        <f>IF(A351="","",VLOOKUP(A351,'BD Asesor'!$A$8:$E$1998,5,0))</f>
        <v/>
      </c>
      <c r="D351" s="84"/>
      <c r="F351" s="1" t="str">
        <f t="shared" si="1"/>
        <v/>
      </c>
    </row>
    <row r="352">
      <c r="A352" s="84"/>
      <c r="B352" s="84" t="str">
        <f>IF(A352="","",VLOOKUP(A352,'BD Asesor'!$A$8:$E$1998,5,0))</f>
        <v/>
      </c>
      <c r="D352" s="84"/>
      <c r="F352" s="1" t="str">
        <f t="shared" si="1"/>
        <v/>
      </c>
    </row>
    <row r="353">
      <c r="A353" s="84"/>
      <c r="B353" s="84" t="str">
        <f>IF(A353="","",VLOOKUP(A353,'BD Asesor'!$A$8:$E$1998,5,0))</f>
        <v/>
      </c>
      <c r="D353" s="84"/>
      <c r="F353" s="1" t="str">
        <f t="shared" si="1"/>
        <v/>
      </c>
    </row>
    <row r="354">
      <c r="A354" s="84"/>
      <c r="B354" s="84" t="str">
        <f>IF(A354="","",VLOOKUP(A354,'BD Asesor'!$A$8:$E$1998,5,0))</f>
        <v/>
      </c>
      <c r="D354" s="84"/>
      <c r="F354" s="1" t="str">
        <f t="shared" si="1"/>
        <v/>
      </c>
    </row>
    <row r="355">
      <c r="A355" s="84"/>
      <c r="B355" s="84" t="str">
        <f>IF(A355="","",VLOOKUP(A355,'BD Asesor'!$A$8:$E$1998,5,0))</f>
        <v/>
      </c>
      <c r="D355" s="84"/>
      <c r="F355" s="1" t="str">
        <f t="shared" si="1"/>
        <v/>
      </c>
    </row>
    <row r="356">
      <c r="A356" s="84"/>
      <c r="B356" s="84" t="str">
        <f>IF(A356="","",VLOOKUP(A356,'BD Asesor'!$A$8:$E$1998,5,0))</f>
        <v/>
      </c>
      <c r="D356" s="84"/>
      <c r="F356" s="1" t="str">
        <f t="shared" si="1"/>
        <v/>
      </c>
    </row>
    <row r="357">
      <c r="A357" s="84"/>
      <c r="B357" s="84" t="str">
        <f>IF(A357="","",VLOOKUP(A357,'BD Asesor'!$A$8:$E$1998,5,0))</f>
        <v/>
      </c>
      <c r="D357" s="84"/>
      <c r="F357" s="1" t="str">
        <f t="shared" si="1"/>
        <v/>
      </c>
    </row>
    <row r="358">
      <c r="A358" s="84"/>
      <c r="B358" s="84" t="str">
        <f>IF(A358="","",VLOOKUP(A358,'BD Asesor'!$A$8:$E$1998,5,0))</f>
        <v/>
      </c>
      <c r="D358" s="84"/>
      <c r="F358" s="1" t="str">
        <f t="shared" si="1"/>
        <v/>
      </c>
    </row>
    <row r="359">
      <c r="A359" s="84"/>
      <c r="B359" s="84" t="str">
        <f>IF(A359="","",VLOOKUP(A359,'BD Asesor'!$A$8:$E$1998,5,0))</f>
        <v/>
      </c>
      <c r="D359" s="84"/>
      <c r="F359" s="1" t="str">
        <f t="shared" si="1"/>
        <v/>
      </c>
    </row>
    <row r="360">
      <c r="A360" s="84"/>
      <c r="B360" s="84" t="str">
        <f>IF(A360="","",VLOOKUP(A360,'BD Asesor'!$A$8:$E$1998,5,0))</f>
        <v/>
      </c>
      <c r="D360" s="84"/>
      <c r="F360" s="1" t="str">
        <f t="shared" si="1"/>
        <v/>
      </c>
    </row>
    <row r="361">
      <c r="A361" s="84"/>
      <c r="B361" s="84" t="str">
        <f>IF(A361="","",VLOOKUP(A361,'BD Asesor'!$A$8:$E$1998,5,0))</f>
        <v/>
      </c>
      <c r="D361" s="84"/>
      <c r="F361" s="1" t="str">
        <f t="shared" si="1"/>
        <v/>
      </c>
    </row>
    <row r="362">
      <c r="A362" s="84"/>
      <c r="B362" s="84" t="str">
        <f>IF(A362="","",VLOOKUP(A362,'BD Asesor'!$A$8:$E$1998,5,0))</f>
        <v/>
      </c>
      <c r="D362" s="84"/>
      <c r="F362" s="1" t="str">
        <f t="shared" si="1"/>
        <v/>
      </c>
    </row>
    <row r="363">
      <c r="A363" s="84"/>
      <c r="B363" s="84" t="str">
        <f>IF(A363="","",VLOOKUP(A363,'BD Asesor'!$A$8:$E$1998,5,0))</f>
        <v/>
      </c>
      <c r="D363" s="84"/>
      <c r="F363" s="1" t="str">
        <f t="shared" si="1"/>
        <v/>
      </c>
    </row>
    <row r="364">
      <c r="A364" s="84"/>
      <c r="B364" s="84" t="str">
        <f>IF(A364="","",VLOOKUP(A364,'BD Asesor'!$A$8:$E$1998,5,0))</f>
        <v/>
      </c>
      <c r="D364" s="84"/>
      <c r="F364" s="1" t="str">
        <f t="shared" si="1"/>
        <v/>
      </c>
    </row>
    <row r="365">
      <c r="A365" s="84"/>
      <c r="B365" s="84" t="str">
        <f>IF(A365="","",VLOOKUP(A365,'BD Asesor'!$A$8:$E$1998,5,0))</f>
        <v/>
      </c>
      <c r="D365" s="84"/>
      <c r="F365" s="1" t="str">
        <f t="shared" si="1"/>
        <v/>
      </c>
    </row>
    <row r="366">
      <c r="A366" s="84"/>
      <c r="B366" s="84" t="str">
        <f>IF(A366="","",VLOOKUP(A366,'BD Asesor'!$A$8:$E$1998,5,0))</f>
        <v/>
      </c>
      <c r="D366" s="84"/>
      <c r="F366" s="1" t="str">
        <f t="shared" si="1"/>
        <v/>
      </c>
    </row>
    <row r="367">
      <c r="A367" s="84"/>
      <c r="B367" s="84" t="str">
        <f>IF(A367="","",VLOOKUP(A367,'BD Asesor'!$A$8:$E$1998,5,0))</f>
        <v/>
      </c>
      <c r="D367" s="84"/>
      <c r="F367" s="1" t="str">
        <f t="shared" si="1"/>
        <v/>
      </c>
    </row>
    <row r="368">
      <c r="A368" s="84"/>
      <c r="B368" s="84" t="str">
        <f>IF(A368="","",VLOOKUP(A368,'BD Asesor'!$A$8:$E$1998,5,0))</f>
        <v/>
      </c>
      <c r="D368" s="84"/>
      <c r="F368" s="1" t="str">
        <f t="shared" si="1"/>
        <v/>
      </c>
    </row>
    <row r="369">
      <c r="A369" s="84"/>
      <c r="B369" s="84" t="str">
        <f>IF(A369="","",VLOOKUP(A369,'BD Asesor'!$A$8:$E$1998,5,0))</f>
        <v/>
      </c>
      <c r="D369" s="84"/>
      <c r="F369" s="1" t="str">
        <f t="shared" si="1"/>
        <v/>
      </c>
    </row>
    <row r="370">
      <c r="A370" s="84"/>
      <c r="B370" s="84" t="str">
        <f>IF(A370="","",VLOOKUP(A370,'BD Asesor'!$A$8:$E$1998,5,0))</f>
        <v/>
      </c>
      <c r="D370" s="84"/>
      <c r="F370" s="1" t="str">
        <f t="shared" si="1"/>
        <v/>
      </c>
    </row>
    <row r="371">
      <c r="A371" s="84"/>
      <c r="B371" s="84" t="str">
        <f>IF(A371="","",VLOOKUP(A371,'BD Asesor'!$A$8:$E$1998,5,0))</f>
        <v/>
      </c>
      <c r="D371" s="84"/>
      <c r="F371" s="1" t="str">
        <f t="shared" si="1"/>
        <v/>
      </c>
    </row>
    <row r="372">
      <c r="A372" s="84"/>
      <c r="B372" s="84" t="str">
        <f>IF(A372="","",VLOOKUP(A372,'BD Asesor'!$A$8:$E$1998,5,0))</f>
        <v/>
      </c>
      <c r="D372" s="84"/>
      <c r="F372" s="1" t="str">
        <f t="shared" si="1"/>
        <v/>
      </c>
    </row>
    <row r="373">
      <c r="A373" s="84"/>
      <c r="B373" s="84" t="str">
        <f>IF(A373="","",VLOOKUP(A373,'BD Asesor'!$A$8:$E$1998,5,0))</f>
        <v/>
      </c>
      <c r="D373" s="84"/>
      <c r="F373" s="1" t="str">
        <f t="shared" si="1"/>
        <v/>
      </c>
    </row>
    <row r="374">
      <c r="A374" s="84"/>
      <c r="B374" s="84" t="str">
        <f>IF(A374="","",VLOOKUP(A374,'BD Asesor'!$A$8:$E$1998,5,0))</f>
        <v/>
      </c>
      <c r="D374" s="84"/>
      <c r="F374" s="1" t="str">
        <f t="shared" si="1"/>
        <v/>
      </c>
    </row>
    <row r="375">
      <c r="A375" s="84"/>
      <c r="B375" s="84" t="str">
        <f>IF(A375="","",VLOOKUP(A375,'BD Asesor'!$A$8:$E$1998,5,0))</f>
        <v/>
      </c>
      <c r="D375" s="84"/>
      <c r="F375" s="1" t="str">
        <f t="shared" si="1"/>
        <v/>
      </c>
    </row>
    <row r="376">
      <c r="A376" s="84"/>
      <c r="B376" s="84" t="str">
        <f>IF(A376="","",VLOOKUP(A376,'BD Asesor'!$A$8:$E$1998,5,0))</f>
        <v/>
      </c>
      <c r="D376" s="84"/>
      <c r="F376" s="1" t="str">
        <f t="shared" si="1"/>
        <v/>
      </c>
    </row>
    <row r="377">
      <c r="A377" s="84"/>
      <c r="B377" s="84" t="str">
        <f>IF(A377="","",VLOOKUP(A377,'BD Asesor'!$A$8:$E$1998,5,0))</f>
        <v/>
      </c>
      <c r="D377" s="84"/>
      <c r="F377" s="1" t="str">
        <f t="shared" si="1"/>
        <v/>
      </c>
    </row>
    <row r="378">
      <c r="A378" s="84"/>
      <c r="B378" s="84" t="str">
        <f>IF(A378="","",VLOOKUP(A378,'BD Asesor'!$A$8:$E$1998,5,0))</f>
        <v/>
      </c>
      <c r="D378" s="84"/>
      <c r="F378" s="1" t="str">
        <f t="shared" si="1"/>
        <v/>
      </c>
    </row>
    <row r="379">
      <c r="A379" s="84"/>
      <c r="B379" s="84" t="str">
        <f>IF(A379="","",VLOOKUP(A379,'BD Asesor'!$A$8:$E$1998,5,0))</f>
        <v/>
      </c>
      <c r="D379" s="84"/>
      <c r="F379" s="1" t="str">
        <f t="shared" si="1"/>
        <v/>
      </c>
    </row>
    <row r="380">
      <c r="A380" s="84"/>
      <c r="B380" s="84" t="str">
        <f>IF(A380="","",VLOOKUP(A380,'BD Asesor'!$A$8:$E$1998,5,0))</f>
        <v/>
      </c>
      <c r="D380" s="84"/>
      <c r="F380" s="1" t="str">
        <f t="shared" si="1"/>
        <v/>
      </c>
    </row>
    <row r="381">
      <c r="A381" s="84"/>
      <c r="B381" s="84" t="str">
        <f>IF(A381="","",VLOOKUP(A381,'BD Asesor'!$A$8:$E$1998,5,0))</f>
        <v/>
      </c>
      <c r="D381" s="84"/>
      <c r="F381" s="1" t="str">
        <f t="shared" si="1"/>
        <v/>
      </c>
    </row>
    <row r="382">
      <c r="A382" s="84"/>
      <c r="B382" s="84" t="str">
        <f>IF(A382="","",VLOOKUP(A382,'BD Asesor'!$A$8:$E$1998,5,0))</f>
        <v/>
      </c>
      <c r="D382" s="84"/>
      <c r="F382" s="1" t="str">
        <f t="shared" si="1"/>
        <v/>
      </c>
    </row>
    <row r="383">
      <c r="A383" s="84"/>
      <c r="B383" s="84" t="str">
        <f>IF(A383="","",VLOOKUP(A383,'BD Asesor'!$A$8:$E$1998,5,0))</f>
        <v/>
      </c>
      <c r="D383" s="84"/>
      <c r="F383" s="1" t="str">
        <f t="shared" si="1"/>
        <v/>
      </c>
    </row>
    <row r="384">
      <c r="A384" s="84"/>
      <c r="B384" s="84" t="str">
        <f>IF(A384="","",VLOOKUP(A384,'BD Asesor'!$A$8:$E$1998,5,0))</f>
        <v/>
      </c>
      <c r="D384" s="84"/>
      <c r="F384" s="1" t="str">
        <f t="shared" si="1"/>
        <v/>
      </c>
    </row>
    <row r="385">
      <c r="A385" s="84"/>
      <c r="B385" s="84" t="str">
        <f>IF(A385="","",VLOOKUP(A385,'BD Asesor'!$A$8:$E$1998,5,0))</f>
        <v/>
      </c>
      <c r="D385" s="84"/>
      <c r="F385" s="1" t="str">
        <f t="shared" si="1"/>
        <v/>
      </c>
    </row>
    <row r="386">
      <c r="A386" s="84"/>
      <c r="B386" s="84" t="str">
        <f>IF(A386="","",VLOOKUP(A386,'BD Asesor'!$A$8:$E$1998,5,0))</f>
        <v/>
      </c>
      <c r="D386" s="84"/>
      <c r="F386" s="1" t="str">
        <f t="shared" si="1"/>
        <v/>
      </c>
    </row>
    <row r="387">
      <c r="A387" s="84"/>
      <c r="B387" s="84" t="str">
        <f>IF(A387="","",VLOOKUP(A387,'BD Asesor'!$A$8:$E$1998,5,0))</f>
        <v/>
      </c>
      <c r="D387" s="84"/>
      <c r="F387" s="1" t="str">
        <f t="shared" si="1"/>
        <v/>
      </c>
    </row>
    <row r="388">
      <c r="A388" s="84"/>
      <c r="B388" s="84" t="str">
        <f>IF(A388="","",VLOOKUP(A388,'BD Asesor'!$A$8:$E$1998,5,0))</f>
        <v/>
      </c>
      <c r="D388" s="84"/>
      <c r="F388" s="1" t="str">
        <f t="shared" si="1"/>
        <v/>
      </c>
    </row>
    <row r="389">
      <c r="A389" s="84"/>
      <c r="B389" s="84" t="str">
        <f>IF(A389="","",VLOOKUP(A389,'BD Asesor'!$A$8:$E$1998,5,0))</f>
        <v/>
      </c>
      <c r="D389" s="84"/>
      <c r="F389" s="1" t="str">
        <f t="shared" si="1"/>
        <v/>
      </c>
    </row>
    <row r="390">
      <c r="A390" s="84"/>
      <c r="B390" s="84" t="str">
        <f>IF(A390="","",VLOOKUP(A390,'BD Asesor'!$A$8:$E$1998,5,0))</f>
        <v/>
      </c>
      <c r="D390" s="84"/>
      <c r="F390" s="1" t="str">
        <f t="shared" si="1"/>
        <v/>
      </c>
    </row>
    <row r="391">
      <c r="A391" s="84"/>
      <c r="B391" s="84" t="str">
        <f>IF(A391="","",VLOOKUP(A391,'BD Asesor'!$A$8:$E$1998,5,0))</f>
        <v/>
      </c>
      <c r="D391" s="84"/>
      <c r="F391" s="1" t="str">
        <f t="shared" si="1"/>
        <v/>
      </c>
    </row>
    <row r="392">
      <c r="A392" s="84"/>
      <c r="B392" s="84" t="str">
        <f>IF(A392="","",VLOOKUP(A392,'BD Asesor'!$A$8:$E$1998,5,0))</f>
        <v/>
      </c>
      <c r="D392" s="84"/>
      <c r="F392" s="1" t="str">
        <f t="shared" si="1"/>
        <v/>
      </c>
    </row>
    <row r="393">
      <c r="A393" s="84"/>
      <c r="B393" s="84" t="str">
        <f>IF(A393="","",VLOOKUP(A393,'BD Asesor'!$A$8:$E$1998,5,0))</f>
        <v/>
      </c>
      <c r="D393" s="84"/>
      <c r="F393" s="1" t="str">
        <f t="shared" si="1"/>
        <v/>
      </c>
    </row>
    <row r="394">
      <c r="A394" s="84"/>
      <c r="B394" s="84" t="str">
        <f>IF(A394="","",VLOOKUP(A394,'BD Asesor'!$A$8:$E$1998,5,0))</f>
        <v/>
      </c>
      <c r="D394" s="84"/>
      <c r="F394" s="1" t="str">
        <f t="shared" si="1"/>
        <v/>
      </c>
    </row>
    <row r="395">
      <c r="A395" s="84"/>
      <c r="B395" s="84" t="str">
        <f>IF(A395="","",VLOOKUP(A395,'BD Asesor'!$A$8:$E$1998,5,0))</f>
        <v/>
      </c>
      <c r="D395" s="84"/>
      <c r="F395" s="1" t="str">
        <f t="shared" si="1"/>
        <v/>
      </c>
    </row>
    <row r="396">
      <c r="A396" s="84"/>
      <c r="B396" s="84" t="str">
        <f>IF(A396="","",VLOOKUP(A396,'BD Asesor'!$A$8:$E$1998,5,0))</f>
        <v/>
      </c>
      <c r="D396" s="84"/>
      <c r="F396" s="1" t="str">
        <f t="shared" si="1"/>
        <v/>
      </c>
    </row>
    <row r="397">
      <c r="A397" s="84"/>
      <c r="B397" s="84" t="str">
        <f>IF(A397="","",VLOOKUP(A397,'BD Asesor'!$A$8:$E$1998,5,0))</f>
        <v/>
      </c>
      <c r="D397" s="84"/>
      <c r="F397" s="1" t="str">
        <f t="shared" si="1"/>
        <v/>
      </c>
    </row>
    <row r="398">
      <c r="A398" s="84"/>
      <c r="B398" s="84" t="str">
        <f>IF(A398="","",VLOOKUP(A398,'BD Asesor'!$A$8:$E$1998,5,0))</f>
        <v/>
      </c>
      <c r="D398" s="84"/>
      <c r="F398" s="1" t="str">
        <f t="shared" si="1"/>
        <v/>
      </c>
    </row>
    <row r="399">
      <c r="A399" s="84"/>
      <c r="B399" s="84" t="str">
        <f>IF(A399="","",VLOOKUP(A399,'BD Asesor'!$A$8:$E$1998,5,0))</f>
        <v/>
      </c>
      <c r="D399" s="84"/>
      <c r="F399" s="1" t="str">
        <f t="shared" si="1"/>
        <v/>
      </c>
    </row>
    <row r="400">
      <c r="A400" s="84"/>
      <c r="B400" s="84" t="str">
        <f>IF(A400="","",VLOOKUP(A400,'BD Asesor'!$A$8:$E$1998,5,0))</f>
        <v/>
      </c>
      <c r="D400" s="84"/>
      <c r="F400" s="1" t="str">
        <f t="shared" si="1"/>
        <v/>
      </c>
    </row>
    <row r="401">
      <c r="A401" s="84"/>
      <c r="B401" s="84" t="str">
        <f>IF(A401="","",VLOOKUP(A401,'BD Asesor'!$A$8:$E$1998,5,0))</f>
        <v/>
      </c>
      <c r="D401" s="84"/>
      <c r="F401" s="1" t="str">
        <f t="shared" si="1"/>
        <v/>
      </c>
    </row>
    <row r="402">
      <c r="A402" s="84"/>
      <c r="B402" s="84" t="str">
        <f>IF(A402="","",VLOOKUP(A402,'BD Asesor'!$A$8:$E$1998,5,0))</f>
        <v/>
      </c>
      <c r="D402" s="84"/>
      <c r="F402" s="1" t="str">
        <f t="shared" si="1"/>
        <v/>
      </c>
    </row>
    <row r="403">
      <c r="A403" s="84"/>
      <c r="B403" s="84" t="str">
        <f>IF(A403="","",VLOOKUP(A403,'BD Asesor'!$A$8:$E$1998,5,0))</f>
        <v/>
      </c>
      <c r="D403" s="84"/>
      <c r="F403" s="1" t="str">
        <f t="shared" si="1"/>
        <v/>
      </c>
    </row>
    <row r="404">
      <c r="A404" s="84"/>
      <c r="B404" s="84" t="str">
        <f>IF(A404="","",VLOOKUP(A404,'BD Asesor'!$A$8:$E$1998,5,0))</f>
        <v/>
      </c>
      <c r="D404" s="84"/>
      <c r="F404" s="1" t="str">
        <f t="shared" si="1"/>
        <v/>
      </c>
    </row>
    <row r="405">
      <c r="A405" s="84"/>
      <c r="B405" s="84" t="str">
        <f>IF(A405="","",VLOOKUP(A405,'BD Asesor'!$A$8:$E$1998,5,0))</f>
        <v/>
      </c>
      <c r="D405" s="84"/>
      <c r="F405" s="1" t="str">
        <f t="shared" si="1"/>
        <v/>
      </c>
    </row>
    <row r="406">
      <c r="A406" s="84"/>
      <c r="B406" s="84" t="str">
        <f>IF(A406="","",VLOOKUP(A406,'BD Asesor'!$A$8:$E$1998,5,0))</f>
        <v/>
      </c>
      <c r="D406" s="84"/>
      <c r="F406" s="1" t="str">
        <f t="shared" si="1"/>
        <v/>
      </c>
    </row>
    <row r="407">
      <c r="A407" s="84"/>
      <c r="B407" s="84" t="str">
        <f>IF(A407="","",VLOOKUP(A407,'BD Asesor'!$A$8:$E$1998,5,0))</f>
        <v/>
      </c>
      <c r="D407" s="84"/>
      <c r="F407" s="1" t="str">
        <f t="shared" si="1"/>
        <v/>
      </c>
    </row>
    <row r="408">
      <c r="A408" s="84"/>
      <c r="B408" s="84" t="str">
        <f>IF(A408="","",VLOOKUP(A408,'BD Asesor'!$A$8:$E$1998,5,0))</f>
        <v/>
      </c>
      <c r="D408" s="84"/>
      <c r="F408" s="1" t="str">
        <f t="shared" si="1"/>
        <v/>
      </c>
    </row>
    <row r="409">
      <c r="A409" s="84"/>
      <c r="B409" s="84" t="str">
        <f>IF(A409="","",VLOOKUP(A409,'BD Asesor'!$A$8:$E$1998,5,0))</f>
        <v/>
      </c>
      <c r="D409" s="84"/>
      <c r="F409" s="1" t="str">
        <f t="shared" si="1"/>
        <v/>
      </c>
    </row>
    <row r="410">
      <c r="A410" s="84"/>
      <c r="B410" s="84" t="str">
        <f>IF(A410="","",VLOOKUP(A410,'BD Asesor'!$A$8:$E$1998,5,0))</f>
        <v/>
      </c>
      <c r="D410" s="84"/>
      <c r="F410" s="1" t="str">
        <f t="shared" si="1"/>
        <v/>
      </c>
    </row>
    <row r="411">
      <c r="A411" s="84"/>
      <c r="B411" s="84" t="str">
        <f>IF(A411="","",VLOOKUP(A411,'BD Asesor'!$A$8:$E$1998,5,0))</f>
        <v/>
      </c>
      <c r="D411" s="84"/>
      <c r="F411" s="1" t="str">
        <f t="shared" si="1"/>
        <v/>
      </c>
    </row>
    <row r="412">
      <c r="A412" s="84"/>
      <c r="B412" s="84" t="str">
        <f>IF(A412="","",VLOOKUP(A412,'BD Asesor'!$A$8:$E$1998,5,0))</f>
        <v/>
      </c>
      <c r="D412" s="84"/>
      <c r="F412" s="1" t="str">
        <f t="shared" si="1"/>
        <v/>
      </c>
    </row>
    <row r="413">
      <c r="A413" s="84"/>
      <c r="B413" s="84" t="str">
        <f>IF(A413="","",VLOOKUP(A413,'BD Asesor'!$A$8:$E$1998,5,0))</f>
        <v/>
      </c>
      <c r="D413" s="84"/>
      <c r="F413" s="1" t="str">
        <f t="shared" si="1"/>
        <v/>
      </c>
    </row>
    <row r="414">
      <c r="A414" s="84"/>
      <c r="B414" s="84" t="str">
        <f>IF(A414="","",VLOOKUP(A414,'BD Asesor'!$A$8:$E$1998,5,0))</f>
        <v/>
      </c>
      <c r="D414" s="84"/>
      <c r="F414" s="1" t="str">
        <f t="shared" si="1"/>
        <v/>
      </c>
    </row>
    <row r="415">
      <c r="A415" s="84"/>
      <c r="B415" s="84" t="str">
        <f>IF(A415="","",VLOOKUP(A415,'BD Asesor'!$A$8:$E$1998,5,0))</f>
        <v/>
      </c>
      <c r="D415" s="84"/>
      <c r="F415" s="1" t="str">
        <f t="shared" si="1"/>
        <v/>
      </c>
    </row>
    <row r="416">
      <c r="A416" s="84"/>
      <c r="B416" s="84" t="str">
        <f>IF(A416="","",VLOOKUP(A416,'BD Asesor'!$A$8:$E$1998,5,0))</f>
        <v/>
      </c>
      <c r="D416" s="84"/>
      <c r="F416" s="1" t="str">
        <f t="shared" si="1"/>
        <v/>
      </c>
    </row>
    <row r="417">
      <c r="A417" s="84"/>
      <c r="B417" s="84" t="str">
        <f>IF(A417="","",VLOOKUP(A417,'BD Asesor'!$A$8:$E$1998,5,0))</f>
        <v/>
      </c>
      <c r="D417" s="84"/>
      <c r="F417" s="1" t="str">
        <f t="shared" si="1"/>
        <v/>
      </c>
    </row>
    <row r="418">
      <c r="A418" s="84"/>
      <c r="B418" s="84" t="str">
        <f>IF(A418="","",VLOOKUP(A418,'BD Asesor'!$A$8:$E$1998,5,0))</f>
        <v/>
      </c>
      <c r="D418" s="84"/>
      <c r="F418" s="1" t="str">
        <f t="shared" si="1"/>
        <v/>
      </c>
    </row>
    <row r="419">
      <c r="A419" s="84"/>
      <c r="B419" s="84" t="str">
        <f>IF(A419="","",VLOOKUP(A419,'BD Asesor'!$A$8:$E$1998,5,0))</f>
        <v/>
      </c>
      <c r="D419" s="84"/>
      <c r="F419" s="1" t="str">
        <f t="shared" si="1"/>
        <v/>
      </c>
    </row>
    <row r="420">
      <c r="A420" s="84"/>
      <c r="B420" s="84" t="str">
        <f>IF(A420="","",VLOOKUP(A420,'BD Asesor'!$A$8:$E$1998,5,0))</f>
        <v/>
      </c>
      <c r="D420" s="84"/>
      <c r="F420" s="1" t="str">
        <f t="shared" si="1"/>
        <v/>
      </c>
    </row>
    <row r="421">
      <c r="A421" s="84"/>
      <c r="B421" s="84" t="str">
        <f>IF(A421="","",VLOOKUP(A421,'BD Asesor'!$A$8:$E$1998,5,0))</f>
        <v/>
      </c>
      <c r="D421" s="84"/>
      <c r="F421" s="1" t="str">
        <f t="shared" si="1"/>
        <v/>
      </c>
    </row>
    <row r="422">
      <c r="A422" s="84"/>
      <c r="B422" s="84" t="str">
        <f>IF(A422="","",VLOOKUP(A422,'BD Asesor'!$A$8:$E$1998,5,0))</f>
        <v/>
      </c>
      <c r="D422" s="84"/>
      <c r="F422" s="1" t="str">
        <f t="shared" si="1"/>
        <v/>
      </c>
    </row>
    <row r="423">
      <c r="A423" s="84"/>
      <c r="B423" s="84" t="str">
        <f>IF(A423="","",VLOOKUP(A423,'BD Asesor'!$A$8:$E$1998,5,0))</f>
        <v/>
      </c>
      <c r="D423" s="84"/>
      <c r="F423" s="1" t="str">
        <f t="shared" si="1"/>
        <v/>
      </c>
    </row>
    <row r="424">
      <c r="A424" s="84"/>
      <c r="B424" s="84" t="str">
        <f>IF(A424="","",VLOOKUP(A424,'BD Asesor'!$A$8:$E$1998,5,0))</f>
        <v/>
      </c>
      <c r="D424" s="84"/>
      <c r="F424" s="1" t="str">
        <f t="shared" si="1"/>
        <v/>
      </c>
    </row>
    <row r="425">
      <c r="A425" s="84"/>
      <c r="B425" s="84" t="str">
        <f>IF(A425="","",VLOOKUP(A425,'BD Asesor'!$A$8:$E$1998,5,0))</f>
        <v/>
      </c>
      <c r="D425" s="84"/>
      <c r="F425" s="1" t="str">
        <f t="shared" si="1"/>
        <v/>
      </c>
    </row>
    <row r="426">
      <c r="A426" s="84"/>
      <c r="B426" s="84" t="str">
        <f>IF(A426="","",VLOOKUP(A426,'BD Asesor'!$A$8:$E$1998,5,0))</f>
        <v/>
      </c>
      <c r="D426" s="84"/>
      <c r="F426" s="1" t="str">
        <f t="shared" si="1"/>
        <v/>
      </c>
    </row>
    <row r="427">
      <c r="A427" s="84"/>
      <c r="B427" s="84" t="str">
        <f>IF(A427="","",VLOOKUP(A427,'BD Asesor'!$A$8:$E$1998,5,0))</f>
        <v/>
      </c>
      <c r="D427" s="84"/>
      <c r="F427" s="1" t="str">
        <f t="shared" si="1"/>
        <v/>
      </c>
    </row>
    <row r="428">
      <c r="A428" s="84"/>
      <c r="B428" s="84" t="str">
        <f>IF(A428="","",VLOOKUP(A428,'BD Asesor'!$A$8:$E$1998,5,0))</f>
        <v/>
      </c>
      <c r="D428" s="84"/>
      <c r="F428" s="1" t="str">
        <f t="shared" si="1"/>
        <v/>
      </c>
    </row>
    <row r="429">
      <c r="A429" s="84"/>
      <c r="B429" s="84" t="str">
        <f>IF(A429="","",VLOOKUP(A429,'BD Asesor'!$A$8:$E$1998,5,0))</f>
        <v/>
      </c>
      <c r="D429" s="84"/>
      <c r="F429" s="1" t="str">
        <f t="shared" si="1"/>
        <v/>
      </c>
    </row>
    <row r="430">
      <c r="A430" s="84"/>
      <c r="B430" s="84" t="str">
        <f>IF(A430="","",VLOOKUP(A430,'BD Asesor'!$A$8:$E$1998,5,0))</f>
        <v/>
      </c>
      <c r="D430" s="84"/>
      <c r="F430" s="1" t="str">
        <f t="shared" si="1"/>
        <v/>
      </c>
    </row>
    <row r="431">
      <c r="A431" s="84"/>
      <c r="B431" s="84" t="str">
        <f>IF(A431="","",VLOOKUP(A431,'BD Asesor'!$A$8:$E$1998,5,0))</f>
        <v/>
      </c>
      <c r="D431" s="84"/>
      <c r="F431" s="1" t="str">
        <f t="shared" si="1"/>
        <v/>
      </c>
    </row>
    <row r="432">
      <c r="A432" s="84"/>
      <c r="B432" s="84" t="str">
        <f>IF(A432="","",VLOOKUP(A432,'BD Asesor'!$A$8:$E$1998,5,0))</f>
        <v/>
      </c>
      <c r="D432" s="84"/>
      <c r="F432" s="1" t="str">
        <f t="shared" si="1"/>
        <v/>
      </c>
    </row>
    <row r="433">
      <c r="A433" s="84"/>
      <c r="B433" s="84" t="str">
        <f>IF(A433="","",VLOOKUP(A433,'BD Asesor'!$A$8:$E$1998,5,0))</f>
        <v/>
      </c>
      <c r="D433" s="84"/>
      <c r="F433" s="1" t="str">
        <f t="shared" si="1"/>
        <v/>
      </c>
    </row>
    <row r="434">
      <c r="A434" s="84"/>
      <c r="B434" s="84" t="str">
        <f>IF(A434="","",VLOOKUP(A434,'BD Asesor'!$A$8:$E$1998,5,0))</f>
        <v/>
      </c>
      <c r="D434" s="84"/>
      <c r="F434" s="1" t="str">
        <f t="shared" si="1"/>
        <v/>
      </c>
    </row>
    <row r="435">
      <c r="A435" s="84"/>
      <c r="B435" s="84" t="str">
        <f>IF(A435="","",VLOOKUP(A435,'BD Asesor'!$A$8:$E$1998,5,0))</f>
        <v/>
      </c>
      <c r="D435" s="84"/>
      <c r="F435" s="1" t="str">
        <f t="shared" si="1"/>
        <v/>
      </c>
    </row>
    <row r="436">
      <c r="A436" s="84"/>
      <c r="B436" s="84" t="str">
        <f>IF(A436="","",VLOOKUP(A436,'BD Asesor'!$A$8:$E$1998,5,0))</f>
        <v/>
      </c>
      <c r="D436" s="84"/>
      <c r="F436" s="1" t="str">
        <f t="shared" si="1"/>
        <v/>
      </c>
    </row>
    <row r="437">
      <c r="A437" s="84"/>
      <c r="B437" s="84" t="str">
        <f>IF(A437="","",VLOOKUP(A437,'BD Asesor'!$A$8:$E$1998,5,0))</f>
        <v/>
      </c>
      <c r="D437" s="84"/>
      <c r="F437" s="1" t="str">
        <f t="shared" si="1"/>
        <v/>
      </c>
    </row>
    <row r="438">
      <c r="A438" s="84"/>
      <c r="B438" s="84" t="str">
        <f>IF(A438="","",VLOOKUP(A438,'BD Asesor'!$A$8:$E$1998,5,0))</f>
        <v/>
      </c>
      <c r="D438" s="84"/>
      <c r="F438" s="1" t="str">
        <f t="shared" si="1"/>
        <v/>
      </c>
    </row>
    <row r="439">
      <c r="A439" s="84"/>
      <c r="B439" s="84" t="str">
        <f>IF(A439="","",VLOOKUP(A439,'BD Asesor'!$A$8:$E$1998,5,0))</f>
        <v/>
      </c>
      <c r="D439" s="84"/>
      <c r="F439" s="1" t="str">
        <f t="shared" si="1"/>
        <v/>
      </c>
    </row>
    <row r="440">
      <c r="A440" s="84"/>
      <c r="B440" s="84" t="str">
        <f>IF(A440="","",VLOOKUP(A440,'BD Asesor'!$A$8:$E$1998,5,0))</f>
        <v/>
      </c>
      <c r="D440" s="84"/>
      <c r="F440" s="1" t="str">
        <f t="shared" si="1"/>
        <v/>
      </c>
    </row>
    <row r="441">
      <c r="A441" s="84"/>
      <c r="B441" s="84" t="str">
        <f>IF(A441="","",VLOOKUP(A441,'BD Asesor'!$A$8:$E$1998,5,0))</f>
        <v/>
      </c>
      <c r="D441" s="84"/>
      <c r="F441" s="1" t="str">
        <f t="shared" si="1"/>
        <v/>
      </c>
    </row>
    <row r="442">
      <c r="A442" s="84"/>
      <c r="B442" s="84" t="str">
        <f>IF(A442="","",VLOOKUP(A442,'BD Asesor'!$A$8:$E$1998,5,0))</f>
        <v/>
      </c>
      <c r="D442" s="84"/>
      <c r="F442" s="1" t="str">
        <f t="shared" si="1"/>
        <v/>
      </c>
    </row>
    <row r="443">
      <c r="A443" s="84"/>
      <c r="B443" s="84" t="str">
        <f>IF(A443="","",VLOOKUP(A443,'BD Asesor'!$A$8:$E$1998,5,0))</f>
        <v/>
      </c>
      <c r="D443" s="84"/>
      <c r="F443" s="1" t="str">
        <f t="shared" si="1"/>
        <v/>
      </c>
    </row>
    <row r="444">
      <c r="A444" s="84"/>
      <c r="B444" s="84" t="str">
        <f>IF(A444="","",VLOOKUP(A444,'BD Asesor'!$A$8:$E$1998,5,0))</f>
        <v/>
      </c>
      <c r="D444" s="84"/>
      <c r="F444" s="1" t="str">
        <f t="shared" si="1"/>
        <v/>
      </c>
    </row>
    <row r="445">
      <c r="A445" s="84"/>
      <c r="B445" s="84" t="str">
        <f>IF(A445="","",VLOOKUP(A445,'BD Asesor'!$A$8:$E$1998,5,0))</f>
        <v/>
      </c>
      <c r="D445" s="84"/>
      <c r="F445" s="1" t="str">
        <f t="shared" si="1"/>
        <v/>
      </c>
    </row>
    <row r="446">
      <c r="A446" s="84"/>
      <c r="B446" s="84" t="str">
        <f>IF(A446="","",VLOOKUP(A446,'BD Asesor'!$A$8:$E$1998,5,0))</f>
        <v/>
      </c>
      <c r="D446" s="84"/>
      <c r="F446" s="1" t="str">
        <f t="shared" si="1"/>
        <v/>
      </c>
    </row>
    <row r="447">
      <c r="A447" s="84"/>
      <c r="B447" s="84" t="str">
        <f>IF(A447="","",VLOOKUP(A447,'BD Asesor'!$A$8:$E$1998,5,0))</f>
        <v/>
      </c>
      <c r="D447" s="84"/>
      <c r="F447" s="1" t="str">
        <f t="shared" si="1"/>
        <v/>
      </c>
    </row>
    <row r="448">
      <c r="A448" s="84"/>
      <c r="B448" s="84" t="str">
        <f>IF(A448="","",VLOOKUP(A448,'BD Asesor'!$A$8:$E$1998,5,0))</f>
        <v/>
      </c>
      <c r="D448" s="84"/>
      <c r="F448" s="1" t="str">
        <f t="shared" si="1"/>
        <v/>
      </c>
    </row>
    <row r="449">
      <c r="A449" s="84"/>
      <c r="B449" s="84" t="str">
        <f>IF(A449="","",VLOOKUP(A449,'BD Asesor'!$A$8:$E$1998,5,0))</f>
        <v/>
      </c>
      <c r="D449" s="84"/>
      <c r="F449" s="1" t="str">
        <f t="shared" si="1"/>
        <v/>
      </c>
    </row>
    <row r="450">
      <c r="A450" s="84"/>
      <c r="B450" s="84" t="str">
        <f>IF(A450="","",VLOOKUP(A450,'BD Asesor'!$A$8:$E$1998,5,0))</f>
        <v/>
      </c>
      <c r="D450" s="84"/>
      <c r="F450" s="1" t="str">
        <f t="shared" si="1"/>
        <v/>
      </c>
    </row>
    <row r="451">
      <c r="A451" s="84"/>
      <c r="B451" s="84" t="str">
        <f>IF(A451="","",VLOOKUP(A451,'BD Asesor'!$A$8:$E$1998,5,0))</f>
        <v/>
      </c>
      <c r="D451" s="84"/>
      <c r="F451" s="1" t="str">
        <f t="shared" si="1"/>
        <v/>
      </c>
    </row>
    <row r="452">
      <c r="A452" s="84"/>
      <c r="B452" s="84" t="str">
        <f>IF(A452="","",VLOOKUP(A452,'BD Asesor'!$A$8:$E$1998,5,0))</f>
        <v/>
      </c>
      <c r="D452" s="84"/>
      <c r="F452" s="1" t="str">
        <f t="shared" si="1"/>
        <v/>
      </c>
    </row>
    <row r="453">
      <c r="A453" s="84"/>
      <c r="B453" s="84" t="str">
        <f>IF(A453="","",VLOOKUP(A453,'BD Asesor'!$A$8:$E$1998,5,0))</f>
        <v/>
      </c>
      <c r="D453" s="84"/>
      <c r="F453" s="1" t="str">
        <f t="shared" si="1"/>
        <v/>
      </c>
    </row>
    <row r="454">
      <c r="A454" s="84"/>
      <c r="B454" s="84" t="str">
        <f>IF(A454="","",VLOOKUP(A454,'BD Asesor'!$A$8:$E$1998,5,0))</f>
        <v/>
      </c>
      <c r="D454" s="84"/>
      <c r="F454" s="1" t="str">
        <f t="shared" si="1"/>
        <v/>
      </c>
    </row>
    <row r="455">
      <c r="A455" s="84"/>
      <c r="B455" s="84" t="str">
        <f>IF(A455="","",VLOOKUP(A455,'BD Asesor'!$A$8:$E$1998,5,0))</f>
        <v/>
      </c>
      <c r="D455" s="84"/>
      <c r="F455" s="1" t="str">
        <f t="shared" si="1"/>
        <v/>
      </c>
    </row>
    <row r="456">
      <c r="A456" s="84"/>
      <c r="B456" s="84" t="str">
        <f>IF(A456="","",VLOOKUP(A456,'BD Asesor'!$A$8:$E$1998,5,0))</f>
        <v/>
      </c>
      <c r="D456" s="84"/>
      <c r="F456" s="1" t="str">
        <f t="shared" si="1"/>
        <v/>
      </c>
    </row>
    <row r="457">
      <c r="A457" s="84"/>
      <c r="B457" s="84" t="str">
        <f>IF(A457="","",VLOOKUP(A457,'BD Asesor'!$A$8:$E$1998,5,0))</f>
        <v/>
      </c>
      <c r="D457" s="84"/>
      <c r="F457" s="1" t="str">
        <f t="shared" si="1"/>
        <v/>
      </c>
    </row>
    <row r="458">
      <c r="A458" s="84"/>
      <c r="B458" s="84" t="str">
        <f>IF(A458="","",VLOOKUP(A458,'BD Asesor'!$A$8:$E$1998,5,0))</f>
        <v/>
      </c>
      <c r="D458" s="84"/>
      <c r="F458" s="1" t="str">
        <f t="shared" si="1"/>
        <v/>
      </c>
    </row>
    <row r="459">
      <c r="A459" s="84"/>
      <c r="B459" s="84" t="str">
        <f>IF(A459="","",VLOOKUP(A459,'BD Asesor'!$A$8:$E$1998,5,0))</f>
        <v/>
      </c>
      <c r="D459" s="84"/>
      <c r="F459" s="1" t="str">
        <f t="shared" si="1"/>
        <v/>
      </c>
    </row>
    <row r="460">
      <c r="A460" s="84"/>
      <c r="B460" s="84" t="str">
        <f>IF(A460="","",VLOOKUP(A460,'BD Asesor'!$A$8:$E$1998,5,0))</f>
        <v/>
      </c>
      <c r="D460" s="84"/>
      <c r="F460" s="1" t="str">
        <f t="shared" si="1"/>
        <v/>
      </c>
    </row>
    <row r="461">
      <c r="A461" s="84"/>
      <c r="B461" s="84" t="str">
        <f>IF(A461="","",VLOOKUP(A461,'BD Asesor'!$A$8:$E$1998,5,0))</f>
        <v/>
      </c>
      <c r="D461" s="84"/>
      <c r="F461" s="1" t="str">
        <f t="shared" si="1"/>
        <v/>
      </c>
    </row>
    <row r="462">
      <c r="A462" s="84"/>
      <c r="B462" s="84" t="str">
        <f>IF(A462="","",VLOOKUP(A462,'BD Asesor'!$A$8:$E$1998,5,0))</f>
        <v/>
      </c>
      <c r="D462" s="84"/>
      <c r="F462" s="1" t="str">
        <f t="shared" si="1"/>
        <v/>
      </c>
    </row>
    <row r="463">
      <c r="A463" s="84"/>
      <c r="B463" s="84" t="str">
        <f>IF(A463="","",VLOOKUP(A463,'BD Asesor'!$A$8:$E$1998,5,0))</f>
        <v/>
      </c>
      <c r="D463" s="84"/>
      <c r="F463" s="1" t="str">
        <f t="shared" si="1"/>
        <v/>
      </c>
    </row>
    <row r="464">
      <c r="A464" s="84"/>
      <c r="B464" s="84" t="str">
        <f>IF(A464="","",VLOOKUP(A464,'BD Asesor'!$A$8:$E$1998,5,0))</f>
        <v/>
      </c>
      <c r="D464" s="84"/>
      <c r="F464" s="1" t="str">
        <f t="shared" si="1"/>
        <v/>
      </c>
    </row>
    <row r="465">
      <c r="A465" s="84"/>
      <c r="B465" s="84" t="str">
        <f>IF(A465="","",VLOOKUP(A465,'BD Asesor'!$A$8:$E$1998,5,0))</f>
        <v/>
      </c>
      <c r="D465" s="84"/>
      <c r="F465" s="1" t="str">
        <f t="shared" si="1"/>
        <v/>
      </c>
    </row>
    <row r="466">
      <c r="A466" s="84"/>
      <c r="B466" s="84" t="str">
        <f>IF(A466="","",VLOOKUP(A466,'BD Asesor'!$A$8:$E$1998,5,0))</f>
        <v/>
      </c>
      <c r="D466" s="84"/>
      <c r="F466" s="1" t="str">
        <f t="shared" si="1"/>
        <v/>
      </c>
    </row>
    <row r="467">
      <c r="A467" s="84"/>
      <c r="B467" s="84" t="str">
        <f>IF(A467="","",VLOOKUP(A467,'BD Asesor'!$A$8:$E$1998,5,0))</f>
        <v/>
      </c>
      <c r="D467" s="84"/>
      <c r="F467" s="1" t="str">
        <f t="shared" si="1"/>
        <v/>
      </c>
    </row>
    <row r="468">
      <c r="A468" s="84"/>
      <c r="B468" s="84" t="str">
        <f>IF(A468="","",VLOOKUP(A468,'BD Asesor'!$A$8:$E$1998,5,0))</f>
        <v/>
      </c>
      <c r="D468" s="84"/>
      <c r="F468" s="1" t="str">
        <f t="shared" si="1"/>
        <v/>
      </c>
    </row>
    <row r="469">
      <c r="A469" s="84"/>
      <c r="B469" s="84" t="str">
        <f>IF(A469="","",VLOOKUP(A469,'BD Asesor'!$A$8:$E$1998,5,0))</f>
        <v/>
      </c>
      <c r="D469" s="84"/>
      <c r="F469" s="1" t="str">
        <f t="shared" si="1"/>
        <v/>
      </c>
    </row>
    <row r="470">
      <c r="A470" s="84"/>
      <c r="B470" s="84" t="str">
        <f>IF(A470="","",VLOOKUP(A470,'BD Asesor'!$A$8:$E$1998,5,0))</f>
        <v/>
      </c>
      <c r="D470" s="84"/>
      <c r="F470" s="1" t="str">
        <f t="shared" si="1"/>
        <v/>
      </c>
    </row>
    <row r="471">
      <c r="A471" s="84"/>
      <c r="B471" s="84" t="str">
        <f>IF(A471="","",VLOOKUP(A471,'BD Asesor'!$A$8:$E$1998,5,0))</f>
        <v/>
      </c>
      <c r="D471" s="84"/>
      <c r="F471" s="1" t="str">
        <f t="shared" si="1"/>
        <v/>
      </c>
    </row>
    <row r="472">
      <c r="A472" s="84"/>
      <c r="B472" s="84" t="str">
        <f>IF(A472="","",VLOOKUP(A472,'BD Asesor'!$A$8:$E$1998,5,0))</f>
        <v/>
      </c>
      <c r="D472" s="84"/>
      <c r="F472" s="1" t="str">
        <f t="shared" si="1"/>
        <v/>
      </c>
    </row>
    <row r="473">
      <c r="A473" s="84"/>
      <c r="B473" s="84" t="str">
        <f>IF(A473="","",VLOOKUP(A473,'BD Asesor'!$A$8:$E$1998,5,0))</f>
        <v/>
      </c>
      <c r="D473" s="84"/>
      <c r="F473" s="1" t="str">
        <f t="shared" si="1"/>
        <v/>
      </c>
    </row>
    <row r="474">
      <c r="A474" s="84"/>
      <c r="B474" s="84" t="str">
        <f>IF(A474="","",VLOOKUP(A474,'BD Asesor'!$A$8:$E$1998,5,0))</f>
        <v/>
      </c>
      <c r="D474" s="84"/>
      <c r="F474" s="1" t="str">
        <f t="shared" si="1"/>
        <v/>
      </c>
    </row>
    <row r="475">
      <c r="A475" s="84"/>
      <c r="B475" s="84" t="str">
        <f>IF(A475="","",VLOOKUP(A475,'BD Asesor'!$A$8:$E$1998,5,0))</f>
        <v/>
      </c>
      <c r="D475" s="84"/>
      <c r="F475" s="1" t="str">
        <f t="shared" si="1"/>
        <v/>
      </c>
    </row>
    <row r="476">
      <c r="A476" s="84"/>
      <c r="B476" s="84" t="str">
        <f>IF(A476="","",VLOOKUP(A476,'BD Asesor'!$A$8:$E$1998,5,0))</f>
        <v/>
      </c>
      <c r="D476" s="84"/>
      <c r="F476" s="1" t="str">
        <f t="shared" si="1"/>
        <v/>
      </c>
    </row>
    <row r="477">
      <c r="A477" s="84"/>
      <c r="B477" s="84" t="str">
        <f>IF(A477="","",VLOOKUP(A477,'BD Asesor'!$A$8:$E$1998,5,0))</f>
        <v/>
      </c>
      <c r="D477" s="84"/>
      <c r="F477" s="1" t="str">
        <f t="shared" si="1"/>
        <v/>
      </c>
    </row>
    <row r="478">
      <c r="A478" s="84"/>
      <c r="B478" s="84" t="str">
        <f>IF(A478="","",VLOOKUP(A478,'BD Asesor'!$A$8:$E$1998,5,0))</f>
        <v/>
      </c>
      <c r="D478" s="84"/>
      <c r="F478" s="1" t="str">
        <f t="shared" si="1"/>
        <v/>
      </c>
    </row>
    <row r="479">
      <c r="A479" s="84"/>
      <c r="B479" s="84" t="str">
        <f>IF(A479="","",VLOOKUP(A479,'BD Asesor'!$A$8:$E$1998,5,0))</f>
        <v/>
      </c>
      <c r="D479" s="84"/>
      <c r="F479" s="1" t="str">
        <f t="shared" si="1"/>
        <v/>
      </c>
    </row>
    <row r="480">
      <c r="A480" s="84"/>
      <c r="B480" s="84" t="str">
        <f>IF(A480="","",VLOOKUP(A480,'BD Asesor'!$A$8:$E$1998,5,0))</f>
        <v/>
      </c>
      <c r="D480" s="84"/>
      <c r="F480" s="1" t="str">
        <f t="shared" si="1"/>
        <v/>
      </c>
    </row>
    <row r="481">
      <c r="A481" s="84"/>
      <c r="B481" s="84" t="str">
        <f>IF(A481="","",VLOOKUP(A481,'BD Asesor'!$A$8:$E$1998,5,0))</f>
        <v/>
      </c>
      <c r="D481" s="84"/>
      <c r="F481" s="1" t="str">
        <f t="shared" si="1"/>
        <v/>
      </c>
    </row>
    <row r="482">
      <c r="A482" s="84"/>
      <c r="B482" s="84" t="str">
        <f>IF(A482="","",VLOOKUP(A482,'BD Asesor'!$A$8:$E$1998,5,0))</f>
        <v/>
      </c>
      <c r="D482" s="84"/>
      <c r="F482" s="1" t="str">
        <f t="shared" si="1"/>
        <v/>
      </c>
    </row>
    <row r="483">
      <c r="A483" s="84"/>
      <c r="B483" s="84" t="str">
        <f>IF(A483="","",VLOOKUP(A483,'BD Asesor'!$A$8:$E$1998,5,0))</f>
        <v/>
      </c>
      <c r="D483" s="84"/>
      <c r="F483" s="1" t="str">
        <f t="shared" si="1"/>
        <v/>
      </c>
    </row>
    <row r="484">
      <c r="A484" s="84"/>
      <c r="B484" s="84" t="str">
        <f>IF(A484="","",VLOOKUP(A484,'BD Asesor'!$A$8:$E$1998,5,0))</f>
        <v/>
      </c>
      <c r="D484" s="84"/>
      <c r="F484" s="1" t="str">
        <f t="shared" si="1"/>
        <v/>
      </c>
    </row>
    <row r="485">
      <c r="A485" s="84"/>
      <c r="B485" s="84" t="str">
        <f>IF(A485="","",VLOOKUP(A485,'BD Asesor'!$A$8:$E$1998,5,0))</f>
        <v/>
      </c>
      <c r="D485" s="84"/>
      <c r="F485" s="1" t="str">
        <f t="shared" si="1"/>
        <v/>
      </c>
    </row>
    <row r="486">
      <c r="A486" s="84"/>
      <c r="B486" s="84" t="str">
        <f>IF(A486="","",VLOOKUP(A486,'BD Asesor'!$A$8:$E$1998,5,0))</f>
        <v/>
      </c>
      <c r="D486" s="84"/>
      <c r="F486" s="1" t="str">
        <f t="shared" si="1"/>
        <v/>
      </c>
    </row>
    <row r="487">
      <c r="A487" s="84"/>
      <c r="B487" s="84" t="str">
        <f>IF(A487="","",VLOOKUP(A487,'BD Asesor'!$A$8:$E$1998,5,0))</f>
        <v/>
      </c>
      <c r="D487" s="84"/>
      <c r="F487" s="1" t="str">
        <f t="shared" si="1"/>
        <v/>
      </c>
    </row>
    <row r="488">
      <c r="A488" s="84"/>
      <c r="B488" s="84" t="str">
        <f>IF(A488="","",VLOOKUP(A488,'BD Asesor'!$A$8:$E$1998,5,0))</f>
        <v/>
      </c>
      <c r="D488" s="84"/>
      <c r="F488" s="1" t="str">
        <f t="shared" si="1"/>
        <v/>
      </c>
    </row>
    <row r="489">
      <c r="A489" s="84"/>
      <c r="B489" s="84" t="str">
        <f>IF(A489="","",VLOOKUP(A489,'BD Asesor'!$A$8:$E$1998,5,0))</f>
        <v/>
      </c>
      <c r="D489" s="84"/>
      <c r="F489" s="1" t="str">
        <f t="shared" si="1"/>
        <v/>
      </c>
    </row>
    <row r="490">
      <c r="A490" s="84"/>
      <c r="B490" s="84" t="str">
        <f>IF(A490="","",VLOOKUP(A490,'BD Asesor'!$A$8:$E$1998,5,0))</f>
        <v/>
      </c>
      <c r="D490" s="84"/>
      <c r="F490" s="1" t="str">
        <f t="shared" si="1"/>
        <v/>
      </c>
    </row>
    <row r="491">
      <c r="A491" s="84"/>
      <c r="B491" s="84" t="str">
        <f>IF(A491="","",VLOOKUP(A491,'BD Asesor'!$A$8:$E$1998,5,0))</f>
        <v/>
      </c>
      <c r="D491" s="84"/>
      <c r="F491" s="1" t="str">
        <f t="shared" si="1"/>
        <v/>
      </c>
    </row>
    <row r="492">
      <c r="A492" s="84"/>
      <c r="B492" s="84" t="str">
        <f>IF(A492="","",VLOOKUP(A492,'BD Asesor'!$A$8:$E$1998,5,0))</f>
        <v/>
      </c>
      <c r="D492" s="84"/>
      <c r="F492" s="1" t="str">
        <f t="shared" si="1"/>
        <v/>
      </c>
    </row>
    <row r="493">
      <c r="A493" s="84"/>
      <c r="B493" s="84" t="str">
        <f>IF(A493="","",VLOOKUP(A493,'BD Asesor'!$A$8:$E$1998,5,0))</f>
        <v/>
      </c>
      <c r="D493" s="84"/>
      <c r="F493" s="1" t="str">
        <f t="shared" si="1"/>
        <v/>
      </c>
    </row>
    <row r="494">
      <c r="A494" s="84"/>
      <c r="B494" s="84" t="str">
        <f>IF(A494="","",VLOOKUP(A494,'BD Asesor'!$A$8:$E$1998,5,0))</f>
        <v/>
      </c>
      <c r="D494" s="84"/>
      <c r="F494" s="1" t="str">
        <f t="shared" si="1"/>
        <v/>
      </c>
    </row>
    <row r="495">
      <c r="A495" s="84"/>
      <c r="B495" s="84" t="str">
        <f>IF(A495="","",VLOOKUP(A495,'BD Asesor'!$A$8:$E$1998,5,0))</f>
        <v/>
      </c>
      <c r="D495" s="84"/>
      <c r="F495" s="1" t="str">
        <f t="shared" si="1"/>
        <v/>
      </c>
    </row>
    <row r="496">
      <c r="A496" s="84"/>
      <c r="B496" s="84" t="str">
        <f>IF(A496="","",VLOOKUP(A496,'BD Asesor'!$A$8:$E$1998,5,0))</f>
        <v/>
      </c>
      <c r="D496" s="84"/>
      <c r="F496" s="1" t="str">
        <f t="shared" si="1"/>
        <v/>
      </c>
    </row>
    <row r="497">
      <c r="A497" s="84"/>
      <c r="B497" s="84" t="str">
        <f>IF(A497="","",VLOOKUP(A497,'BD Asesor'!$A$8:$E$1998,5,0))</f>
        <v/>
      </c>
      <c r="D497" s="84"/>
      <c r="F497" s="1" t="str">
        <f t="shared" si="1"/>
        <v/>
      </c>
    </row>
    <row r="498">
      <c r="A498" s="84"/>
      <c r="B498" s="84" t="str">
        <f>IF(A498="","",VLOOKUP(A498,'BD Asesor'!$A$8:$E$1998,5,0))</f>
        <v/>
      </c>
      <c r="D498" s="84"/>
      <c r="F498" s="1" t="str">
        <f t="shared" si="1"/>
        <v/>
      </c>
    </row>
    <row r="499">
      <c r="A499" s="84"/>
      <c r="B499" s="84" t="str">
        <f>IF(A499="","",VLOOKUP(A499,'BD Asesor'!$A$8:$E$1998,5,0))</f>
        <v/>
      </c>
      <c r="D499" s="84"/>
      <c r="F499" s="1" t="str">
        <f t="shared" si="1"/>
        <v/>
      </c>
    </row>
    <row r="500">
      <c r="A500" s="84"/>
      <c r="B500" s="84" t="str">
        <f>IF(A500="","",VLOOKUP(A500,'BD Asesor'!$A$8:$E$1998,5,0))</f>
        <v/>
      </c>
      <c r="D500" s="84"/>
      <c r="F500" s="1" t="str">
        <f t="shared" si="1"/>
        <v/>
      </c>
    </row>
    <row r="501">
      <c r="A501" s="84"/>
      <c r="B501" s="84" t="str">
        <f>IF(A501="","",VLOOKUP(A501,'BD Asesor'!$A$8:$E$1998,5,0))</f>
        <v/>
      </c>
      <c r="D501" s="84"/>
      <c r="F501" s="1" t="str">
        <f t="shared" si="1"/>
        <v/>
      </c>
    </row>
    <row r="502">
      <c r="A502" s="84"/>
      <c r="B502" s="84" t="str">
        <f>IF(A502="","",VLOOKUP(A502,'BD Asesor'!$A$8:$E$1998,5,0))</f>
        <v/>
      </c>
      <c r="D502" s="84"/>
      <c r="F502" s="1" t="str">
        <f t="shared" si="1"/>
        <v/>
      </c>
    </row>
    <row r="503">
      <c r="A503" s="84"/>
      <c r="B503" s="84" t="str">
        <f>IF(A503="","",VLOOKUP(A503,'BD Asesor'!$A$8:$E$1998,5,0))</f>
        <v/>
      </c>
      <c r="D503" s="84"/>
      <c r="F503" s="1" t="str">
        <f t="shared" si="1"/>
        <v/>
      </c>
    </row>
    <row r="504">
      <c r="A504" s="84"/>
      <c r="B504" s="84" t="str">
        <f>IF(A504="","",VLOOKUP(A504,'BD Asesor'!$A$8:$E$1998,5,0))</f>
        <v/>
      </c>
      <c r="D504" s="84"/>
      <c r="F504" s="1" t="str">
        <f t="shared" si="1"/>
        <v/>
      </c>
    </row>
    <row r="505">
      <c r="A505" s="84"/>
      <c r="B505" s="84" t="str">
        <f>IF(A505="","",VLOOKUP(A505,'BD Asesor'!$A$8:$E$1998,5,0))</f>
        <v/>
      </c>
      <c r="D505" s="84"/>
      <c r="F505" s="1" t="str">
        <f t="shared" si="1"/>
        <v/>
      </c>
    </row>
    <row r="506">
      <c r="A506" s="84"/>
      <c r="B506" s="84" t="str">
        <f>IF(A506="","",VLOOKUP(A506,'BD Asesor'!$A$8:$E$1998,5,0))</f>
        <v/>
      </c>
      <c r="D506" s="84"/>
      <c r="F506" s="1" t="str">
        <f t="shared" si="1"/>
        <v/>
      </c>
    </row>
    <row r="507">
      <c r="A507" s="84"/>
      <c r="B507" s="84" t="str">
        <f>IF(A507="","",VLOOKUP(A507,'BD Asesor'!$A$8:$E$1998,5,0))</f>
        <v/>
      </c>
      <c r="D507" s="84"/>
      <c r="F507" s="1" t="str">
        <f t="shared" si="1"/>
        <v/>
      </c>
    </row>
    <row r="508">
      <c r="A508" s="84"/>
      <c r="B508" s="84" t="str">
        <f>IF(A508="","",VLOOKUP(A508,'BD Asesor'!$A$8:$E$1998,5,0))</f>
        <v/>
      </c>
      <c r="D508" s="84"/>
      <c r="F508" s="1" t="str">
        <f t="shared" si="1"/>
        <v/>
      </c>
    </row>
    <row r="509">
      <c r="A509" s="84"/>
      <c r="B509" s="84" t="str">
        <f>IF(A509="","",VLOOKUP(A509,'BD Asesor'!$A$8:$E$1998,5,0))</f>
        <v/>
      </c>
      <c r="D509" s="84"/>
      <c r="F509" s="1" t="str">
        <f t="shared" si="1"/>
        <v/>
      </c>
    </row>
    <row r="510">
      <c r="A510" s="84"/>
      <c r="B510" s="84" t="str">
        <f>IF(A510="","",VLOOKUP(A510,'BD Asesor'!$A$8:$E$1998,5,0))</f>
        <v/>
      </c>
      <c r="D510" s="84"/>
      <c r="F510" s="1" t="str">
        <f t="shared" si="1"/>
        <v/>
      </c>
    </row>
    <row r="511">
      <c r="A511" s="84"/>
      <c r="B511" s="84" t="str">
        <f>IF(A511="","",VLOOKUP(A511,'BD Asesor'!$A$8:$E$1998,5,0))</f>
        <v/>
      </c>
      <c r="D511" s="84"/>
      <c r="F511" s="1" t="str">
        <f t="shared" si="1"/>
        <v/>
      </c>
    </row>
    <row r="512">
      <c r="A512" s="84"/>
      <c r="B512" s="84" t="str">
        <f>IF(A512="","",VLOOKUP(A512,'BD Asesor'!$A$8:$E$1998,5,0))</f>
        <v/>
      </c>
      <c r="D512" s="84"/>
      <c r="F512" s="1" t="str">
        <f t="shared" si="1"/>
        <v/>
      </c>
    </row>
    <row r="513">
      <c r="A513" s="84"/>
      <c r="B513" s="84" t="str">
        <f>IF(A513="","",VLOOKUP(A513,'BD Asesor'!$A$8:$E$1998,5,0))</f>
        <v/>
      </c>
      <c r="D513" s="84"/>
      <c r="F513" s="1" t="str">
        <f t="shared" si="1"/>
        <v/>
      </c>
    </row>
    <row r="514">
      <c r="A514" s="84"/>
      <c r="B514" s="84" t="str">
        <f>IF(A514="","",VLOOKUP(A514,'BD Asesor'!$A$8:$E$1998,5,0))</f>
        <v/>
      </c>
      <c r="D514" s="84"/>
      <c r="F514" s="1" t="str">
        <f t="shared" si="1"/>
        <v/>
      </c>
    </row>
    <row r="515">
      <c r="A515" s="84"/>
      <c r="B515" s="84" t="str">
        <f>IF(A515="","",VLOOKUP(A515,'BD Asesor'!$A$8:$E$1998,5,0))</f>
        <v/>
      </c>
      <c r="D515" s="84"/>
      <c r="F515" s="1" t="str">
        <f t="shared" si="1"/>
        <v/>
      </c>
    </row>
    <row r="516">
      <c r="A516" s="84"/>
      <c r="B516" s="84" t="str">
        <f>IF(A516="","",VLOOKUP(A516,'BD Asesor'!$A$8:$E$1998,5,0))</f>
        <v/>
      </c>
      <c r="D516" s="84"/>
      <c r="F516" s="1" t="str">
        <f t="shared" si="1"/>
        <v/>
      </c>
    </row>
    <row r="517">
      <c r="A517" s="84"/>
      <c r="B517" s="84" t="str">
        <f>IF(A517="","",VLOOKUP(A517,'BD Asesor'!$A$8:$E$1998,5,0))</f>
        <v/>
      </c>
      <c r="D517" s="84"/>
      <c r="F517" s="1" t="str">
        <f t="shared" si="1"/>
        <v/>
      </c>
    </row>
    <row r="518">
      <c r="A518" s="84"/>
      <c r="B518" s="84" t="str">
        <f>IF(A518="","",VLOOKUP(A518,'BD Asesor'!$A$8:$E$1998,5,0))</f>
        <v/>
      </c>
      <c r="D518" s="84"/>
      <c r="F518" s="1" t="str">
        <f t="shared" si="1"/>
        <v/>
      </c>
    </row>
    <row r="519">
      <c r="A519" s="84"/>
      <c r="B519" s="84" t="str">
        <f>IF(A519="","",VLOOKUP(A519,'BD Asesor'!$A$8:$E$1998,5,0))</f>
        <v/>
      </c>
      <c r="D519" s="84"/>
      <c r="F519" s="1" t="str">
        <f t="shared" si="1"/>
        <v/>
      </c>
    </row>
    <row r="520">
      <c r="A520" s="84"/>
      <c r="B520" s="84" t="str">
        <f>IF(A520="","",VLOOKUP(A520,'BD Asesor'!$A$8:$E$1998,5,0))</f>
        <v/>
      </c>
      <c r="D520" s="84"/>
      <c r="F520" s="1" t="str">
        <f t="shared" si="1"/>
        <v/>
      </c>
    </row>
    <row r="521">
      <c r="A521" s="84"/>
      <c r="B521" s="84" t="str">
        <f>IF(A521="","",VLOOKUP(A521,'BD Asesor'!$A$8:$E$1998,5,0))</f>
        <v/>
      </c>
      <c r="D521" s="84"/>
      <c r="F521" s="1" t="str">
        <f t="shared" si="1"/>
        <v/>
      </c>
    </row>
    <row r="522">
      <c r="A522" s="84"/>
      <c r="B522" s="84" t="str">
        <f>IF(A522="","",VLOOKUP(A522,'BD Asesor'!$A$8:$E$1998,5,0))</f>
        <v/>
      </c>
      <c r="D522" s="84"/>
      <c r="F522" s="1" t="str">
        <f t="shared" si="1"/>
        <v/>
      </c>
    </row>
    <row r="523">
      <c r="A523" s="84"/>
      <c r="B523" s="84" t="str">
        <f>IF(A523="","",VLOOKUP(A523,'BD Asesor'!$A$8:$E$1998,5,0))</f>
        <v/>
      </c>
      <c r="D523" s="84"/>
      <c r="F523" s="1" t="str">
        <f t="shared" si="1"/>
        <v/>
      </c>
    </row>
    <row r="524">
      <c r="A524" s="84"/>
      <c r="B524" s="84" t="str">
        <f>IF(A524="","",VLOOKUP(A524,'BD Asesor'!$A$8:$E$1998,5,0))</f>
        <v/>
      </c>
      <c r="D524" s="84"/>
      <c r="F524" s="1" t="str">
        <f t="shared" si="1"/>
        <v/>
      </c>
    </row>
    <row r="525">
      <c r="A525" s="84"/>
      <c r="B525" s="84" t="str">
        <f>IF(A525="","",VLOOKUP(A525,'BD Asesor'!$A$8:$E$1998,5,0))</f>
        <v/>
      </c>
      <c r="D525" s="84"/>
      <c r="F525" s="1" t="str">
        <f t="shared" si="1"/>
        <v/>
      </c>
    </row>
    <row r="526">
      <c r="A526" s="84"/>
      <c r="B526" s="84" t="str">
        <f>IF(A526="","",VLOOKUP(A526,'BD Asesor'!$A$8:$E$1998,5,0))</f>
        <v/>
      </c>
      <c r="D526" s="84"/>
      <c r="F526" s="1" t="str">
        <f t="shared" si="1"/>
        <v/>
      </c>
    </row>
    <row r="527">
      <c r="A527" s="84"/>
      <c r="B527" s="84" t="str">
        <f>IF(A527="","",VLOOKUP(A527,'BD Asesor'!$A$8:$E$1998,5,0))</f>
        <v/>
      </c>
      <c r="D527" s="84"/>
      <c r="F527" s="1" t="str">
        <f t="shared" si="1"/>
        <v/>
      </c>
    </row>
    <row r="528">
      <c r="A528" s="84"/>
      <c r="B528" s="84" t="str">
        <f>IF(A528="","",VLOOKUP(A528,'BD Asesor'!$A$8:$E$1998,5,0))</f>
        <v/>
      </c>
      <c r="D528" s="84"/>
      <c r="F528" s="1" t="str">
        <f t="shared" si="1"/>
        <v/>
      </c>
    </row>
    <row r="529">
      <c r="A529" s="84"/>
      <c r="B529" s="84" t="str">
        <f>IF(A529="","",VLOOKUP(A529,'BD Asesor'!$A$8:$E$1998,5,0))</f>
        <v/>
      </c>
      <c r="D529" s="84"/>
      <c r="F529" s="1" t="str">
        <f t="shared" si="1"/>
        <v/>
      </c>
    </row>
    <row r="530">
      <c r="A530" s="84"/>
      <c r="B530" s="84" t="str">
        <f>IF(A530="","",VLOOKUP(A530,'BD Asesor'!$A$8:$E$1998,5,0))</f>
        <v/>
      </c>
      <c r="D530" s="84"/>
      <c r="F530" s="1" t="str">
        <f t="shared" si="1"/>
        <v/>
      </c>
    </row>
    <row r="531">
      <c r="A531" s="84"/>
      <c r="B531" s="84" t="str">
        <f>IF(A531="","",VLOOKUP(A531,'BD Asesor'!$A$8:$E$1998,5,0))</f>
        <v/>
      </c>
      <c r="D531" s="84"/>
      <c r="F531" s="1" t="str">
        <f t="shared" si="1"/>
        <v/>
      </c>
    </row>
    <row r="532">
      <c r="A532" s="84"/>
      <c r="B532" s="84" t="str">
        <f>IF(A532="","",VLOOKUP(A532,'BD Asesor'!$A$8:$E$1998,5,0))</f>
        <v/>
      </c>
      <c r="D532" s="84"/>
      <c r="F532" s="1" t="str">
        <f t="shared" si="1"/>
        <v/>
      </c>
    </row>
    <row r="533">
      <c r="A533" s="84"/>
      <c r="B533" s="84" t="str">
        <f>IF(A533="","",VLOOKUP(A533,'BD Asesor'!$A$8:$E$1998,5,0))</f>
        <v/>
      </c>
      <c r="D533" s="84"/>
      <c r="F533" s="1" t="str">
        <f t="shared" si="1"/>
        <v/>
      </c>
    </row>
    <row r="534">
      <c r="A534" s="84"/>
      <c r="B534" s="84" t="str">
        <f>IF(A534="","",VLOOKUP(A534,'BD Asesor'!$A$8:$E$1998,5,0))</f>
        <v/>
      </c>
      <c r="D534" s="84"/>
      <c r="F534" s="1" t="str">
        <f t="shared" si="1"/>
        <v/>
      </c>
    </row>
    <row r="535">
      <c r="A535" s="84"/>
      <c r="B535" s="84" t="str">
        <f>IF(A535="","",VLOOKUP(A535,'BD Asesor'!$A$8:$E$1998,5,0))</f>
        <v/>
      </c>
      <c r="D535" s="84"/>
      <c r="F535" s="1" t="str">
        <f t="shared" si="1"/>
        <v/>
      </c>
    </row>
    <row r="536">
      <c r="A536" s="84"/>
      <c r="B536" s="84" t="str">
        <f>IF(A536="","",VLOOKUP(A536,'BD Asesor'!$A$8:$E$1998,5,0))</f>
        <v/>
      </c>
      <c r="D536" s="84"/>
      <c r="F536" s="1" t="str">
        <f t="shared" si="1"/>
        <v/>
      </c>
    </row>
    <row r="537">
      <c r="A537" s="84"/>
      <c r="B537" s="84" t="str">
        <f>IF(A537="","",VLOOKUP(A537,'BD Asesor'!$A$8:$E$1998,5,0))</f>
        <v/>
      </c>
      <c r="D537" s="84"/>
      <c r="F537" s="1" t="str">
        <f t="shared" si="1"/>
        <v/>
      </c>
    </row>
    <row r="538">
      <c r="A538" s="84"/>
      <c r="B538" s="84" t="str">
        <f>IF(A538="","",VLOOKUP(A538,'BD Asesor'!$A$8:$E$1998,5,0))</f>
        <v/>
      </c>
      <c r="D538" s="84"/>
      <c r="F538" s="1" t="str">
        <f t="shared" si="1"/>
        <v/>
      </c>
    </row>
    <row r="539">
      <c r="A539" s="84"/>
      <c r="B539" s="84" t="str">
        <f>IF(A539="","",VLOOKUP(A539,'BD Asesor'!$A$8:$E$1998,5,0))</f>
        <v/>
      </c>
      <c r="D539" s="84"/>
      <c r="F539" s="1" t="str">
        <f t="shared" si="1"/>
        <v/>
      </c>
    </row>
    <row r="540">
      <c r="A540" s="84"/>
      <c r="B540" s="84" t="str">
        <f>IF(A540="","",VLOOKUP(A540,'BD Asesor'!$A$8:$E$1998,5,0))</f>
        <v/>
      </c>
      <c r="D540" s="84"/>
      <c r="F540" s="1" t="str">
        <f t="shared" si="1"/>
        <v/>
      </c>
    </row>
    <row r="541">
      <c r="A541" s="84"/>
      <c r="B541" s="84" t="str">
        <f>IF(A541="","",VLOOKUP(A541,'BD Asesor'!$A$8:$E$1998,5,0))</f>
        <v/>
      </c>
      <c r="D541" s="84"/>
      <c r="F541" s="1" t="str">
        <f t="shared" si="1"/>
        <v/>
      </c>
    </row>
    <row r="542">
      <c r="A542" s="84"/>
      <c r="B542" s="84" t="str">
        <f>IF(A542="","",VLOOKUP(A542,'BD Asesor'!$A$8:$E$1998,5,0))</f>
        <v/>
      </c>
      <c r="D542" s="84"/>
      <c r="F542" s="1" t="str">
        <f t="shared" si="1"/>
        <v/>
      </c>
    </row>
    <row r="543">
      <c r="A543" s="84"/>
      <c r="B543" s="84" t="str">
        <f>IF(A543="","",VLOOKUP(A543,'BD Asesor'!$A$8:$E$1998,5,0))</f>
        <v/>
      </c>
      <c r="D543" s="84"/>
      <c r="F543" s="1" t="str">
        <f t="shared" si="1"/>
        <v/>
      </c>
    </row>
    <row r="544">
      <c r="A544" s="84"/>
      <c r="B544" s="84" t="str">
        <f>IF(A544="","",VLOOKUP(A544,'BD Asesor'!$A$8:$E$1998,5,0))</f>
        <v/>
      </c>
      <c r="D544" s="84"/>
      <c r="F544" s="1" t="str">
        <f t="shared" si="1"/>
        <v/>
      </c>
    </row>
    <row r="545">
      <c r="A545" s="84"/>
      <c r="B545" s="84" t="str">
        <f>IF(A545="","",VLOOKUP(A545,'BD Asesor'!$A$8:$E$1998,5,0))</f>
        <v/>
      </c>
      <c r="D545" s="84"/>
      <c r="F545" s="1" t="str">
        <f t="shared" si="1"/>
        <v/>
      </c>
    </row>
    <row r="546">
      <c r="A546" s="84"/>
      <c r="B546" s="84" t="str">
        <f>IF(A546="","",VLOOKUP(A546,'BD Asesor'!$A$8:$E$1998,5,0))</f>
        <v/>
      </c>
      <c r="D546" s="84"/>
      <c r="F546" s="1" t="str">
        <f t="shared" si="1"/>
        <v/>
      </c>
    </row>
    <row r="547">
      <c r="A547" s="84"/>
      <c r="B547" s="84" t="str">
        <f>IF(A547="","",VLOOKUP(A547,'BD Asesor'!$A$8:$E$1998,5,0))</f>
        <v/>
      </c>
      <c r="D547" s="84"/>
      <c r="F547" s="1" t="str">
        <f t="shared" si="1"/>
        <v/>
      </c>
    </row>
    <row r="548">
      <c r="A548" s="84"/>
      <c r="B548" s="84" t="str">
        <f>IF(A548="","",VLOOKUP(A548,'BD Asesor'!$A$8:$E$1998,5,0))</f>
        <v/>
      </c>
      <c r="D548" s="84"/>
      <c r="F548" s="1" t="str">
        <f t="shared" si="1"/>
        <v/>
      </c>
    </row>
    <row r="549">
      <c r="A549" s="84"/>
      <c r="B549" s="84" t="str">
        <f>IF(A549="","",VLOOKUP(A549,'BD Asesor'!$A$8:$E$1998,5,0))</f>
        <v/>
      </c>
      <c r="D549" s="84"/>
      <c r="F549" s="1" t="str">
        <f t="shared" si="1"/>
        <v/>
      </c>
    </row>
    <row r="550">
      <c r="A550" s="84"/>
      <c r="B550" s="84" t="str">
        <f>IF(A550="","",VLOOKUP(A550,'BD Asesor'!$A$8:$E$1998,5,0))</f>
        <v/>
      </c>
      <c r="D550" s="84"/>
      <c r="F550" s="1" t="str">
        <f t="shared" si="1"/>
        <v/>
      </c>
    </row>
    <row r="551">
      <c r="A551" s="84"/>
      <c r="B551" s="84" t="str">
        <f>IF(A551="","",VLOOKUP(A551,'BD Asesor'!$A$8:$E$1998,5,0))</f>
        <v/>
      </c>
      <c r="D551" s="84"/>
      <c r="F551" s="1" t="str">
        <f t="shared" si="1"/>
        <v/>
      </c>
    </row>
    <row r="552">
      <c r="A552" s="84"/>
      <c r="B552" s="84" t="str">
        <f>IF(A552="","",VLOOKUP(A552,'BD Asesor'!$A$8:$E$1998,5,0))</f>
        <v/>
      </c>
      <c r="D552" s="84"/>
      <c r="F552" s="1" t="str">
        <f t="shared" si="1"/>
        <v/>
      </c>
    </row>
    <row r="553">
      <c r="A553" s="84"/>
      <c r="B553" s="84" t="str">
        <f>IF(A553="","",VLOOKUP(A553,'BD Asesor'!$A$8:$E$1998,5,0))</f>
        <v/>
      </c>
      <c r="D553" s="84"/>
      <c r="F553" s="1" t="str">
        <f t="shared" si="1"/>
        <v/>
      </c>
    </row>
    <row r="554">
      <c r="A554" s="84"/>
      <c r="B554" s="84" t="str">
        <f>IF(A554="","",VLOOKUP(A554,'BD Asesor'!$A$8:$E$1998,5,0))</f>
        <v/>
      </c>
      <c r="D554" s="84"/>
      <c r="F554" s="1" t="str">
        <f t="shared" si="1"/>
        <v/>
      </c>
    </row>
    <row r="555">
      <c r="A555" s="84"/>
      <c r="B555" s="84" t="str">
        <f>IF(A555="","",VLOOKUP(A555,'BD Asesor'!$A$8:$E$1998,5,0))</f>
        <v/>
      </c>
      <c r="D555" s="84"/>
      <c r="F555" s="1" t="str">
        <f t="shared" si="1"/>
        <v/>
      </c>
    </row>
    <row r="556">
      <c r="A556" s="84"/>
      <c r="B556" s="84" t="str">
        <f>IF(A556="","",VLOOKUP(A556,'BD Asesor'!$A$8:$E$1998,5,0))</f>
        <v/>
      </c>
      <c r="D556" s="84"/>
      <c r="F556" s="1" t="str">
        <f t="shared" si="1"/>
        <v/>
      </c>
    </row>
    <row r="557">
      <c r="A557" s="84"/>
      <c r="B557" s="84" t="str">
        <f>IF(A557="","",VLOOKUP(A557,'BD Asesor'!$A$8:$E$1998,5,0))</f>
        <v/>
      </c>
      <c r="D557" s="84"/>
      <c r="F557" s="1" t="str">
        <f t="shared" si="1"/>
        <v/>
      </c>
    </row>
    <row r="558">
      <c r="A558" s="84"/>
      <c r="B558" s="84" t="str">
        <f>IF(A558="","",VLOOKUP(A558,'BD Asesor'!$A$8:$E$1998,5,0))</f>
        <v/>
      </c>
      <c r="D558" s="84"/>
      <c r="F558" s="1" t="str">
        <f t="shared" si="1"/>
        <v/>
      </c>
    </row>
    <row r="559">
      <c r="A559" s="84"/>
      <c r="B559" s="84" t="str">
        <f>IF(A559="","",VLOOKUP(A559,'BD Asesor'!$A$8:$E$1998,5,0))</f>
        <v/>
      </c>
      <c r="D559" s="84"/>
      <c r="F559" s="1" t="str">
        <f t="shared" si="1"/>
        <v/>
      </c>
    </row>
    <row r="560">
      <c r="A560" s="84"/>
      <c r="B560" s="84" t="str">
        <f>IF(A560="","",VLOOKUP(A560,'BD Asesor'!$A$8:$E$1998,5,0))</f>
        <v/>
      </c>
      <c r="D560" s="84"/>
      <c r="F560" s="1" t="str">
        <f t="shared" si="1"/>
        <v/>
      </c>
    </row>
    <row r="561">
      <c r="A561" s="84"/>
      <c r="B561" s="84" t="str">
        <f>IF(A561="","",VLOOKUP(A561,'BD Asesor'!$A$8:$E$1998,5,0))</f>
        <v/>
      </c>
      <c r="D561" s="84"/>
      <c r="F561" s="1" t="str">
        <f t="shared" si="1"/>
        <v/>
      </c>
    </row>
    <row r="562">
      <c r="A562" s="84"/>
      <c r="B562" s="84" t="str">
        <f>IF(A562="","",VLOOKUP(A562,'BD Asesor'!$A$8:$E$1998,5,0))</f>
        <v/>
      </c>
      <c r="D562" s="84"/>
      <c r="F562" s="1" t="str">
        <f t="shared" si="1"/>
        <v/>
      </c>
    </row>
    <row r="563">
      <c r="A563" s="84"/>
      <c r="B563" s="84" t="str">
        <f>IF(A563="","",VLOOKUP(A563,'BD Asesor'!$A$8:$E$1998,5,0))</f>
        <v/>
      </c>
      <c r="D563" s="84"/>
      <c r="F563" s="1" t="str">
        <f t="shared" si="1"/>
        <v/>
      </c>
    </row>
    <row r="564">
      <c r="A564" s="84"/>
      <c r="B564" s="84" t="str">
        <f>IF(A564="","",VLOOKUP(A564,'BD Asesor'!$A$8:$E$1998,5,0))</f>
        <v/>
      </c>
      <c r="D564" s="84"/>
      <c r="F564" s="1" t="str">
        <f t="shared" si="1"/>
        <v/>
      </c>
    </row>
    <row r="565">
      <c r="A565" s="84"/>
      <c r="B565" s="84" t="str">
        <f>IF(A565="","",VLOOKUP(A565,'BD Asesor'!$A$8:$E$1998,5,0))</f>
        <v/>
      </c>
      <c r="D565" s="84"/>
      <c r="F565" s="1" t="str">
        <f t="shared" si="1"/>
        <v/>
      </c>
    </row>
    <row r="566">
      <c r="A566" s="84"/>
      <c r="B566" s="84" t="str">
        <f>IF(A566="","",VLOOKUP(A566,'BD Asesor'!$A$8:$E$1998,5,0))</f>
        <v/>
      </c>
      <c r="D566" s="84"/>
      <c r="F566" s="1" t="str">
        <f t="shared" si="1"/>
        <v/>
      </c>
    </row>
    <row r="567">
      <c r="A567" s="84"/>
      <c r="B567" s="84" t="str">
        <f>IF(A567="","",VLOOKUP(A567,'BD Asesor'!$A$8:$E$1998,5,0))</f>
        <v/>
      </c>
      <c r="D567" s="84"/>
      <c r="F567" s="1" t="str">
        <f t="shared" si="1"/>
        <v/>
      </c>
    </row>
    <row r="568">
      <c r="A568" s="84"/>
      <c r="B568" s="84" t="str">
        <f>IF(A568="","",VLOOKUP(A568,'BD Asesor'!$A$8:$E$1998,5,0))</f>
        <v/>
      </c>
      <c r="D568" s="84"/>
      <c r="F568" s="1" t="str">
        <f t="shared" si="1"/>
        <v/>
      </c>
    </row>
    <row r="569">
      <c r="A569" s="84"/>
      <c r="B569" s="84" t="str">
        <f>IF(A569="","",VLOOKUP(A569,'BD Asesor'!$A$8:$E$1998,5,0))</f>
        <v/>
      </c>
      <c r="D569" s="84"/>
      <c r="F569" s="1" t="str">
        <f t="shared" si="1"/>
        <v/>
      </c>
    </row>
    <row r="570">
      <c r="A570" s="84"/>
      <c r="B570" s="84" t="str">
        <f>IF(A570="","",VLOOKUP(A570,'BD Asesor'!$A$8:$E$1998,5,0))</f>
        <v/>
      </c>
      <c r="D570" s="84"/>
      <c r="F570" s="1" t="str">
        <f t="shared" si="1"/>
        <v/>
      </c>
    </row>
    <row r="571">
      <c r="A571" s="84"/>
      <c r="B571" s="84" t="str">
        <f>IF(A571="","",VLOOKUP(A571,'BD Asesor'!$A$8:$E$1998,5,0))</f>
        <v/>
      </c>
      <c r="D571" s="84"/>
      <c r="F571" s="1" t="str">
        <f t="shared" si="1"/>
        <v/>
      </c>
    </row>
    <row r="572">
      <c r="A572" s="84"/>
      <c r="B572" s="84" t="str">
        <f>IF(A572="","",VLOOKUP(A572,'BD Asesor'!$A$8:$E$1998,5,0))</f>
        <v/>
      </c>
      <c r="D572" s="84"/>
      <c r="F572" s="1" t="str">
        <f t="shared" si="1"/>
        <v/>
      </c>
    </row>
    <row r="573">
      <c r="A573" s="84"/>
      <c r="B573" s="84" t="str">
        <f>IF(A573="","",VLOOKUP(A573,'BD Asesor'!$A$8:$E$1998,5,0))</f>
        <v/>
      </c>
      <c r="D573" s="84"/>
      <c r="F573" s="1" t="str">
        <f t="shared" si="1"/>
        <v/>
      </c>
    </row>
    <row r="574">
      <c r="A574" s="84"/>
      <c r="B574" s="84" t="str">
        <f>IF(A574="","",VLOOKUP(A574,'BD Asesor'!$A$8:$E$1998,5,0))</f>
        <v/>
      </c>
      <c r="D574" s="84"/>
      <c r="F574" s="1" t="str">
        <f t="shared" si="1"/>
        <v/>
      </c>
    </row>
    <row r="575">
      <c r="A575" s="84"/>
      <c r="B575" s="84" t="str">
        <f>IF(A575="","",VLOOKUP(A575,'BD Asesor'!$A$8:$E$1998,5,0))</f>
        <v/>
      </c>
      <c r="D575" s="84"/>
      <c r="F575" s="1" t="str">
        <f t="shared" si="1"/>
        <v/>
      </c>
    </row>
    <row r="576">
      <c r="A576" s="84"/>
      <c r="B576" s="84" t="str">
        <f>IF(A576="","",VLOOKUP(A576,'BD Asesor'!$A$8:$E$1998,5,0))</f>
        <v/>
      </c>
      <c r="D576" s="84"/>
      <c r="F576" s="1" t="str">
        <f t="shared" si="1"/>
        <v/>
      </c>
    </row>
    <row r="577">
      <c r="A577" s="84"/>
      <c r="B577" s="84" t="str">
        <f>IF(A577="","",VLOOKUP(A577,'BD Asesor'!$A$8:$E$1998,5,0))</f>
        <v/>
      </c>
      <c r="D577" s="84"/>
      <c r="F577" s="1" t="str">
        <f t="shared" si="1"/>
        <v/>
      </c>
    </row>
    <row r="578">
      <c r="A578" s="84"/>
      <c r="B578" s="84" t="str">
        <f>IF(A578="","",VLOOKUP(A578,'BD Asesor'!$A$8:$E$1998,5,0))</f>
        <v/>
      </c>
      <c r="D578" s="84"/>
      <c r="F578" s="1" t="str">
        <f t="shared" si="1"/>
        <v/>
      </c>
    </row>
    <row r="579">
      <c r="A579" s="84"/>
      <c r="B579" s="84" t="str">
        <f>IF(A579="","",VLOOKUP(A579,'BD Asesor'!$A$8:$E$1998,5,0))</f>
        <v/>
      </c>
      <c r="D579" s="84"/>
      <c r="F579" s="1" t="str">
        <f t="shared" si="1"/>
        <v/>
      </c>
    </row>
    <row r="580">
      <c r="A580" s="84"/>
      <c r="B580" s="84" t="str">
        <f>IF(A580="","",VLOOKUP(A580,'BD Asesor'!$A$8:$E$1998,5,0))</f>
        <v/>
      </c>
      <c r="D580" s="84"/>
      <c r="F580" s="1" t="str">
        <f t="shared" si="1"/>
        <v/>
      </c>
    </row>
    <row r="581">
      <c r="A581" s="84"/>
      <c r="B581" s="84" t="str">
        <f>IF(A581="","",VLOOKUP(A581,'BD Asesor'!$A$8:$E$1998,5,0))</f>
        <v/>
      </c>
      <c r="D581" s="84"/>
      <c r="F581" s="1" t="str">
        <f t="shared" si="1"/>
        <v/>
      </c>
    </row>
    <row r="582">
      <c r="A582" s="84"/>
      <c r="B582" s="84" t="str">
        <f>IF(A582="","",VLOOKUP(A582,'BD Asesor'!$A$8:$E$1998,5,0))</f>
        <v/>
      </c>
      <c r="D582" s="84"/>
      <c r="F582" s="1" t="str">
        <f t="shared" si="1"/>
        <v/>
      </c>
    </row>
    <row r="583">
      <c r="A583" s="84"/>
      <c r="B583" s="84" t="str">
        <f>IF(A583="","",VLOOKUP(A583,'BD Asesor'!$A$8:$E$1998,5,0))</f>
        <v/>
      </c>
      <c r="D583" s="84"/>
      <c r="F583" s="1" t="str">
        <f t="shared" si="1"/>
        <v/>
      </c>
    </row>
    <row r="584">
      <c r="A584" s="84"/>
      <c r="B584" s="84" t="str">
        <f>IF(A584="","",VLOOKUP(A584,'BD Asesor'!$A$8:$E$1998,5,0))</f>
        <v/>
      </c>
      <c r="D584" s="84"/>
      <c r="F584" s="1" t="str">
        <f t="shared" si="1"/>
        <v/>
      </c>
    </row>
    <row r="585">
      <c r="A585" s="84"/>
      <c r="B585" s="84" t="str">
        <f>IF(A585="","",VLOOKUP(A585,'BD Asesor'!$A$8:$E$1998,5,0))</f>
        <v/>
      </c>
      <c r="D585" s="84"/>
      <c r="F585" s="1" t="str">
        <f t="shared" si="1"/>
        <v/>
      </c>
    </row>
    <row r="586">
      <c r="A586" s="84"/>
      <c r="B586" s="84" t="str">
        <f>IF(A586="","",VLOOKUP(A586,'BD Asesor'!$A$8:$E$1998,5,0))</f>
        <v/>
      </c>
      <c r="D586" s="84"/>
      <c r="F586" s="1" t="str">
        <f t="shared" si="1"/>
        <v/>
      </c>
    </row>
    <row r="587">
      <c r="A587" s="84"/>
      <c r="B587" s="84" t="str">
        <f>IF(A587="","",VLOOKUP(A587,'BD Asesor'!$A$8:$E$1998,5,0))</f>
        <v/>
      </c>
      <c r="D587" s="84"/>
      <c r="F587" s="1" t="str">
        <f t="shared" si="1"/>
        <v/>
      </c>
    </row>
    <row r="588">
      <c r="A588" s="84"/>
      <c r="B588" s="84" t="str">
        <f>IF(A588="","",VLOOKUP(A588,'BD Asesor'!$A$8:$E$1998,5,0))</f>
        <v/>
      </c>
      <c r="D588" s="84"/>
      <c r="F588" s="1" t="str">
        <f t="shared" si="1"/>
        <v/>
      </c>
    </row>
    <row r="589">
      <c r="A589" s="84"/>
      <c r="B589" s="84" t="str">
        <f>IF(A589="","",VLOOKUP(A589,'BD Asesor'!$A$8:$E$1998,5,0))</f>
        <v/>
      </c>
      <c r="D589" s="84"/>
      <c r="F589" s="1" t="str">
        <f t="shared" si="1"/>
        <v/>
      </c>
    </row>
    <row r="590">
      <c r="A590" s="84"/>
      <c r="B590" s="84" t="str">
        <f>IF(A590="","",VLOOKUP(A590,'BD Asesor'!$A$8:$E$1998,5,0))</f>
        <v/>
      </c>
      <c r="D590" s="84"/>
      <c r="F590" s="1" t="str">
        <f t="shared" si="1"/>
        <v/>
      </c>
    </row>
    <row r="591">
      <c r="A591" s="84"/>
      <c r="B591" s="84" t="str">
        <f>IF(A591="","",VLOOKUP(A591,'BD Asesor'!$A$8:$E$1998,5,0))</f>
        <v/>
      </c>
      <c r="D591" s="84"/>
      <c r="F591" s="1" t="str">
        <f t="shared" si="1"/>
        <v/>
      </c>
    </row>
    <row r="592">
      <c r="A592" s="84"/>
      <c r="B592" s="84" t="str">
        <f>IF(A592="","",VLOOKUP(A592,'BD Asesor'!$A$8:$E$1998,5,0))</f>
        <v/>
      </c>
      <c r="D592" s="84"/>
      <c r="F592" s="1" t="str">
        <f t="shared" si="1"/>
        <v/>
      </c>
    </row>
    <row r="593">
      <c r="A593" s="84"/>
      <c r="B593" s="84" t="str">
        <f>IF(A593="","",VLOOKUP(A593,'BD Asesor'!$A$8:$E$1998,5,0))</f>
        <v/>
      </c>
      <c r="D593" s="84"/>
      <c r="F593" s="1" t="str">
        <f t="shared" si="1"/>
        <v/>
      </c>
    </row>
    <row r="594">
      <c r="A594" s="84"/>
      <c r="B594" s="84" t="str">
        <f>IF(A594="","",VLOOKUP(A594,'BD Asesor'!$A$8:$E$1998,5,0))</f>
        <v/>
      </c>
      <c r="D594" s="84"/>
      <c r="F594" s="1" t="str">
        <f t="shared" si="1"/>
        <v/>
      </c>
    </row>
    <row r="595">
      <c r="A595" s="84"/>
      <c r="B595" s="84" t="str">
        <f>IF(A595="","",VLOOKUP(A595,'BD Asesor'!$A$8:$E$1998,5,0))</f>
        <v/>
      </c>
      <c r="D595" s="84"/>
      <c r="F595" s="1" t="str">
        <f t="shared" si="1"/>
        <v/>
      </c>
    </row>
    <row r="596">
      <c r="A596" s="84"/>
      <c r="B596" s="84" t="str">
        <f>IF(A596="","",VLOOKUP(A596,'BD Asesor'!$A$8:$E$1998,5,0))</f>
        <v/>
      </c>
      <c r="D596" s="84"/>
      <c r="F596" s="1" t="str">
        <f t="shared" si="1"/>
        <v/>
      </c>
    </row>
    <row r="597">
      <c r="A597" s="84"/>
      <c r="B597" s="84" t="str">
        <f>IF(A597="","",VLOOKUP(A597,'BD Asesor'!$A$8:$E$1998,5,0))</f>
        <v/>
      </c>
      <c r="D597" s="84"/>
      <c r="F597" s="1" t="str">
        <f t="shared" si="1"/>
        <v/>
      </c>
    </row>
    <row r="598">
      <c r="A598" s="84"/>
      <c r="B598" s="84" t="str">
        <f>IF(A598="","",VLOOKUP(A598,'BD Asesor'!$A$8:$E$1998,5,0))</f>
        <v/>
      </c>
      <c r="D598" s="84"/>
      <c r="F598" s="1" t="str">
        <f t="shared" si="1"/>
        <v/>
      </c>
    </row>
    <row r="599">
      <c r="A599" s="84"/>
      <c r="B599" s="84" t="str">
        <f>IF(A599="","",VLOOKUP(A599,'BD Asesor'!$A$8:$E$1998,5,0))</f>
        <v/>
      </c>
      <c r="D599" s="84"/>
      <c r="F599" s="1" t="str">
        <f t="shared" si="1"/>
        <v/>
      </c>
    </row>
    <row r="600">
      <c r="A600" s="84"/>
      <c r="B600" s="84" t="str">
        <f>IF(A600="","",VLOOKUP(A600,'BD Asesor'!$A$8:$E$1998,5,0))</f>
        <v/>
      </c>
      <c r="D600" s="84"/>
      <c r="F600" s="1" t="str">
        <f t="shared" si="1"/>
        <v/>
      </c>
    </row>
    <row r="601">
      <c r="A601" s="84"/>
      <c r="B601" s="84" t="str">
        <f>IF(A601="","",VLOOKUP(A601,'BD Asesor'!$A$8:$E$1998,5,0))</f>
        <v/>
      </c>
      <c r="D601" s="84"/>
      <c r="F601" s="1" t="str">
        <f t="shared" si="1"/>
        <v/>
      </c>
    </row>
    <row r="602">
      <c r="A602" s="84"/>
      <c r="B602" s="84" t="str">
        <f>IF(A602="","",VLOOKUP(A602,'BD Asesor'!$A$8:$E$1998,5,0))</f>
        <v/>
      </c>
      <c r="D602" s="84"/>
      <c r="F602" s="1" t="str">
        <f t="shared" si="1"/>
        <v/>
      </c>
    </row>
    <row r="603">
      <c r="A603" s="84"/>
      <c r="B603" s="84" t="str">
        <f>IF(A603="","",VLOOKUP(A603,'BD Asesor'!$A$8:$E$1998,5,0))</f>
        <v/>
      </c>
      <c r="D603" s="84"/>
      <c r="F603" s="1" t="str">
        <f t="shared" si="1"/>
        <v/>
      </c>
    </row>
    <row r="604">
      <c r="A604" s="84"/>
      <c r="B604" s="84" t="str">
        <f>IF(A604="","",VLOOKUP(A604,'BD Asesor'!$A$8:$E$1998,5,0))</f>
        <v/>
      </c>
      <c r="D604" s="84"/>
      <c r="F604" s="1" t="str">
        <f t="shared" si="1"/>
        <v/>
      </c>
    </row>
    <row r="605">
      <c r="A605" s="84"/>
      <c r="B605" s="84" t="str">
        <f>IF(A605="","",VLOOKUP(A605,'BD Asesor'!$A$8:$E$1998,5,0))</f>
        <v/>
      </c>
      <c r="D605" s="84"/>
      <c r="F605" s="1" t="str">
        <f t="shared" si="1"/>
        <v/>
      </c>
    </row>
    <row r="606">
      <c r="A606" s="84"/>
      <c r="B606" s="84" t="str">
        <f>IF(A606="","",VLOOKUP(A606,'BD Asesor'!$A$8:$E$1998,5,0))</f>
        <v/>
      </c>
      <c r="D606" s="84"/>
      <c r="F606" s="1" t="str">
        <f t="shared" si="1"/>
        <v/>
      </c>
    </row>
    <row r="607">
      <c r="A607" s="84"/>
      <c r="B607" s="84" t="str">
        <f>IF(A607="","",VLOOKUP(A607,'BD Asesor'!$A$8:$E$1998,5,0))</f>
        <v/>
      </c>
      <c r="D607" s="84"/>
      <c r="F607" s="1" t="str">
        <f t="shared" si="1"/>
        <v/>
      </c>
    </row>
    <row r="608">
      <c r="A608" s="84"/>
      <c r="B608" s="84" t="str">
        <f>IF(A608="","",VLOOKUP(A608,'BD Asesor'!$A$8:$E$1998,5,0))</f>
        <v/>
      </c>
      <c r="D608" s="84"/>
      <c r="F608" s="1" t="str">
        <f t="shared" si="1"/>
        <v/>
      </c>
    </row>
    <row r="609">
      <c r="A609" s="84"/>
      <c r="B609" s="84" t="str">
        <f>IF(A609="","",VLOOKUP(A609,'BD Asesor'!$A$8:$E$1998,5,0))</f>
        <v/>
      </c>
      <c r="D609" s="84"/>
      <c r="F609" s="1" t="str">
        <f t="shared" si="1"/>
        <v/>
      </c>
    </row>
    <row r="610">
      <c r="A610" s="84"/>
      <c r="B610" s="84" t="str">
        <f>IF(A610="","",VLOOKUP(A610,'BD Asesor'!$A$8:$E$1998,5,0))</f>
        <v/>
      </c>
      <c r="D610" s="84"/>
      <c r="F610" s="1" t="str">
        <f t="shared" si="1"/>
        <v/>
      </c>
    </row>
    <row r="611">
      <c r="A611" s="84"/>
      <c r="B611" s="84" t="str">
        <f>IF(A611="","",VLOOKUP(A611,'BD Asesor'!$A$8:$E$1998,5,0))</f>
        <v/>
      </c>
      <c r="D611" s="84"/>
      <c r="F611" s="1" t="str">
        <f t="shared" si="1"/>
        <v/>
      </c>
    </row>
    <row r="612">
      <c r="A612" s="84"/>
      <c r="B612" s="84" t="str">
        <f>IF(A612="","",VLOOKUP(A612,'BD Asesor'!$A$8:$E$1998,5,0))</f>
        <v/>
      </c>
      <c r="D612" s="84"/>
      <c r="F612" s="1" t="str">
        <f t="shared" si="1"/>
        <v/>
      </c>
    </row>
    <row r="613">
      <c r="A613" s="84"/>
      <c r="B613" s="84" t="str">
        <f>IF(A613="","",VLOOKUP(A613,'BD Asesor'!$A$8:$E$1998,5,0))</f>
        <v/>
      </c>
      <c r="D613" s="84"/>
      <c r="F613" s="1" t="str">
        <f t="shared" si="1"/>
        <v/>
      </c>
    </row>
    <row r="614">
      <c r="A614" s="84"/>
      <c r="B614" s="84" t="str">
        <f>IF(A614="","",VLOOKUP(A614,'BD Asesor'!$A$8:$E$1998,5,0))</f>
        <v/>
      </c>
      <c r="D614" s="84"/>
      <c r="F614" s="1" t="str">
        <f t="shared" si="1"/>
        <v/>
      </c>
    </row>
    <row r="615">
      <c r="A615" s="84"/>
      <c r="B615" s="84" t="str">
        <f>IF(A615="","",VLOOKUP(A615,'BD Asesor'!$A$8:$E$1998,5,0))</f>
        <v/>
      </c>
      <c r="D615" s="84"/>
      <c r="F615" s="1" t="str">
        <f t="shared" si="1"/>
        <v/>
      </c>
    </row>
    <row r="616">
      <c r="A616" s="84"/>
      <c r="B616" s="84" t="str">
        <f>IF(A616="","",VLOOKUP(A616,'BD Asesor'!$A$8:$E$1998,5,0))</f>
        <v/>
      </c>
      <c r="D616" s="84"/>
      <c r="F616" s="1" t="str">
        <f t="shared" si="1"/>
        <v/>
      </c>
    </row>
    <row r="617">
      <c r="A617" s="84"/>
      <c r="B617" s="84" t="str">
        <f>IF(A617="","",VLOOKUP(A617,'BD Asesor'!$A$8:$E$1998,5,0))</f>
        <v/>
      </c>
      <c r="D617" s="84"/>
      <c r="F617" s="1" t="str">
        <f t="shared" si="1"/>
        <v/>
      </c>
    </row>
    <row r="618">
      <c r="A618" s="84"/>
      <c r="B618" s="84" t="str">
        <f>IF(A618="","",VLOOKUP(A618,'BD Asesor'!$A$8:$E$1998,5,0))</f>
        <v/>
      </c>
      <c r="D618" s="84"/>
      <c r="F618" s="1" t="str">
        <f t="shared" si="1"/>
        <v/>
      </c>
    </row>
    <row r="619">
      <c r="A619" s="84"/>
      <c r="B619" s="84" t="str">
        <f>IF(A619="","",VLOOKUP(A619,'BD Asesor'!$A$8:$E$1998,5,0))</f>
        <v/>
      </c>
      <c r="D619" s="84"/>
      <c r="F619" s="1" t="str">
        <f t="shared" si="1"/>
        <v/>
      </c>
    </row>
    <row r="620">
      <c r="A620" s="84"/>
      <c r="B620" s="84" t="str">
        <f>IF(A620="","",VLOOKUP(A620,'BD Asesor'!$A$8:$E$1998,5,0))</f>
        <v/>
      </c>
      <c r="D620" s="84"/>
      <c r="F620" s="1" t="str">
        <f t="shared" si="1"/>
        <v/>
      </c>
    </row>
    <row r="621">
      <c r="A621" s="84"/>
      <c r="B621" s="84" t="str">
        <f>IF(A621="","",VLOOKUP(A621,'BD Asesor'!$A$8:$E$1998,5,0))</f>
        <v/>
      </c>
      <c r="D621" s="84"/>
      <c r="F621" s="1" t="str">
        <f t="shared" si="1"/>
        <v/>
      </c>
    </row>
    <row r="622">
      <c r="A622" s="84"/>
      <c r="B622" s="84" t="str">
        <f>IF(A622="","",VLOOKUP(A622,'BD Asesor'!$A$8:$E$1998,5,0))</f>
        <v/>
      </c>
      <c r="D622" s="84"/>
      <c r="F622" s="1" t="str">
        <f t="shared" si="1"/>
        <v/>
      </c>
    </row>
    <row r="623">
      <c r="A623" s="84"/>
      <c r="B623" s="84" t="str">
        <f>IF(A623="","",VLOOKUP(A623,'BD Asesor'!$A$8:$E$1998,5,0))</f>
        <v/>
      </c>
      <c r="D623" s="84"/>
      <c r="F623" s="1" t="str">
        <f t="shared" si="1"/>
        <v/>
      </c>
    </row>
    <row r="624">
      <c r="A624" s="84"/>
      <c r="B624" s="84" t="str">
        <f>IF(A624="","",VLOOKUP(A624,'BD Asesor'!$A$8:$E$1998,5,0))</f>
        <v/>
      </c>
      <c r="D624" s="84"/>
      <c r="F624" s="1" t="str">
        <f t="shared" si="1"/>
        <v/>
      </c>
    </row>
    <row r="625">
      <c r="A625" s="84"/>
      <c r="B625" s="84" t="str">
        <f>IF(A625="","",VLOOKUP(A625,'BD Asesor'!$A$8:$E$1998,5,0))</f>
        <v/>
      </c>
      <c r="D625" s="84"/>
      <c r="F625" s="1" t="str">
        <f t="shared" si="1"/>
        <v/>
      </c>
    </row>
    <row r="626">
      <c r="A626" s="84"/>
      <c r="B626" s="84" t="str">
        <f>IF(A626="","",VLOOKUP(A626,'BD Asesor'!$A$8:$E$1998,5,0))</f>
        <v/>
      </c>
      <c r="D626" s="84"/>
      <c r="F626" s="1" t="str">
        <f t="shared" si="1"/>
        <v/>
      </c>
    </row>
    <row r="627">
      <c r="A627" s="84"/>
      <c r="B627" s="84" t="str">
        <f>IF(A627="","",VLOOKUP(A627,'BD Asesor'!$A$8:$E$1998,5,0))</f>
        <v/>
      </c>
      <c r="D627" s="84"/>
      <c r="F627" s="1" t="str">
        <f t="shared" si="1"/>
        <v/>
      </c>
    </row>
    <row r="628">
      <c r="A628" s="84"/>
      <c r="B628" s="84" t="str">
        <f>IF(A628="","",VLOOKUP(A628,'BD Asesor'!$A$8:$E$1998,5,0))</f>
        <v/>
      </c>
      <c r="D628" s="84"/>
      <c r="F628" s="1" t="str">
        <f t="shared" si="1"/>
        <v/>
      </c>
    </row>
    <row r="629">
      <c r="A629" s="84"/>
      <c r="B629" s="84" t="str">
        <f>IF(A629="","",VLOOKUP(A629,'BD Asesor'!$A$8:$E$1998,5,0))</f>
        <v/>
      </c>
      <c r="D629" s="84"/>
      <c r="F629" s="1" t="str">
        <f t="shared" si="1"/>
        <v/>
      </c>
    </row>
    <row r="630">
      <c r="A630" s="84"/>
      <c r="B630" s="84" t="str">
        <f>IF(A630="","",VLOOKUP(A630,'BD Asesor'!$A$8:$E$1998,5,0))</f>
        <v/>
      </c>
      <c r="D630" s="84"/>
      <c r="F630" s="1" t="str">
        <f t="shared" si="1"/>
        <v/>
      </c>
    </row>
    <row r="631">
      <c r="A631" s="84"/>
      <c r="B631" s="84" t="str">
        <f>IF(A631="","",VLOOKUP(A631,'BD Asesor'!$A$8:$E$1998,5,0))</f>
        <v/>
      </c>
      <c r="D631" s="84"/>
      <c r="F631" s="1" t="str">
        <f t="shared" si="1"/>
        <v/>
      </c>
    </row>
    <row r="632">
      <c r="A632" s="84"/>
      <c r="B632" s="84" t="str">
        <f>IF(A632="","",VLOOKUP(A632,'BD Asesor'!$A$8:$E$1998,5,0))</f>
        <v/>
      </c>
      <c r="D632" s="84"/>
      <c r="F632" s="1" t="str">
        <f t="shared" si="1"/>
        <v/>
      </c>
    </row>
    <row r="633">
      <c r="A633" s="84"/>
      <c r="B633" s="84" t="str">
        <f>IF(A633="","",VLOOKUP(A633,'BD Asesor'!$A$8:$E$1998,5,0))</f>
        <v/>
      </c>
      <c r="D633" s="84"/>
      <c r="F633" s="1" t="str">
        <f t="shared" si="1"/>
        <v/>
      </c>
    </row>
    <row r="634">
      <c r="A634" s="84"/>
      <c r="B634" s="84" t="str">
        <f>IF(A634="","",VLOOKUP(A634,'BD Asesor'!$A$8:$E$1998,5,0))</f>
        <v/>
      </c>
      <c r="D634" s="84"/>
      <c r="F634" s="1" t="str">
        <f t="shared" si="1"/>
        <v/>
      </c>
    </row>
    <row r="635">
      <c r="A635" s="84"/>
      <c r="B635" s="84" t="str">
        <f>IF(A635="","",VLOOKUP(A635,'BD Asesor'!$A$8:$E$1998,5,0))</f>
        <v/>
      </c>
      <c r="D635" s="84"/>
      <c r="F635" s="1" t="str">
        <f t="shared" si="1"/>
        <v/>
      </c>
    </row>
    <row r="636">
      <c r="A636" s="84"/>
      <c r="B636" s="84" t="str">
        <f>IF(A636="","",VLOOKUP(A636,'BD Asesor'!$A$8:$E$1998,5,0))</f>
        <v/>
      </c>
      <c r="D636" s="84"/>
      <c r="F636" s="1" t="str">
        <f t="shared" si="1"/>
        <v/>
      </c>
    </row>
    <row r="637">
      <c r="A637" s="84"/>
      <c r="B637" s="84" t="str">
        <f>IF(A637="","",VLOOKUP(A637,'BD Asesor'!$A$8:$E$1998,5,0))</f>
        <v/>
      </c>
      <c r="D637" s="84"/>
      <c r="F637" s="1" t="str">
        <f t="shared" si="1"/>
        <v/>
      </c>
    </row>
    <row r="638">
      <c r="A638" s="84"/>
      <c r="B638" s="84" t="str">
        <f>IF(A638="","",VLOOKUP(A638,'BD Asesor'!$A$8:$E$1998,5,0))</f>
        <v/>
      </c>
      <c r="D638" s="84"/>
      <c r="F638" s="1" t="str">
        <f t="shared" si="1"/>
        <v/>
      </c>
    </row>
    <row r="639">
      <c r="A639" s="84"/>
      <c r="B639" s="84" t="str">
        <f>IF(A639="","",VLOOKUP(A639,'BD Asesor'!$A$8:$E$1998,5,0))</f>
        <v/>
      </c>
      <c r="D639" s="84"/>
      <c r="F639" s="1" t="str">
        <f t="shared" si="1"/>
        <v/>
      </c>
    </row>
    <row r="640">
      <c r="A640" s="84"/>
      <c r="B640" s="84" t="str">
        <f>IF(A640="","",VLOOKUP(A640,'BD Asesor'!$A$8:$E$1998,5,0))</f>
        <v/>
      </c>
      <c r="D640" s="84"/>
      <c r="F640" s="1" t="str">
        <f t="shared" si="1"/>
        <v/>
      </c>
    </row>
    <row r="641">
      <c r="A641" s="84"/>
      <c r="B641" s="84" t="str">
        <f>IF(A641="","",VLOOKUP(A641,'BD Asesor'!$A$8:$E$1998,5,0))</f>
        <v/>
      </c>
      <c r="D641" s="84"/>
      <c r="F641" s="1" t="str">
        <f t="shared" si="1"/>
        <v/>
      </c>
    </row>
    <row r="642">
      <c r="A642" s="84"/>
      <c r="B642" s="84" t="str">
        <f>IF(A642="","",VLOOKUP(A642,'BD Asesor'!$A$8:$E$1998,5,0))</f>
        <v/>
      </c>
      <c r="D642" s="84"/>
      <c r="F642" s="1" t="str">
        <f t="shared" si="1"/>
        <v/>
      </c>
    </row>
    <row r="643">
      <c r="A643" s="84"/>
      <c r="B643" s="84" t="str">
        <f>IF(A643="","",VLOOKUP(A643,'BD Asesor'!$A$8:$E$1998,5,0))</f>
        <v/>
      </c>
      <c r="D643" s="84"/>
      <c r="F643" s="1" t="str">
        <f t="shared" si="1"/>
        <v/>
      </c>
    </row>
    <row r="644">
      <c r="A644" s="84"/>
      <c r="B644" s="84" t="str">
        <f>IF(A644="","",VLOOKUP(A644,'BD Asesor'!$A$8:$E$1998,5,0))</f>
        <v/>
      </c>
      <c r="D644" s="84"/>
      <c r="F644" s="1" t="str">
        <f t="shared" si="1"/>
        <v/>
      </c>
    </row>
    <row r="645">
      <c r="A645" s="84"/>
      <c r="B645" s="84" t="str">
        <f>IF(A645="","",VLOOKUP(A645,'BD Asesor'!$A$8:$E$1998,5,0))</f>
        <v/>
      </c>
      <c r="D645" s="84"/>
      <c r="F645" s="1" t="str">
        <f t="shared" si="1"/>
        <v/>
      </c>
    </row>
    <row r="646">
      <c r="A646" s="84"/>
      <c r="B646" s="84" t="str">
        <f>IF(A646="","",VLOOKUP(A646,'BD Asesor'!$A$8:$E$1998,5,0))</f>
        <v/>
      </c>
      <c r="D646" s="84"/>
      <c r="F646" s="1" t="str">
        <f t="shared" si="1"/>
        <v/>
      </c>
    </row>
    <row r="647">
      <c r="A647" s="84"/>
      <c r="B647" s="84" t="str">
        <f>IF(A647="","",VLOOKUP(A647,'BD Asesor'!$A$8:$E$1998,5,0))</f>
        <v/>
      </c>
      <c r="D647" s="84"/>
      <c r="F647" s="1" t="str">
        <f t="shared" si="1"/>
        <v/>
      </c>
    </row>
    <row r="648">
      <c r="A648" s="84"/>
      <c r="B648" s="84" t="str">
        <f>IF(A648="","",VLOOKUP(A648,'BD Asesor'!$A$8:$E$1998,5,0))</f>
        <v/>
      </c>
      <c r="D648" s="84"/>
      <c r="F648" s="1" t="str">
        <f t="shared" si="1"/>
        <v/>
      </c>
    </row>
    <row r="649">
      <c r="A649" s="84"/>
      <c r="B649" s="84" t="str">
        <f>IF(A649="","",VLOOKUP(A649,'BD Asesor'!$A$8:$E$1998,5,0))</f>
        <v/>
      </c>
      <c r="D649" s="84"/>
      <c r="F649" s="1" t="str">
        <f t="shared" si="1"/>
        <v/>
      </c>
    </row>
    <row r="650">
      <c r="A650" s="84"/>
      <c r="B650" s="84" t="str">
        <f>IF(A650="","",VLOOKUP(A650,'BD Asesor'!$A$8:$E$1998,5,0))</f>
        <v/>
      </c>
      <c r="D650" s="84"/>
      <c r="F650" s="1" t="str">
        <f t="shared" si="1"/>
        <v/>
      </c>
    </row>
    <row r="651">
      <c r="A651" s="84"/>
      <c r="B651" s="84" t="str">
        <f>IF(A651="","",VLOOKUP(A651,'BD Asesor'!$A$8:$E$1998,5,0))</f>
        <v/>
      </c>
      <c r="D651" s="84"/>
      <c r="F651" s="1" t="str">
        <f t="shared" si="1"/>
        <v/>
      </c>
    </row>
    <row r="652">
      <c r="A652" s="84"/>
      <c r="B652" s="84" t="str">
        <f>IF(A652="","",VLOOKUP(A652,'BD Asesor'!$A$8:$E$1998,5,0))</f>
        <v/>
      </c>
      <c r="D652" s="84"/>
      <c r="F652" s="1" t="str">
        <f t="shared" si="1"/>
        <v/>
      </c>
    </row>
    <row r="653">
      <c r="A653" s="84"/>
      <c r="B653" s="84" t="str">
        <f>IF(A653="","",VLOOKUP(A653,'BD Asesor'!$A$8:$E$1998,5,0))</f>
        <v/>
      </c>
      <c r="D653" s="84"/>
      <c r="F653" s="1" t="str">
        <f t="shared" si="1"/>
        <v/>
      </c>
    </row>
    <row r="654">
      <c r="A654" s="84"/>
      <c r="B654" s="84" t="str">
        <f>IF(A654="","",VLOOKUP(A654,'BD Asesor'!$A$8:$E$1998,5,0))</f>
        <v/>
      </c>
      <c r="D654" s="84"/>
      <c r="F654" s="1" t="str">
        <f t="shared" si="1"/>
        <v/>
      </c>
    </row>
    <row r="655">
      <c r="A655" s="84"/>
      <c r="B655" s="84" t="str">
        <f>IF(A655="","",VLOOKUP(A655,'BD Asesor'!$A$8:$E$1998,5,0))</f>
        <v/>
      </c>
      <c r="D655" s="84"/>
      <c r="F655" s="1" t="str">
        <f t="shared" si="1"/>
        <v/>
      </c>
    </row>
    <row r="656">
      <c r="A656" s="84"/>
      <c r="B656" s="84" t="str">
        <f>IF(A656="","",VLOOKUP(A656,'BD Asesor'!$A$8:$E$1998,5,0))</f>
        <v/>
      </c>
      <c r="D656" s="84"/>
      <c r="F656" s="1" t="str">
        <f t="shared" si="1"/>
        <v/>
      </c>
    </row>
    <row r="657">
      <c r="A657" s="84"/>
      <c r="B657" s="84" t="str">
        <f>IF(A657="","",VLOOKUP(A657,'BD Asesor'!$A$8:$E$1998,5,0))</f>
        <v/>
      </c>
      <c r="D657" s="84"/>
      <c r="F657" s="1" t="str">
        <f t="shared" si="1"/>
        <v/>
      </c>
    </row>
    <row r="658">
      <c r="A658" s="84"/>
      <c r="B658" s="84" t="str">
        <f>IF(A658="","",VLOOKUP(A658,'BD Asesor'!$A$8:$E$1998,5,0))</f>
        <v/>
      </c>
      <c r="D658" s="84"/>
      <c r="F658" s="1" t="str">
        <f t="shared" si="1"/>
        <v/>
      </c>
    </row>
    <row r="659">
      <c r="A659" s="84"/>
      <c r="B659" s="84" t="str">
        <f>IF(A659="","",VLOOKUP(A659,'BD Asesor'!$A$8:$E$1998,5,0))</f>
        <v/>
      </c>
      <c r="D659" s="84"/>
      <c r="F659" s="1" t="str">
        <f t="shared" si="1"/>
        <v/>
      </c>
    </row>
    <row r="660">
      <c r="A660" s="84"/>
      <c r="B660" s="84" t="str">
        <f>IF(A660="","",VLOOKUP(A660,'BD Asesor'!$A$8:$E$1998,5,0))</f>
        <v/>
      </c>
      <c r="D660" s="84"/>
      <c r="F660" s="1" t="str">
        <f t="shared" si="1"/>
        <v/>
      </c>
    </row>
    <row r="661">
      <c r="A661" s="84"/>
      <c r="B661" s="84" t="str">
        <f>IF(A661="","",VLOOKUP(A661,'BD Asesor'!$A$8:$E$1998,5,0))</f>
        <v/>
      </c>
      <c r="D661" s="84"/>
      <c r="F661" s="1" t="str">
        <f t="shared" si="1"/>
        <v/>
      </c>
    </row>
    <row r="662">
      <c r="A662" s="84"/>
      <c r="B662" s="84" t="str">
        <f>IF(A662="","",VLOOKUP(A662,'BD Asesor'!$A$8:$E$1998,5,0))</f>
        <v/>
      </c>
      <c r="D662" s="84"/>
      <c r="F662" s="1" t="str">
        <f t="shared" si="1"/>
        <v/>
      </c>
    </row>
    <row r="663">
      <c r="A663" s="84"/>
      <c r="B663" s="84" t="str">
        <f>IF(A663="","",VLOOKUP(A663,'BD Asesor'!$A$8:$E$1998,5,0))</f>
        <v/>
      </c>
      <c r="D663" s="84"/>
      <c r="F663" s="1" t="str">
        <f t="shared" si="1"/>
        <v/>
      </c>
    </row>
    <row r="664">
      <c r="A664" s="84"/>
      <c r="B664" s="84" t="str">
        <f>IF(A664="","",VLOOKUP(A664,'BD Asesor'!$A$8:$E$1998,5,0))</f>
        <v/>
      </c>
      <c r="D664" s="84"/>
      <c r="F664" s="1" t="str">
        <f t="shared" si="1"/>
        <v/>
      </c>
    </row>
    <row r="665">
      <c r="A665" s="84"/>
      <c r="B665" s="84" t="str">
        <f>IF(A665="","",VLOOKUP(A665,'BD Asesor'!$A$8:$E$1998,5,0))</f>
        <v/>
      </c>
      <c r="D665" s="84"/>
      <c r="F665" s="1" t="str">
        <f t="shared" si="1"/>
        <v/>
      </c>
    </row>
    <row r="666">
      <c r="A666" s="84"/>
      <c r="B666" s="84" t="str">
        <f>IF(A666="","",VLOOKUP(A666,'BD Asesor'!$A$8:$E$1998,5,0))</f>
        <v/>
      </c>
      <c r="D666" s="84"/>
      <c r="F666" s="1" t="str">
        <f t="shared" si="1"/>
        <v/>
      </c>
    </row>
    <row r="667">
      <c r="A667" s="84"/>
      <c r="B667" s="84" t="str">
        <f>IF(A667="","",VLOOKUP(A667,'BD Asesor'!$A$8:$E$1998,5,0))</f>
        <v/>
      </c>
      <c r="D667" s="84"/>
      <c r="F667" s="1" t="str">
        <f t="shared" si="1"/>
        <v/>
      </c>
    </row>
    <row r="668">
      <c r="A668" s="84"/>
      <c r="B668" s="84" t="str">
        <f>IF(A668="","",VLOOKUP(A668,'BD Asesor'!$A$8:$E$1998,5,0))</f>
        <v/>
      </c>
      <c r="D668" s="84"/>
      <c r="F668" s="1" t="str">
        <f t="shared" si="1"/>
        <v/>
      </c>
    </row>
    <row r="669">
      <c r="A669" s="84"/>
      <c r="B669" s="84" t="str">
        <f>IF(A669="","",VLOOKUP(A669,'BD Asesor'!$A$8:$E$1998,5,0))</f>
        <v/>
      </c>
      <c r="D669" s="84"/>
      <c r="F669" s="1" t="str">
        <f t="shared" si="1"/>
        <v/>
      </c>
    </row>
    <row r="670">
      <c r="A670" s="84"/>
      <c r="B670" s="84" t="str">
        <f>IF(A670="","",VLOOKUP(A670,'BD Asesor'!$A$8:$E$1998,5,0))</f>
        <v/>
      </c>
      <c r="D670" s="84"/>
      <c r="F670" s="1" t="str">
        <f t="shared" si="1"/>
        <v/>
      </c>
    </row>
    <row r="671">
      <c r="A671" s="84"/>
      <c r="B671" s="84" t="str">
        <f>IF(A671="","",VLOOKUP(A671,'BD Asesor'!$A$8:$E$1998,5,0))</f>
        <v/>
      </c>
      <c r="D671" s="84"/>
      <c r="F671" s="1" t="str">
        <f t="shared" si="1"/>
        <v/>
      </c>
    </row>
    <row r="672">
      <c r="A672" s="84"/>
      <c r="B672" s="84" t="str">
        <f>IF(A672="","",VLOOKUP(A672,'BD Asesor'!$A$8:$E$1998,5,0))</f>
        <v/>
      </c>
      <c r="D672" s="84"/>
      <c r="F672" s="1" t="str">
        <f t="shared" si="1"/>
        <v/>
      </c>
    </row>
    <row r="673">
      <c r="A673" s="84"/>
      <c r="B673" s="84" t="str">
        <f>IF(A673="","",VLOOKUP(A673,'BD Asesor'!$A$8:$E$1998,5,0))</f>
        <v/>
      </c>
      <c r="D673" s="84"/>
      <c r="F673" s="1" t="str">
        <f t="shared" si="1"/>
        <v/>
      </c>
    </row>
    <row r="674">
      <c r="A674" s="84"/>
      <c r="B674" s="84" t="str">
        <f>IF(A674="","",VLOOKUP(A674,'BD Asesor'!$A$8:$E$1998,5,0))</f>
        <v/>
      </c>
      <c r="D674" s="84"/>
      <c r="F674" s="1" t="str">
        <f t="shared" si="1"/>
        <v/>
      </c>
    </row>
    <row r="675">
      <c r="A675" s="84"/>
      <c r="B675" s="84" t="str">
        <f>IF(A675="","",VLOOKUP(A675,'BD Asesor'!$A$8:$E$1998,5,0))</f>
        <v/>
      </c>
      <c r="D675" s="84"/>
      <c r="F675" s="1" t="str">
        <f t="shared" si="1"/>
        <v/>
      </c>
    </row>
    <row r="676">
      <c r="A676" s="84"/>
      <c r="B676" s="84" t="str">
        <f>IF(A676="","",VLOOKUP(A676,'BD Asesor'!$A$8:$E$1998,5,0))</f>
        <v/>
      </c>
      <c r="D676" s="84"/>
      <c r="F676" s="1" t="str">
        <f t="shared" si="1"/>
        <v/>
      </c>
    </row>
    <row r="677">
      <c r="A677" s="84"/>
      <c r="B677" s="84" t="str">
        <f>IF(A677="","",VLOOKUP(A677,'BD Asesor'!$A$8:$E$1998,5,0))</f>
        <v/>
      </c>
      <c r="D677" s="84"/>
      <c r="F677" s="1" t="str">
        <f t="shared" si="1"/>
        <v/>
      </c>
    </row>
    <row r="678">
      <c r="A678" s="84"/>
      <c r="B678" s="84" t="str">
        <f>IF(A678="","",VLOOKUP(A678,'BD Asesor'!$A$8:$E$1998,5,0))</f>
        <v/>
      </c>
      <c r="D678" s="84"/>
      <c r="F678" s="1" t="str">
        <f t="shared" si="1"/>
        <v/>
      </c>
    </row>
    <row r="679">
      <c r="A679" s="84"/>
      <c r="B679" s="84" t="str">
        <f>IF(A679="","",VLOOKUP(A679,'BD Asesor'!$A$8:$E$1998,5,0))</f>
        <v/>
      </c>
      <c r="D679" s="84"/>
      <c r="F679" s="1" t="str">
        <f t="shared" si="1"/>
        <v/>
      </c>
    </row>
    <row r="680">
      <c r="A680" s="84"/>
      <c r="B680" s="84" t="str">
        <f>IF(A680="","",VLOOKUP(A680,'BD Asesor'!$A$8:$E$1998,5,0))</f>
        <v/>
      </c>
      <c r="D680" s="84"/>
      <c r="F680" s="1" t="str">
        <f t="shared" si="1"/>
        <v/>
      </c>
    </row>
    <row r="681">
      <c r="A681" s="84"/>
      <c r="B681" s="84" t="str">
        <f>IF(A681="","",VLOOKUP(A681,'BD Asesor'!$A$8:$E$1998,5,0))</f>
        <v/>
      </c>
      <c r="D681" s="84"/>
      <c r="F681" s="1" t="str">
        <f t="shared" si="1"/>
        <v/>
      </c>
    </row>
    <row r="682">
      <c r="A682" s="84"/>
      <c r="B682" s="84" t="str">
        <f>IF(A682="","",VLOOKUP(A682,'BD Asesor'!$A$8:$E$1998,5,0))</f>
        <v/>
      </c>
      <c r="D682" s="84"/>
      <c r="F682" s="1" t="str">
        <f t="shared" si="1"/>
        <v/>
      </c>
    </row>
    <row r="683">
      <c r="A683" s="84"/>
      <c r="B683" s="84" t="str">
        <f>IF(A683="","",VLOOKUP(A683,'BD Asesor'!$A$8:$E$1998,5,0))</f>
        <v/>
      </c>
      <c r="D683" s="84"/>
      <c r="F683" s="1" t="str">
        <f t="shared" si="1"/>
        <v/>
      </c>
    </row>
    <row r="684">
      <c r="A684" s="84"/>
      <c r="B684" s="84" t="str">
        <f>IF(A684="","",VLOOKUP(A684,'BD Asesor'!$A$8:$E$1998,5,0))</f>
        <v/>
      </c>
      <c r="D684" s="84"/>
      <c r="F684" s="1" t="str">
        <f t="shared" si="1"/>
        <v/>
      </c>
    </row>
    <row r="685">
      <c r="A685" s="84"/>
      <c r="B685" s="84" t="str">
        <f>IF(A685="","",VLOOKUP(A685,'BD Asesor'!$A$8:$E$1998,5,0))</f>
        <v/>
      </c>
      <c r="D685" s="84"/>
      <c r="F685" s="1" t="str">
        <f t="shared" si="1"/>
        <v/>
      </c>
    </row>
    <row r="686">
      <c r="A686" s="84"/>
      <c r="B686" s="84" t="str">
        <f>IF(A686="","",VLOOKUP(A686,'BD Asesor'!$A$8:$E$1998,5,0))</f>
        <v/>
      </c>
      <c r="D686" s="84"/>
      <c r="F686" s="1" t="str">
        <f t="shared" si="1"/>
        <v/>
      </c>
    </row>
    <row r="687">
      <c r="A687" s="84"/>
      <c r="B687" s="84" t="str">
        <f>IF(A687="","",VLOOKUP(A687,'BD Asesor'!$A$8:$E$1998,5,0))</f>
        <v/>
      </c>
      <c r="D687" s="84"/>
      <c r="F687" s="1" t="str">
        <f t="shared" si="1"/>
        <v/>
      </c>
    </row>
    <row r="688">
      <c r="A688" s="84"/>
      <c r="B688" s="84" t="str">
        <f>IF(A688="","",VLOOKUP(A688,'BD Asesor'!$A$8:$E$1998,5,0))</f>
        <v/>
      </c>
      <c r="D688" s="84"/>
      <c r="F688" s="1" t="str">
        <f t="shared" si="1"/>
        <v/>
      </c>
    </row>
    <row r="689">
      <c r="A689" s="84"/>
      <c r="B689" s="84" t="str">
        <f>IF(A689="","",VLOOKUP(A689,'BD Asesor'!$A$8:$E$1998,5,0))</f>
        <v/>
      </c>
      <c r="D689" s="84"/>
      <c r="F689" s="1" t="str">
        <f t="shared" si="1"/>
        <v/>
      </c>
    </row>
    <row r="690">
      <c r="A690" s="84"/>
      <c r="B690" s="84" t="str">
        <f>IF(A690="","",VLOOKUP(A690,'BD Asesor'!$A$8:$E$1998,5,0))</f>
        <v/>
      </c>
      <c r="D690" s="84"/>
      <c r="F690" s="1" t="str">
        <f t="shared" si="1"/>
        <v/>
      </c>
    </row>
    <row r="691">
      <c r="A691" s="84"/>
      <c r="B691" s="84" t="str">
        <f>IF(A691="","",VLOOKUP(A691,'BD Asesor'!$A$8:$E$1998,5,0))</f>
        <v/>
      </c>
      <c r="D691" s="84"/>
      <c r="F691" s="1" t="str">
        <f t="shared" si="1"/>
        <v/>
      </c>
    </row>
    <row r="692">
      <c r="A692" s="84"/>
      <c r="B692" s="84" t="str">
        <f>IF(A692="","",VLOOKUP(A692,'BD Asesor'!$A$8:$E$1998,5,0))</f>
        <v/>
      </c>
      <c r="D692" s="84"/>
      <c r="F692" s="1" t="str">
        <f t="shared" si="1"/>
        <v/>
      </c>
    </row>
    <row r="693">
      <c r="A693" s="84"/>
      <c r="B693" s="84" t="str">
        <f>IF(A693="","",VLOOKUP(A693,'BD Asesor'!$A$8:$E$1998,5,0))</f>
        <v/>
      </c>
      <c r="D693" s="84"/>
      <c r="F693" s="1" t="str">
        <f t="shared" si="1"/>
        <v/>
      </c>
    </row>
    <row r="694">
      <c r="A694" s="84"/>
      <c r="B694" s="84" t="str">
        <f>IF(A694="","",VLOOKUP(A694,'BD Asesor'!$A$8:$E$1998,5,0))</f>
        <v/>
      </c>
      <c r="D694" s="84"/>
      <c r="F694" s="1" t="str">
        <f t="shared" si="1"/>
        <v/>
      </c>
    </row>
    <row r="695">
      <c r="A695" s="84"/>
      <c r="B695" s="84" t="str">
        <f>IF(A695="","",VLOOKUP(A695,'BD Asesor'!$A$8:$E$1998,5,0))</f>
        <v/>
      </c>
      <c r="D695" s="84"/>
      <c r="F695" s="1" t="str">
        <f t="shared" si="1"/>
        <v/>
      </c>
    </row>
    <row r="696">
      <c r="A696" s="84"/>
      <c r="B696" s="84" t="str">
        <f>IF(A696="","",VLOOKUP(A696,'BD Asesor'!$A$8:$E$1998,5,0))</f>
        <v/>
      </c>
      <c r="D696" s="84"/>
      <c r="F696" s="1" t="str">
        <f t="shared" si="1"/>
        <v/>
      </c>
    </row>
    <row r="697">
      <c r="A697" s="84"/>
      <c r="B697" s="84" t="str">
        <f>IF(A697="","",VLOOKUP(A697,'BD Asesor'!$A$8:$E$1998,5,0))</f>
        <v/>
      </c>
      <c r="D697" s="84"/>
      <c r="F697" s="1" t="str">
        <f t="shared" si="1"/>
        <v/>
      </c>
    </row>
    <row r="698">
      <c r="A698" s="84"/>
      <c r="B698" s="84" t="str">
        <f>IF(A698="","",VLOOKUP(A698,'BD Asesor'!$A$8:$E$1998,5,0))</f>
        <v/>
      </c>
      <c r="D698" s="84"/>
      <c r="F698" s="1" t="str">
        <f t="shared" si="1"/>
        <v/>
      </c>
    </row>
    <row r="699">
      <c r="A699" s="84"/>
      <c r="B699" s="84" t="str">
        <f>IF(A699="","",VLOOKUP(A699,'BD Asesor'!$A$8:$E$1998,5,0))</f>
        <v/>
      </c>
      <c r="D699" s="84"/>
      <c r="F699" s="1" t="str">
        <f t="shared" si="1"/>
        <v/>
      </c>
    </row>
    <row r="700">
      <c r="A700" s="84"/>
      <c r="B700" s="84" t="str">
        <f>IF(A700="","",VLOOKUP(A700,'BD Asesor'!$A$8:$E$1998,5,0))</f>
        <v/>
      </c>
      <c r="D700" s="84"/>
      <c r="F700" s="1" t="str">
        <f t="shared" si="1"/>
        <v/>
      </c>
    </row>
    <row r="701">
      <c r="A701" s="84"/>
      <c r="B701" s="84" t="str">
        <f>IF(A701="","",VLOOKUP(A701,'BD Asesor'!$A$8:$E$1998,5,0))</f>
        <v/>
      </c>
      <c r="D701" s="84"/>
      <c r="F701" s="1" t="str">
        <f t="shared" si="1"/>
        <v/>
      </c>
    </row>
    <row r="702">
      <c r="A702" s="84"/>
      <c r="B702" s="84" t="str">
        <f>IF(A702="","",VLOOKUP(A702,'BD Asesor'!$A$8:$E$1998,5,0))</f>
        <v/>
      </c>
      <c r="D702" s="84"/>
      <c r="F702" s="1" t="str">
        <f t="shared" si="1"/>
        <v/>
      </c>
    </row>
    <row r="703">
      <c r="A703" s="84"/>
      <c r="B703" s="84" t="str">
        <f>IF(A703="","",VLOOKUP(A703,'BD Asesor'!$A$8:$E$1998,5,0))</f>
        <v/>
      </c>
      <c r="D703" s="84"/>
      <c r="F703" s="1" t="str">
        <f t="shared" si="1"/>
        <v/>
      </c>
    </row>
    <row r="704">
      <c r="A704" s="84"/>
      <c r="B704" s="84" t="str">
        <f>IF(A704="","",VLOOKUP(A704,'BD Asesor'!$A$8:$E$1998,5,0))</f>
        <v/>
      </c>
      <c r="D704" s="84"/>
      <c r="F704" s="1" t="str">
        <f t="shared" si="1"/>
        <v/>
      </c>
    </row>
    <row r="705">
      <c r="A705" s="84"/>
      <c r="B705" s="84" t="str">
        <f>IF(A705="","",VLOOKUP(A705,'BD Asesor'!$A$8:$E$1998,5,0))</f>
        <v/>
      </c>
      <c r="D705" s="84"/>
      <c r="F705" s="1" t="str">
        <f t="shared" si="1"/>
        <v/>
      </c>
    </row>
    <row r="706">
      <c r="A706" s="84"/>
      <c r="B706" s="84" t="str">
        <f>IF(A706="","",VLOOKUP(A706,'BD Asesor'!$A$8:$E$1998,5,0))</f>
        <v/>
      </c>
      <c r="D706" s="84"/>
      <c r="F706" s="1" t="str">
        <f t="shared" si="1"/>
        <v/>
      </c>
    </row>
    <row r="707">
      <c r="A707" s="84"/>
      <c r="B707" s="84" t="str">
        <f>IF(A707="","",VLOOKUP(A707,'BD Asesor'!$A$8:$E$1998,5,0))</f>
        <v/>
      </c>
      <c r="D707" s="84"/>
      <c r="F707" s="1" t="str">
        <f t="shared" si="1"/>
        <v/>
      </c>
    </row>
    <row r="708">
      <c r="A708" s="84"/>
      <c r="B708" s="84" t="str">
        <f>IF(A708="","",VLOOKUP(A708,'BD Asesor'!$A$8:$E$1998,5,0))</f>
        <v/>
      </c>
      <c r="D708" s="84"/>
      <c r="F708" s="1" t="str">
        <f t="shared" si="1"/>
        <v/>
      </c>
    </row>
    <row r="709">
      <c r="A709" s="84"/>
      <c r="B709" s="84" t="str">
        <f>IF(A709="","",VLOOKUP(A709,'BD Asesor'!$A$8:$E$1998,5,0))</f>
        <v/>
      </c>
      <c r="D709" s="84"/>
      <c r="F709" s="1" t="str">
        <f t="shared" si="1"/>
        <v/>
      </c>
    </row>
    <row r="710">
      <c r="A710" s="84"/>
      <c r="B710" s="84" t="str">
        <f>IF(A710="","",VLOOKUP(A710,'BD Asesor'!$A$8:$E$1998,5,0))</f>
        <v/>
      </c>
      <c r="D710" s="84"/>
      <c r="F710" s="1" t="str">
        <f t="shared" si="1"/>
        <v/>
      </c>
    </row>
    <row r="711">
      <c r="A711" s="84"/>
      <c r="B711" s="84" t="str">
        <f>IF(A711="","",VLOOKUP(A711,'BD Asesor'!$A$8:$E$1998,5,0))</f>
        <v/>
      </c>
      <c r="D711" s="84"/>
      <c r="F711" s="1" t="str">
        <f t="shared" si="1"/>
        <v/>
      </c>
    </row>
    <row r="712">
      <c r="A712" s="84"/>
      <c r="B712" s="84" t="str">
        <f>IF(A712="","",VLOOKUP(A712,'BD Asesor'!$A$8:$E$1998,5,0))</f>
        <v/>
      </c>
      <c r="D712" s="84"/>
      <c r="F712" s="1" t="str">
        <f t="shared" si="1"/>
        <v/>
      </c>
    </row>
    <row r="713">
      <c r="A713" s="84"/>
      <c r="B713" s="84" t="str">
        <f>IF(A713="","",VLOOKUP(A713,'BD Asesor'!$A$8:$E$1998,5,0))</f>
        <v/>
      </c>
      <c r="D713" s="84"/>
      <c r="F713" s="1" t="str">
        <f t="shared" si="1"/>
        <v/>
      </c>
    </row>
    <row r="714">
      <c r="A714" s="84"/>
      <c r="B714" s="84" t="str">
        <f>IF(A714="","",VLOOKUP(A714,'BD Asesor'!$A$8:$E$1998,5,0))</f>
        <v/>
      </c>
      <c r="D714" s="84"/>
      <c r="F714" s="1" t="str">
        <f t="shared" si="1"/>
        <v/>
      </c>
    </row>
    <row r="715">
      <c r="A715" s="84"/>
      <c r="B715" s="84" t="str">
        <f>IF(A715="","",VLOOKUP(A715,'BD Asesor'!$A$8:$E$1998,5,0))</f>
        <v/>
      </c>
      <c r="D715" s="84"/>
      <c r="F715" s="1" t="str">
        <f t="shared" si="1"/>
        <v/>
      </c>
    </row>
    <row r="716">
      <c r="A716" s="84"/>
      <c r="B716" s="84" t="str">
        <f>IF(A716="","",VLOOKUP(A716,'BD Asesor'!$A$8:$E$1998,5,0))</f>
        <v/>
      </c>
      <c r="D716" s="84"/>
      <c r="F716" s="1" t="str">
        <f t="shared" si="1"/>
        <v/>
      </c>
    </row>
    <row r="717">
      <c r="A717" s="84"/>
      <c r="B717" s="84" t="str">
        <f>IF(A717="","",VLOOKUP(A717,'BD Asesor'!$A$8:$E$1998,5,0))</f>
        <v/>
      </c>
      <c r="D717" s="84"/>
      <c r="F717" s="1" t="str">
        <f t="shared" si="1"/>
        <v/>
      </c>
    </row>
    <row r="718">
      <c r="A718" s="84"/>
      <c r="B718" s="84" t="str">
        <f>IF(A718="","",VLOOKUP(A718,'BD Asesor'!$A$8:$E$1998,5,0))</f>
        <v/>
      </c>
      <c r="D718" s="84"/>
      <c r="F718" s="1" t="str">
        <f t="shared" si="1"/>
        <v/>
      </c>
    </row>
    <row r="719">
      <c r="A719" s="84"/>
      <c r="B719" s="84" t="str">
        <f>IF(A719="","",VLOOKUP(A719,'BD Asesor'!$A$8:$E$1998,5,0))</f>
        <v/>
      </c>
      <c r="D719" s="84"/>
      <c r="F719" s="1" t="str">
        <f t="shared" si="1"/>
        <v/>
      </c>
    </row>
    <row r="720">
      <c r="A720" s="84"/>
      <c r="B720" s="84" t="str">
        <f>IF(A720="","",VLOOKUP(A720,'BD Asesor'!$A$8:$E$1998,5,0))</f>
        <v/>
      </c>
      <c r="D720" s="84"/>
      <c r="F720" s="1" t="str">
        <f t="shared" si="1"/>
        <v/>
      </c>
    </row>
    <row r="721">
      <c r="A721" s="84"/>
      <c r="B721" s="84" t="str">
        <f>IF(A721="","",VLOOKUP(A721,'BD Asesor'!$A$8:$E$1998,5,0))</f>
        <v/>
      </c>
      <c r="D721" s="84"/>
      <c r="F721" s="1" t="str">
        <f t="shared" si="1"/>
        <v/>
      </c>
    </row>
    <row r="722">
      <c r="A722" s="84"/>
      <c r="B722" s="84" t="str">
        <f>IF(A722="","",VLOOKUP(A722,'BD Asesor'!$A$8:$E$1998,5,0))</f>
        <v/>
      </c>
      <c r="D722" s="84"/>
      <c r="F722" s="1" t="str">
        <f t="shared" si="1"/>
        <v/>
      </c>
    </row>
    <row r="723">
      <c r="A723" s="84"/>
      <c r="B723" s="84" t="str">
        <f>IF(A723="","",VLOOKUP(A723,'BD Asesor'!$A$8:$E$1998,5,0))</f>
        <v/>
      </c>
      <c r="D723" s="84"/>
      <c r="F723" s="1" t="str">
        <f t="shared" si="1"/>
        <v/>
      </c>
    </row>
    <row r="724">
      <c r="A724" s="84"/>
      <c r="B724" s="84" t="str">
        <f>IF(A724="","",VLOOKUP(A724,'BD Asesor'!$A$8:$E$1998,5,0))</f>
        <v/>
      </c>
      <c r="D724" s="84"/>
      <c r="F724" s="1" t="str">
        <f t="shared" si="1"/>
        <v/>
      </c>
    </row>
    <row r="725">
      <c r="A725" s="84"/>
      <c r="B725" s="84" t="str">
        <f>IF(A725="","",VLOOKUP(A725,'BD Asesor'!$A$8:$E$1998,5,0))</f>
        <v/>
      </c>
      <c r="D725" s="84"/>
      <c r="F725" s="1" t="str">
        <f t="shared" si="1"/>
        <v/>
      </c>
    </row>
    <row r="726">
      <c r="A726" s="84"/>
      <c r="B726" s="84" t="str">
        <f>IF(A726="","",VLOOKUP(A726,'BD Asesor'!$A$8:$E$1998,5,0))</f>
        <v/>
      </c>
      <c r="D726" s="84"/>
      <c r="F726" s="1" t="str">
        <f t="shared" si="1"/>
        <v/>
      </c>
    </row>
    <row r="727">
      <c r="A727" s="84"/>
      <c r="B727" s="84" t="str">
        <f>IF(A727="","",VLOOKUP(A727,'BD Asesor'!$A$8:$E$1998,5,0))</f>
        <v/>
      </c>
      <c r="D727" s="84"/>
      <c r="F727" s="1" t="str">
        <f t="shared" si="1"/>
        <v/>
      </c>
    </row>
    <row r="728">
      <c r="A728" s="84"/>
      <c r="B728" s="84" t="str">
        <f>IF(A728="","",VLOOKUP(A728,'BD Asesor'!$A$8:$E$1998,5,0))</f>
        <v/>
      </c>
      <c r="D728" s="84"/>
      <c r="F728" s="1" t="str">
        <f t="shared" si="1"/>
        <v/>
      </c>
    </row>
    <row r="729">
      <c r="A729" s="84"/>
      <c r="B729" s="84" t="str">
        <f>IF(A729="","",VLOOKUP(A729,'BD Asesor'!$A$8:$E$1998,5,0))</f>
        <v/>
      </c>
      <c r="D729" s="84"/>
      <c r="F729" s="1" t="str">
        <f t="shared" si="1"/>
        <v/>
      </c>
    </row>
    <row r="730">
      <c r="A730" s="84"/>
      <c r="B730" s="84" t="str">
        <f>IF(A730="","",VLOOKUP(A730,'BD Asesor'!$A$8:$E$1998,5,0))</f>
        <v/>
      </c>
      <c r="D730" s="84"/>
      <c r="F730" s="1" t="str">
        <f t="shared" si="1"/>
        <v/>
      </c>
    </row>
    <row r="731">
      <c r="A731" s="84"/>
      <c r="B731" s="84" t="str">
        <f>IF(A731="","",VLOOKUP(A731,'BD Asesor'!$A$8:$E$1998,5,0))</f>
        <v/>
      </c>
      <c r="D731" s="84"/>
      <c r="F731" s="1" t="str">
        <f t="shared" si="1"/>
        <v/>
      </c>
    </row>
    <row r="732">
      <c r="A732" s="84"/>
      <c r="B732" s="84" t="str">
        <f>IF(A732="","",VLOOKUP(A732,'BD Asesor'!$A$8:$E$1998,5,0))</f>
        <v/>
      </c>
      <c r="D732" s="84"/>
      <c r="F732" s="1" t="str">
        <f t="shared" si="1"/>
        <v/>
      </c>
    </row>
    <row r="733">
      <c r="A733" s="84"/>
      <c r="B733" s="84" t="str">
        <f>IF(A733="","",VLOOKUP(A733,'BD Asesor'!$A$8:$E$1998,5,0))</f>
        <v/>
      </c>
      <c r="D733" s="84"/>
      <c r="F733" s="1" t="str">
        <f t="shared" si="1"/>
        <v/>
      </c>
    </row>
    <row r="734">
      <c r="A734" s="84"/>
      <c r="B734" s="84" t="str">
        <f>IF(A734="","",VLOOKUP(A734,'BD Asesor'!$A$8:$E$1998,5,0))</f>
        <v/>
      </c>
      <c r="D734" s="84"/>
      <c r="F734" s="1" t="str">
        <f t="shared" si="1"/>
        <v/>
      </c>
    </row>
    <row r="735">
      <c r="A735" s="84"/>
      <c r="B735" s="84" t="str">
        <f>IF(A735="","",VLOOKUP(A735,'BD Asesor'!$A$8:$E$1998,5,0))</f>
        <v/>
      </c>
      <c r="D735" s="84"/>
      <c r="F735" s="1" t="str">
        <f t="shared" si="1"/>
        <v/>
      </c>
    </row>
    <row r="736">
      <c r="A736" s="84"/>
      <c r="B736" s="84" t="str">
        <f>IF(A736="","",VLOOKUP(A736,'BD Asesor'!$A$8:$E$1998,5,0))</f>
        <v/>
      </c>
      <c r="D736" s="84"/>
      <c r="F736" s="1" t="str">
        <f t="shared" si="1"/>
        <v/>
      </c>
    </row>
    <row r="737">
      <c r="A737" s="84"/>
      <c r="B737" s="84" t="str">
        <f>IF(A737="","",VLOOKUP(A737,'BD Asesor'!$A$8:$E$1998,5,0))</f>
        <v/>
      </c>
      <c r="D737" s="84"/>
      <c r="F737" s="1" t="str">
        <f t="shared" si="1"/>
        <v/>
      </c>
    </row>
    <row r="738">
      <c r="A738" s="84"/>
      <c r="B738" s="84" t="str">
        <f>IF(A738="","",VLOOKUP(A738,'BD Asesor'!$A$8:$E$1998,5,0))</f>
        <v/>
      </c>
      <c r="D738" s="84"/>
      <c r="F738" s="1" t="str">
        <f t="shared" si="1"/>
        <v/>
      </c>
    </row>
    <row r="739">
      <c r="A739" s="84"/>
      <c r="B739" s="84" t="str">
        <f>IF(A739="","",VLOOKUP(A739,'BD Asesor'!$A$8:$E$1998,5,0))</f>
        <v/>
      </c>
      <c r="D739" s="84"/>
      <c r="F739" s="1" t="str">
        <f t="shared" si="1"/>
        <v/>
      </c>
    </row>
    <row r="740">
      <c r="A740" s="84"/>
      <c r="B740" s="84" t="str">
        <f>IF(A740="","",VLOOKUP(A740,'BD Asesor'!$A$8:$E$1998,5,0))</f>
        <v/>
      </c>
      <c r="D740" s="84"/>
      <c r="F740" s="1" t="str">
        <f t="shared" si="1"/>
        <v/>
      </c>
    </row>
    <row r="741">
      <c r="A741" s="84"/>
      <c r="B741" s="84" t="str">
        <f>IF(A741="","",VLOOKUP(A741,'BD Asesor'!$A$8:$E$1998,5,0))</f>
        <v/>
      </c>
      <c r="D741" s="84"/>
      <c r="F741" s="1" t="str">
        <f t="shared" si="1"/>
        <v/>
      </c>
    </row>
    <row r="742">
      <c r="A742" s="84"/>
      <c r="B742" s="84" t="str">
        <f>IF(A742="","",VLOOKUP(A742,'BD Asesor'!$A$8:$E$1998,5,0))</f>
        <v/>
      </c>
      <c r="D742" s="84"/>
      <c r="F742" s="1" t="str">
        <f t="shared" si="1"/>
        <v/>
      </c>
    </row>
    <row r="743">
      <c r="A743" s="84"/>
      <c r="B743" s="84" t="str">
        <f>IF(A743="","",VLOOKUP(A743,'BD Asesor'!$A$8:$E$1998,5,0))</f>
        <v/>
      </c>
      <c r="D743" s="84"/>
      <c r="F743" s="1" t="str">
        <f t="shared" si="1"/>
        <v/>
      </c>
    </row>
    <row r="744">
      <c r="A744" s="84"/>
      <c r="B744" s="84" t="str">
        <f>IF(A744="","",VLOOKUP(A744,'BD Asesor'!$A$8:$E$1998,5,0))</f>
        <v/>
      </c>
      <c r="D744" s="84"/>
      <c r="F744" s="1" t="str">
        <f t="shared" si="1"/>
        <v/>
      </c>
    </row>
    <row r="745">
      <c r="A745" s="84"/>
      <c r="B745" s="84" t="str">
        <f>IF(A745="","",VLOOKUP(A745,'BD Asesor'!$A$8:$E$1998,5,0))</f>
        <v/>
      </c>
      <c r="D745" s="84"/>
      <c r="F745" s="1" t="str">
        <f t="shared" si="1"/>
        <v/>
      </c>
    </row>
    <row r="746">
      <c r="A746" s="84"/>
      <c r="B746" s="84" t="str">
        <f>IF(A746="","",VLOOKUP(A746,'BD Asesor'!$A$8:$E$1998,5,0))</f>
        <v/>
      </c>
      <c r="D746" s="84"/>
      <c r="F746" s="1" t="str">
        <f t="shared" si="1"/>
        <v/>
      </c>
    </row>
    <row r="747">
      <c r="A747" s="84"/>
      <c r="B747" s="84" t="str">
        <f>IF(A747="","",VLOOKUP(A747,'BD Asesor'!$A$8:$E$1998,5,0))</f>
        <v/>
      </c>
      <c r="D747" s="84"/>
      <c r="F747" s="1" t="str">
        <f t="shared" si="1"/>
        <v/>
      </c>
    </row>
    <row r="748">
      <c r="A748" s="84"/>
      <c r="B748" s="84" t="str">
        <f>IF(A748="","",VLOOKUP(A748,'BD Asesor'!$A$8:$E$1998,5,0))</f>
        <v/>
      </c>
      <c r="D748" s="84"/>
      <c r="F748" s="1" t="str">
        <f t="shared" si="1"/>
        <v/>
      </c>
    </row>
    <row r="749">
      <c r="A749" s="84"/>
      <c r="B749" s="84" t="str">
        <f>IF(A749="","",VLOOKUP(A749,'BD Asesor'!$A$8:$E$1998,5,0))</f>
        <v/>
      </c>
      <c r="D749" s="84"/>
      <c r="F749" s="1" t="str">
        <f t="shared" si="1"/>
        <v/>
      </c>
    </row>
    <row r="750">
      <c r="A750" s="84"/>
      <c r="B750" s="84" t="str">
        <f>IF(A750="","",VLOOKUP(A750,'BD Asesor'!$A$8:$E$1998,5,0))</f>
        <v/>
      </c>
      <c r="D750" s="84"/>
      <c r="F750" s="1" t="str">
        <f t="shared" si="1"/>
        <v/>
      </c>
    </row>
    <row r="751">
      <c r="A751" s="84"/>
      <c r="B751" s="84" t="str">
        <f>IF(A751="","",VLOOKUP(A751,'BD Asesor'!$A$8:$E$1998,5,0))</f>
        <v/>
      </c>
      <c r="D751" s="84"/>
      <c r="F751" s="1" t="str">
        <f t="shared" si="1"/>
        <v/>
      </c>
    </row>
    <row r="752">
      <c r="A752" s="84"/>
      <c r="B752" s="84" t="str">
        <f>IF(A752="","",VLOOKUP(A752,'BD Asesor'!$A$8:$E$1998,5,0))</f>
        <v/>
      </c>
      <c r="D752" s="84"/>
      <c r="F752" s="1" t="str">
        <f t="shared" si="1"/>
        <v/>
      </c>
    </row>
    <row r="753">
      <c r="A753" s="84"/>
      <c r="B753" s="84" t="str">
        <f>IF(A753="","",VLOOKUP(A753,'BD Asesor'!$A$8:$E$1998,5,0))</f>
        <v/>
      </c>
      <c r="D753" s="84"/>
      <c r="F753" s="1" t="str">
        <f t="shared" si="1"/>
        <v/>
      </c>
    </row>
    <row r="754">
      <c r="A754" s="84"/>
      <c r="B754" s="84" t="str">
        <f>IF(A754="","",VLOOKUP(A754,'BD Asesor'!$A$8:$E$1998,5,0))</f>
        <v/>
      </c>
      <c r="D754" s="84"/>
      <c r="F754" s="1" t="str">
        <f t="shared" si="1"/>
        <v/>
      </c>
    </row>
    <row r="755">
      <c r="A755" s="84"/>
      <c r="B755" s="84" t="str">
        <f>IF(A755="","",VLOOKUP(A755,'BD Asesor'!$A$8:$E$1998,5,0))</f>
        <v/>
      </c>
      <c r="D755" s="84"/>
      <c r="F755" s="1" t="str">
        <f t="shared" si="1"/>
        <v/>
      </c>
    </row>
    <row r="756">
      <c r="A756" s="84"/>
      <c r="B756" s="84" t="str">
        <f>IF(A756="","",VLOOKUP(A756,'BD Asesor'!$A$8:$E$1998,5,0))</f>
        <v/>
      </c>
      <c r="D756" s="84"/>
      <c r="F756" s="1" t="str">
        <f t="shared" si="1"/>
        <v/>
      </c>
    </row>
    <row r="757">
      <c r="A757" s="84"/>
      <c r="B757" s="84" t="str">
        <f>IF(A757="","",VLOOKUP(A757,'BD Asesor'!$A$8:$E$1998,5,0))</f>
        <v/>
      </c>
      <c r="D757" s="84"/>
      <c r="F757" s="1" t="str">
        <f t="shared" si="1"/>
        <v/>
      </c>
    </row>
    <row r="758">
      <c r="A758" s="84"/>
      <c r="B758" s="84" t="str">
        <f>IF(A758="","",VLOOKUP(A758,'BD Asesor'!$A$8:$E$1998,5,0))</f>
        <v/>
      </c>
      <c r="D758" s="84"/>
      <c r="F758" s="1" t="str">
        <f t="shared" si="1"/>
        <v/>
      </c>
    </row>
    <row r="759">
      <c r="A759" s="84"/>
      <c r="B759" s="84" t="str">
        <f>IF(A759="","",VLOOKUP(A759,'BD Asesor'!$A$8:$E$1998,5,0))</f>
        <v/>
      </c>
      <c r="D759" s="84"/>
      <c r="F759" s="1" t="str">
        <f t="shared" si="1"/>
        <v/>
      </c>
    </row>
    <row r="760">
      <c r="A760" s="84"/>
      <c r="B760" s="84" t="str">
        <f>IF(A760="","",VLOOKUP(A760,'BD Asesor'!$A$8:$E$1998,5,0))</f>
        <v/>
      </c>
      <c r="D760" s="84"/>
      <c r="F760" s="1" t="str">
        <f t="shared" si="1"/>
        <v/>
      </c>
    </row>
    <row r="761">
      <c r="A761" s="84"/>
      <c r="B761" s="84" t="str">
        <f>IF(A761="","",VLOOKUP(A761,'BD Asesor'!$A$8:$E$1998,5,0))</f>
        <v/>
      </c>
      <c r="D761" s="84"/>
      <c r="F761" s="1" t="str">
        <f t="shared" si="1"/>
        <v/>
      </c>
    </row>
    <row r="762">
      <c r="A762" s="84"/>
      <c r="B762" s="84" t="str">
        <f>IF(A762="","",VLOOKUP(A762,'BD Asesor'!$A$8:$E$1998,5,0))</f>
        <v/>
      </c>
      <c r="D762" s="84"/>
      <c r="F762" s="1" t="str">
        <f t="shared" si="1"/>
        <v/>
      </c>
    </row>
    <row r="763">
      <c r="A763" s="84"/>
      <c r="B763" s="84" t="str">
        <f>IF(A763="","",VLOOKUP(A763,'BD Asesor'!$A$8:$E$1998,5,0))</f>
        <v/>
      </c>
      <c r="D763" s="84"/>
      <c r="F763" s="1" t="str">
        <f t="shared" si="1"/>
        <v/>
      </c>
    </row>
    <row r="764">
      <c r="A764" s="84"/>
      <c r="B764" s="84" t="str">
        <f>IF(A764="","",VLOOKUP(A764,'BD Asesor'!$A$8:$E$1998,5,0))</f>
        <v/>
      </c>
      <c r="D764" s="84"/>
      <c r="F764" s="1" t="str">
        <f t="shared" si="1"/>
        <v/>
      </c>
    </row>
    <row r="765">
      <c r="A765" s="84"/>
      <c r="B765" s="84" t="str">
        <f>IF(A765="","",VLOOKUP(A765,'BD Asesor'!$A$8:$E$1998,5,0))</f>
        <v/>
      </c>
      <c r="D765" s="84"/>
      <c r="F765" s="1" t="str">
        <f t="shared" si="1"/>
        <v/>
      </c>
    </row>
    <row r="766">
      <c r="A766" s="84"/>
      <c r="B766" s="84" t="str">
        <f>IF(A766="","",VLOOKUP(A766,'BD Asesor'!$A$8:$E$1998,5,0))</f>
        <v/>
      </c>
      <c r="D766" s="84"/>
      <c r="F766" s="1" t="str">
        <f t="shared" si="1"/>
        <v/>
      </c>
    </row>
    <row r="767">
      <c r="A767" s="84"/>
      <c r="B767" s="84" t="str">
        <f>IF(A767="","",VLOOKUP(A767,'BD Asesor'!$A$8:$E$1998,5,0))</f>
        <v/>
      </c>
      <c r="D767" s="84"/>
      <c r="F767" s="1" t="str">
        <f t="shared" si="1"/>
        <v/>
      </c>
    </row>
    <row r="768">
      <c r="A768" s="84"/>
      <c r="B768" s="84" t="str">
        <f>IF(A768="","",VLOOKUP(A768,'BD Asesor'!$A$8:$E$1998,5,0))</f>
        <v/>
      </c>
      <c r="D768" s="84"/>
      <c r="F768" s="1" t="str">
        <f t="shared" si="1"/>
        <v/>
      </c>
    </row>
    <row r="769">
      <c r="A769" s="84"/>
      <c r="B769" s="84" t="str">
        <f>IF(A769="","",VLOOKUP(A769,'BD Asesor'!$A$8:$E$1998,5,0))</f>
        <v/>
      </c>
      <c r="D769" s="84"/>
      <c r="F769" s="1" t="str">
        <f t="shared" si="1"/>
        <v/>
      </c>
    </row>
    <row r="770">
      <c r="A770" s="84"/>
      <c r="B770" s="84" t="str">
        <f>IF(A770="","",VLOOKUP(A770,'BD Asesor'!$A$8:$E$1998,5,0))</f>
        <v/>
      </c>
      <c r="D770" s="84"/>
      <c r="F770" s="1" t="str">
        <f t="shared" si="1"/>
        <v/>
      </c>
    </row>
    <row r="771">
      <c r="A771" s="84"/>
      <c r="B771" s="84" t="str">
        <f>IF(A771="","",VLOOKUP(A771,'BD Asesor'!$A$8:$E$1998,5,0))</f>
        <v/>
      </c>
      <c r="D771" s="84"/>
      <c r="F771" s="1" t="str">
        <f t="shared" si="1"/>
        <v/>
      </c>
    </row>
    <row r="772">
      <c r="A772" s="84"/>
      <c r="B772" s="84" t="str">
        <f>IF(A772="","",VLOOKUP(A772,'BD Asesor'!$A$8:$E$1998,5,0))</f>
        <v/>
      </c>
      <c r="D772" s="84"/>
      <c r="F772" s="1" t="str">
        <f t="shared" si="1"/>
        <v/>
      </c>
    </row>
    <row r="773">
      <c r="A773" s="84"/>
      <c r="B773" s="84" t="str">
        <f>IF(A773="","",VLOOKUP(A773,'BD Asesor'!$A$8:$E$1998,5,0))</f>
        <v/>
      </c>
      <c r="D773" s="84"/>
      <c r="F773" s="1" t="str">
        <f t="shared" si="1"/>
        <v/>
      </c>
    </row>
    <row r="774">
      <c r="A774" s="84"/>
      <c r="B774" s="84" t="str">
        <f>IF(A774="","",VLOOKUP(A774,'BD Asesor'!$A$8:$E$1998,5,0))</f>
        <v/>
      </c>
      <c r="D774" s="84"/>
      <c r="F774" s="1" t="str">
        <f t="shared" si="1"/>
        <v/>
      </c>
    </row>
    <row r="775">
      <c r="A775" s="84"/>
      <c r="B775" s="84" t="str">
        <f>IF(A775="","",VLOOKUP(A775,'BD Asesor'!$A$8:$E$1998,5,0))</f>
        <v/>
      </c>
      <c r="D775" s="84"/>
      <c r="F775" s="1" t="str">
        <f t="shared" si="1"/>
        <v/>
      </c>
    </row>
    <row r="776">
      <c r="A776" s="84"/>
      <c r="B776" s="84" t="str">
        <f>IF(A776="","",VLOOKUP(A776,'BD Asesor'!$A$8:$E$1998,5,0))</f>
        <v/>
      </c>
      <c r="D776" s="84"/>
      <c r="F776" s="1" t="str">
        <f t="shared" si="1"/>
        <v/>
      </c>
    </row>
    <row r="777">
      <c r="A777" s="84"/>
      <c r="B777" s="84" t="str">
        <f>IF(A777="","",VLOOKUP(A777,'BD Asesor'!$A$8:$E$1998,5,0))</f>
        <v/>
      </c>
      <c r="D777" s="84"/>
      <c r="F777" s="1" t="str">
        <f t="shared" si="1"/>
        <v/>
      </c>
    </row>
    <row r="778">
      <c r="A778" s="84"/>
      <c r="B778" s="84" t="str">
        <f>IF(A778="","",VLOOKUP(A778,'BD Asesor'!$A$8:$E$1998,5,0))</f>
        <v/>
      </c>
      <c r="D778" s="84"/>
      <c r="F778" s="1" t="str">
        <f t="shared" si="1"/>
        <v/>
      </c>
    </row>
    <row r="779">
      <c r="A779" s="84"/>
      <c r="B779" s="84" t="str">
        <f>IF(A779="","",VLOOKUP(A779,'BD Asesor'!$A$8:$E$1998,5,0))</f>
        <v/>
      </c>
      <c r="D779" s="84"/>
      <c r="F779" s="1" t="str">
        <f t="shared" si="1"/>
        <v/>
      </c>
    </row>
    <row r="780">
      <c r="A780" s="84"/>
      <c r="B780" s="84" t="str">
        <f>IF(A780="","",VLOOKUP(A780,'BD Asesor'!$A$8:$E$1998,5,0))</f>
        <v/>
      </c>
      <c r="D780" s="84"/>
      <c r="F780" s="1" t="str">
        <f t="shared" si="1"/>
        <v/>
      </c>
    </row>
    <row r="781">
      <c r="A781" s="84"/>
      <c r="B781" s="84" t="str">
        <f>IF(A781="","",VLOOKUP(A781,'BD Asesor'!$A$8:$E$1998,5,0))</f>
        <v/>
      </c>
      <c r="D781" s="84"/>
      <c r="F781" s="1" t="str">
        <f t="shared" si="1"/>
        <v/>
      </c>
    </row>
    <row r="782">
      <c r="A782" s="84"/>
      <c r="B782" s="84" t="str">
        <f>IF(A782="","",VLOOKUP(A782,'BD Asesor'!$A$8:$E$1998,5,0))</f>
        <v/>
      </c>
      <c r="D782" s="84"/>
      <c r="F782" s="1" t="str">
        <f t="shared" si="1"/>
        <v/>
      </c>
    </row>
    <row r="783">
      <c r="A783" s="84"/>
      <c r="B783" s="84" t="str">
        <f>IF(A783="","",VLOOKUP(A783,'BD Asesor'!$A$8:$E$1998,5,0))</f>
        <v/>
      </c>
      <c r="D783" s="84"/>
      <c r="F783" s="1" t="str">
        <f t="shared" si="1"/>
        <v/>
      </c>
    </row>
    <row r="784">
      <c r="A784" s="84"/>
      <c r="B784" s="84" t="str">
        <f>IF(A784="","",VLOOKUP(A784,'BD Asesor'!$A$8:$E$1998,5,0))</f>
        <v/>
      </c>
      <c r="D784" s="84"/>
      <c r="F784" s="1" t="str">
        <f t="shared" si="1"/>
        <v/>
      </c>
    </row>
    <row r="785">
      <c r="A785" s="84"/>
      <c r="B785" s="84" t="str">
        <f>IF(A785="","",VLOOKUP(A785,'BD Asesor'!$A$8:$E$1998,5,0))</f>
        <v/>
      </c>
      <c r="D785" s="84"/>
      <c r="F785" s="1" t="str">
        <f t="shared" si="1"/>
        <v/>
      </c>
    </row>
    <row r="786">
      <c r="A786" s="84"/>
      <c r="B786" s="84" t="str">
        <f>IF(A786="","",VLOOKUP(A786,'BD Asesor'!$A$8:$E$1998,5,0))</f>
        <v/>
      </c>
      <c r="D786" s="84"/>
      <c r="F786" s="1" t="str">
        <f t="shared" si="1"/>
        <v/>
      </c>
    </row>
    <row r="787">
      <c r="A787" s="84"/>
      <c r="B787" s="84" t="str">
        <f>IF(A787="","",VLOOKUP(A787,'BD Asesor'!$A$8:$E$1998,5,0))</f>
        <v/>
      </c>
      <c r="D787" s="84"/>
      <c r="F787" s="1" t="str">
        <f t="shared" si="1"/>
        <v/>
      </c>
    </row>
    <row r="788">
      <c r="A788" s="84"/>
      <c r="B788" s="84" t="str">
        <f>IF(A788="","",VLOOKUP(A788,'BD Asesor'!$A$8:$E$1998,5,0))</f>
        <v/>
      </c>
      <c r="D788" s="84"/>
      <c r="F788" s="1" t="str">
        <f t="shared" si="1"/>
        <v/>
      </c>
    </row>
    <row r="789">
      <c r="A789" s="84"/>
      <c r="B789" s="84" t="str">
        <f>IF(A789="","",VLOOKUP(A789,'BD Asesor'!$A$8:$E$1998,5,0))</f>
        <v/>
      </c>
      <c r="D789" s="84"/>
      <c r="F789" s="1" t="str">
        <f t="shared" si="1"/>
        <v/>
      </c>
    </row>
    <row r="790">
      <c r="A790" s="84"/>
      <c r="B790" s="84" t="str">
        <f>IF(A790="","",VLOOKUP(A790,'BD Asesor'!$A$8:$E$1998,5,0))</f>
        <v/>
      </c>
      <c r="D790" s="84"/>
      <c r="F790" s="1" t="str">
        <f t="shared" si="1"/>
        <v/>
      </c>
    </row>
    <row r="791">
      <c r="A791" s="84"/>
      <c r="B791" s="84" t="str">
        <f>IF(A791="","",VLOOKUP(A791,'BD Asesor'!$A$8:$E$1998,5,0))</f>
        <v/>
      </c>
      <c r="D791" s="84"/>
      <c r="F791" s="1" t="str">
        <f t="shared" si="1"/>
        <v/>
      </c>
    </row>
    <row r="792">
      <c r="A792" s="84"/>
      <c r="B792" s="84" t="str">
        <f>IF(A792="","",VLOOKUP(A792,'BD Asesor'!$A$8:$E$1998,5,0))</f>
        <v/>
      </c>
      <c r="D792" s="84"/>
      <c r="F792" s="1" t="str">
        <f t="shared" si="1"/>
        <v/>
      </c>
    </row>
    <row r="793">
      <c r="A793" s="84"/>
      <c r="B793" s="84" t="str">
        <f>IF(A793="","",VLOOKUP(A793,'BD Asesor'!$A$8:$E$1998,5,0))</f>
        <v/>
      </c>
      <c r="D793" s="84"/>
      <c r="F793" s="1" t="str">
        <f t="shared" si="1"/>
        <v/>
      </c>
    </row>
    <row r="794">
      <c r="A794" s="84"/>
      <c r="B794" s="84" t="str">
        <f>IF(A794="","",VLOOKUP(A794,'BD Asesor'!$A$8:$E$1998,5,0))</f>
        <v/>
      </c>
      <c r="D794" s="84"/>
      <c r="F794" s="1" t="str">
        <f t="shared" si="1"/>
        <v/>
      </c>
    </row>
    <row r="795">
      <c r="A795" s="84"/>
      <c r="B795" s="84" t="str">
        <f>IF(A795="","",VLOOKUP(A795,'BD Asesor'!$A$8:$E$1998,5,0))</f>
        <v/>
      </c>
      <c r="D795" s="84"/>
      <c r="F795" s="1" t="str">
        <f t="shared" si="1"/>
        <v/>
      </c>
    </row>
    <row r="796">
      <c r="A796" s="84"/>
      <c r="B796" s="84" t="str">
        <f>IF(A796="","",VLOOKUP(A796,'BD Asesor'!$A$8:$E$1998,5,0))</f>
        <v/>
      </c>
      <c r="D796" s="84"/>
      <c r="F796" s="1" t="str">
        <f t="shared" si="1"/>
        <v/>
      </c>
    </row>
    <row r="797">
      <c r="A797" s="84"/>
      <c r="B797" s="84" t="str">
        <f>IF(A797="","",VLOOKUP(A797,'BD Asesor'!$A$8:$E$1998,5,0))</f>
        <v/>
      </c>
      <c r="D797" s="84"/>
      <c r="F797" s="1" t="str">
        <f t="shared" si="1"/>
        <v/>
      </c>
    </row>
    <row r="798">
      <c r="A798" s="84"/>
      <c r="B798" s="84" t="str">
        <f>IF(A798="","",VLOOKUP(A798,'BD Asesor'!$A$8:$E$1998,5,0))</f>
        <v/>
      </c>
      <c r="D798" s="84"/>
      <c r="F798" s="1" t="str">
        <f t="shared" si="1"/>
        <v/>
      </c>
    </row>
    <row r="799">
      <c r="A799" s="84"/>
      <c r="B799" s="84" t="str">
        <f>IF(A799="","",VLOOKUP(A799,'BD Asesor'!$A$8:$E$1998,5,0))</f>
        <v/>
      </c>
      <c r="D799" s="84"/>
      <c r="F799" s="1" t="str">
        <f t="shared" si="1"/>
        <v/>
      </c>
    </row>
    <row r="800">
      <c r="A800" s="84"/>
      <c r="B800" s="84" t="str">
        <f>IF(A800="","",VLOOKUP(A800,'BD Asesor'!$A$8:$E$1998,5,0))</f>
        <v/>
      </c>
      <c r="D800" s="84"/>
      <c r="F800" s="1" t="str">
        <f t="shared" si="1"/>
        <v/>
      </c>
    </row>
    <row r="801">
      <c r="A801" s="84"/>
      <c r="B801" s="84" t="str">
        <f>IF(A801="","",VLOOKUP(A801,'BD Asesor'!$A$8:$E$1998,5,0))</f>
        <v/>
      </c>
      <c r="D801" s="84"/>
      <c r="F801" s="1" t="str">
        <f t="shared" si="1"/>
        <v/>
      </c>
    </row>
    <row r="802">
      <c r="A802" s="84"/>
      <c r="B802" s="84" t="str">
        <f>IF(A802="","",VLOOKUP(A802,'BD Asesor'!$A$8:$E$1998,5,0))</f>
        <v/>
      </c>
      <c r="D802" s="84"/>
      <c r="F802" s="1" t="str">
        <f t="shared" si="1"/>
        <v/>
      </c>
    </row>
    <row r="803">
      <c r="A803" s="84"/>
      <c r="B803" s="84" t="str">
        <f>IF(A803="","",VLOOKUP(A803,'BD Asesor'!$A$8:$E$1998,5,0))</f>
        <v/>
      </c>
      <c r="D803" s="84"/>
      <c r="F803" s="1" t="str">
        <f t="shared" si="1"/>
        <v/>
      </c>
    </row>
    <row r="804">
      <c r="A804" s="84"/>
      <c r="B804" s="84" t="str">
        <f>IF(A804="","",VLOOKUP(A804,'BD Asesor'!$A$8:$E$1998,5,0))</f>
        <v/>
      </c>
      <c r="D804" s="84"/>
      <c r="F804" s="1" t="str">
        <f t="shared" si="1"/>
        <v/>
      </c>
    </row>
    <row r="805">
      <c r="A805" s="84"/>
      <c r="B805" s="84" t="str">
        <f>IF(A805="","",VLOOKUP(A805,'BD Asesor'!$A$8:$E$1998,5,0))</f>
        <v/>
      </c>
      <c r="D805" s="84"/>
      <c r="F805" s="1" t="str">
        <f t="shared" si="1"/>
        <v/>
      </c>
    </row>
    <row r="806">
      <c r="A806" s="84"/>
      <c r="B806" s="84" t="str">
        <f>IF(A806="","",VLOOKUP(A806,'BD Asesor'!$A$8:$E$1998,5,0))</f>
        <v/>
      </c>
      <c r="D806" s="84"/>
      <c r="F806" s="1" t="str">
        <f t="shared" si="1"/>
        <v/>
      </c>
    </row>
    <row r="807">
      <c r="A807" s="84"/>
      <c r="B807" s="84" t="str">
        <f>IF(A807="","",VLOOKUP(A807,'BD Asesor'!$A$8:$E$1998,5,0))</f>
        <v/>
      </c>
      <c r="D807" s="84"/>
      <c r="F807" s="1" t="str">
        <f t="shared" si="1"/>
        <v/>
      </c>
    </row>
    <row r="808">
      <c r="A808" s="84"/>
      <c r="B808" s="84" t="str">
        <f>IF(A808="","",VLOOKUP(A808,'BD Asesor'!$A$8:$E$1998,5,0))</f>
        <v/>
      </c>
      <c r="D808" s="84"/>
      <c r="F808" s="1" t="str">
        <f t="shared" si="1"/>
        <v/>
      </c>
    </row>
    <row r="809">
      <c r="A809" s="84"/>
      <c r="B809" s="84" t="str">
        <f>IF(A809="","",VLOOKUP(A809,'BD Asesor'!$A$8:$E$1998,5,0))</f>
        <v/>
      </c>
      <c r="D809" s="84"/>
      <c r="F809" s="1" t="str">
        <f t="shared" si="1"/>
        <v/>
      </c>
    </row>
    <row r="810">
      <c r="A810" s="84"/>
      <c r="B810" s="84" t="str">
        <f>IF(A810="","",VLOOKUP(A810,'BD Asesor'!$A$8:$E$1998,5,0))</f>
        <v/>
      </c>
      <c r="D810" s="84"/>
      <c r="F810" s="1" t="str">
        <f t="shared" si="1"/>
        <v/>
      </c>
    </row>
    <row r="811">
      <c r="A811" s="84"/>
      <c r="B811" s="84" t="str">
        <f>IF(A811="","",VLOOKUP(A811,'BD Asesor'!$A$8:$E$1998,5,0))</f>
        <v/>
      </c>
      <c r="D811" s="84"/>
      <c r="F811" s="1" t="str">
        <f t="shared" si="1"/>
        <v/>
      </c>
    </row>
    <row r="812">
      <c r="A812" s="84"/>
      <c r="B812" s="84" t="str">
        <f>IF(A812="","",VLOOKUP(A812,'BD Asesor'!$A$8:$E$1998,5,0))</f>
        <v/>
      </c>
      <c r="D812" s="84"/>
      <c r="F812" s="1" t="str">
        <f t="shared" si="1"/>
        <v/>
      </c>
    </row>
    <row r="813">
      <c r="A813" s="84"/>
      <c r="B813" s="84" t="str">
        <f>IF(A813="","",VLOOKUP(A813,'BD Asesor'!$A$8:$E$1998,5,0))</f>
        <v/>
      </c>
      <c r="D813" s="84"/>
      <c r="F813" s="1" t="str">
        <f t="shared" si="1"/>
        <v/>
      </c>
    </row>
    <row r="814">
      <c r="A814" s="84"/>
      <c r="B814" s="84" t="str">
        <f>IF(A814="","",VLOOKUP(A814,'BD Asesor'!$A$8:$E$1998,5,0))</f>
        <v/>
      </c>
      <c r="D814" s="84"/>
      <c r="F814" s="1" t="str">
        <f t="shared" si="1"/>
        <v/>
      </c>
    </row>
    <row r="815">
      <c r="A815" s="84"/>
      <c r="B815" s="84" t="str">
        <f>IF(A815="","",VLOOKUP(A815,'BD Asesor'!$A$8:$E$1998,5,0))</f>
        <v/>
      </c>
      <c r="D815" s="84"/>
      <c r="F815" s="1" t="str">
        <f t="shared" si="1"/>
        <v/>
      </c>
    </row>
    <row r="816">
      <c r="A816" s="84"/>
      <c r="B816" s="84" t="str">
        <f>IF(A816="","",VLOOKUP(A816,'BD Asesor'!$A$8:$E$1998,5,0))</f>
        <v/>
      </c>
      <c r="D816" s="84"/>
      <c r="F816" s="1" t="str">
        <f t="shared" si="1"/>
        <v/>
      </c>
    </row>
    <row r="817">
      <c r="A817" s="84"/>
      <c r="B817" s="84" t="str">
        <f>IF(A817="","",VLOOKUP(A817,'BD Asesor'!$A$8:$E$1998,5,0))</f>
        <v/>
      </c>
      <c r="D817" s="84"/>
      <c r="F817" s="1" t="str">
        <f t="shared" si="1"/>
        <v/>
      </c>
    </row>
    <row r="818">
      <c r="A818" s="84"/>
      <c r="B818" s="84" t="str">
        <f>IF(A818="","",VLOOKUP(A818,'BD Asesor'!$A$8:$E$1998,5,0))</f>
        <v/>
      </c>
      <c r="D818" s="84"/>
      <c r="F818" s="1" t="str">
        <f t="shared" si="1"/>
        <v/>
      </c>
    </row>
    <row r="819">
      <c r="A819" s="84"/>
      <c r="B819" s="84" t="str">
        <f>IF(A819="","",VLOOKUP(A819,'BD Asesor'!$A$8:$E$1998,5,0))</f>
        <v/>
      </c>
      <c r="D819" s="84"/>
      <c r="F819" s="1" t="str">
        <f t="shared" si="1"/>
        <v/>
      </c>
    </row>
    <row r="820">
      <c r="A820" s="84"/>
      <c r="B820" s="84" t="str">
        <f>IF(A820="","",VLOOKUP(A820,'BD Asesor'!$A$8:$E$1998,5,0))</f>
        <v/>
      </c>
      <c r="D820" s="84"/>
      <c r="F820" s="1" t="str">
        <f t="shared" si="1"/>
        <v/>
      </c>
    </row>
    <row r="821">
      <c r="A821" s="84"/>
      <c r="B821" s="84" t="str">
        <f>IF(A821="","",VLOOKUP(A821,'BD Asesor'!$A$8:$E$1998,5,0))</f>
        <v/>
      </c>
      <c r="D821" s="84"/>
      <c r="F821" s="1" t="str">
        <f t="shared" si="1"/>
        <v/>
      </c>
    </row>
    <row r="822">
      <c r="A822" s="84"/>
      <c r="B822" s="84" t="str">
        <f>IF(A822="","",VLOOKUP(A822,'BD Asesor'!$A$8:$E$1998,5,0))</f>
        <v/>
      </c>
      <c r="D822" s="84"/>
      <c r="F822" s="1" t="str">
        <f t="shared" si="1"/>
        <v/>
      </c>
    </row>
    <row r="823">
      <c r="A823" s="84"/>
      <c r="B823" s="84" t="str">
        <f>IF(A823="","",VLOOKUP(A823,'BD Asesor'!$A$8:$E$1998,5,0))</f>
        <v/>
      </c>
      <c r="D823" s="84"/>
      <c r="F823" s="1" t="str">
        <f t="shared" si="1"/>
        <v/>
      </c>
    </row>
    <row r="824">
      <c r="A824" s="84"/>
      <c r="B824" s="84" t="str">
        <f>IF(A824="","",VLOOKUP(A824,'BD Asesor'!$A$8:$E$1998,5,0))</f>
        <v/>
      </c>
      <c r="D824" s="84"/>
      <c r="F824" s="1" t="str">
        <f t="shared" si="1"/>
        <v/>
      </c>
    </row>
    <row r="825">
      <c r="A825" s="84"/>
      <c r="B825" s="84" t="str">
        <f>IF(A825="","",VLOOKUP(A825,'BD Asesor'!$A$8:$E$1998,5,0))</f>
        <v/>
      </c>
      <c r="D825" s="84"/>
      <c r="F825" s="1" t="str">
        <f t="shared" si="1"/>
        <v/>
      </c>
    </row>
    <row r="826">
      <c r="A826" s="84"/>
      <c r="B826" s="84" t="str">
        <f>IF(A826="","",VLOOKUP(A826,'BD Asesor'!$A$8:$E$1998,5,0))</f>
        <v/>
      </c>
      <c r="D826" s="84"/>
      <c r="F826" s="1" t="str">
        <f t="shared" si="1"/>
        <v/>
      </c>
    </row>
    <row r="827">
      <c r="A827" s="84"/>
      <c r="B827" s="84" t="str">
        <f>IF(A827="","",VLOOKUP(A827,'BD Asesor'!$A$8:$E$1998,5,0))</f>
        <v/>
      </c>
      <c r="D827" s="84"/>
      <c r="F827" s="1" t="str">
        <f t="shared" si="1"/>
        <v/>
      </c>
    </row>
    <row r="828">
      <c r="A828" s="84"/>
      <c r="B828" s="84" t="str">
        <f>IF(A828="","",VLOOKUP(A828,'BD Asesor'!$A$8:$E$1998,5,0))</f>
        <v/>
      </c>
      <c r="D828" s="84"/>
      <c r="F828" s="1" t="str">
        <f t="shared" si="1"/>
        <v/>
      </c>
    </row>
    <row r="829">
      <c r="A829" s="84"/>
      <c r="B829" s="84" t="str">
        <f>IF(A829="","",VLOOKUP(A829,'BD Asesor'!$A$8:$E$1998,5,0))</f>
        <v/>
      </c>
      <c r="D829" s="84"/>
      <c r="F829" s="1" t="str">
        <f t="shared" si="1"/>
        <v/>
      </c>
    </row>
    <row r="830">
      <c r="A830" s="84"/>
      <c r="B830" s="84" t="str">
        <f>IF(A830="","",VLOOKUP(A830,'BD Asesor'!$A$8:$E$1998,5,0))</f>
        <v/>
      </c>
      <c r="D830" s="84"/>
      <c r="F830" s="1" t="str">
        <f t="shared" si="1"/>
        <v/>
      </c>
    </row>
    <row r="831">
      <c r="A831" s="84"/>
      <c r="B831" s="84" t="str">
        <f>IF(A831="","",VLOOKUP(A831,'BD Asesor'!$A$8:$E$1998,5,0))</f>
        <v/>
      </c>
      <c r="D831" s="84"/>
      <c r="F831" s="1" t="str">
        <f t="shared" si="1"/>
        <v/>
      </c>
    </row>
    <row r="832">
      <c r="A832" s="84"/>
      <c r="B832" s="84" t="str">
        <f>IF(A832="","",VLOOKUP(A832,'BD Asesor'!$A$8:$E$1998,5,0))</f>
        <v/>
      </c>
      <c r="D832" s="84"/>
      <c r="F832" s="1" t="str">
        <f t="shared" si="1"/>
        <v/>
      </c>
    </row>
    <row r="833">
      <c r="A833" s="84"/>
      <c r="B833" s="84" t="str">
        <f>IF(A833="","",VLOOKUP(A833,'BD Asesor'!$A$8:$E$1998,5,0))</f>
        <v/>
      </c>
      <c r="D833" s="84"/>
      <c r="F833" s="1" t="str">
        <f t="shared" si="1"/>
        <v/>
      </c>
    </row>
    <row r="834">
      <c r="A834" s="84"/>
      <c r="B834" s="84" t="str">
        <f>IF(A834="","",VLOOKUP(A834,'BD Asesor'!$A$8:$E$1998,5,0))</f>
        <v/>
      </c>
      <c r="D834" s="84"/>
      <c r="F834" s="1" t="str">
        <f t="shared" si="1"/>
        <v/>
      </c>
    </row>
    <row r="835">
      <c r="A835" s="84"/>
      <c r="B835" s="84" t="str">
        <f>IF(A835="","",VLOOKUP(A835,'BD Asesor'!$A$8:$E$1998,5,0))</f>
        <v/>
      </c>
      <c r="D835" s="84"/>
      <c r="F835" s="1" t="str">
        <f t="shared" si="1"/>
        <v/>
      </c>
    </row>
    <row r="836">
      <c r="A836" s="84"/>
      <c r="B836" s="84" t="str">
        <f>IF(A836="","",VLOOKUP(A836,'BD Asesor'!$A$8:$E$1998,5,0))</f>
        <v/>
      </c>
      <c r="D836" s="84"/>
      <c r="F836" s="1" t="str">
        <f t="shared" si="1"/>
        <v/>
      </c>
    </row>
    <row r="837">
      <c r="A837" s="84"/>
      <c r="B837" s="84" t="str">
        <f>IF(A837="","",VLOOKUP(A837,'BD Asesor'!$A$8:$E$1998,5,0))</f>
        <v/>
      </c>
      <c r="D837" s="84"/>
      <c r="F837" s="1" t="str">
        <f t="shared" si="1"/>
        <v/>
      </c>
    </row>
    <row r="838">
      <c r="A838" s="84"/>
      <c r="B838" s="84" t="str">
        <f>IF(A838="","",VLOOKUP(A838,'BD Asesor'!$A$8:$E$1998,5,0))</f>
        <v/>
      </c>
      <c r="D838" s="84"/>
      <c r="F838" s="1" t="str">
        <f t="shared" si="1"/>
        <v/>
      </c>
    </row>
    <row r="839">
      <c r="A839" s="84"/>
      <c r="B839" s="84" t="str">
        <f>IF(A839="","",VLOOKUP(A839,'BD Asesor'!$A$8:$E$1998,5,0))</f>
        <v/>
      </c>
      <c r="D839" s="84"/>
      <c r="F839" s="1" t="str">
        <f t="shared" si="1"/>
        <v/>
      </c>
    </row>
    <row r="840">
      <c r="A840" s="84"/>
      <c r="B840" s="84" t="str">
        <f>IF(A840="","",VLOOKUP(A840,'BD Asesor'!$A$8:$E$1998,5,0))</f>
        <v/>
      </c>
      <c r="D840" s="84"/>
      <c r="F840" s="1" t="str">
        <f t="shared" si="1"/>
        <v/>
      </c>
    </row>
    <row r="841">
      <c r="A841" s="84"/>
      <c r="B841" s="84" t="str">
        <f>IF(A841="","",VLOOKUP(A841,'BD Asesor'!$A$8:$E$1998,5,0))</f>
        <v/>
      </c>
      <c r="D841" s="84"/>
      <c r="F841" s="1" t="str">
        <f t="shared" si="1"/>
        <v/>
      </c>
    </row>
    <row r="842">
      <c r="A842" s="84"/>
      <c r="B842" s="84" t="str">
        <f>IF(A842="","",VLOOKUP(A842,'BD Asesor'!$A$8:$E$1998,5,0))</f>
        <v/>
      </c>
      <c r="D842" s="84"/>
      <c r="F842" s="1" t="str">
        <f t="shared" si="1"/>
        <v/>
      </c>
    </row>
    <row r="843">
      <c r="A843" s="84"/>
      <c r="B843" s="84" t="str">
        <f>IF(A843="","",VLOOKUP(A843,'BD Asesor'!$A$8:$E$1998,5,0))</f>
        <v/>
      </c>
      <c r="D843" s="84"/>
      <c r="F843" s="1" t="str">
        <f t="shared" si="1"/>
        <v/>
      </c>
    </row>
    <row r="844">
      <c r="A844" s="84"/>
      <c r="B844" s="84" t="str">
        <f>IF(A844="","",VLOOKUP(A844,'BD Asesor'!$A$8:$E$1998,5,0))</f>
        <v/>
      </c>
      <c r="D844" s="84"/>
      <c r="F844" s="1" t="str">
        <f t="shared" si="1"/>
        <v/>
      </c>
    </row>
    <row r="845">
      <c r="A845" s="84"/>
      <c r="B845" s="84" t="str">
        <f>IF(A845="","",VLOOKUP(A845,'BD Asesor'!$A$8:$E$1998,5,0))</f>
        <v/>
      </c>
      <c r="D845" s="84"/>
      <c r="F845" s="1" t="str">
        <f t="shared" si="1"/>
        <v/>
      </c>
    </row>
    <row r="846">
      <c r="A846" s="84"/>
      <c r="B846" s="84" t="str">
        <f>IF(A846="","",VLOOKUP(A846,'BD Asesor'!$A$8:$E$1998,5,0))</f>
        <v/>
      </c>
      <c r="D846" s="84"/>
      <c r="F846" s="1" t="str">
        <f t="shared" si="1"/>
        <v/>
      </c>
    </row>
    <row r="847">
      <c r="A847" s="84"/>
      <c r="B847" s="84" t="str">
        <f>IF(A847="","",VLOOKUP(A847,'BD Asesor'!$A$8:$E$1998,5,0))</f>
        <v/>
      </c>
      <c r="D847" s="84"/>
      <c r="F847" s="1" t="str">
        <f t="shared" si="1"/>
        <v/>
      </c>
    </row>
    <row r="848">
      <c r="A848" s="84"/>
      <c r="B848" s="84" t="str">
        <f>IF(A848="","",VLOOKUP(A848,'BD Asesor'!$A$8:$E$1998,5,0))</f>
        <v/>
      </c>
      <c r="D848" s="84"/>
      <c r="F848" s="1" t="str">
        <f t="shared" si="1"/>
        <v/>
      </c>
    </row>
    <row r="849">
      <c r="A849" s="84"/>
      <c r="B849" s="84" t="str">
        <f>IF(A849="","",VLOOKUP(A849,'BD Asesor'!$A$8:$E$1998,5,0))</f>
        <v/>
      </c>
      <c r="D849" s="84"/>
      <c r="F849" s="1" t="str">
        <f t="shared" si="1"/>
        <v/>
      </c>
    </row>
    <row r="850">
      <c r="A850" s="84"/>
      <c r="B850" s="84" t="str">
        <f>IF(A850="","",VLOOKUP(A850,'BD Asesor'!$A$8:$E$1998,5,0))</f>
        <v/>
      </c>
      <c r="D850" s="84"/>
      <c r="F850" s="1" t="str">
        <f t="shared" si="1"/>
        <v/>
      </c>
    </row>
    <row r="851">
      <c r="A851" s="84"/>
      <c r="B851" s="84" t="str">
        <f>IF(A851="","",VLOOKUP(A851,'BD Asesor'!$A$8:$E$1998,5,0))</f>
        <v/>
      </c>
      <c r="D851" s="84"/>
      <c r="F851" s="1" t="str">
        <f t="shared" si="1"/>
        <v/>
      </c>
    </row>
    <row r="852">
      <c r="A852" s="84"/>
      <c r="B852" s="84" t="str">
        <f>IF(A852="","",VLOOKUP(A852,'BD Asesor'!$A$8:$E$1998,5,0))</f>
        <v/>
      </c>
      <c r="D852" s="84"/>
      <c r="F852" s="1" t="str">
        <f t="shared" si="1"/>
        <v/>
      </c>
    </row>
    <row r="853">
      <c r="A853" s="84"/>
      <c r="B853" s="84" t="str">
        <f>IF(A853="","",VLOOKUP(A853,'BD Asesor'!$A$8:$E$1998,5,0))</f>
        <v/>
      </c>
      <c r="D853" s="84"/>
      <c r="F853" s="1" t="str">
        <f t="shared" si="1"/>
        <v/>
      </c>
    </row>
    <row r="854">
      <c r="A854" s="84"/>
      <c r="B854" s="84" t="str">
        <f>IF(A854="","",VLOOKUP(A854,'BD Asesor'!$A$8:$E$1998,5,0))</f>
        <v/>
      </c>
      <c r="D854" s="84"/>
      <c r="F854" s="1" t="str">
        <f t="shared" si="1"/>
        <v/>
      </c>
    </row>
    <row r="855">
      <c r="A855" s="84"/>
      <c r="B855" s="84" t="str">
        <f>IF(A855="","",VLOOKUP(A855,'BD Asesor'!$A$8:$E$1998,5,0))</f>
        <v/>
      </c>
      <c r="D855" s="84"/>
      <c r="F855" s="1" t="str">
        <f t="shared" si="1"/>
        <v/>
      </c>
    </row>
    <row r="856">
      <c r="A856" s="84"/>
      <c r="B856" s="84" t="str">
        <f>IF(A856="","",VLOOKUP(A856,'BD Asesor'!$A$8:$E$1998,5,0))</f>
        <v/>
      </c>
      <c r="D856" s="84"/>
      <c r="F856" s="1" t="str">
        <f t="shared" si="1"/>
        <v/>
      </c>
    </row>
    <row r="857">
      <c r="A857" s="84"/>
      <c r="B857" s="84" t="str">
        <f>IF(A857="","",VLOOKUP(A857,'BD Asesor'!$A$8:$E$1998,5,0))</f>
        <v/>
      </c>
      <c r="D857" s="84"/>
      <c r="F857" s="1" t="str">
        <f t="shared" si="1"/>
        <v/>
      </c>
    </row>
    <row r="858">
      <c r="A858" s="84"/>
      <c r="B858" s="84" t="str">
        <f>IF(A858="","",VLOOKUP(A858,'BD Asesor'!$A$8:$E$1998,5,0))</f>
        <v/>
      </c>
      <c r="D858" s="84"/>
      <c r="F858" s="1" t="str">
        <f t="shared" si="1"/>
        <v/>
      </c>
    </row>
    <row r="859">
      <c r="A859" s="84"/>
      <c r="B859" s="84" t="str">
        <f>IF(A859="","",VLOOKUP(A859,'BD Asesor'!$A$8:$E$1998,5,0))</f>
        <v/>
      </c>
      <c r="D859" s="84"/>
      <c r="F859" s="1" t="str">
        <f t="shared" si="1"/>
        <v/>
      </c>
    </row>
    <row r="860">
      <c r="A860" s="84"/>
      <c r="B860" s="84" t="str">
        <f>IF(A860="","",VLOOKUP(A860,'BD Asesor'!$A$8:$E$1998,5,0))</f>
        <v/>
      </c>
      <c r="D860" s="84"/>
      <c r="F860" s="1" t="str">
        <f t="shared" si="1"/>
        <v/>
      </c>
    </row>
    <row r="861">
      <c r="A861" s="84"/>
      <c r="B861" s="84" t="str">
        <f>IF(A861="","",VLOOKUP(A861,'BD Asesor'!$A$8:$E$1998,5,0))</f>
        <v/>
      </c>
      <c r="D861" s="84"/>
      <c r="F861" s="1" t="str">
        <f t="shared" si="1"/>
        <v/>
      </c>
    </row>
    <row r="862">
      <c r="A862" s="84"/>
      <c r="B862" s="84" t="str">
        <f>IF(A862="","",VLOOKUP(A862,'BD Asesor'!$A$8:$E$1998,5,0))</f>
        <v/>
      </c>
      <c r="D862" s="84"/>
      <c r="F862" s="1" t="str">
        <f t="shared" si="1"/>
        <v/>
      </c>
    </row>
    <row r="863">
      <c r="A863" s="84"/>
      <c r="B863" s="84" t="str">
        <f>IF(A863="","",VLOOKUP(A863,'BD Asesor'!$A$8:$E$1998,5,0))</f>
        <v/>
      </c>
      <c r="D863" s="84"/>
      <c r="F863" s="1" t="str">
        <f t="shared" si="1"/>
        <v/>
      </c>
    </row>
    <row r="864">
      <c r="A864" s="84"/>
      <c r="B864" s="84" t="str">
        <f>IF(A864="","",VLOOKUP(A864,'BD Asesor'!$A$8:$E$1998,5,0))</f>
        <v/>
      </c>
      <c r="D864" s="84"/>
      <c r="F864" s="1" t="str">
        <f t="shared" si="1"/>
        <v/>
      </c>
    </row>
    <row r="865">
      <c r="A865" s="84"/>
      <c r="B865" s="84" t="str">
        <f>IF(A865="","",VLOOKUP(A865,'BD Asesor'!$A$8:$E$1998,5,0))</f>
        <v/>
      </c>
      <c r="D865" s="84"/>
      <c r="F865" s="1" t="str">
        <f t="shared" si="1"/>
        <v/>
      </c>
    </row>
    <row r="866">
      <c r="A866" s="84"/>
      <c r="B866" s="84" t="str">
        <f>IF(A866="","",VLOOKUP(A866,'BD Asesor'!$A$8:$E$1998,5,0))</f>
        <v/>
      </c>
      <c r="D866" s="84"/>
      <c r="F866" s="1" t="str">
        <f t="shared" si="1"/>
        <v/>
      </c>
    </row>
    <row r="867">
      <c r="A867" s="84"/>
      <c r="B867" s="84" t="str">
        <f>IF(A867="","",VLOOKUP(A867,'BD Asesor'!$A$8:$E$1998,5,0))</f>
        <v/>
      </c>
      <c r="D867" s="84"/>
      <c r="F867" s="1" t="str">
        <f t="shared" si="1"/>
        <v/>
      </c>
    </row>
    <row r="868">
      <c r="A868" s="84"/>
      <c r="B868" s="84" t="str">
        <f>IF(A868="","",VLOOKUP(A868,'BD Asesor'!$A$8:$E$1998,5,0))</f>
        <v/>
      </c>
      <c r="D868" s="84"/>
      <c r="F868" s="1" t="str">
        <f t="shared" si="1"/>
        <v/>
      </c>
    </row>
    <row r="869">
      <c r="A869" s="84"/>
      <c r="B869" s="84" t="str">
        <f>IF(A869="","",VLOOKUP(A869,'BD Asesor'!$A$8:$E$1998,5,0))</f>
        <v/>
      </c>
      <c r="D869" s="84"/>
      <c r="F869" s="1" t="str">
        <f t="shared" si="1"/>
        <v/>
      </c>
    </row>
    <row r="870">
      <c r="A870" s="84"/>
      <c r="B870" s="84" t="str">
        <f>IF(A870="","",VLOOKUP(A870,'BD Asesor'!$A$8:$E$1998,5,0))</f>
        <v/>
      </c>
      <c r="D870" s="84"/>
      <c r="F870" s="1" t="str">
        <f t="shared" si="1"/>
        <v/>
      </c>
    </row>
    <row r="871">
      <c r="A871" s="84"/>
      <c r="B871" s="84" t="str">
        <f>IF(A871="","",VLOOKUP(A871,'BD Asesor'!$A$8:$E$1998,5,0))</f>
        <v/>
      </c>
      <c r="D871" s="84"/>
      <c r="F871" s="1" t="str">
        <f t="shared" si="1"/>
        <v/>
      </c>
    </row>
    <row r="872">
      <c r="A872" s="84"/>
      <c r="B872" s="84" t="str">
        <f>IF(A872="","",VLOOKUP(A872,'BD Asesor'!$A$8:$E$1998,5,0))</f>
        <v/>
      </c>
      <c r="D872" s="84"/>
      <c r="F872" s="1" t="str">
        <f t="shared" si="1"/>
        <v/>
      </c>
    </row>
    <row r="873">
      <c r="A873" s="84"/>
      <c r="B873" s="84" t="str">
        <f>IF(A873="","",VLOOKUP(A873,'BD Asesor'!$A$8:$E$1998,5,0))</f>
        <v/>
      </c>
      <c r="D873" s="84"/>
      <c r="F873" s="1" t="str">
        <f t="shared" si="1"/>
        <v/>
      </c>
    </row>
    <row r="874">
      <c r="A874" s="84"/>
      <c r="B874" s="84" t="str">
        <f>IF(A874="","",VLOOKUP(A874,'BD Asesor'!$A$8:$E$1998,5,0))</f>
        <v/>
      </c>
      <c r="D874" s="84"/>
      <c r="F874" s="1" t="str">
        <f t="shared" si="1"/>
        <v/>
      </c>
    </row>
    <row r="875">
      <c r="A875" s="84"/>
      <c r="B875" s="84" t="str">
        <f>IF(A875="","",VLOOKUP(A875,'BD Asesor'!$A$8:$E$1998,5,0))</f>
        <v/>
      </c>
      <c r="D875" s="84"/>
      <c r="F875" s="1" t="str">
        <f t="shared" si="1"/>
        <v/>
      </c>
    </row>
    <row r="876">
      <c r="A876" s="84"/>
      <c r="B876" s="84" t="str">
        <f>IF(A876="","",VLOOKUP(A876,'BD Asesor'!$A$8:$E$1998,5,0))</f>
        <v/>
      </c>
      <c r="D876" s="84"/>
      <c r="F876" s="1" t="str">
        <f t="shared" si="1"/>
        <v/>
      </c>
    </row>
    <row r="877">
      <c r="A877" s="84"/>
      <c r="B877" s="84" t="str">
        <f>IF(A877="","",VLOOKUP(A877,'BD Asesor'!$A$8:$E$1998,5,0))</f>
        <v/>
      </c>
      <c r="D877" s="84"/>
      <c r="F877" s="1" t="str">
        <f t="shared" si="1"/>
        <v/>
      </c>
    </row>
    <row r="878">
      <c r="A878" s="84"/>
      <c r="B878" s="84" t="str">
        <f>IF(A878="","",VLOOKUP(A878,'BD Asesor'!$A$8:$E$1998,5,0))</f>
        <v/>
      </c>
      <c r="D878" s="84"/>
      <c r="F878" s="1" t="str">
        <f t="shared" si="1"/>
        <v/>
      </c>
    </row>
    <row r="879">
      <c r="A879" s="84"/>
      <c r="B879" s="84" t="str">
        <f>IF(A879="","",VLOOKUP(A879,'BD Asesor'!$A$8:$E$1998,5,0))</f>
        <v/>
      </c>
      <c r="D879" s="84"/>
      <c r="F879" s="1" t="str">
        <f t="shared" si="1"/>
        <v/>
      </c>
    </row>
    <row r="880">
      <c r="A880" s="84"/>
      <c r="B880" s="84" t="str">
        <f>IF(A880="","",VLOOKUP(A880,'BD Asesor'!$A$8:$E$1998,5,0))</f>
        <v/>
      </c>
      <c r="D880" s="84"/>
      <c r="F880" s="1" t="str">
        <f t="shared" si="1"/>
        <v/>
      </c>
    </row>
    <row r="881">
      <c r="A881" s="84"/>
      <c r="B881" s="84" t="str">
        <f>IF(A881="","",VLOOKUP(A881,'BD Asesor'!$A$8:$E$1998,5,0))</f>
        <v/>
      </c>
      <c r="D881" s="84"/>
      <c r="F881" s="1" t="str">
        <f t="shared" si="1"/>
        <v/>
      </c>
    </row>
    <row r="882">
      <c r="A882" s="84"/>
      <c r="B882" s="84" t="str">
        <f>IF(A882="","",VLOOKUP(A882,'BD Asesor'!$A$8:$E$1998,5,0))</f>
        <v/>
      </c>
      <c r="D882" s="84"/>
      <c r="F882" s="1" t="str">
        <f t="shared" si="1"/>
        <v/>
      </c>
    </row>
    <row r="883">
      <c r="A883" s="84"/>
      <c r="B883" s="84" t="str">
        <f>IF(A883="","",VLOOKUP(A883,'BD Asesor'!$A$8:$E$1998,5,0))</f>
        <v/>
      </c>
      <c r="D883" s="84"/>
      <c r="F883" s="1" t="str">
        <f t="shared" si="1"/>
        <v/>
      </c>
    </row>
    <row r="884">
      <c r="A884" s="84"/>
      <c r="B884" s="84" t="str">
        <f>IF(A884="","",VLOOKUP(A884,'BD Asesor'!$A$8:$E$1998,5,0))</f>
        <v/>
      </c>
      <c r="D884" s="84"/>
      <c r="F884" s="1" t="str">
        <f t="shared" si="1"/>
        <v/>
      </c>
    </row>
    <row r="885">
      <c r="A885" s="84"/>
      <c r="B885" s="84" t="str">
        <f>IF(A885="","",VLOOKUP(A885,'BD Asesor'!$A$8:$E$1998,5,0))</f>
        <v/>
      </c>
      <c r="D885" s="84"/>
      <c r="F885" s="1" t="str">
        <f t="shared" si="1"/>
        <v/>
      </c>
    </row>
    <row r="886">
      <c r="A886" s="84"/>
      <c r="B886" s="84" t="str">
        <f>IF(A886="","",VLOOKUP(A886,'BD Asesor'!$A$8:$E$1998,5,0))</f>
        <v/>
      </c>
      <c r="D886" s="84"/>
      <c r="F886" s="1" t="str">
        <f t="shared" si="1"/>
        <v/>
      </c>
    </row>
    <row r="887">
      <c r="A887" s="84"/>
      <c r="B887" s="84" t="str">
        <f>IF(A887="","",VLOOKUP(A887,'BD Asesor'!$A$8:$E$1998,5,0))</f>
        <v/>
      </c>
      <c r="D887" s="84"/>
      <c r="F887" s="1" t="str">
        <f t="shared" si="1"/>
        <v/>
      </c>
    </row>
    <row r="888">
      <c r="A888" s="84"/>
      <c r="B888" s="84" t="str">
        <f>IF(A888="","",VLOOKUP(A888,'BD Asesor'!$A$8:$E$1998,5,0))</f>
        <v/>
      </c>
      <c r="D888" s="84"/>
      <c r="F888" s="1" t="str">
        <f t="shared" si="1"/>
        <v/>
      </c>
    </row>
    <row r="889">
      <c r="A889" s="84"/>
      <c r="B889" s="84" t="str">
        <f>IF(A889="","",VLOOKUP(A889,'BD Asesor'!$A$8:$E$1998,5,0))</f>
        <v/>
      </c>
      <c r="D889" s="84"/>
      <c r="F889" s="1" t="str">
        <f t="shared" si="1"/>
        <v/>
      </c>
    </row>
    <row r="890">
      <c r="A890" s="84"/>
      <c r="B890" s="84" t="str">
        <f>IF(A890="","",VLOOKUP(A890,'BD Asesor'!$A$8:$E$1998,5,0))</f>
        <v/>
      </c>
      <c r="D890" s="84"/>
      <c r="F890" s="1" t="str">
        <f t="shared" si="1"/>
        <v/>
      </c>
    </row>
    <row r="891">
      <c r="A891" s="84"/>
      <c r="B891" s="84" t="str">
        <f>IF(A891="","",VLOOKUP(A891,'BD Asesor'!$A$8:$E$1998,5,0))</f>
        <v/>
      </c>
      <c r="D891" s="84"/>
      <c r="F891" s="1" t="str">
        <f t="shared" si="1"/>
        <v/>
      </c>
    </row>
    <row r="892">
      <c r="A892" s="84"/>
      <c r="B892" s="84" t="str">
        <f>IF(A892="","",VLOOKUP(A892,'BD Asesor'!$A$8:$E$1998,5,0))</f>
        <v/>
      </c>
      <c r="D892" s="84"/>
      <c r="F892" s="1" t="str">
        <f t="shared" si="1"/>
        <v/>
      </c>
    </row>
    <row r="893">
      <c r="A893" s="84"/>
      <c r="B893" s="84" t="str">
        <f>IF(A893="","",VLOOKUP(A893,'BD Asesor'!$A$8:$E$1998,5,0))</f>
        <v/>
      </c>
      <c r="D893" s="84"/>
      <c r="F893" s="1" t="str">
        <f t="shared" si="1"/>
        <v/>
      </c>
    </row>
    <row r="894">
      <c r="A894" s="84"/>
      <c r="B894" s="84" t="str">
        <f>IF(A894="","",VLOOKUP(A894,'BD Asesor'!$A$8:$E$1998,5,0))</f>
        <v/>
      </c>
      <c r="D894" s="84"/>
      <c r="F894" s="1" t="str">
        <f t="shared" si="1"/>
        <v/>
      </c>
    </row>
    <row r="895">
      <c r="A895" s="84"/>
      <c r="B895" s="84" t="str">
        <f>IF(A895="","",VLOOKUP(A895,'BD Asesor'!$A$8:$E$1998,5,0))</f>
        <v/>
      </c>
      <c r="D895" s="84"/>
      <c r="F895" s="1" t="str">
        <f t="shared" si="1"/>
        <v/>
      </c>
    </row>
    <row r="896">
      <c r="A896" s="84"/>
      <c r="B896" s="84" t="str">
        <f>IF(A896="","",VLOOKUP(A896,'BD Asesor'!$A$8:$E$1998,5,0))</f>
        <v/>
      </c>
      <c r="D896" s="84"/>
      <c r="F896" s="1" t="str">
        <f t="shared" si="1"/>
        <v/>
      </c>
    </row>
    <row r="897">
      <c r="A897" s="84"/>
      <c r="B897" s="84" t="str">
        <f>IF(A897="","",VLOOKUP(A897,'BD Asesor'!$A$8:$E$1998,5,0))</f>
        <v/>
      </c>
      <c r="D897" s="84"/>
      <c r="F897" s="1" t="str">
        <f t="shared" si="1"/>
        <v/>
      </c>
    </row>
    <row r="898">
      <c r="A898" s="84"/>
      <c r="B898" s="84" t="str">
        <f>IF(A898="","",VLOOKUP(A898,'BD Asesor'!$A$8:$E$1998,5,0))</f>
        <v/>
      </c>
      <c r="D898" s="84"/>
      <c r="F898" s="1" t="str">
        <f t="shared" si="1"/>
        <v/>
      </c>
    </row>
    <row r="899">
      <c r="A899" s="84"/>
      <c r="B899" s="84" t="str">
        <f>IF(A899="","",VLOOKUP(A899,'BD Asesor'!$A$8:$E$1998,5,0))</f>
        <v/>
      </c>
      <c r="D899" s="84"/>
      <c r="F899" s="1" t="str">
        <f t="shared" si="1"/>
        <v/>
      </c>
    </row>
    <row r="900">
      <c r="A900" s="84"/>
      <c r="B900" s="84" t="str">
        <f>IF(A900="","",VLOOKUP(A900,'BD Asesor'!$A$8:$E$1998,5,0))</f>
        <v/>
      </c>
      <c r="D900" s="84"/>
      <c r="F900" s="1" t="str">
        <f t="shared" si="1"/>
        <v/>
      </c>
    </row>
    <row r="901">
      <c r="A901" s="84"/>
      <c r="B901" s="84" t="str">
        <f>IF(A901="","",VLOOKUP(A901,'BD Asesor'!$A$8:$E$1998,5,0))</f>
        <v/>
      </c>
      <c r="D901" s="84"/>
      <c r="F901" s="1" t="str">
        <f t="shared" si="1"/>
        <v/>
      </c>
    </row>
    <row r="902">
      <c r="A902" s="84"/>
      <c r="B902" s="84" t="str">
        <f>IF(A902="","",VLOOKUP(A902,'BD Asesor'!$A$8:$E$1998,5,0))</f>
        <v/>
      </c>
      <c r="D902" s="84"/>
      <c r="F902" s="1" t="str">
        <f t="shared" si="1"/>
        <v/>
      </c>
    </row>
    <row r="903">
      <c r="A903" s="84"/>
      <c r="B903" s="84" t="str">
        <f>IF(A903="","",VLOOKUP(A903,'BD Asesor'!$A$8:$E$1998,5,0))</f>
        <v/>
      </c>
      <c r="D903" s="84"/>
      <c r="F903" s="1" t="str">
        <f t="shared" si="1"/>
        <v/>
      </c>
    </row>
    <row r="904">
      <c r="A904" s="84"/>
      <c r="B904" s="84" t="str">
        <f>IF(A904="","",VLOOKUP(A904,'BD Asesor'!$A$8:$E$1998,5,0))</f>
        <v/>
      </c>
      <c r="D904" s="84"/>
      <c r="F904" s="1" t="str">
        <f t="shared" si="1"/>
        <v/>
      </c>
    </row>
    <row r="905">
      <c r="A905" s="84"/>
      <c r="B905" s="84" t="str">
        <f>IF(A905="","",VLOOKUP(A905,'BD Asesor'!$A$8:$E$1998,5,0))</f>
        <v/>
      </c>
      <c r="D905" s="84"/>
      <c r="F905" s="1" t="str">
        <f t="shared" si="1"/>
        <v/>
      </c>
    </row>
    <row r="906">
      <c r="A906" s="84"/>
      <c r="B906" s="84" t="str">
        <f>IF(A906="","",VLOOKUP(A906,'BD Asesor'!$A$8:$E$1998,5,0))</f>
        <v/>
      </c>
      <c r="D906" s="84"/>
      <c r="F906" s="1" t="str">
        <f t="shared" si="1"/>
        <v/>
      </c>
    </row>
    <row r="907">
      <c r="A907" s="84"/>
      <c r="B907" s="84" t="str">
        <f>IF(A907="","",VLOOKUP(A907,'BD Asesor'!$A$8:$E$1998,5,0))</f>
        <v/>
      </c>
      <c r="D907" s="84"/>
      <c r="F907" s="1" t="str">
        <f t="shared" si="1"/>
        <v/>
      </c>
    </row>
    <row r="908">
      <c r="A908" s="84"/>
      <c r="B908" s="84" t="str">
        <f>IF(A908="","",VLOOKUP(A908,'BD Asesor'!$A$8:$E$1998,5,0))</f>
        <v/>
      </c>
      <c r="D908" s="84"/>
      <c r="F908" s="1" t="str">
        <f t="shared" si="1"/>
        <v/>
      </c>
    </row>
    <row r="909">
      <c r="A909" s="84"/>
      <c r="B909" s="84" t="str">
        <f>IF(A909="","",VLOOKUP(A909,'BD Asesor'!$A$8:$E$1998,5,0))</f>
        <v/>
      </c>
      <c r="D909" s="84"/>
      <c r="F909" s="1" t="str">
        <f t="shared" si="1"/>
        <v/>
      </c>
    </row>
    <row r="910">
      <c r="A910" s="84"/>
      <c r="B910" s="84" t="str">
        <f>IF(A910="","",VLOOKUP(A910,'BD Asesor'!$A$8:$E$1998,5,0))</f>
        <v/>
      </c>
      <c r="D910" s="84"/>
      <c r="F910" s="1" t="str">
        <f t="shared" si="1"/>
        <v/>
      </c>
    </row>
    <row r="911">
      <c r="A911" s="84"/>
      <c r="B911" s="84" t="str">
        <f>IF(A911="","",VLOOKUP(A911,'BD Asesor'!$A$8:$E$1998,5,0))</f>
        <v/>
      </c>
      <c r="D911" s="84"/>
      <c r="F911" s="1" t="str">
        <f t="shared" si="1"/>
        <v/>
      </c>
    </row>
    <row r="912">
      <c r="A912" s="84"/>
      <c r="B912" s="84" t="str">
        <f>IF(A912="","",VLOOKUP(A912,'BD Asesor'!$A$8:$E$1998,5,0))</f>
        <v/>
      </c>
      <c r="D912" s="84"/>
      <c r="F912" s="1" t="str">
        <f t="shared" si="1"/>
        <v/>
      </c>
    </row>
    <row r="913">
      <c r="A913" s="84"/>
      <c r="B913" s="84" t="str">
        <f>IF(A913="","",VLOOKUP(A913,'BD Asesor'!$A$8:$E$1998,5,0))</f>
        <v/>
      </c>
      <c r="D913" s="84"/>
      <c r="F913" s="1" t="str">
        <f t="shared" si="1"/>
        <v/>
      </c>
    </row>
    <row r="914">
      <c r="A914" s="84"/>
      <c r="B914" s="84" t="str">
        <f>IF(A914="","",VLOOKUP(A914,'BD Asesor'!$A$8:$E$1998,5,0))</f>
        <v/>
      </c>
      <c r="D914" s="84"/>
      <c r="F914" s="1" t="str">
        <f t="shared" si="1"/>
        <v/>
      </c>
    </row>
    <row r="915">
      <c r="A915" s="84"/>
      <c r="B915" s="84" t="str">
        <f>IF(A915="","",VLOOKUP(A915,'BD Asesor'!$A$8:$E$1998,5,0))</f>
        <v/>
      </c>
      <c r="D915" s="84"/>
      <c r="F915" s="1" t="str">
        <f t="shared" si="1"/>
        <v/>
      </c>
    </row>
    <row r="916">
      <c r="A916" s="84"/>
      <c r="B916" s="84" t="str">
        <f>IF(A916="","",VLOOKUP(A916,'BD Asesor'!$A$8:$E$1998,5,0))</f>
        <v/>
      </c>
      <c r="D916" s="84"/>
      <c r="F916" s="1" t="str">
        <f t="shared" si="1"/>
        <v/>
      </c>
    </row>
    <row r="917">
      <c r="A917" s="84"/>
      <c r="B917" s="84" t="str">
        <f>IF(A917="","",VLOOKUP(A917,'BD Asesor'!$A$8:$E$1998,5,0))</f>
        <v/>
      </c>
      <c r="D917" s="84"/>
      <c r="F917" s="1" t="str">
        <f t="shared" si="1"/>
        <v/>
      </c>
    </row>
    <row r="918">
      <c r="A918" s="84"/>
      <c r="B918" s="84" t="str">
        <f>IF(A918="","",VLOOKUP(A918,'BD Asesor'!$A$8:$E$1998,5,0))</f>
        <v/>
      </c>
      <c r="D918" s="84"/>
      <c r="F918" s="1" t="str">
        <f t="shared" si="1"/>
        <v/>
      </c>
    </row>
    <row r="919">
      <c r="A919" s="84"/>
      <c r="B919" s="84" t="str">
        <f>IF(A919="","",VLOOKUP(A919,'BD Asesor'!$A$8:$E$1998,5,0))</f>
        <v/>
      </c>
      <c r="D919" s="84"/>
      <c r="F919" s="1" t="str">
        <f t="shared" si="1"/>
        <v/>
      </c>
    </row>
    <row r="920">
      <c r="A920" s="84"/>
      <c r="B920" s="84" t="str">
        <f>IF(A920="","",VLOOKUP(A920,'BD Asesor'!$A$8:$E$1998,5,0))</f>
        <v/>
      </c>
      <c r="D920" s="84"/>
      <c r="F920" s="1" t="str">
        <f t="shared" si="1"/>
        <v/>
      </c>
    </row>
    <row r="921">
      <c r="A921" s="84"/>
      <c r="B921" s="84" t="str">
        <f>IF(A921="","",VLOOKUP(A921,'BD Asesor'!$A$8:$E$1998,5,0))</f>
        <v/>
      </c>
      <c r="D921" s="84"/>
      <c r="F921" s="1" t="str">
        <f t="shared" si="1"/>
        <v/>
      </c>
    </row>
    <row r="922">
      <c r="A922" s="84"/>
      <c r="B922" s="84" t="str">
        <f>IF(A922="","",VLOOKUP(A922,'BD Asesor'!$A$8:$E$1998,5,0))</f>
        <v/>
      </c>
      <c r="D922" s="84"/>
      <c r="F922" s="1" t="str">
        <f t="shared" si="1"/>
        <v/>
      </c>
    </row>
    <row r="923">
      <c r="A923" s="84"/>
      <c r="B923" s="84" t="str">
        <f>IF(A923="","",VLOOKUP(A923,'BD Asesor'!$A$8:$E$1998,5,0))</f>
        <v/>
      </c>
      <c r="D923" s="84"/>
      <c r="F923" s="1" t="str">
        <f t="shared" si="1"/>
        <v/>
      </c>
    </row>
    <row r="924">
      <c r="A924" s="84"/>
      <c r="B924" s="84" t="str">
        <f>IF(A924="","",VLOOKUP(A924,'BD Asesor'!$A$8:$E$1998,5,0))</f>
        <v/>
      </c>
      <c r="D924" s="84"/>
      <c r="F924" s="1" t="str">
        <f t="shared" si="1"/>
        <v/>
      </c>
    </row>
    <row r="925">
      <c r="A925" s="84"/>
      <c r="B925" s="84" t="str">
        <f>IF(A925="","",VLOOKUP(A925,'BD Asesor'!$A$8:$E$1998,5,0))</f>
        <v/>
      </c>
      <c r="D925" s="84"/>
      <c r="F925" s="1" t="str">
        <f t="shared" si="1"/>
        <v/>
      </c>
    </row>
    <row r="926">
      <c r="A926" s="84"/>
      <c r="B926" s="84" t="str">
        <f>IF(A926="","",VLOOKUP(A926,'BD Asesor'!$A$8:$E$1998,5,0))</f>
        <v/>
      </c>
      <c r="D926" s="84"/>
      <c r="F926" s="1" t="str">
        <f t="shared" si="1"/>
        <v/>
      </c>
    </row>
    <row r="927">
      <c r="A927" s="84"/>
      <c r="B927" s="84" t="str">
        <f>IF(A927="","",VLOOKUP(A927,'BD Asesor'!$A$8:$E$1998,5,0))</f>
        <v/>
      </c>
      <c r="D927" s="84"/>
      <c r="F927" s="1" t="str">
        <f t="shared" si="1"/>
        <v/>
      </c>
    </row>
    <row r="928">
      <c r="A928" s="84"/>
      <c r="B928" s="84" t="str">
        <f>IF(A928="","",VLOOKUP(A928,'BD Asesor'!$A$8:$E$1998,5,0))</f>
        <v/>
      </c>
      <c r="D928" s="84"/>
      <c r="F928" s="1" t="str">
        <f t="shared" si="1"/>
        <v/>
      </c>
    </row>
    <row r="929">
      <c r="A929" s="84"/>
      <c r="B929" s="84" t="str">
        <f>IF(A929="","",VLOOKUP(A929,'BD Asesor'!$A$8:$E$1998,5,0))</f>
        <v/>
      </c>
      <c r="D929" s="84"/>
      <c r="F929" s="1" t="str">
        <f t="shared" si="1"/>
        <v/>
      </c>
    </row>
    <row r="930">
      <c r="A930" s="84"/>
      <c r="B930" s="84" t="str">
        <f>IF(A930="","",VLOOKUP(A930,'BD Asesor'!$A$8:$E$1998,5,0))</f>
        <v/>
      </c>
      <c r="D930" s="84"/>
      <c r="F930" s="1" t="str">
        <f t="shared" si="1"/>
        <v/>
      </c>
    </row>
    <row r="931">
      <c r="A931" s="84"/>
      <c r="B931" s="84" t="str">
        <f>IF(A931="","",VLOOKUP(A931,'BD Asesor'!$A$8:$E$1998,5,0))</f>
        <v/>
      </c>
      <c r="D931" s="84"/>
      <c r="F931" s="1" t="str">
        <f t="shared" si="1"/>
        <v/>
      </c>
    </row>
    <row r="932">
      <c r="A932" s="84"/>
      <c r="B932" s="84" t="str">
        <f>IF(A932="","",VLOOKUP(A932,'BD Asesor'!$A$8:$E$1998,5,0))</f>
        <v/>
      </c>
      <c r="D932" s="84"/>
      <c r="F932" s="1" t="str">
        <f t="shared" si="1"/>
        <v/>
      </c>
    </row>
    <row r="933">
      <c r="A933" s="84"/>
      <c r="B933" s="84" t="str">
        <f>IF(A933="","",VLOOKUP(A933,'BD Asesor'!$A$8:$E$1998,5,0))</f>
        <v/>
      </c>
      <c r="D933" s="84"/>
      <c r="F933" s="1" t="str">
        <f t="shared" si="1"/>
        <v/>
      </c>
    </row>
    <row r="934">
      <c r="A934" s="84"/>
      <c r="B934" s="84" t="str">
        <f>IF(A934="","",VLOOKUP(A934,'BD Asesor'!$A$8:$E$1998,5,0))</f>
        <v/>
      </c>
      <c r="D934" s="84"/>
      <c r="F934" s="1" t="str">
        <f t="shared" si="1"/>
        <v/>
      </c>
    </row>
    <row r="935">
      <c r="A935" s="84"/>
      <c r="B935" s="84" t="str">
        <f>IF(A935="","",VLOOKUP(A935,'BD Asesor'!$A$8:$E$1998,5,0))</f>
        <v/>
      </c>
      <c r="D935" s="84"/>
      <c r="F935" s="1" t="str">
        <f t="shared" si="1"/>
        <v/>
      </c>
    </row>
    <row r="936">
      <c r="A936" s="84"/>
      <c r="B936" s="84" t="str">
        <f>IF(A936="","",VLOOKUP(A936,'BD Asesor'!$A$8:$E$1998,5,0))</f>
        <v/>
      </c>
      <c r="D936" s="84"/>
      <c r="F936" s="1" t="str">
        <f t="shared" si="1"/>
        <v/>
      </c>
    </row>
    <row r="937">
      <c r="A937" s="84"/>
      <c r="B937" s="84" t="str">
        <f>IF(A937="","",VLOOKUP(A937,'BD Asesor'!$A$8:$E$1998,5,0))</f>
        <v/>
      </c>
      <c r="D937" s="84"/>
      <c r="F937" s="1" t="str">
        <f t="shared" si="1"/>
        <v/>
      </c>
    </row>
    <row r="938">
      <c r="A938" s="84"/>
      <c r="B938" s="84" t="str">
        <f>IF(A938="","",VLOOKUP(A938,'BD Asesor'!$A$8:$E$1998,5,0))</f>
        <v/>
      </c>
      <c r="D938" s="84"/>
      <c r="F938" s="1" t="str">
        <f t="shared" si="1"/>
        <v/>
      </c>
    </row>
    <row r="939">
      <c r="A939" s="84"/>
      <c r="B939" s="84" t="str">
        <f>IF(A939="","",VLOOKUP(A939,'BD Asesor'!$A$8:$E$1998,5,0))</f>
        <v/>
      </c>
      <c r="D939" s="84"/>
      <c r="F939" s="1" t="str">
        <f t="shared" si="1"/>
        <v/>
      </c>
    </row>
    <row r="940">
      <c r="A940" s="84"/>
      <c r="B940" s="84" t="str">
        <f>IF(A940="","",VLOOKUP(A940,'BD Asesor'!$A$8:$E$1998,5,0))</f>
        <v/>
      </c>
      <c r="D940" s="84"/>
      <c r="F940" s="1" t="str">
        <f t="shared" si="1"/>
        <v/>
      </c>
    </row>
    <row r="941">
      <c r="A941" s="84"/>
      <c r="B941" s="84" t="str">
        <f>IF(A941="","",VLOOKUP(A941,'BD Asesor'!$A$8:$E$1998,5,0))</f>
        <v/>
      </c>
      <c r="D941" s="84"/>
      <c r="F941" s="1" t="str">
        <f t="shared" si="1"/>
        <v/>
      </c>
    </row>
    <row r="942">
      <c r="A942" s="84"/>
      <c r="B942" s="84" t="str">
        <f>IF(A942="","",VLOOKUP(A942,'BD Asesor'!$A$8:$E$1998,5,0))</f>
        <v/>
      </c>
      <c r="D942" s="84"/>
      <c r="F942" s="1" t="str">
        <f t="shared" si="1"/>
        <v/>
      </c>
    </row>
    <row r="943">
      <c r="A943" s="84"/>
      <c r="B943" s="84" t="str">
        <f>IF(A943="","",VLOOKUP(A943,'BD Asesor'!$A$8:$E$1998,5,0))</f>
        <v/>
      </c>
      <c r="D943" s="84"/>
      <c r="F943" s="1" t="str">
        <f t="shared" si="1"/>
        <v/>
      </c>
    </row>
    <row r="944">
      <c r="A944" s="84"/>
      <c r="B944" s="84" t="str">
        <f>IF(A944="","",VLOOKUP(A944,'BD Asesor'!$A$8:$E$1998,5,0))</f>
        <v/>
      </c>
      <c r="D944" s="84"/>
      <c r="F944" s="1" t="str">
        <f t="shared" si="1"/>
        <v/>
      </c>
    </row>
    <row r="945">
      <c r="A945" s="84"/>
      <c r="B945" s="84" t="str">
        <f>IF(A945="","",VLOOKUP(A945,'BD Asesor'!$A$8:$E$1998,5,0))</f>
        <v/>
      </c>
      <c r="D945" s="84"/>
      <c r="F945" s="1" t="str">
        <f t="shared" si="1"/>
        <v/>
      </c>
    </row>
    <row r="946">
      <c r="A946" s="84"/>
      <c r="B946" s="84" t="str">
        <f>IF(A946="","",VLOOKUP(A946,'BD Asesor'!$A$8:$E$1998,5,0))</f>
        <v/>
      </c>
      <c r="D946" s="84"/>
      <c r="F946" s="1" t="str">
        <f t="shared" si="1"/>
        <v/>
      </c>
    </row>
    <row r="947">
      <c r="A947" s="84"/>
      <c r="B947" s="84" t="str">
        <f>IF(A947="","",VLOOKUP(A947,'BD Asesor'!$A$8:$E$1998,5,0))</f>
        <v/>
      </c>
      <c r="D947" s="84"/>
      <c r="F947" s="1" t="str">
        <f t="shared" si="1"/>
        <v/>
      </c>
    </row>
    <row r="948">
      <c r="A948" s="84"/>
      <c r="B948" s="84" t="str">
        <f>IF(A948="","",VLOOKUP(A948,'BD Asesor'!$A$8:$E$1998,5,0))</f>
        <v/>
      </c>
      <c r="D948" s="84"/>
      <c r="F948" s="1" t="str">
        <f t="shared" si="1"/>
        <v/>
      </c>
    </row>
    <row r="949">
      <c r="A949" s="84"/>
      <c r="B949" s="84" t="str">
        <f>IF(A949="","",VLOOKUP(A949,'BD Asesor'!$A$8:$E$1998,5,0))</f>
        <v/>
      </c>
      <c r="D949" s="84"/>
      <c r="F949" s="1" t="str">
        <f t="shared" si="1"/>
        <v/>
      </c>
    </row>
    <row r="950">
      <c r="A950" s="84"/>
      <c r="B950" s="84" t="str">
        <f>IF(A950="","",VLOOKUP(A950,'BD Asesor'!$A$8:$E$1998,5,0))</f>
        <v/>
      </c>
      <c r="D950" s="84"/>
      <c r="F950" s="1" t="str">
        <f t="shared" si="1"/>
        <v/>
      </c>
    </row>
    <row r="951">
      <c r="A951" s="84"/>
      <c r="B951" s="84" t="str">
        <f>IF(A951="","",VLOOKUP(A951,'BD Asesor'!$A$8:$E$1998,5,0))</f>
        <v/>
      </c>
      <c r="D951" s="84"/>
      <c r="F951" s="1" t="str">
        <f t="shared" si="1"/>
        <v/>
      </c>
    </row>
    <row r="952">
      <c r="A952" s="84"/>
      <c r="B952" s="84" t="str">
        <f>IF(A952="","",VLOOKUP(A952,'BD Asesor'!$A$8:$E$1998,5,0))</f>
        <v/>
      </c>
      <c r="D952" s="84"/>
      <c r="F952" s="1" t="str">
        <f t="shared" si="1"/>
        <v/>
      </c>
    </row>
    <row r="953">
      <c r="A953" s="84"/>
      <c r="B953" s="84" t="str">
        <f>IF(A953="","",VLOOKUP(A953,'BD Asesor'!$A$8:$E$1998,5,0))</f>
        <v/>
      </c>
      <c r="D953" s="84"/>
      <c r="F953" s="1" t="str">
        <f t="shared" si="1"/>
        <v/>
      </c>
    </row>
    <row r="954">
      <c r="A954" s="84"/>
      <c r="B954" s="84" t="str">
        <f>IF(A954="","",VLOOKUP(A954,'BD Asesor'!$A$8:$E$1998,5,0))</f>
        <v/>
      </c>
      <c r="D954" s="84"/>
      <c r="F954" s="1" t="str">
        <f t="shared" si="1"/>
        <v/>
      </c>
    </row>
    <row r="955">
      <c r="A955" s="84"/>
      <c r="B955" s="84" t="str">
        <f>IF(A955="","",VLOOKUP(A955,'BD Asesor'!$A$8:$E$1998,5,0))</f>
        <v/>
      </c>
      <c r="D955" s="84"/>
      <c r="F955" s="1" t="str">
        <f t="shared" si="1"/>
        <v/>
      </c>
    </row>
    <row r="956">
      <c r="A956" s="84"/>
      <c r="B956" s="84" t="str">
        <f>IF(A956="","",VLOOKUP(A956,'BD Asesor'!$A$8:$E$1998,5,0))</f>
        <v/>
      </c>
      <c r="D956" s="84"/>
      <c r="F956" s="1" t="str">
        <f t="shared" si="1"/>
        <v/>
      </c>
    </row>
    <row r="957">
      <c r="A957" s="84"/>
      <c r="B957" s="84" t="str">
        <f>IF(A957="","",VLOOKUP(A957,'BD Asesor'!$A$8:$E$1998,5,0))</f>
        <v/>
      </c>
      <c r="D957" s="84"/>
      <c r="F957" s="1" t="str">
        <f t="shared" si="1"/>
        <v/>
      </c>
    </row>
    <row r="958">
      <c r="A958" s="84"/>
      <c r="B958" s="84" t="str">
        <f>IF(A958="","",VLOOKUP(A958,'BD Asesor'!$A$8:$E$1998,5,0))</f>
        <v/>
      </c>
      <c r="D958" s="84"/>
      <c r="F958" s="1" t="str">
        <f t="shared" si="1"/>
        <v/>
      </c>
    </row>
    <row r="959">
      <c r="A959" s="84"/>
      <c r="B959" s="84" t="str">
        <f>IF(A959="","",VLOOKUP(A959,'BD Asesor'!$A$8:$E$1998,5,0))</f>
        <v/>
      </c>
      <c r="D959" s="84"/>
      <c r="F959" s="1" t="str">
        <f t="shared" si="1"/>
        <v/>
      </c>
    </row>
    <row r="960">
      <c r="A960" s="84"/>
      <c r="B960" s="84" t="str">
        <f>IF(A960="","",VLOOKUP(A960,'BD Asesor'!$A$8:$E$1998,5,0))</f>
        <v/>
      </c>
      <c r="D960" s="84"/>
      <c r="F960" s="1" t="str">
        <f t="shared" si="1"/>
        <v/>
      </c>
    </row>
    <row r="961">
      <c r="A961" s="84"/>
      <c r="B961" s="84" t="str">
        <f>IF(A961="","",VLOOKUP(A961,'BD Asesor'!$A$8:$E$1998,5,0))</f>
        <v/>
      </c>
      <c r="D961" s="84"/>
      <c r="F961" s="1" t="str">
        <f t="shared" si="1"/>
        <v/>
      </c>
    </row>
    <row r="962">
      <c r="A962" s="84"/>
      <c r="B962" s="84" t="str">
        <f>IF(A962="","",VLOOKUP(A962,'BD Asesor'!$A$8:$E$1998,5,0))</f>
        <v/>
      </c>
      <c r="D962" s="84"/>
      <c r="F962" s="1" t="str">
        <f t="shared" si="1"/>
        <v/>
      </c>
    </row>
    <row r="963">
      <c r="A963" s="84"/>
      <c r="B963" s="84" t="str">
        <f>IF(A963="","",VLOOKUP(A963,'BD Asesor'!$A$8:$E$1998,5,0))</f>
        <v/>
      </c>
      <c r="D963" s="84"/>
      <c r="F963" s="1" t="str">
        <f t="shared" si="1"/>
        <v/>
      </c>
    </row>
    <row r="964">
      <c r="A964" s="84"/>
      <c r="B964" s="84" t="str">
        <f>IF(A964="","",VLOOKUP(A964,'BD Asesor'!$A$8:$E$1998,5,0))</f>
        <v/>
      </c>
      <c r="D964" s="84"/>
      <c r="F964" s="1" t="str">
        <f t="shared" si="1"/>
        <v/>
      </c>
    </row>
    <row r="965">
      <c r="A965" s="84"/>
      <c r="B965" s="84" t="str">
        <f>IF(A965="","",VLOOKUP(A965,'BD Asesor'!$A$8:$E$1998,5,0))</f>
        <v/>
      </c>
      <c r="D965" s="84"/>
      <c r="F965" s="1" t="str">
        <f t="shared" si="1"/>
        <v/>
      </c>
    </row>
    <row r="966">
      <c r="A966" s="84"/>
      <c r="B966" s="84" t="str">
        <f>IF(A966="","",VLOOKUP(A966,'BD Asesor'!$A$8:$E$1998,5,0))</f>
        <v/>
      </c>
      <c r="D966" s="84"/>
      <c r="F966" s="1" t="str">
        <f t="shared" si="1"/>
        <v/>
      </c>
    </row>
    <row r="967">
      <c r="A967" s="84"/>
      <c r="B967" s="84" t="str">
        <f>IF(A967="","",VLOOKUP(A967,'BD Asesor'!$A$8:$E$1998,5,0))</f>
        <v/>
      </c>
      <c r="D967" s="84"/>
      <c r="F967" s="1" t="str">
        <f t="shared" si="1"/>
        <v/>
      </c>
    </row>
    <row r="968">
      <c r="A968" s="84"/>
      <c r="B968" s="84" t="str">
        <f>IF(A968="","",VLOOKUP(A968,'BD Asesor'!$A$8:$E$1998,5,0))</f>
        <v/>
      </c>
      <c r="D968" s="84"/>
      <c r="F968" s="1" t="str">
        <f t="shared" si="1"/>
        <v/>
      </c>
    </row>
    <row r="969">
      <c r="A969" s="84"/>
      <c r="B969" s="84" t="str">
        <f>IF(A969="","",VLOOKUP(A969,'BD Asesor'!$A$8:$E$1998,5,0))</f>
        <v/>
      </c>
      <c r="D969" s="84"/>
      <c r="F969" s="1" t="str">
        <f t="shared" si="1"/>
        <v/>
      </c>
    </row>
    <row r="970">
      <c r="A970" s="84"/>
      <c r="B970" s="84" t="str">
        <f>IF(A970="","",VLOOKUP(A970,'BD Asesor'!$A$8:$E$1998,5,0))</f>
        <v/>
      </c>
      <c r="D970" s="84"/>
      <c r="F970" s="1" t="str">
        <f t="shared" si="1"/>
        <v/>
      </c>
    </row>
    <row r="971">
      <c r="A971" s="84"/>
      <c r="B971" s="84" t="str">
        <f>IF(A971="","",VLOOKUP(A971,'BD Asesor'!$A$8:$E$1998,5,0))</f>
        <v/>
      </c>
      <c r="D971" s="84"/>
      <c r="F971" s="1" t="str">
        <f t="shared" si="1"/>
        <v/>
      </c>
    </row>
    <row r="972">
      <c r="A972" s="84"/>
      <c r="B972" s="84" t="str">
        <f>IF(A972="","",VLOOKUP(A972,'BD Asesor'!$A$8:$E$1998,5,0))</f>
        <v/>
      </c>
      <c r="D972" s="84"/>
      <c r="F972" s="1" t="str">
        <f t="shared" si="1"/>
        <v/>
      </c>
    </row>
    <row r="973">
      <c r="A973" s="84"/>
      <c r="B973" s="84" t="str">
        <f>IF(A973="","",VLOOKUP(A973,'BD Asesor'!$A$8:$E$1998,5,0))</f>
        <v/>
      </c>
      <c r="D973" s="84"/>
      <c r="F973" s="1" t="str">
        <f t="shared" si="1"/>
        <v/>
      </c>
    </row>
    <row r="974">
      <c r="A974" s="84"/>
      <c r="B974" s="84" t="str">
        <f>IF(A974="","",VLOOKUP(A974,'BD Asesor'!$A$8:$E$1998,5,0))</f>
        <v/>
      </c>
      <c r="D974" s="84"/>
      <c r="F974" s="1" t="str">
        <f t="shared" si="1"/>
        <v/>
      </c>
    </row>
    <row r="975">
      <c r="A975" s="84"/>
      <c r="B975" s="84" t="str">
        <f>IF(A975="","",VLOOKUP(A975,'BD Asesor'!$A$8:$E$1998,5,0))</f>
        <v/>
      </c>
      <c r="D975" s="84"/>
      <c r="F975" s="1" t="str">
        <f t="shared" si="1"/>
        <v/>
      </c>
    </row>
    <row r="976">
      <c r="A976" s="84"/>
      <c r="B976" s="84" t="str">
        <f>IF(A976="","",VLOOKUP(A976,'BD Asesor'!$A$8:$E$1998,5,0))</f>
        <v/>
      </c>
      <c r="D976" s="84"/>
      <c r="F976" s="1" t="str">
        <f t="shared" si="1"/>
        <v/>
      </c>
    </row>
    <row r="977">
      <c r="A977" s="84"/>
      <c r="B977" s="84" t="str">
        <f>IF(A977="","",VLOOKUP(A977,'BD Asesor'!$A$8:$E$1998,5,0))</f>
        <v/>
      </c>
      <c r="D977" s="84"/>
      <c r="F977" s="1" t="str">
        <f t="shared" si="1"/>
        <v/>
      </c>
    </row>
    <row r="978">
      <c r="A978" s="84"/>
      <c r="B978" s="84" t="str">
        <f>IF(A978="","",VLOOKUP(A978,'BD Asesor'!$A$8:$E$1998,5,0))</f>
        <v/>
      </c>
      <c r="D978" s="84"/>
      <c r="F978" s="1" t="str">
        <f t="shared" si="1"/>
        <v/>
      </c>
    </row>
    <row r="979">
      <c r="A979" s="84"/>
      <c r="B979" s="84" t="str">
        <f>IF(A979="","",VLOOKUP(A979,'BD Asesor'!$A$8:$E$1998,5,0))</f>
        <v/>
      </c>
      <c r="D979" s="84"/>
      <c r="F979" s="1" t="str">
        <f t="shared" si="1"/>
        <v/>
      </c>
    </row>
    <row r="980">
      <c r="A980" s="84"/>
      <c r="B980" s="84" t="str">
        <f>IF(A980="","",VLOOKUP(A980,'BD Asesor'!$A$8:$E$1998,5,0))</f>
        <v/>
      </c>
      <c r="D980" s="84"/>
      <c r="F980" s="1" t="str">
        <f t="shared" si="1"/>
        <v/>
      </c>
    </row>
    <row r="981">
      <c r="A981" s="84"/>
      <c r="B981" s="84" t="str">
        <f>IF(A981="","",VLOOKUP(A981,'BD Asesor'!$A$8:$E$1998,5,0))</f>
        <v/>
      </c>
      <c r="D981" s="84"/>
      <c r="F981" s="1" t="str">
        <f t="shared" si="1"/>
        <v/>
      </c>
    </row>
    <row r="982">
      <c r="A982" s="84"/>
      <c r="B982" s="84" t="str">
        <f>IF(A982="","",VLOOKUP(A982,'BD Asesor'!$A$8:$E$1998,5,0))</f>
        <v/>
      </c>
      <c r="D982" s="84"/>
      <c r="F982" s="1" t="str">
        <f t="shared" si="1"/>
        <v/>
      </c>
    </row>
    <row r="983">
      <c r="A983" s="84"/>
      <c r="B983" s="84" t="str">
        <f>IF(A983="","",VLOOKUP(A983,'BD Asesor'!$A$8:$E$1998,5,0))</f>
        <v/>
      </c>
      <c r="D983" s="84"/>
      <c r="F983" s="1" t="str">
        <f t="shared" si="1"/>
        <v/>
      </c>
    </row>
    <row r="984">
      <c r="A984" s="84"/>
      <c r="B984" s="84" t="str">
        <f>IF(A984="","",VLOOKUP(A984,'BD Asesor'!$A$8:$E$1998,5,0))</f>
        <v/>
      </c>
      <c r="D984" s="84"/>
      <c r="F984" s="1" t="str">
        <f t="shared" si="1"/>
        <v/>
      </c>
    </row>
    <row r="985">
      <c r="A985" s="84"/>
      <c r="B985" s="84" t="str">
        <f>IF(A985="","",VLOOKUP(A985,'BD Asesor'!$A$8:$E$1998,5,0))</f>
        <v/>
      </c>
      <c r="D985" s="84"/>
      <c r="F985" s="1" t="str">
        <f t="shared" si="1"/>
        <v/>
      </c>
    </row>
    <row r="986">
      <c r="A986" s="84"/>
      <c r="B986" s="84" t="str">
        <f>IF(A986="","",VLOOKUP(A986,'BD Asesor'!$A$8:$E$1998,5,0))</f>
        <v/>
      </c>
      <c r="D986" s="84"/>
      <c r="F986" s="1" t="str">
        <f t="shared" si="1"/>
        <v/>
      </c>
    </row>
    <row r="987">
      <c r="A987" s="84"/>
      <c r="B987" s="84" t="str">
        <f>IF(A987="","",VLOOKUP(A987,'BD Asesor'!$A$8:$E$1998,5,0))</f>
        <v/>
      </c>
      <c r="D987" s="84"/>
      <c r="F987" s="1" t="str">
        <f t="shared" si="1"/>
        <v/>
      </c>
    </row>
    <row r="988">
      <c r="A988" s="84"/>
      <c r="B988" s="84" t="str">
        <f>IF(A988="","",VLOOKUP(A988,'BD Asesor'!$A$8:$E$1998,5,0))</f>
        <v/>
      </c>
      <c r="D988" s="84"/>
      <c r="F988" s="1" t="str">
        <f t="shared" si="1"/>
        <v/>
      </c>
    </row>
    <row r="989">
      <c r="A989" s="84"/>
      <c r="B989" s="84" t="str">
        <f>IF(A989="","",VLOOKUP(A989,'BD Asesor'!$A$8:$E$1998,5,0))</f>
        <v/>
      </c>
      <c r="D989" s="84"/>
      <c r="F989" s="1" t="str">
        <f t="shared" si="1"/>
        <v/>
      </c>
    </row>
    <row r="990">
      <c r="A990" s="84"/>
      <c r="B990" s="84" t="str">
        <f>IF(A990="","",VLOOKUP(A990,'BD Asesor'!$A$8:$E$1998,5,0))</f>
        <v/>
      </c>
      <c r="D990" s="84"/>
      <c r="F990" s="1" t="str">
        <f t="shared" si="1"/>
        <v/>
      </c>
    </row>
    <row r="991">
      <c r="A991" s="84"/>
      <c r="B991" s="84" t="str">
        <f>IF(A991="","",VLOOKUP(A991,'BD Asesor'!$A$8:$E$1998,5,0))</f>
        <v/>
      </c>
      <c r="D991" s="84"/>
      <c r="F991" s="1" t="str">
        <f t="shared" si="1"/>
        <v/>
      </c>
    </row>
    <row r="992">
      <c r="A992" s="84"/>
      <c r="B992" s="84" t="str">
        <f>IF(A992="","",VLOOKUP(A992,'BD Asesor'!$A$8:$E$1998,5,0))</f>
        <v/>
      </c>
      <c r="D992" s="84"/>
      <c r="F992" s="1" t="str">
        <f t="shared" si="1"/>
        <v/>
      </c>
    </row>
    <row r="993">
      <c r="A993" s="84"/>
      <c r="B993" s="84" t="str">
        <f>IF(A993="","",VLOOKUP(A993,'BD Asesor'!$A$8:$E$1998,5,0))</f>
        <v/>
      </c>
      <c r="D993" s="84"/>
      <c r="F993" s="1" t="str">
        <f t="shared" si="1"/>
        <v/>
      </c>
    </row>
    <row r="994">
      <c r="A994" s="84"/>
      <c r="B994" s="84" t="str">
        <f>IF(A994="","",VLOOKUP(A994,'BD Asesor'!$A$8:$E$1998,5,0))</f>
        <v/>
      </c>
      <c r="D994" s="84"/>
      <c r="F994" s="1" t="str">
        <f t="shared" si="1"/>
        <v/>
      </c>
    </row>
    <row r="995">
      <c r="A995" s="84"/>
      <c r="B995" s="84" t="str">
        <f>IF(A995="","",VLOOKUP(A995,'BD Asesor'!$A$8:$E$1998,5,0))</f>
        <v/>
      </c>
      <c r="D995" s="84"/>
      <c r="F995" s="1" t="str">
        <f t="shared" si="1"/>
        <v/>
      </c>
    </row>
    <row r="996">
      <c r="A996" s="84"/>
      <c r="B996" s="84" t="str">
        <f>IF(A996="","",VLOOKUP(A996,'BD Asesor'!$A$8:$E$1998,5,0))</f>
        <v/>
      </c>
      <c r="D996" s="84"/>
      <c r="F996" s="1" t="str">
        <f t="shared" si="1"/>
        <v/>
      </c>
    </row>
    <row r="997">
      <c r="A997" s="84"/>
      <c r="B997" s="84" t="str">
        <f>IF(A997="","",VLOOKUP(A997,'BD Asesor'!$A$8:$E$1998,5,0))</f>
        <v/>
      </c>
      <c r="D997" s="84"/>
      <c r="F997" s="1" t="str">
        <f t="shared" si="1"/>
        <v/>
      </c>
    </row>
    <row r="998">
      <c r="A998" s="84"/>
      <c r="B998" s="84" t="str">
        <f>IF(A998="","",VLOOKUP(A998,'BD Asesor'!$A$8:$E$1998,5,0))</f>
        <v/>
      </c>
      <c r="D998" s="84"/>
      <c r="F998" s="1" t="str">
        <f t="shared" si="1"/>
        <v/>
      </c>
    </row>
    <row r="999">
      <c r="A999" s="84"/>
      <c r="B999" s="84" t="str">
        <f>IF(A999="","",VLOOKUP(A999,'BD Asesor'!$A$8:$E$1998,5,0))</f>
        <v/>
      </c>
      <c r="D999" s="84"/>
      <c r="F999" s="1" t="str">
        <f t="shared" si="1"/>
        <v/>
      </c>
    </row>
    <row r="1000">
      <c r="A1000" s="84"/>
      <c r="B1000" s="84" t="str">
        <f>IF(A1000="","",VLOOKUP(A1000,'BD Asesor'!$A$8:$E$1998,5,0))</f>
        <v/>
      </c>
      <c r="D1000" s="84"/>
      <c r="F1000" s="1" t="str">
        <f t="shared" si="1"/>
        <v/>
      </c>
    </row>
  </sheetData>
  <autoFilter ref="$A$5:$E$1000"/>
  <dataValidations>
    <dataValidation type="list" allowBlank="1" showErrorMessage="1" sqref="A6:A1000">
      <formula1>Listas!$I$4:$I$2000</formula1>
    </dataValidation>
    <dataValidation type="list" allowBlank="1" showErrorMessage="1" sqref="D6:D1000">
      <formula1>"Hijo,Madre,Padre,Familiar,Colaborador,Otro"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4.75"/>
    <col customWidth="1" min="2" max="2" width="14.63"/>
    <col customWidth="1" min="3" max="3" width="29.13"/>
    <col customWidth="1" min="4" max="4" width="20.38"/>
    <col customWidth="1" hidden="1" min="5" max="5" width="0.38"/>
    <col customWidth="1" min="7" max="7" width="19.38"/>
    <col customWidth="1" min="16" max="16" width="28.63"/>
    <col customWidth="1" min="17" max="17" width="24.38"/>
    <col customWidth="1" min="19" max="19" width="29.88"/>
  </cols>
  <sheetData>
    <row r="1" ht="15.75" customHeight="1">
      <c r="A1" s="86"/>
      <c r="B1" s="87"/>
      <c r="C1" s="87"/>
      <c r="D1" s="87"/>
      <c r="E1" s="88"/>
      <c r="N1" s="4"/>
      <c r="O1" s="4"/>
      <c r="P1" s="4"/>
      <c r="Q1" s="4"/>
      <c r="R1" s="4"/>
      <c r="S1" s="4"/>
      <c r="T1" s="4"/>
    </row>
    <row r="2" ht="15.75" customHeight="1">
      <c r="A2" s="87"/>
      <c r="B2" s="87"/>
      <c r="C2" s="87"/>
      <c r="D2" s="87"/>
      <c r="E2" s="88"/>
      <c r="N2" s="4"/>
      <c r="O2" s="4"/>
      <c r="P2" s="4"/>
      <c r="Q2" s="4"/>
      <c r="R2" s="4"/>
      <c r="S2" s="4"/>
      <c r="T2" s="4"/>
    </row>
    <row r="3">
      <c r="A3" s="87"/>
      <c r="B3" s="7"/>
      <c r="E3" s="7"/>
      <c r="F3" s="7"/>
      <c r="G3" s="7"/>
      <c r="H3" s="7"/>
      <c r="I3" s="7"/>
      <c r="J3" s="7"/>
      <c r="N3" s="4"/>
      <c r="O3" s="4"/>
      <c r="P3" s="4"/>
      <c r="Q3" s="4"/>
      <c r="R3" s="4"/>
      <c r="S3" s="4"/>
      <c r="T3" s="4"/>
    </row>
    <row r="4" ht="15.75" customHeight="1">
      <c r="A4" s="87"/>
      <c r="B4" s="87"/>
      <c r="C4" s="89" t="s">
        <v>770</v>
      </c>
      <c r="D4" s="87"/>
      <c r="E4" s="88"/>
      <c r="N4" s="4"/>
      <c r="O4" s="4"/>
      <c r="P4" s="4"/>
      <c r="Q4" s="4"/>
      <c r="R4" s="90"/>
      <c r="S4" s="4"/>
      <c r="T4" s="4"/>
    </row>
    <row r="5">
      <c r="A5" s="87"/>
      <c r="B5" s="87"/>
      <c r="C5" s="91" t="s">
        <v>771</v>
      </c>
      <c r="D5" s="87"/>
      <c r="E5" s="92"/>
      <c r="G5" s="93" t="s">
        <v>772</v>
      </c>
      <c r="L5" s="93" t="s">
        <v>773</v>
      </c>
      <c r="O5" s="4"/>
      <c r="P5" s="93" t="s">
        <v>774</v>
      </c>
      <c r="R5" s="93"/>
      <c r="S5" s="93" t="s">
        <v>775</v>
      </c>
    </row>
    <row r="6" ht="15.75" customHeight="1">
      <c r="A6" s="87"/>
      <c r="B6" s="87"/>
      <c r="C6" s="94" t="s">
        <v>776</v>
      </c>
      <c r="D6" s="87"/>
      <c r="E6" s="92"/>
      <c r="N6" s="4"/>
      <c r="O6" s="4"/>
      <c r="P6" s="4"/>
      <c r="Q6" s="4"/>
      <c r="R6" s="90"/>
      <c r="S6" s="4"/>
      <c r="T6" s="4"/>
    </row>
    <row r="7" ht="33.75" customHeight="1">
      <c r="A7" s="95" t="s">
        <v>777</v>
      </c>
      <c r="B7" s="95" t="s">
        <v>778</v>
      </c>
      <c r="C7" s="95" t="s">
        <v>779</v>
      </c>
      <c r="D7" s="95" t="s">
        <v>780</v>
      </c>
      <c r="E7" s="96" t="s">
        <v>24</v>
      </c>
      <c r="F7" s="97" t="s">
        <v>781</v>
      </c>
      <c r="G7" s="98" t="s">
        <v>782</v>
      </c>
      <c r="H7" s="99" t="s">
        <v>783</v>
      </c>
      <c r="I7" s="100" t="s">
        <v>777</v>
      </c>
      <c r="J7" s="101" t="s">
        <v>784</v>
      </c>
      <c r="K7" s="102"/>
      <c r="L7" s="103" t="s">
        <v>778</v>
      </c>
      <c r="M7" s="100" t="s">
        <v>777</v>
      </c>
      <c r="N7" s="101" t="s">
        <v>784</v>
      </c>
      <c r="O7" s="104"/>
      <c r="R7" s="105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</row>
    <row r="8" ht="15.75" customHeight="1">
      <c r="A8" s="60" t="s">
        <v>787</v>
      </c>
      <c r="B8" s="60" t="s">
        <v>788</v>
      </c>
      <c r="C8" s="85">
        <v>44595.0</v>
      </c>
      <c r="D8" s="60" t="s">
        <v>789</v>
      </c>
      <c r="E8" s="106">
        <f>IF(C8 ="","",C8-Listas!$B$2)</f>
        <v>-1566</v>
      </c>
      <c r="F8" s="64">
        <v>3.313014779E9</v>
      </c>
      <c r="G8" s="64" t="s">
        <v>790</v>
      </c>
      <c r="H8" s="107" t="s">
        <v>791</v>
      </c>
      <c r="I8" s="108">
        <f t="shared" ref="I8:I11" si="1">COUNTIF($A$7:$D$1000,H8)</f>
        <v>0</v>
      </c>
      <c r="J8" s="109" t="str">
        <f t="shared" ref="J8:J11" si="2">I8/$I$12</f>
        <v>#DIV/0!</v>
      </c>
      <c r="L8" s="110" t="s">
        <v>792</v>
      </c>
      <c r="M8" s="108">
        <f t="shared" ref="M8:M11" si="3">COUNTIF($A$7:$D$1000,L8)</f>
        <v>0</v>
      </c>
      <c r="N8" s="109" t="str">
        <f t="shared" ref="N8:N11" si="4">M8/$I$12</f>
        <v>#DIV/0!</v>
      </c>
      <c r="O8" s="40"/>
      <c r="R8" s="111"/>
    </row>
    <row r="9" ht="15.75" customHeight="1">
      <c r="A9" s="60" t="s">
        <v>796</v>
      </c>
      <c r="B9" s="60" t="s">
        <v>788</v>
      </c>
      <c r="C9" s="85">
        <v>44601.0</v>
      </c>
      <c r="D9" s="60" t="s">
        <v>789</v>
      </c>
      <c r="E9" s="106">
        <f>IF(C9 ="","",C9-Listas!$B$2)</f>
        <v>-1560</v>
      </c>
      <c r="F9" s="64">
        <v>3.336260468E9</v>
      </c>
      <c r="G9" s="64" t="s">
        <v>790</v>
      </c>
      <c r="H9" s="107" t="s">
        <v>797</v>
      </c>
      <c r="I9" s="108">
        <f t="shared" si="1"/>
        <v>0</v>
      </c>
      <c r="J9" s="109" t="str">
        <f t="shared" si="2"/>
        <v>#DIV/0!</v>
      </c>
      <c r="L9" s="110" t="s">
        <v>798</v>
      </c>
      <c r="M9" s="108">
        <f t="shared" si="3"/>
        <v>0</v>
      </c>
      <c r="N9" s="109" t="str">
        <f t="shared" si="4"/>
        <v>#DIV/0!</v>
      </c>
      <c r="O9" s="40"/>
      <c r="R9" s="111"/>
      <c r="X9" s="40"/>
    </row>
    <row r="10" ht="15.75" customHeight="1">
      <c r="A10" s="60" t="s">
        <v>800</v>
      </c>
      <c r="B10" s="60" t="s">
        <v>788</v>
      </c>
      <c r="C10" s="85">
        <v>44600.0</v>
      </c>
      <c r="D10" s="60" t="s">
        <v>789</v>
      </c>
      <c r="E10" s="106">
        <f>IF(C10 ="","",C10-Listas!$B$2)</f>
        <v>-1561</v>
      </c>
      <c r="F10" s="64">
        <v>3.316727678E9</v>
      </c>
      <c r="G10" s="64" t="s">
        <v>801</v>
      </c>
      <c r="H10" s="107" t="s">
        <v>802</v>
      </c>
      <c r="I10" s="108">
        <f t="shared" si="1"/>
        <v>0</v>
      </c>
      <c r="J10" s="109" t="str">
        <f t="shared" si="2"/>
        <v>#DIV/0!</v>
      </c>
      <c r="L10" s="110" t="s">
        <v>788</v>
      </c>
      <c r="M10" s="108">
        <f t="shared" si="3"/>
        <v>327</v>
      </c>
      <c r="N10" s="109" t="str">
        <f t="shared" si="4"/>
        <v>#DIV/0!</v>
      </c>
      <c r="O10" s="40"/>
      <c r="R10" s="111"/>
      <c r="X10" s="40"/>
    </row>
    <row r="11" ht="15.75" customHeight="1">
      <c r="A11" s="60" t="s">
        <v>804</v>
      </c>
      <c r="B11" s="60" t="s">
        <v>788</v>
      </c>
      <c r="C11" s="113" t="s">
        <v>805</v>
      </c>
      <c r="D11" s="60" t="s">
        <v>789</v>
      </c>
      <c r="E11" s="106" t="str">
        <f>IF(C11 ="","",C11-Listas!$B$2)</f>
        <v>#VALUE!</v>
      </c>
      <c r="F11" s="64">
        <v>3.31044072E9</v>
      </c>
      <c r="G11" s="64" t="s">
        <v>806</v>
      </c>
      <c r="H11" s="114" t="s">
        <v>807</v>
      </c>
      <c r="I11" s="115">
        <f t="shared" si="1"/>
        <v>0</v>
      </c>
      <c r="J11" s="116" t="str">
        <f t="shared" si="2"/>
        <v>#DIV/0!</v>
      </c>
      <c r="L11" s="117" t="s">
        <v>808</v>
      </c>
      <c r="M11" s="115">
        <f t="shared" si="3"/>
        <v>0</v>
      </c>
      <c r="N11" s="116" t="str">
        <f t="shared" si="4"/>
        <v>#DIV/0!</v>
      </c>
      <c r="O11" s="40"/>
      <c r="R11" s="111"/>
      <c r="X11" s="40"/>
    </row>
    <row r="12" ht="15.75" customHeight="1">
      <c r="A12" s="60" t="s">
        <v>810</v>
      </c>
      <c r="B12" s="60" t="s">
        <v>788</v>
      </c>
      <c r="C12" s="113" t="s">
        <v>805</v>
      </c>
      <c r="D12" s="60" t="s">
        <v>789</v>
      </c>
      <c r="E12" s="118" t="str">
        <f>IF(C12 ="","",C12-Listas!$B$2)</f>
        <v>#VALUE!</v>
      </c>
      <c r="F12" s="64">
        <v>3.313038073E9</v>
      </c>
      <c r="G12" s="64" t="s">
        <v>805</v>
      </c>
      <c r="H12" s="119" t="s">
        <v>811</v>
      </c>
      <c r="I12" s="120">
        <f t="shared" ref="I12:J12" si="5">SUM(I8:I11)</f>
        <v>0</v>
      </c>
      <c r="J12" s="121" t="str">
        <f t="shared" si="5"/>
        <v>#DIV/0!</v>
      </c>
      <c r="L12" s="117" t="s">
        <v>811</v>
      </c>
      <c r="M12" s="120">
        <f t="shared" ref="M12:N12" si="6">SUM(M8:M11)</f>
        <v>327</v>
      </c>
      <c r="N12" s="121" t="str">
        <f t="shared" si="6"/>
        <v>#DIV/0!</v>
      </c>
      <c r="R12" s="122"/>
    </row>
    <row r="13" ht="15.75" customHeight="1">
      <c r="A13" s="60" t="s">
        <v>812</v>
      </c>
      <c r="B13" s="60" t="s">
        <v>788</v>
      </c>
      <c r="C13" s="113" t="s">
        <v>805</v>
      </c>
      <c r="D13" s="60" t="s">
        <v>803</v>
      </c>
      <c r="E13" s="118" t="str">
        <f>IF(C13 ="","",C13-Listas!$B$2)</f>
        <v>#VALUE!</v>
      </c>
      <c r="F13" s="64">
        <v>3.311690262E9</v>
      </c>
      <c r="G13" s="64" t="s">
        <v>813</v>
      </c>
      <c r="O13" s="10"/>
      <c r="R13" s="123"/>
    </row>
    <row r="14" ht="15.75" customHeight="1">
      <c r="A14" s="60" t="s">
        <v>815</v>
      </c>
      <c r="B14" s="60" t="s">
        <v>788</v>
      </c>
      <c r="C14" s="124" t="s">
        <v>816</v>
      </c>
      <c r="D14" s="60" t="s">
        <v>803</v>
      </c>
      <c r="E14" s="118" t="str">
        <f>IF(C14 ="","",C14-Listas!$B$2)</f>
        <v>#VALUE!</v>
      </c>
      <c r="F14" s="64">
        <v>3.331675304E9</v>
      </c>
      <c r="G14" s="64" t="s">
        <v>817</v>
      </c>
      <c r="N14" s="10"/>
      <c r="O14" s="10"/>
      <c r="R14" s="123"/>
    </row>
    <row r="15" ht="15.75" customHeight="1">
      <c r="A15" s="60" t="s">
        <v>819</v>
      </c>
      <c r="B15" s="60" t="s">
        <v>788</v>
      </c>
      <c r="C15" s="113" t="s">
        <v>820</v>
      </c>
      <c r="D15" s="60" t="s">
        <v>803</v>
      </c>
      <c r="E15" s="118" t="str">
        <f>IF(C15 ="","",C15-Listas!$B$2)</f>
        <v>#VALUE!</v>
      </c>
      <c r="F15" s="64">
        <v>3.31359132E9</v>
      </c>
      <c r="G15" s="64" t="s">
        <v>813</v>
      </c>
      <c r="O15" s="10"/>
      <c r="R15" s="40"/>
      <c r="X15" s="42"/>
    </row>
    <row r="16" ht="15.75" customHeight="1">
      <c r="A16" s="60" t="s">
        <v>822</v>
      </c>
      <c r="B16" s="60" t="s">
        <v>788</v>
      </c>
      <c r="C16" s="113" t="s">
        <v>805</v>
      </c>
      <c r="D16" s="60" t="s">
        <v>803</v>
      </c>
      <c r="E16" s="118" t="str">
        <f>IF(C16 ="","",C16-Listas!$B$2)</f>
        <v>#VALUE!</v>
      </c>
      <c r="F16" s="64">
        <v>3.314257494E9</v>
      </c>
      <c r="G16" s="64" t="s">
        <v>823</v>
      </c>
      <c r="X16" s="41"/>
    </row>
    <row r="17" ht="15.75" customHeight="1">
      <c r="A17" s="60" t="s">
        <v>825</v>
      </c>
      <c r="B17" s="60" t="s">
        <v>788</v>
      </c>
      <c r="C17" s="113" t="s">
        <v>805</v>
      </c>
      <c r="D17" s="60" t="s">
        <v>803</v>
      </c>
      <c r="E17" s="118" t="str">
        <f>IF(C17 ="","",C17-Listas!$B$2)</f>
        <v>#VALUE!</v>
      </c>
      <c r="F17" s="64">
        <v>3.311868613E9</v>
      </c>
      <c r="G17" s="64" t="s">
        <v>805</v>
      </c>
      <c r="O17" s="10"/>
      <c r="R17" s="10"/>
      <c r="S17" s="10"/>
      <c r="T17" s="10"/>
      <c r="U17" s="43"/>
      <c r="W17" s="42"/>
      <c r="X17" s="41"/>
    </row>
    <row r="18" ht="15.75" customHeight="1">
      <c r="A18" s="60" t="s">
        <v>827</v>
      </c>
      <c r="B18" s="60" t="s">
        <v>788</v>
      </c>
      <c r="C18" s="113" t="s">
        <v>805</v>
      </c>
      <c r="D18" s="60" t="s">
        <v>803</v>
      </c>
      <c r="E18" s="118" t="str">
        <f>IF(C18 ="","",C18-Listas!$B$2)</f>
        <v>#VALUE!</v>
      </c>
      <c r="F18" s="64">
        <v>3.311768094E9</v>
      </c>
      <c r="G18" s="64" t="s">
        <v>805</v>
      </c>
      <c r="O18" s="10"/>
      <c r="P18" s="10"/>
      <c r="Q18" s="10"/>
      <c r="R18" s="10"/>
      <c r="S18" s="40"/>
      <c r="T18" s="40"/>
      <c r="U18" s="43"/>
      <c r="W18" s="42"/>
      <c r="X18" s="41"/>
    </row>
    <row r="19" ht="15.75" customHeight="1">
      <c r="A19" s="60" t="s">
        <v>828</v>
      </c>
      <c r="B19" s="60" t="s">
        <v>788</v>
      </c>
      <c r="C19" s="113" t="s">
        <v>805</v>
      </c>
      <c r="D19" s="60" t="s">
        <v>799</v>
      </c>
      <c r="E19" s="118" t="str">
        <f>IF(C19 ="","",C19-Listas!$B$2)</f>
        <v>#VALUE!</v>
      </c>
      <c r="F19" s="64">
        <v>3.312693025E9</v>
      </c>
      <c r="G19" s="64" t="s">
        <v>829</v>
      </c>
      <c r="O19" s="10"/>
      <c r="P19" s="10"/>
      <c r="Q19" s="10"/>
      <c r="R19" s="10"/>
      <c r="S19" s="41"/>
      <c r="T19" s="41"/>
      <c r="U19" s="42"/>
    </row>
    <row r="20" ht="15.75" customHeight="1">
      <c r="A20" s="60" t="s">
        <v>830</v>
      </c>
      <c r="B20" s="60" t="s">
        <v>788</v>
      </c>
      <c r="C20" s="113" t="s">
        <v>805</v>
      </c>
      <c r="D20" s="60" t="s">
        <v>799</v>
      </c>
      <c r="E20" s="118" t="str">
        <f>IF(C20 ="","",C20-Listas!$B$2)</f>
        <v>#VALUE!</v>
      </c>
      <c r="F20" s="64">
        <v>3.311769244E9</v>
      </c>
      <c r="G20" s="64" t="s">
        <v>831</v>
      </c>
    </row>
    <row r="21" ht="15.75" customHeight="1">
      <c r="A21" s="60" t="s">
        <v>832</v>
      </c>
      <c r="B21" s="60" t="s">
        <v>788</v>
      </c>
      <c r="C21" s="113" t="s">
        <v>805</v>
      </c>
      <c r="D21" s="60" t="s">
        <v>799</v>
      </c>
      <c r="E21" s="118" t="str">
        <f>IF(C21 ="","",C21-Listas!$B$2)</f>
        <v>#VALUE!</v>
      </c>
      <c r="F21" s="64">
        <v>3.334560402E9</v>
      </c>
      <c r="G21" s="64" t="s">
        <v>833</v>
      </c>
      <c r="O21" s="10"/>
      <c r="P21" s="10"/>
      <c r="Q21" s="10"/>
      <c r="R21" s="10"/>
      <c r="S21" s="10"/>
      <c r="T21" s="40"/>
      <c r="U21" s="40"/>
      <c r="V21" s="40"/>
    </row>
    <row r="22" ht="15.75" customHeight="1">
      <c r="A22" s="60" t="s">
        <v>834</v>
      </c>
      <c r="B22" s="60" t="s">
        <v>788</v>
      </c>
      <c r="C22" s="113" t="s">
        <v>805</v>
      </c>
      <c r="D22" s="60" t="s">
        <v>799</v>
      </c>
      <c r="E22" s="118" t="str">
        <f>IF(C22 ="","",C22-Listas!$B$2)</f>
        <v>#VALUE!</v>
      </c>
      <c r="F22" s="64">
        <v>3.339548158E9</v>
      </c>
      <c r="G22" s="64" t="s">
        <v>835</v>
      </c>
    </row>
    <row r="23" ht="15.75" customHeight="1">
      <c r="A23" s="60" t="s">
        <v>836</v>
      </c>
      <c r="B23" s="60" t="s">
        <v>788</v>
      </c>
      <c r="C23" s="113" t="s">
        <v>805</v>
      </c>
      <c r="D23" s="60" t="s">
        <v>799</v>
      </c>
      <c r="E23" s="118" t="str">
        <f>IF(C23 ="","",C23-Listas!$B$2)</f>
        <v>#VALUE!</v>
      </c>
      <c r="F23" s="64">
        <v>3.319165772E9</v>
      </c>
      <c r="G23" s="64" t="s">
        <v>829</v>
      </c>
    </row>
    <row r="24" ht="15.75" customHeight="1">
      <c r="A24" s="60" t="s">
        <v>837</v>
      </c>
      <c r="B24" s="60" t="s">
        <v>788</v>
      </c>
      <c r="C24" s="113" t="s">
        <v>820</v>
      </c>
      <c r="D24" s="60" t="s">
        <v>799</v>
      </c>
      <c r="E24" s="118" t="str">
        <f>IF(C24 ="","",C24-Listas!$B$2)</f>
        <v>#VALUE!</v>
      </c>
      <c r="F24" s="64">
        <v>3.311105038E9</v>
      </c>
      <c r="G24" s="64" t="s">
        <v>831</v>
      </c>
    </row>
    <row r="25" ht="15.75" customHeight="1">
      <c r="A25" s="60" t="s">
        <v>838</v>
      </c>
      <c r="B25" s="60" t="s">
        <v>788</v>
      </c>
      <c r="C25" s="113" t="s">
        <v>805</v>
      </c>
      <c r="D25" s="60" t="s">
        <v>799</v>
      </c>
      <c r="E25" s="118" t="str">
        <f>IF(C25 ="","",C25-Listas!$B$2)</f>
        <v>#VALUE!</v>
      </c>
      <c r="F25" s="64">
        <v>3.31352575E9</v>
      </c>
      <c r="G25" s="64" t="s">
        <v>839</v>
      </c>
    </row>
    <row r="26" ht="15.75" customHeight="1">
      <c r="A26" s="60" t="s">
        <v>840</v>
      </c>
      <c r="B26" s="60" t="s">
        <v>788</v>
      </c>
      <c r="C26" s="113" t="s">
        <v>805</v>
      </c>
      <c r="D26" s="60" t="s">
        <v>799</v>
      </c>
      <c r="E26" s="118" t="str">
        <f>IF(C26 ="","",C26-Listas!$B$2)</f>
        <v>#VALUE!</v>
      </c>
      <c r="F26" s="64">
        <v>3.317879808E9</v>
      </c>
      <c r="G26" s="64" t="s">
        <v>839</v>
      </c>
    </row>
    <row r="27" ht="15.75" customHeight="1">
      <c r="A27" s="60" t="s">
        <v>841</v>
      </c>
      <c r="B27" s="60" t="s">
        <v>788</v>
      </c>
      <c r="C27" s="113" t="s">
        <v>842</v>
      </c>
      <c r="D27" s="60" t="s">
        <v>799</v>
      </c>
      <c r="E27" s="118" t="str">
        <f>IF(C27 ="","",C27-Listas!$B$2)</f>
        <v>#VALUE!</v>
      </c>
      <c r="F27" s="64" t="s">
        <v>805</v>
      </c>
      <c r="G27" s="64" t="s">
        <v>831</v>
      </c>
    </row>
    <row r="28" ht="15.75" customHeight="1">
      <c r="A28" s="60" t="s">
        <v>805</v>
      </c>
      <c r="B28" s="60" t="s">
        <v>788</v>
      </c>
      <c r="C28" s="113" t="s">
        <v>843</v>
      </c>
      <c r="D28" s="60" t="s">
        <v>799</v>
      </c>
      <c r="E28" s="118" t="str">
        <f>IF(C28 ="","",C28-Listas!$B$2)</f>
        <v>#VALUE!</v>
      </c>
      <c r="F28" s="64">
        <v>3.310384826E9</v>
      </c>
      <c r="G28" s="64" t="s">
        <v>831</v>
      </c>
    </row>
    <row r="29" ht="15.75" customHeight="1">
      <c r="A29" s="60" t="s">
        <v>844</v>
      </c>
      <c r="B29" s="60" t="s">
        <v>788</v>
      </c>
      <c r="C29" s="113" t="s">
        <v>805</v>
      </c>
      <c r="D29" s="60" t="s">
        <v>799</v>
      </c>
      <c r="E29" s="118" t="str">
        <f>IF(C29 ="","",C29-Listas!$B$2)</f>
        <v>#VALUE!</v>
      </c>
      <c r="F29" s="64" t="s">
        <v>845</v>
      </c>
      <c r="G29" s="64" t="s">
        <v>833</v>
      </c>
    </row>
    <row r="30" ht="15.75" customHeight="1">
      <c r="A30" s="60" t="s">
        <v>846</v>
      </c>
      <c r="B30" s="60" t="s">
        <v>788</v>
      </c>
      <c r="C30" s="113" t="s">
        <v>847</v>
      </c>
      <c r="D30" s="60" t="s">
        <v>799</v>
      </c>
      <c r="E30" s="118" t="str">
        <f>IF(C30 ="","",C30-Listas!$B$2)</f>
        <v>#VALUE!</v>
      </c>
      <c r="F30" s="64" t="s">
        <v>848</v>
      </c>
      <c r="G30" s="64" t="s">
        <v>831</v>
      </c>
    </row>
    <row r="31" ht="15.75" customHeight="1">
      <c r="A31" s="60" t="s">
        <v>849</v>
      </c>
      <c r="B31" s="60" t="s">
        <v>788</v>
      </c>
      <c r="C31" s="113" t="s">
        <v>805</v>
      </c>
      <c r="D31" s="60" t="s">
        <v>799</v>
      </c>
      <c r="E31" s="118" t="str">
        <f>IF(C31 ="","",C31-Listas!$B$2)</f>
        <v>#VALUE!</v>
      </c>
      <c r="F31" s="64" t="s">
        <v>850</v>
      </c>
      <c r="G31" s="64" t="s">
        <v>851</v>
      </c>
    </row>
    <row r="32" ht="15.75" customHeight="1">
      <c r="A32" s="60" t="s">
        <v>852</v>
      </c>
      <c r="B32" s="60" t="s">
        <v>788</v>
      </c>
      <c r="C32" s="113" t="s">
        <v>805</v>
      </c>
      <c r="D32" s="60" t="s">
        <v>799</v>
      </c>
      <c r="E32" s="118" t="str">
        <f>IF(C32 ="","",C32-Listas!$B$2)</f>
        <v>#VALUE!</v>
      </c>
      <c r="F32" s="64" t="s">
        <v>853</v>
      </c>
      <c r="G32" s="64" t="s">
        <v>831</v>
      </c>
    </row>
    <row r="33" ht="15.75" customHeight="1">
      <c r="A33" s="60" t="s">
        <v>854</v>
      </c>
      <c r="B33" s="60" t="s">
        <v>788</v>
      </c>
      <c r="C33" s="113" t="s">
        <v>805</v>
      </c>
      <c r="D33" s="60" t="s">
        <v>799</v>
      </c>
      <c r="E33" s="118" t="str">
        <f>IF(C33 ="","",C33-Listas!$B$2)</f>
        <v>#VALUE!</v>
      </c>
      <c r="F33" s="64" t="s">
        <v>855</v>
      </c>
      <c r="G33" s="64" t="s">
        <v>856</v>
      </c>
    </row>
    <row r="34" ht="15.75" customHeight="1">
      <c r="A34" s="60" t="s">
        <v>857</v>
      </c>
      <c r="B34" s="60" t="s">
        <v>788</v>
      </c>
      <c r="C34" s="113" t="s">
        <v>858</v>
      </c>
      <c r="D34" s="60" t="s">
        <v>799</v>
      </c>
      <c r="E34" s="118" t="str">
        <f>IF(C34 ="","",C34-Listas!$B$2)</f>
        <v>#VALUE!</v>
      </c>
      <c r="F34" s="64" t="s">
        <v>859</v>
      </c>
      <c r="G34" s="64" t="s">
        <v>831</v>
      </c>
    </row>
    <row r="35" ht="15.75" customHeight="1">
      <c r="A35" s="60" t="s">
        <v>860</v>
      </c>
      <c r="B35" s="60" t="s">
        <v>788</v>
      </c>
      <c r="C35" s="113" t="s">
        <v>805</v>
      </c>
      <c r="D35" s="60" t="s">
        <v>799</v>
      </c>
      <c r="E35" s="118" t="str">
        <f>IF(C35 ="","",C35-Listas!$B$2)</f>
        <v>#VALUE!</v>
      </c>
      <c r="F35" s="64" t="s">
        <v>861</v>
      </c>
      <c r="G35" s="64" t="s">
        <v>829</v>
      </c>
    </row>
    <row r="36" ht="15.75" customHeight="1">
      <c r="A36" s="60" t="s">
        <v>862</v>
      </c>
      <c r="B36" s="60" t="s">
        <v>788</v>
      </c>
      <c r="C36" s="113" t="s">
        <v>863</v>
      </c>
      <c r="D36" s="60" t="s">
        <v>799</v>
      </c>
      <c r="E36" s="118" t="str">
        <f>IF(C36 ="","",C36-Listas!$B$2)</f>
        <v>#VALUE!</v>
      </c>
      <c r="F36" s="64" t="s">
        <v>864</v>
      </c>
      <c r="G36" s="64" t="s">
        <v>829</v>
      </c>
    </row>
    <row r="37" ht="15.75" customHeight="1">
      <c r="A37" s="60" t="s">
        <v>865</v>
      </c>
      <c r="B37" s="60" t="s">
        <v>788</v>
      </c>
      <c r="C37" s="113" t="s">
        <v>805</v>
      </c>
      <c r="D37" s="60" t="s">
        <v>799</v>
      </c>
      <c r="E37" s="118" t="str">
        <f>IF(C37 ="","",C37-Listas!$B$2)</f>
        <v>#VALUE!</v>
      </c>
      <c r="F37" s="64" t="s">
        <v>866</v>
      </c>
      <c r="G37" s="64" t="s">
        <v>829</v>
      </c>
    </row>
    <row r="38" ht="15.75" customHeight="1">
      <c r="A38" s="60" t="s">
        <v>867</v>
      </c>
      <c r="B38" s="60" t="s">
        <v>788</v>
      </c>
      <c r="C38" s="113" t="s">
        <v>868</v>
      </c>
      <c r="D38" s="60" t="s">
        <v>799</v>
      </c>
      <c r="E38" s="118" t="str">
        <f>IF(C38 ="","",C38-Listas!$B$2)</f>
        <v>#VALUE!</v>
      </c>
      <c r="F38" s="64" t="s">
        <v>869</v>
      </c>
      <c r="G38" s="64" t="s">
        <v>829</v>
      </c>
    </row>
    <row r="39" ht="15.75" customHeight="1">
      <c r="A39" s="60" t="s">
        <v>870</v>
      </c>
      <c r="B39" s="60" t="s">
        <v>788</v>
      </c>
      <c r="C39" s="113" t="s">
        <v>805</v>
      </c>
      <c r="D39" s="60" t="s">
        <v>799</v>
      </c>
      <c r="E39" s="118" t="str">
        <f>IF(C39 ="","",C39-Listas!$B$2)</f>
        <v>#VALUE!</v>
      </c>
      <c r="F39" s="64" t="s">
        <v>871</v>
      </c>
      <c r="G39" s="64" t="s">
        <v>872</v>
      </c>
    </row>
    <row r="40" ht="15.75" customHeight="1">
      <c r="A40" s="60" t="s">
        <v>873</v>
      </c>
      <c r="B40" s="60" t="s">
        <v>788</v>
      </c>
      <c r="C40" s="113" t="s">
        <v>805</v>
      </c>
      <c r="D40" s="60" t="s">
        <v>799</v>
      </c>
      <c r="E40" s="118" t="str">
        <f>IF(C40 ="","",C40-Listas!$B$2)</f>
        <v>#VALUE!</v>
      </c>
      <c r="F40" s="64" t="s">
        <v>874</v>
      </c>
      <c r="G40" s="64" t="s">
        <v>872</v>
      </c>
    </row>
    <row r="41" ht="15.75" customHeight="1">
      <c r="A41" s="60" t="s">
        <v>875</v>
      </c>
      <c r="B41" s="60" t="s">
        <v>788</v>
      </c>
      <c r="C41" s="113" t="s">
        <v>876</v>
      </c>
      <c r="D41" s="60" t="s">
        <v>799</v>
      </c>
      <c r="E41" s="118" t="str">
        <f>IF(C41 ="","",C41-Listas!$B$2)</f>
        <v>#VALUE!</v>
      </c>
      <c r="F41" s="64" t="s">
        <v>877</v>
      </c>
      <c r="G41" s="64" t="s">
        <v>872</v>
      </c>
    </row>
    <row r="42" ht="15.75" customHeight="1">
      <c r="A42" s="60" t="s">
        <v>878</v>
      </c>
      <c r="B42" s="60" t="s">
        <v>788</v>
      </c>
      <c r="C42" s="113" t="s">
        <v>805</v>
      </c>
      <c r="D42" s="60" t="s">
        <v>799</v>
      </c>
      <c r="E42" s="118" t="str">
        <f>IF(C42 ="","",C42-Listas!$B$2)</f>
        <v>#VALUE!</v>
      </c>
      <c r="F42" s="64" t="s">
        <v>879</v>
      </c>
      <c r="G42" s="64" t="s">
        <v>880</v>
      </c>
    </row>
    <row r="43" ht="15.75" customHeight="1">
      <c r="A43" s="60" t="s">
        <v>881</v>
      </c>
      <c r="B43" s="60" t="s">
        <v>788</v>
      </c>
      <c r="C43" s="113" t="s">
        <v>882</v>
      </c>
      <c r="D43" s="60" t="s">
        <v>799</v>
      </c>
      <c r="E43" s="118" t="str">
        <f>IF(C43 ="","",C43-Listas!$B$2)</f>
        <v>#VALUE!</v>
      </c>
      <c r="F43" s="64" t="s">
        <v>883</v>
      </c>
      <c r="G43" s="64" t="s">
        <v>880</v>
      </c>
    </row>
    <row r="44" ht="15.75" customHeight="1">
      <c r="A44" s="60" t="s">
        <v>884</v>
      </c>
      <c r="B44" s="60" t="s">
        <v>788</v>
      </c>
      <c r="C44" s="113" t="s">
        <v>882</v>
      </c>
      <c r="D44" s="60" t="s">
        <v>799</v>
      </c>
      <c r="E44" s="118" t="str">
        <f>IF(C44 ="","",C44-Listas!$B$2)</f>
        <v>#VALUE!</v>
      </c>
      <c r="F44" s="64" t="s">
        <v>885</v>
      </c>
      <c r="G44" s="64" t="s">
        <v>880</v>
      </c>
    </row>
    <row r="45" ht="15.75" customHeight="1">
      <c r="A45" s="60" t="s">
        <v>886</v>
      </c>
      <c r="B45" s="60" t="s">
        <v>788</v>
      </c>
      <c r="C45" s="124" t="s">
        <v>887</v>
      </c>
      <c r="D45" s="60" t="s">
        <v>799</v>
      </c>
      <c r="E45" s="118" t="str">
        <f>IF(C45 ="","",C45-Listas!$B$2)</f>
        <v>#VALUE!</v>
      </c>
      <c r="F45" s="64" t="s">
        <v>888</v>
      </c>
      <c r="G45" s="125" t="s">
        <v>889</v>
      </c>
    </row>
    <row r="46" ht="15.75" customHeight="1">
      <c r="A46" s="60" t="s">
        <v>890</v>
      </c>
      <c r="B46" s="60" t="s">
        <v>788</v>
      </c>
      <c r="C46" s="113" t="s">
        <v>805</v>
      </c>
      <c r="D46" s="60" t="s">
        <v>799</v>
      </c>
      <c r="E46" s="118" t="str">
        <f>IF(C46 ="","",C46-Listas!$B$2)</f>
        <v>#VALUE!</v>
      </c>
      <c r="F46" s="64" t="s">
        <v>891</v>
      </c>
      <c r="G46" s="64" t="s">
        <v>880</v>
      </c>
    </row>
    <row r="47" ht="15.75" customHeight="1">
      <c r="A47" s="60" t="s">
        <v>892</v>
      </c>
      <c r="B47" s="60" t="s">
        <v>788</v>
      </c>
      <c r="C47" s="113" t="s">
        <v>805</v>
      </c>
      <c r="D47" s="60" t="s">
        <v>799</v>
      </c>
      <c r="E47" s="118" t="str">
        <f>IF(C47 ="","",C47-Listas!$B$2)</f>
        <v>#VALUE!</v>
      </c>
      <c r="F47" s="64" t="s">
        <v>893</v>
      </c>
      <c r="G47" s="64" t="s">
        <v>880</v>
      </c>
    </row>
    <row r="48" ht="15.75" customHeight="1">
      <c r="A48" s="60" t="s">
        <v>894</v>
      </c>
      <c r="B48" s="60" t="s">
        <v>788</v>
      </c>
      <c r="C48" s="113" t="s">
        <v>895</v>
      </c>
      <c r="D48" s="60" t="s">
        <v>799</v>
      </c>
      <c r="E48" s="118" t="str">
        <f>IF(C48 ="","",C48-Listas!$B$2)</f>
        <v>#VALUE!</v>
      </c>
      <c r="F48" s="64" t="s">
        <v>896</v>
      </c>
      <c r="G48" s="64" t="s">
        <v>897</v>
      </c>
    </row>
    <row r="49" ht="15.75" customHeight="1">
      <c r="A49" s="60" t="s">
        <v>898</v>
      </c>
      <c r="B49" s="60" t="s">
        <v>788</v>
      </c>
      <c r="C49" s="113" t="s">
        <v>899</v>
      </c>
      <c r="D49" s="60" t="s">
        <v>799</v>
      </c>
      <c r="E49" s="118" t="str">
        <f>IF(C49 ="","",C49-Listas!$B$2)</f>
        <v>#VALUE!</v>
      </c>
      <c r="F49" s="64" t="s">
        <v>900</v>
      </c>
      <c r="G49" s="64" t="s">
        <v>897</v>
      </c>
    </row>
    <row r="50" ht="15.75" customHeight="1">
      <c r="A50" s="60" t="s">
        <v>901</v>
      </c>
      <c r="B50" s="60" t="s">
        <v>788</v>
      </c>
      <c r="C50" s="113" t="s">
        <v>899</v>
      </c>
      <c r="D50" s="60" t="s">
        <v>799</v>
      </c>
      <c r="E50" s="118" t="str">
        <f>IF(C50 ="","",C50-Listas!$B$2)</f>
        <v>#VALUE!</v>
      </c>
      <c r="F50" s="64" t="s">
        <v>902</v>
      </c>
      <c r="G50" s="64" t="s">
        <v>897</v>
      </c>
    </row>
    <row r="51" ht="15.75" customHeight="1">
      <c r="A51" s="60" t="s">
        <v>903</v>
      </c>
      <c r="B51" s="60" t="s">
        <v>788</v>
      </c>
      <c r="C51" s="113" t="s">
        <v>904</v>
      </c>
      <c r="D51" s="60" t="s">
        <v>799</v>
      </c>
      <c r="E51" s="118" t="str">
        <f>IF(C51 ="","",C51-Listas!$B$2)</f>
        <v>#VALUE!</v>
      </c>
      <c r="F51" s="64" t="s">
        <v>905</v>
      </c>
      <c r="G51" s="64" t="s">
        <v>897</v>
      </c>
    </row>
    <row r="52" ht="15.75" customHeight="1">
      <c r="A52" s="60" t="s">
        <v>906</v>
      </c>
      <c r="B52" s="60" t="s">
        <v>788</v>
      </c>
      <c r="C52" s="113" t="s">
        <v>907</v>
      </c>
      <c r="D52" s="60" t="s">
        <v>799</v>
      </c>
      <c r="E52" s="118" t="str">
        <f>IF(C52 ="","",C52-Listas!$B$2)</f>
        <v>#VALUE!</v>
      </c>
      <c r="F52" s="64" t="s">
        <v>908</v>
      </c>
      <c r="G52" s="64" t="s">
        <v>897</v>
      </c>
    </row>
    <row r="53" ht="15.75" customHeight="1">
      <c r="A53" s="60" t="s">
        <v>909</v>
      </c>
      <c r="B53" s="60" t="s">
        <v>788</v>
      </c>
      <c r="C53" s="113" t="s">
        <v>805</v>
      </c>
      <c r="D53" s="60" t="s">
        <v>799</v>
      </c>
      <c r="E53" s="118" t="str">
        <f>IF(C53 ="","",C53-Listas!$B$2)</f>
        <v>#VALUE!</v>
      </c>
      <c r="F53" s="64" t="s">
        <v>910</v>
      </c>
      <c r="G53" s="64" t="s">
        <v>897</v>
      </c>
    </row>
    <row r="54" ht="15.75" customHeight="1">
      <c r="A54" s="60" t="s">
        <v>911</v>
      </c>
      <c r="B54" s="60" t="s">
        <v>788</v>
      </c>
      <c r="C54" s="113" t="s">
        <v>899</v>
      </c>
      <c r="D54" s="60" t="s">
        <v>799</v>
      </c>
      <c r="E54" s="118" t="str">
        <f>IF(C54 ="","",C54-Listas!$B$2)</f>
        <v>#VALUE!</v>
      </c>
      <c r="F54" s="64" t="s">
        <v>912</v>
      </c>
      <c r="G54" s="64" t="s">
        <v>897</v>
      </c>
    </row>
    <row r="55" ht="15.75" customHeight="1">
      <c r="A55" s="60" t="s">
        <v>913</v>
      </c>
      <c r="B55" s="60" t="s">
        <v>788</v>
      </c>
      <c r="C55" s="113" t="s">
        <v>805</v>
      </c>
      <c r="D55" s="60" t="s">
        <v>799</v>
      </c>
      <c r="E55" s="118" t="str">
        <f>IF(C55 ="","",C55-Listas!$B$2)</f>
        <v>#VALUE!</v>
      </c>
      <c r="F55" s="64">
        <v>3.314312352E9</v>
      </c>
      <c r="G55" s="64" t="s">
        <v>897</v>
      </c>
    </row>
    <row r="56" ht="15.75" customHeight="1">
      <c r="A56" s="60" t="s">
        <v>914</v>
      </c>
      <c r="B56" s="60" t="s">
        <v>788</v>
      </c>
      <c r="C56" s="113" t="s">
        <v>805</v>
      </c>
      <c r="D56" s="60" t="s">
        <v>799</v>
      </c>
      <c r="E56" s="118" t="str">
        <f>IF(C56 ="","",C56-Listas!$B$2)</f>
        <v>#VALUE!</v>
      </c>
      <c r="F56" s="64" t="s">
        <v>915</v>
      </c>
      <c r="G56" s="64" t="s">
        <v>916</v>
      </c>
    </row>
    <row r="57" ht="15.75" customHeight="1">
      <c r="A57" s="60" t="s">
        <v>917</v>
      </c>
      <c r="B57" s="60" t="s">
        <v>788</v>
      </c>
      <c r="C57" s="113" t="s">
        <v>918</v>
      </c>
      <c r="D57" s="60" t="s">
        <v>799</v>
      </c>
      <c r="E57" s="118" t="str">
        <f>IF(C57 ="","",C57-Listas!$B$2)</f>
        <v>#VALUE!</v>
      </c>
      <c r="F57" s="64" t="s">
        <v>919</v>
      </c>
      <c r="G57" s="64" t="s">
        <v>920</v>
      </c>
    </row>
    <row r="58" ht="15.75" customHeight="1">
      <c r="A58" s="60" t="s">
        <v>921</v>
      </c>
      <c r="B58" s="60" t="s">
        <v>788</v>
      </c>
      <c r="C58" s="113" t="s">
        <v>922</v>
      </c>
      <c r="D58" s="60" t="s">
        <v>799</v>
      </c>
      <c r="E58" s="118" t="str">
        <f>IF(C58 ="","",C58-Listas!$B$2)</f>
        <v>#VALUE!</v>
      </c>
      <c r="F58" s="64" t="s">
        <v>923</v>
      </c>
      <c r="G58" s="64" t="s">
        <v>916</v>
      </c>
    </row>
    <row r="59" ht="15.75" customHeight="1">
      <c r="A59" s="60" t="s">
        <v>924</v>
      </c>
      <c r="B59" s="60" t="s">
        <v>788</v>
      </c>
      <c r="C59" s="113" t="s">
        <v>925</v>
      </c>
      <c r="D59" s="60" t="s">
        <v>799</v>
      </c>
      <c r="E59" s="118" t="str">
        <f>IF(C59 ="","",C59-Listas!$B$2)</f>
        <v>#VALUE!</v>
      </c>
      <c r="F59" s="64" t="s">
        <v>926</v>
      </c>
      <c r="G59" s="64" t="s">
        <v>916</v>
      </c>
    </row>
    <row r="60" ht="15.75" customHeight="1">
      <c r="A60" s="60" t="s">
        <v>927</v>
      </c>
      <c r="B60" s="60" t="s">
        <v>788</v>
      </c>
      <c r="C60" s="113" t="s">
        <v>805</v>
      </c>
      <c r="D60" s="60" t="s">
        <v>799</v>
      </c>
      <c r="E60" s="118" t="str">
        <f>IF(C60 ="","",C60-Listas!$B$2)</f>
        <v>#VALUE!</v>
      </c>
      <c r="F60" s="64" t="s">
        <v>928</v>
      </c>
      <c r="G60" s="64" t="s">
        <v>929</v>
      </c>
    </row>
    <row r="61" ht="15.75" customHeight="1">
      <c r="A61" s="60" t="s">
        <v>930</v>
      </c>
      <c r="B61" s="60" t="s">
        <v>788</v>
      </c>
      <c r="C61" s="113" t="s">
        <v>805</v>
      </c>
      <c r="D61" s="60" t="s">
        <v>799</v>
      </c>
      <c r="E61" s="118" t="str">
        <f>IF(C61 ="","",C61-Listas!$B$2)</f>
        <v>#VALUE!</v>
      </c>
      <c r="F61" s="64" t="s">
        <v>931</v>
      </c>
      <c r="G61" s="64" t="s">
        <v>929</v>
      </c>
    </row>
    <row r="62" ht="15.75" customHeight="1">
      <c r="A62" s="60" t="s">
        <v>932</v>
      </c>
      <c r="B62" s="60" t="s">
        <v>788</v>
      </c>
      <c r="C62" s="113" t="s">
        <v>933</v>
      </c>
      <c r="D62" s="60" t="s">
        <v>799</v>
      </c>
      <c r="E62" s="118" t="str">
        <f>IF(C62 ="","",C62-Listas!$B$2)</f>
        <v>#VALUE!</v>
      </c>
      <c r="F62" s="64" t="s">
        <v>934</v>
      </c>
      <c r="G62" s="64" t="s">
        <v>929</v>
      </c>
    </row>
    <row r="63" ht="15.75" customHeight="1">
      <c r="A63" s="60" t="s">
        <v>935</v>
      </c>
      <c r="B63" s="60" t="s">
        <v>788</v>
      </c>
      <c r="C63" s="113" t="s">
        <v>805</v>
      </c>
      <c r="D63" s="60" t="s">
        <v>799</v>
      </c>
      <c r="E63" s="118" t="str">
        <f>IF(C63 ="","",C63-Listas!$B$2)</f>
        <v>#VALUE!</v>
      </c>
      <c r="F63" s="64" t="s">
        <v>936</v>
      </c>
      <c r="G63" s="64" t="s">
        <v>937</v>
      </c>
    </row>
    <row r="64" ht="15.75" customHeight="1">
      <c r="A64" s="60" t="s">
        <v>938</v>
      </c>
      <c r="B64" s="60" t="s">
        <v>788</v>
      </c>
      <c r="C64" s="113" t="s">
        <v>939</v>
      </c>
      <c r="D64" s="60" t="s">
        <v>799</v>
      </c>
      <c r="E64" s="118" t="str">
        <f>IF(C64 ="","",C64-Listas!$B$2)</f>
        <v>#VALUE!</v>
      </c>
      <c r="F64" s="64" t="s">
        <v>940</v>
      </c>
      <c r="G64" s="64" t="s">
        <v>937</v>
      </c>
    </row>
    <row r="65" ht="15.75" customHeight="1">
      <c r="A65" s="60" t="s">
        <v>941</v>
      </c>
      <c r="B65" s="60" t="s">
        <v>788</v>
      </c>
      <c r="C65" s="113" t="s">
        <v>942</v>
      </c>
      <c r="D65" s="60" t="s">
        <v>799</v>
      </c>
      <c r="E65" s="118" t="str">
        <f>IF(C65 ="","",C65-Listas!$B$2)</f>
        <v>#VALUE!</v>
      </c>
      <c r="F65" s="64" t="s">
        <v>943</v>
      </c>
      <c r="G65" s="64" t="s">
        <v>944</v>
      </c>
    </row>
    <row r="66" ht="15.75" customHeight="1">
      <c r="A66" s="60" t="s">
        <v>945</v>
      </c>
      <c r="B66" s="60" t="s">
        <v>788</v>
      </c>
      <c r="C66" s="113" t="s">
        <v>805</v>
      </c>
      <c r="D66" s="60" t="s">
        <v>799</v>
      </c>
      <c r="E66" s="118" t="str">
        <f>IF(C66 ="","",C66-Listas!$B$2)</f>
        <v>#VALUE!</v>
      </c>
      <c r="F66" s="64" t="s">
        <v>946</v>
      </c>
      <c r="G66" s="64" t="s">
        <v>929</v>
      </c>
    </row>
    <row r="67" ht="15.75" customHeight="1">
      <c r="A67" s="60" t="s">
        <v>947</v>
      </c>
      <c r="B67" s="60" t="s">
        <v>788</v>
      </c>
      <c r="C67" s="113" t="s">
        <v>805</v>
      </c>
      <c r="D67" s="60" t="s">
        <v>799</v>
      </c>
      <c r="E67" s="118" t="str">
        <f>IF(C67 ="","",C67-Listas!$B$2)</f>
        <v>#VALUE!</v>
      </c>
      <c r="F67" s="64" t="s">
        <v>948</v>
      </c>
      <c r="G67" s="64" t="s">
        <v>929</v>
      </c>
    </row>
    <row r="68" ht="15.75" customHeight="1">
      <c r="A68" s="60" t="s">
        <v>949</v>
      </c>
      <c r="B68" s="60" t="s">
        <v>788</v>
      </c>
      <c r="C68" s="113" t="s">
        <v>950</v>
      </c>
      <c r="D68" s="60" t="s">
        <v>799</v>
      </c>
      <c r="E68" s="118" t="str">
        <f>IF(C68 ="","",C68-Listas!$B$2)</f>
        <v>#VALUE!</v>
      </c>
      <c r="F68" s="64" t="s">
        <v>951</v>
      </c>
      <c r="G68" s="64" t="s">
        <v>929</v>
      </c>
    </row>
    <row r="69" ht="15.75" customHeight="1">
      <c r="A69" s="60" t="s">
        <v>952</v>
      </c>
      <c r="B69" s="60" t="s">
        <v>788</v>
      </c>
      <c r="C69" s="113" t="s">
        <v>805</v>
      </c>
      <c r="D69" s="60" t="s">
        <v>799</v>
      </c>
      <c r="E69" s="118" t="str">
        <f>IF(C69 ="","",C69-Listas!$B$2)</f>
        <v>#VALUE!</v>
      </c>
      <c r="F69" s="64" t="s">
        <v>953</v>
      </c>
      <c r="G69" s="64" t="s">
        <v>954</v>
      </c>
    </row>
    <row r="70" ht="15.75" customHeight="1">
      <c r="A70" s="60" t="s">
        <v>955</v>
      </c>
      <c r="B70" s="60" t="s">
        <v>788</v>
      </c>
      <c r="C70" s="113" t="s">
        <v>805</v>
      </c>
      <c r="D70" s="60" t="s">
        <v>799</v>
      </c>
      <c r="E70" s="118" t="str">
        <f>IF(C70 ="","",C70-Listas!$B$2)</f>
        <v>#VALUE!</v>
      </c>
      <c r="F70" s="64" t="s">
        <v>956</v>
      </c>
      <c r="G70" s="64" t="s">
        <v>954</v>
      </c>
    </row>
    <row r="71" ht="15.75" customHeight="1">
      <c r="A71" s="60" t="s">
        <v>957</v>
      </c>
      <c r="B71" s="60" t="s">
        <v>788</v>
      </c>
      <c r="C71" s="113" t="s">
        <v>958</v>
      </c>
      <c r="D71" s="60" t="s">
        <v>799</v>
      </c>
      <c r="E71" s="118" t="str">
        <f>IF(C71 ="","",C71-Listas!$B$2)</f>
        <v>#VALUE!</v>
      </c>
      <c r="F71" s="64" t="s">
        <v>959</v>
      </c>
      <c r="G71" s="126" t="s">
        <v>937</v>
      </c>
    </row>
    <row r="72" ht="15.75" customHeight="1">
      <c r="A72" s="60" t="s">
        <v>960</v>
      </c>
      <c r="B72" s="60" t="s">
        <v>788</v>
      </c>
      <c r="C72" s="113" t="s">
        <v>950</v>
      </c>
      <c r="D72" s="60" t="s">
        <v>799</v>
      </c>
      <c r="E72" s="118" t="str">
        <f>IF(C72 ="","",C72-Listas!$B$2)</f>
        <v>#VALUE!</v>
      </c>
      <c r="F72" s="64" t="s">
        <v>961</v>
      </c>
      <c r="G72" s="64" t="s">
        <v>929</v>
      </c>
    </row>
    <row r="73" ht="15.75" customHeight="1">
      <c r="A73" s="60" t="s">
        <v>962</v>
      </c>
      <c r="B73" s="60" t="s">
        <v>788</v>
      </c>
      <c r="C73" s="113" t="s">
        <v>882</v>
      </c>
      <c r="D73" s="60" t="s">
        <v>799</v>
      </c>
      <c r="E73" s="118" t="str">
        <f>IF(C73 ="","",C73-Listas!$B$2)</f>
        <v>#VALUE!</v>
      </c>
      <c r="F73" s="64" t="s">
        <v>963</v>
      </c>
      <c r="G73" s="64" t="s">
        <v>937</v>
      </c>
    </row>
    <row r="74" ht="15.75" customHeight="1">
      <c r="A74" s="60" t="s">
        <v>964</v>
      </c>
      <c r="B74" s="60" t="s">
        <v>788</v>
      </c>
      <c r="C74" s="113" t="s">
        <v>805</v>
      </c>
      <c r="D74" s="60" t="s">
        <v>799</v>
      </c>
      <c r="E74" s="118" t="str">
        <f>IF(C74 ="","",C74-Listas!$B$2)</f>
        <v>#VALUE!</v>
      </c>
      <c r="F74" s="64" t="s">
        <v>965</v>
      </c>
      <c r="G74" s="64" t="s">
        <v>937</v>
      </c>
    </row>
    <row r="75" ht="15.75" customHeight="1">
      <c r="A75" s="60" t="s">
        <v>966</v>
      </c>
      <c r="B75" s="60" t="s">
        <v>788</v>
      </c>
      <c r="C75" s="113" t="s">
        <v>805</v>
      </c>
      <c r="D75" s="60" t="s">
        <v>799</v>
      </c>
      <c r="E75" s="118" t="str">
        <f>IF(C75 ="","",C75-Listas!$B$2)</f>
        <v>#VALUE!</v>
      </c>
      <c r="F75" s="64" t="s">
        <v>967</v>
      </c>
      <c r="G75" s="64" t="s">
        <v>937</v>
      </c>
    </row>
    <row r="76" ht="15.75" customHeight="1">
      <c r="A76" s="60" t="s">
        <v>968</v>
      </c>
      <c r="B76" s="60" t="s">
        <v>788</v>
      </c>
      <c r="C76" s="113" t="s">
        <v>805</v>
      </c>
      <c r="D76" s="127" t="s">
        <v>799</v>
      </c>
      <c r="E76" s="118" t="str">
        <f>IF(C76 ="","",C76-Listas!$B$2)</f>
        <v>#VALUE!</v>
      </c>
      <c r="F76" s="64" t="s">
        <v>969</v>
      </c>
      <c r="G76" s="64" t="s">
        <v>954</v>
      </c>
    </row>
    <row r="77" ht="15.75" customHeight="1">
      <c r="A77" s="60" t="s">
        <v>970</v>
      </c>
      <c r="B77" s="60" t="s">
        <v>788</v>
      </c>
      <c r="C77" s="113" t="s">
        <v>971</v>
      </c>
      <c r="D77" s="60" t="s">
        <v>799</v>
      </c>
      <c r="E77" s="118" t="str">
        <f>IF(C77 ="","",C77-Listas!$B$2)</f>
        <v>#VALUE!</v>
      </c>
      <c r="F77" s="64" t="s">
        <v>972</v>
      </c>
      <c r="G77" s="64" t="s">
        <v>937</v>
      </c>
    </row>
    <row r="78" ht="15.75" customHeight="1">
      <c r="A78" s="60" t="s">
        <v>973</v>
      </c>
      <c r="B78" s="60" t="s">
        <v>788</v>
      </c>
      <c r="C78" s="113" t="s">
        <v>974</v>
      </c>
      <c r="D78" s="60" t="s">
        <v>799</v>
      </c>
      <c r="E78" s="118" t="str">
        <f>IF(C78 ="","",C78-Listas!$B$2)</f>
        <v>#VALUE!</v>
      </c>
      <c r="F78" s="64" t="s">
        <v>975</v>
      </c>
      <c r="G78" s="64" t="s">
        <v>937</v>
      </c>
    </row>
    <row r="79" ht="15.75" customHeight="1">
      <c r="A79" s="60" t="s">
        <v>976</v>
      </c>
      <c r="B79" s="60" t="s">
        <v>788</v>
      </c>
      <c r="C79" s="113" t="s">
        <v>805</v>
      </c>
      <c r="D79" s="60" t="s">
        <v>799</v>
      </c>
      <c r="E79" s="118" t="str">
        <f>IF(C79 ="","",C79-Listas!$B$2)</f>
        <v>#VALUE!</v>
      </c>
      <c r="F79" s="64" t="s">
        <v>977</v>
      </c>
      <c r="G79" s="126" t="s">
        <v>954</v>
      </c>
    </row>
    <row r="80" ht="15.75" customHeight="1">
      <c r="A80" s="60" t="s">
        <v>978</v>
      </c>
      <c r="B80" s="60" t="s">
        <v>788</v>
      </c>
      <c r="C80" s="113" t="s">
        <v>899</v>
      </c>
      <c r="D80" s="60" t="s">
        <v>799</v>
      </c>
      <c r="E80" s="118" t="str">
        <f>IF(C80 ="","",C80-Listas!$B$2)</f>
        <v>#VALUE!</v>
      </c>
      <c r="F80" s="64" t="s">
        <v>979</v>
      </c>
      <c r="G80" s="64" t="s">
        <v>954</v>
      </c>
    </row>
    <row r="81" ht="15.75" customHeight="1">
      <c r="A81" s="60" t="s">
        <v>980</v>
      </c>
      <c r="B81" s="60" t="s">
        <v>788</v>
      </c>
      <c r="C81" s="113" t="s">
        <v>805</v>
      </c>
      <c r="D81" s="60" t="s">
        <v>799</v>
      </c>
      <c r="E81" s="118" t="str">
        <f>IF(C81 ="","",C81-Listas!$B$2)</f>
        <v>#VALUE!</v>
      </c>
      <c r="F81" s="64" t="s">
        <v>981</v>
      </c>
      <c r="G81" s="64" t="s">
        <v>982</v>
      </c>
    </row>
    <row r="82" ht="15.75" customHeight="1">
      <c r="A82" s="60" t="s">
        <v>983</v>
      </c>
      <c r="B82" s="60" t="s">
        <v>788</v>
      </c>
      <c r="C82" s="113" t="s">
        <v>984</v>
      </c>
      <c r="D82" s="60" t="s">
        <v>799</v>
      </c>
      <c r="E82" s="118" t="str">
        <f>IF(C82 ="","",C82-Listas!$B$2)</f>
        <v>#VALUE!</v>
      </c>
      <c r="F82" s="64" t="s">
        <v>985</v>
      </c>
      <c r="G82" s="64" t="s">
        <v>937</v>
      </c>
    </row>
    <row r="83" ht="15.75" customHeight="1">
      <c r="A83" s="60" t="s">
        <v>986</v>
      </c>
      <c r="B83" s="60" t="s">
        <v>788</v>
      </c>
      <c r="C83" s="113" t="s">
        <v>805</v>
      </c>
      <c r="D83" s="60" t="s">
        <v>799</v>
      </c>
      <c r="E83" s="118" t="str">
        <f>IF(C83 ="","",C83-Listas!$B$2)</f>
        <v>#VALUE!</v>
      </c>
      <c r="F83" s="64" t="s">
        <v>987</v>
      </c>
      <c r="G83" s="64" t="s">
        <v>937</v>
      </c>
    </row>
    <row r="84" ht="15.75" customHeight="1">
      <c r="A84" s="60" t="s">
        <v>988</v>
      </c>
      <c r="B84" s="60" t="s">
        <v>788</v>
      </c>
      <c r="C84" s="113" t="s">
        <v>805</v>
      </c>
      <c r="D84" s="60" t="s">
        <v>799</v>
      </c>
      <c r="E84" s="118" t="str">
        <f>IF(C84 ="","",C84-Listas!$B$2)</f>
        <v>#VALUE!</v>
      </c>
      <c r="F84" s="64" t="s">
        <v>989</v>
      </c>
      <c r="G84" s="64" t="s">
        <v>937</v>
      </c>
    </row>
    <row r="85" ht="15.75" customHeight="1">
      <c r="A85" s="128" t="s">
        <v>990</v>
      </c>
      <c r="B85" s="60" t="s">
        <v>788</v>
      </c>
      <c r="C85" s="113" t="s">
        <v>805</v>
      </c>
      <c r="D85" s="129" t="s">
        <v>814</v>
      </c>
      <c r="E85" s="118" t="str">
        <f>IF(C85 ="","",C85-Listas!$B$2)</f>
        <v>#VALUE!</v>
      </c>
      <c r="F85" s="130">
        <v>4.433371127E9</v>
      </c>
      <c r="G85" s="64" t="s">
        <v>991</v>
      </c>
    </row>
    <row r="86" ht="15.75" customHeight="1">
      <c r="A86" s="128" t="s">
        <v>992</v>
      </c>
      <c r="B86" s="60" t="s">
        <v>788</v>
      </c>
      <c r="C86" s="113" t="s">
        <v>993</v>
      </c>
      <c r="D86" s="128" t="s">
        <v>818</v>
      </c>
      <c r="E86" s="118" t="str">
        <f>IF(C86 ="","",C86-Listas!$B$2)</f>
        <v>#VALUE!</v>
      </c>
      <c r="F86" s="130">
        <v>7.531317473E9</v>
      </c>
      <c r="G86" s="64" t="s">
        <v>994</v>
      </c>
    </row>
    <row r="87" ht="15.75" customHeight="1">
      <c r="A87" s="128" t="s">
        <v>995</v>
      </c>
      <c r="B87" s="60" t="s">
        <v>788</v>
      </c>
      <c r="C87" s="113" t="s">
        <v>805</v>
      </c>
      <c r="D87" s="128" t="s">
        <v>818</v>
      </c>
      <c r="E87" s="118" t="str">
        <f>IF(C87 ="","",C87-Listas!$B$2)</f>
        <v>#VALUE!</v>
      </c>
      <c r="F87" s="130">
        <v>4.434574501E9</v>
      </c>
      <c r="G87" s="64" t="s">
        <v>994</v>
      </c>
    </row>
    <row r="88" ht="15.75" customHeight="1">
      <c r="A88" s="128" t="s">
        <v>996</v>
      </c>
      <c r="B88" s="60" t="s">
        <v>788</v>
      </c>
      <c r="C88" s="113" t="s">
        <v>847</v>
      </c>
      <c r="D88" s="128" t="s">
        <v>821</v>
      </c>
      <c r="E88" s="118" t="str">
        <f>IF(C88 ="","",C88-Listas!$B$2)</f>
        <v>#VALUE!</v>
      </c>
      <c r="F88" s="130">
        <v>3.931173449E9</v>
      </c>
      <c r="G88" s="64" t="s">
        <v>997</v>
      </c>
    </row>
    <row r="89" ht="15.75" customHeight="1">
      <c r="A89" s="128" t="s">
        <v>998</v>
      </c>
      <c r="B89" s="60" t="s">
        <v>788</v>
      </c>
      <c r="C89" s="113" t="s">
        <v>882</v>
      </c>
      <c r="D89" s="128" t="s">
        <v>824</v>
      </c>
      <c r="E89" s="118" t="str">
        <f>IF(C89 ="","",C89-Listas!$B$2)</f>
        <v>#VALUE!</v>
      </c>
      <c r="F89" s="64">
        <v>4.43221061E9</v>
      </c>
      <c r="G89" s="64" t="s">
        <v>997</v>
      </c>
    </row>
    <row r="90" ht="15.75" customHeight="1">
      <c r="A90" s="128" t="s">
        <v>999</v>
      </c>
      <c r="B90" s="60" t="s">
        <v>788</v>
      </c>
      <c r="C90" s="113" t="s">
        <v>805</v>
      </c>
      <c r="D90" s="128" t="s">
        <v>818</v>
      </c>
      <c r="E90" s="118" t="str">
        <f>IF(C90 ="","",C90-Listas!$B$2)</f>
        <v>#VALUE!</v>
      </c>
      <c r="F90" s="130">
        <v>4.432853725E9</v>
      </c>
      <c r="G90" s="64" t="s">
        <v>1000</v>
      </c>
    </row>
    <row r="91" ht="15.75" customHeight="1">
      <c r="A91" s="128" t="s">
        <v>1001</v>
      </c>
      <c r="B91" s="60" t="s">
        <v>788</v>
      </c>
      <c r="C91" s="113" t="s">
        <v>805</v>
      </c>
      <c r="D91" s="128" t="s">
        <v>818</v>
      </c>
      <c r="E91" s="118" t="str">
        <f>IF(C91 ="","",C91-Listas!$B$2)</f>
        <v>#VALUE!</v>
      </c>
      <c r="F91" s="130">
        <v>4.43166556E9</v>
      </c>
      <c r="G91" s="64" t="s">
        <v>997</v>
      </c>
    </row>
    <row r="92" ht="15.75" customHeight="1">
      <c r="A92" s="128" t="s">
        <v>1002</v>
      </c>
      <c r="B92" s="60" t="s">
        <v>788</v>
      </c>
      <c r="C92" s="113" t="s">
        <v>805</v>
      </c>
      <c r="D92" s="128" t="s">
        <v>818</v>
      </c>
      <c r="E92" s="118" t="str">
        <f>IF(C92 ="","",C92-Listas!$B$2)</f>
        <v>#VALUE!</v>
      </c>
      <c r="F92" s="130">
        <v>4.431361752E9</v>
      </c>
      <c r="G92" s="64" t="s">
        <v>997</v>
      </c>
    </row>
    <row r="93" ht="15.75" customHeight="1">
      <c r="A93" s="128" t="s">
        <v>1003</v>
      </c>
      <c r="B93" s="60" t="s">
        <v>788</v>
      </c>
      <c r="C93" s="113" t="s">
        <v>882</v>
      </c>
      <c r="D93" s="128" t="s">
        <v>824</v>
      </c>
      <c r="E93" s="118" t="str">
        <f>IF(C93 ="","",C93-Listas!$B$2)</f>
        <v>#VALUE!</v>
      </c>
      <c r="F93" s="130">
        <v>5.517669491E9</v>
      </c>
      <c r="G93" s="64" t="s">
        <v>997</v>
      </c>
    </row>
    <row r="94" ht="15.75" customHeight="1">
      <c r="A94" s="128" t="s">
        <v>1004</v>
      </c>
      <c r="B94" s="60" t="s">
        <v>788</v>
      </c>
      <c r="C94" s="113" t="s">
        <v>805</v>
      </c>
      <c r="D94" s="128" t="s">
        <v>818</v>
      </c>
      <c r="E94" s="118" t="str">
        <f>IF(C94 ="","",C94-Listas!$B$2)</f>
        <v>#VALUE!</v>
      </c>
      <c r="F94" s="130">
        <v>4.432812608E9</v>
      </c>
      <c r="G94" s="64" t="s">
        <v>1000</v>
      </c>
    </row>
    <row r="95" ht="15.75" customHeight="1">
      <c r="A95" s="128" t="s">
        <v>1005</v>
      </c>
      <c r="B95" s="60" t="s">
        <v>788</v>
      </c>
      <c r="C95" s="113" t="s">
        <v>1006</v>
      </c>
      <c r="D95" s="128" t="s">
        <v>818</v>
      </c>
      <c r="E95" s="118" t="str">
        <f>IF(C95 ="","",C95-Listas!$B$2)</f>
        <v>#VALUE!</v>
      </c>
      <c r="F95" s="130">
        <v>4.433565044E9</v>
      </c>
      <c r="G95" s="64" t="s">
        <v>997</v>
      </c>
    </row>
    <row r="96" ht="15.75" customHeight="1">
      <c r="A96" s="128" t="s">
        <v>1007</v>
      </c>
      <c r="B96" s="60" t="s">
        <v>788</v>
      </c>
      <c r="C96" s="113" t="s">
        <v>882</v>
      </c>
      <c r="D96" s="128" t="s">
        <v>818</v>
      </c>
      <c r="E96" s="118" t="str">
        <f>IF(C96 ="","",C96-Listas!$B$2)</f>
        <v>#VALUE!</v>
      </c>
      <c r="F96" s="130">
        <v>4.437223363E9</v>
      </c>
      <c r="G96" s="64" t="s">
        <v>1000</v>
      </c>
    </row>
    <row r="97" ht="15.75" customHeight="1">
      <c r="A97" s="128" t="s">
        <v>1008</v>
      </c>
      <c r="B97" s="60" t="s">
        <v>788</v>
      </c>
      <c r="C97" s="113" t="s">
        <v>1009</v>
      </c>
      <c r="D97" s="128" t="s">
        <v>824</v>
      </c>
      <c r="E97" s="118" t="str">
        <f>IF(C97 ="","",C97-Listas!$B$2)</f>
        <v>#VALUE!</v>
      </c>
      <c r="F97" s="130">
        <v>4.431578726E9</v>
      </c>
      <c r="G97" s="64" t="s">
        <v>1010</v>
      </c>
    </row>
    <row r="98" ht="15.75" customHeight="1">
      <c r="A98" s="128" t="s">
        <v>1011</v>
      </c>
      <c r="B98" s="60" t="s">
        <v>788</v>
      </c>
      <c r="C98" s="113" t="s">
        <v>805</v>
      </c>
      <c r="D98" s="128" t="s">
        <v>818</v>
      </c>
      <c r="E98" s="118" t="str">
        <f>IF(C98 ="","",C98-Listas!$B$2)</f>
        <v>#VALUE!</v>
      </c>
      <c r="F98" s="130">
        <v>4.43273035E9</v>
      </c>
      <c r="G98" s="64" t="s">
        <v>1010</v>
      </c>
    </row>
    <row r="99" ht="15.75" customHeight="1">
      <c r="A99" s="128" t="s">
        <v>1012</v>
      </c>
      <c r="B99" s="60" t="s">
        <v>788</v>
      </c>
      <c r="C99" s="113" t="s">
        <v>805</v>
      </c>
      <c r="D99" s="128" t="s">
        <v>818</v>
      </c>
      <c r="E99" s="118" t="str">
        <f>IF(C99 ="","",C99-Listas!$B$2)</f>
        <v>#VALUE!</v>
      </c>
      <c r="F99" s="130">
        <v>7.531366229E9</v>
      </c>
      <c r="G99" s="64" t="s">
        <v>1010</v>
      </c>
    </row>
    <row r="100" ht="15.75" customHeight="1">
      <c r="A100" s="128" t="s">
        <v>1013</v>
      </c>
      <c r="B100" s="60" t="s">
        <v>788</v>
      </c>
      <c r="C100" s="113" t="s">
        <v>1014</v>
      </c>
      <c r="D100" s="128" t="s">
        <v>818</v>
      </c>
      <c r="E100" s="118" t="str">
        <f>IF(C100 ="","",C100-Listas!$B$2)</f>
        <v>#VALUE!</v>
      </c>
      <c r="F100" s="130">
        <v>4.431465022E9</v>
      </c>
      <c r="G100" s="64" t="s">
        <v>1010</v>
      </c>
    </row>
    <row r="101" ht="15.75" customHeight="1">
      <c r="A101" s="128" t="s">
        <v>1015</v>
      </c>
      <c r="B101" s="60" t="s">
        <v>788</v>
      </c>
      <c r="C101" s="113" t="s">
        <v>1016</v>
      </c>
      <c r="D101" s="128" t="s">
        <v>818</v>
      </c>
      <c r="E101" s="118" t="str">
        <f>IF(C101 ="","",C101-Listas!$B$2)</f>
        <v>#VALUE!</v>
      </c>
      <c r="F101" s="130">
        <v>7.531363632E9</v>
      </c>
      <c r="G101" s="64" t="s">
        <v>1010</v>
      </c>
    </row>
    <row r="102" ht="15.75" customHeight="1">
      <c r="A102" s="128" t="s">
        <v>1017</v>
      </c>
      <c r="B102" s="60" t="s">
        <v>788</v>
      </c>
      <c r="C102" s="113" t="s">
        <v>805</v>
      </c>
      <c r="D102" s="128" t="s">
        <v>818</v>
      </c>
      <c r="E102" s="118" t="str">
        <f>IF(C102 ="","",C102-Listas!$B$2)</f>
        <v>#VALUE!</v>
      </c>
      <c r="F102" s="130">
        <v>4.431879394E9</v>
      </c>
      <c r="G102" s="64" t="s">
        <v>1010</v>
      </c>
    </row>
    <row r="103" ht="15.75" customHeight="1">
      <c r="A103" s="128" t="s">
        <v>1018</v>
      </c>
      <c r="B103" s="60" t="s">
        <v>788</v>
      </c>
      <c r="C103" s="113" t="s">
        <v>925</v>
      </c>
      <c r="D103" s="128" t="s">
        <v>818</v>
      </c>
      <c r="E103" s="118" t="str">
        <f>IF(C103 ="","",C103-Listas!$B$2)</f>
        <v>#VALUE!</v>
      </c>
      <c r="F103" s="130">
        <v>4.433899118E9</v>
      </c>
      <c r="G103" s="64" t="s">
        <v>1010</v>
      </c>
    </row>
    <row r="104" ht="15.75" customHeight="1">
      <c r="A104" s="128" t="s">
        <v>1019</v>
      </c>
      <c r="B104" s="60" t="s">
        <v>788</v>
      </c>
      <c r="C104" s="113" t="s">
        <v>1020</v>
      </c>
      <c r="D104" s="128" t="s">
        <v>818</v>
      </c>
      <c r="E104" s="118" t="str">
        <f>IF(C104 ="","",C104-Listas!$B$2)</f>
        <v>#VALUE!</v>
      </c>
      <c r="F104" s="130">
        <v>4.436826312E9</v>
      </c>
      <c r="G104" s="64" t="s">
        <v>1010</v>
      </c>
    </row>
    <row r="105" ht="15.75" customHeight="1">
      <c r="A105" s="128" t="s">
        <v>1021</v>
      </c>
      <c r="B105" s="60" t="s">
        <v>788</v>
      </c>
      <c r="C105" s="113" t="s">
        <v>805</v>
      </c>
      <c r="D105" s="128" t="s">
        <v>818</v>
      </c>
      <c r="E105" s="118" t="str">
        <f>IF(C105 ="","",C105-Listas!$B$2)</f>
        <v>#VALUE!</v>
      </c>
      <c r="F105" s="130">
        <v>7.531364422E9</v>
      </c>
      <c r="G105" s="64" t="s">
        <v>1010</v>
      </c>
    </row>
    <row r="106" ht="15.75" customHeight="1">
      <c r="A106" s="128" t="s">
        <v>1022</v>
      </c>
      <c r="B106" s="60" t="s">
        <v>788</v>
      </c>
      <c r="C106" s="113" t="s">
        <v>805</v>
      </c>
      <c r="D106" s="128" t="s">
        <v>818</v>
      </c>
      <c r="E106" s="118" t="str">
        <f>IF(C106 ="","",C106-Listas!$B$2)</f>
        <v>#VALUE!</v>
      </c>
      <c r="F106" s="130">
        <v>4.432227243E9</v>
      </c>
      <c r="G106" s="64" t="s">
        <v>1010</v>
      </c>
    </row>
    <row r="107" ht="15.75" customHeight="1">
      <c r="A107" s="128" t="s">
        <v>1023</v>
      </c>
      <c r="B107" s="60" t="s">
        <v>788</v>
      </c>
      <c r="C107" s="113" t="s">
        <v>805</v>
      </c>
      <c r="D107" s="128" t="s">
        <v>818</v>
      </c>
      <c r="E107" s="118" t="str">
        <f>IF(C107 ="","",C107-Listas!$B$2)</f>
        <v>#VALUE!</v>
      </c>
      <c r="F107" s="130">
        <v>4.921070243E9</v>
      </c>
      <c r="G107" s="64" t="s">
        <v>954</v>
      </c>
    </row>
    <row r="108" ht="15.75" customHeight="1">
      <c r="A108" s="128" t="s">
        <v>1024</v>
      </c>
      <c r="B108" s="60" t="s">
        <v>788</v>
      </c>
      <c r="C108" s="113" t="s">
        <v>805</v>
      </c>
      <c r="D108" s="128" t="s">
        <v>824</v>
      </c>
      <c r="E108" s="118" t="str">
        <f>IF(C108 ="","",C108-Listas!$B$2)</f>
        <v>#VALUE!</v>
      </c>
      <c r="F108" s="130">
        <v>4.433070449E9</v>
      </c>
      <c r="G108" s="64" t="s">
        <v>1025</v>
      </c>
    </row>
    <row r="109" ht="15.75" customHeight="1">
      <c r="A109" s="128" t="s">
        <v>1026</v>
      </c>
      <c r="B109" s="60" t="s">
        <v>788</v>
      </c>
      <c r="C109" s="113" t="s">
        <v>904</v>
      </c>
      <c r="D109" s="128" t="s">
        <v>818</v>
      </c>
      <c r="E109" s="118" t="str">
        <f>IF(C109 ="","",C109-Listas!$B$2)</f>
        <v>#VALUE!</v>
      </c>
      <c r="F109" s="130">
        <v>4.432719938E9</v>
      </c>
      <c r="G109" s="64" t="s">
        <v>1025</v>
      </c>
    </row>
    <row r="110" ht="15.75" customHeight="1">
      <c r="A110" s="128" t="s">
        <v>1027</v>
      </c>
      <c r="B110" s="60" t="s">
        <v>788</v>
      </c>
      <c r="C110" s="113" t="s">
        <v>1028</v>
      </c>
      <c r="D110" s="128" t="s">
        <v>818</v>
      </c>
      <c r="E110" s="118" t="str">
        <f>IF(C110 ="","",C110-Listas!$B$2)</f>
        <v>#VALUE!</v>
      </c>
      <c r="F110" s="130">
        <v>4.431600537E9</v>
      </c>
      <c r="G110" s="64" t="s">
        <v>1025</v>
      </c>
    </row>
    <row r="111" ht="15.75" customHeight="1">
      <c r="A111" s="128" t="s">
        <v>1029</v>
      </c>
      <c r="B111" s="60" t="s">
        <v>788</v>
      </c>
      <c r="C111" s="113" t="s">
        <v>805</v>
      </c>
      <c r="D111" s="128" t="s">
        <v>818</v>
      </c>
      <c r="E111" s="118" t="str">
        <f>IF(C111 ="","",C111-Listas!$B$2)</f>
        <v>#VALUE!</v>
      </c>
      <c r="F111" s="130">
        <v>4.431437268E9</v>
      </c>
      <c r="G111" s="64" t="s">
        <v>1025</v>
      </c>
    </row>
    <row r="112" ht="15.75" customHeight="1">
      <c r="A112" s="128" t="s">
        <v>1030</v>
      </c>
      <c r="B112" s="60" t="s">
        <v>788</v>
      </c>
      <c r="C112" s="113" t="s">
        <v>805</v>
      </c>
      <c r="D112" s="128" t="s">
        <v>824</v>
      </c>
      <c r="E112" s="118" t="str">
        <f>IF(C112 ="","",C112-Listas!$B$2)</f>
        <v>#VALUE!</v>
      </c>
      <c r="F112" s="130" t="s">
        <v>1031</v>
      </c>
    </row>
    <row r="113" ht="15.75" customHeight="1">
      <c r="A113" s="128" t="s">
        <v>1032</v>
      </c>
      <c r="B113" s="60" t="s">
        <v>788</v>
      </c>
      <c r="C113" s="113" t="s">
        <v>1033</v>
      </c>
      <c r="D113" s="128" t="s">
        <v>824</v>
      </c>
      <c r="E113" s="118" t="str">
        <f>IF(C113 ="","",C113-Listas!$B$2)</f>
        <v>#VALUE!</v>
      </c>
      <c r="F113" s="130">
        <v>4.433301292E9</v>
      </c>
      <c r="G113" s="64" t="s">
        <v>1025</v>
      </c>
    </row>
    <row r="114" ht="15.75" customHeight="1">
      <c r="A114" s="128" t="s">
        <v>1034</v>
      </c>
      <c r="B114" s="60" t="s">
        <v>788</v>
      </c>
      <c r="C114" s="113" t="s">
        <v>1033</v>
      </c>
      <c r="D114" s="128" t="s">
        <v>824</v>
      </c>
      <c r="E114" s="118" t="str">
        <f>IF(C114 ="","",C114-Listas!$B$2)</f>
        <v>#VALUE!</v>
      </c>
      <c r="F114" s="130">
        <v>4.433781091E9</v>
      </c>
      <c r="G114" s="64" t="s">
        <v>1025</v>
      </c>
    </row>
    <row r="115" ht="15.75" customHeight="1">
      <c r="A115" s="128" t="s">
        <v>1035</v>
      </c>
      <c r="B115" s="60" t="s">
        <v>788</v>
      </c>
      <c r="C115" s="113" t="s">
        <v>1033</v>
      </c>
      <c r="D115" s="128" t="s">
        <v>824</v>
      </c>
      <c r="E115" s="118" t="str">
        <f>IF(C115 ="","",C115-Listas!$B$2)</f>
        <v>#VALUE!</v>
      </c>
      <c r="F115" s="130">
        <v>4.433384968E9</v>
      </c>
      <c r="G115" s="64" t="s">
        <v>1025</v>
      </c>
    </row>
    <row r="116" ht="15.75" customHeight="1">
      <c r="A116" s="128" t="s">
        <v>1036</v>
      </c>
      <c r="B116" s="60" t="s">
        <v>788</v>
      </c>
      <c r="C116" s="113" t="s">
        <v>1037</v>
      </c>
      <c r="D116" s="128" t="s">
        <v>824</v>
      </c>
      <c r="E116" s="118" t="str">
        <f>IF(C116 ="","",C116-Listas!$B$2)</f>
        <v>#VALUE!</v>
      </c>
      <c r="F116" s="130">
        <v>2.224457519E9</v>
      </c>
      <c r="G116" s="64" t="s">
        <v>1025</v>
      </c>
    </row>
    <row r="117" ht="15.75" customHeight="1">
      <c r="A117" s="128" t="s">
        <v>1038</v>
      </c>
      <c r="B117" s="60" t="s">
        <v>788</v>
      </c>
      <c r="C117" s="113" t="s">
        <v>805</v>
      </c>
      <c r="D117" s="128" t="s">
        <v>824</v>
      </c>
      <c r="E117" s="118" t="str">
        <f>IF(C117 ="","",C117-Listas!$B$2)</f>
        <v>#VALUE!</v>
      </c>
      <c r="F117" s="130">
        <v>5.514518682E9</v>
      </c>
      <c r="G117" s="64" t="s">
        <v>1025</v>
      </c>
    </row>
    <row r="118" ht="15.75" customHeight="1">
      <c r="A118" s="128" t="s">
        <v>1039</v>
      </c>
      <c r="B118" s="60" t="s">
        <v>788</v>
      </c>
      <c r="C118" s="113" t="s">
        <v>1040</v>
      </c>
      <c r="D118" s="128" t="s">
        <v>824</v>
      </c>
      <c r="E118" s="118" t="str">
        <f>IF(C118 ="","",C118-Listas!$B$2)</f>
        <v>#VALUE!</v>
      </c>
      <c r="F118" s="130">
        <v>4.432092786E9</v>
      </c>
      <c r="G118" s="64" t="s">
        <v>1025</v>
      </c>
    </row>
    <row r="119" ht="15.75" customHeight="1">
      <c r="A119" s="128" t="s">
        <v>1041</v>
      </c>
      <c r="B119" s="60" t="s">
        <v>788</v>
      </c>
      <c r="C119" s="113" t="s">
        <v>805</v>
      </c>
      <c r="D119" s="128" t="s">
        <v>824</v>
      </c>
      <c r="E119" s="118" t="str">
        <f>IF(C119 ="","",C119-Listas!$B$2)</f>
        <v>#VALUE!</v>
      </c>
      <c r="F119" s="130">
        <v>4.43155086E9</v>
      </c>
      <c r="G119" s="64" t="s">
        <v>1025</v>
      </c>
    </row>
    <row r="120" ht="15.75" customHeight="1">
      <c r="A120" s="128" t="s">
        <v>1042</v>
      </c>
      <c r="B120" s="60" t="s">
        <v>788</v>
      </c>
      <c r="C120" s="113" t="s">
        <v>1043</v>
      </c>
      <c r="D120" s="128" t="s">
        <v>824</v>
      </c>
      <c r="E120" s="118" t="str">
        <f>IF(C120 ="","",C120-Listas!$B$2)</f>
        <v>#VALUE!</v>
      </c>
      <c r="F120" s="130">
        <v>5.566962168E9</v>
      </c>
      <c r="G120" s="64" t="s">
        <v>1025</v>
      </c>
    </row>
    <row r="121" ht="15.75" customHeight="1">
      <c r="A121" s="128" t="s">
        <v>1044</v>
      </c>
      <c r="B121" s="60" t="s">
        <v>788</v>
      </c>
      <c r="C121" s="113" t="s">
        <v>805</v>
      </c>
      <c r="D121" s="128" t="s">
        <v>824</v>
      </c>
      <c r="E121" s="118" t="str">
        <f>IF(C121 ="","",C121-Listas!$B$2)</f>
        <v>#VALUE!</v>
      </c>
      <c r="F121" s="130">
        <v>4.432218094E9</v>
      </c>
      <c r="G121" s="64" t="s">
        <v>1025</v>
      </c>
    </row>
    <row r="122" ht="15.75" customHeight="1">
      <c r="A122" s="128" t="s">
        <v>1045</v>
      </c>
      <c r="B122" s="60" t="s">
        <v>788</v>
      </c>
      <c r="C122" s="113" t="s">
        <v>907</v>
      </c>
      <c r="D122" s="128" t="s">
        <v>824</v>
      </c>
      <c r="E122" s="118" t="str">
        <f>IF(C122 ="","",C122-Listas!$B$2)</f>
        <v>#VALUE!</v>
      </c>
      <c r="F122" s="130">
        <v>5.551061793E9</v>
      </c>
      <c r="G122" s="64" t="s">
        <v>1025</v>
      </c>
    </row>
    <row r="123" ht="15.75" customHeight="1">
      <c r="A123" s="128" t="s">
        <v>1046</v>
      </c>
      <c r="B123" s="60" t="s">
        <v>788</v>
      </c>
      <c r="D123" s="128" t="s">
        <v>824</v>
      </c>
      <c r="E123" s="118" t="str">
        <f>IF(C123 ="","",C123-Listas!$B$2)</f>
        <v/>
      </c>
      <c r="F123" s="130">
        <v>4.431600083E9</v>
      </c>
      <c r="G123" s="64" t="s">
        <v>1025</v>
      </c>
    </row>
    <row r="124" ht="15.75" customHeight="1">
      <c r="A124" s="128" t="s">
        <v>1047</v>
      </c>
      <c r="B124" s="60" t="s">
        <v>788</v>
      </c>
      <c r="D124" s="128" t="s">
        <v>824</v>
      </c>
      <c r="E124" s="118" t="str">
        <f>IF(C124 ="","",C124-Listas!$B$2)</f>
        <v/>
      </c>
      <c r="F124" s="130">
        <v>4.434101654E9</v>
      </c>
    </row>
    <row r="125" ht="15.75" customHeight="1">
      <c r="A125" s="128" t="s">
        <v>1048</v>
      </c>
      <c r="B125" s="60" t="s">
        <v>788</v>
      </c>
      <c r="D125" s="128" t="s">
        <v>824</v>
      </c>
      <c r="E125" s="118" t="str">
        <f>IF(C125 ="","",C125-Listas!$B$2)</f>
        <v/>
      </c>
      <c r="F125" s="130">
        <v>5.529479697E9</v>
      </c>
    </row>
    <row r="126" ht="15.75" customHeight="1">
      <c r="A126" s="128" t="s">
        <v>1049</v>
      </c>
      <c r="B126" s="60" t="s">
        <v>788</v>
      </c>
      <c r="D126" s="128" t="s">
        <v>824</v>
      </c>
      <c r="E126" s="118" t="str">
        <f>IF(C126 ="","",C126-Listas!$B$2)</f>
        <v/>
      </c>
      <c r="F126" s="130">
        <v>4.433950141E9</v>
      </c>
    </row>
    <row r="127" ht="15.75" customHeight="1">
      <c r="A127" s="128" t="s">
        <v>1050</v>
      </c>
      <c r="B127" s="60" t="s">
        <v>788</v>
      </c>
      <c r="D127" s="128" t="s">
        <v>824</v>
      </c>
      <c r="E127" s="118" t="str">
        <f>IF(C127 ="","",C127-Listas!$B$2)</f>
        <v/>
      </c>
      <c r="F127" s="130">
        <v>4.433796974E9</v>
      </c>
    </row>
    <row r="128" ht="15.75" customHeight="1">
      <c r="A128" s="128" t="s">
        <v>1051</v>
      </c>
      <c r="B128" s="60" t="s">
        <v>788</v>
      </c>
      <c r="D128" s="128" t="s">
        <v>824</v>
      </c>
      <c r="E128" s="118" t="str">
        <f>IF(C128 ="","",C128-Listas!$B$2)</f>
        <v/>
      </c>
      <c r="F128" s="130">
        <v>4.433181411E9</v>
      </c>
    </row>
    <row r="129" ht="15.75" customHeight="1">
      <c r="A129" s="128" t="s">
        <v>1052</v>
      </c>
      <c r="B129" s="60" t="s">
        <v>788</v>
      </c>
      <c r="D129" s="128" t="s">
        <v>824</v>
      </c>
      <c r="E129" s="118" t="str">
        <f>IF(C129 ="","",C129-Listas!$B$2)</f>
        <v/>
      </c>
      <c r="F129" s="130">
        <v>4.433183503E9</v>
      </c>
    </row>
    <row r="130" ht="15.75" customHeight="1">
      <c r="A130" s="128" t="s">
        <v>1053</v>
      </c>
      <c r="B130" s="60" t="s">
        <v>788</v>
      </c>
      <c r="D130" s="128" t="s">
        <v>824</v>
      </c>
      <c r="E130" s="118" t="str">
        <f>IF(C130 ="","",C130-Listas!$B$2)</f>
        <v/>
      </c>
      <c r="F130" s="130">
        <v>4.433770757E9</v>
      </c>
    </row>
    <row r="131" ht="15.75" customHeight="1">
      <c r="A131" s="128" t="s">
        <v>1054</v>
      </c>
      <c r="B131" s="60" t="s">
        <v>788</v>
      </c>
      <c r="D131" s="128" t="s">
        <v>824</v>
      </c>
      <c r="E131" s="118" t="str">
        <f>IF(C131 ="","",C131-Listas!$B$2)</f>
        <v/>
      </c>
      <c r="F131" s="130">
        <v>4.434403313E9</v>
      </c>
    </row>
    <row r="132" ht="15.75" customHeight="1">
      <c r="A132" s="128" t="s">
        <v>1055</v>
      </c>
      <c r="B132" s="60" t="s">
        <v>788</v>
      </c>
      <c r="D132" s="128" t="s">
        <v>824</v>
      </c>
      <c r="E132" s="118" t="str">
        <f>IF(C132 ="","",C132-Listas!$B$2)</f>
        <v/>
      </c>
      <c r="F132" s="130">
        <v>4.432736774E9</v>
      </c>
    </row>
    <row r="133" ht="15.75" customHeight="1">
      <c r="A133" s="128" t="s">
        <v>1056</v>
      </c>
      <c r="B133" s="60" t="s">
        <v>788</v>
      </c>
      <c r="D133" s="128" t="s">
        <v>824</v>
      </c>
      <c r="E133" s="118" t="str">
        <f>IF(C133 ="","",C133-Listas!$B$2)</f>
        <v/>
      </c>
      <c r="F133" s="130">
        <v>4.43155118E9</v>
      </c>
    </row>
    <row r="134" ht="15.75" customHeight="1">
      <c r="A134" s="128" t="s">
        <v>1057</v>
      </c>
      <c r="B134" s="60" t="s">
        <v>788</v>
      </c>
      <c r="D134" s="128" t="s">
        <v>824</v>
      </c>
      <c r="E134" s="118" t="str">
        <f>IF(C134 ="","",C134-Listas!$B$2)</f>
        <v/>
      </c>
      <c r="F134" s="130">
        <v>4.431645018E9</v>
      </c>
    </row>
    <row r="135" ht="15.75" customHeight="1">
      <c r="A135" s="128" t="s">
        <v>1058</v>
      </c>
      <c r="B135" s="60" t="s">
        <v>788</v>
      </c>
      <c r="D135" s="128" t="s">
        <v>824</v>
      </c>
      <c r="E135" s="118" t="str">
        <f>IF(C135 ="","",C135-Listas!$B$2)</f>
        <v/>
      </c>
      <c r="F135" s="130">
        <v>4.433690339E9</v>
      </c>
    </row>
    <row r="136" ht="15.75" customHeight="1">
      <c r="A136" s="128" t="s">
        <v>1059</v>
      </c>
      <c r="B136" s="60" t="s">
        <v>788</v>
      </c>
      <c r="D136" s="128" t="s">
        <v>824</v>
      </c>
      <c r="E136" s="118" t="str">
        <f>IF(C136 ="","",C136-Listas!$B$2)</f>
        <v/>
      </c>
      <c r="F136" s="130">
        <v>5.530464451E9</v>
      </c>
    </row>
    <row r="137" ht="15.75" customHeight="1">
      <c r="A137" s="128" t="s">
        <v>1060</v>
      </c>
      <c r="B137" s="60" t="s">
        <v>788</v>
      </c>
      <c r="D137" s="128" t="s">
        <v>824</v>
      </c>
      <c r="E137" s="118" t="str">
        <f>IF(C137 ="","",C137-Listas!$B$2)</f>
        <v/>
      </c>
      <c r="F137" s="130">
        <v>4.434101528E9</v>
      </c>
    </row>
    <row r="138" ht="15.75" customHeight="1">
      <c r="A138" s="128" t="s">
        <v>1061</v>
      </c>
      <c r="B138" s="60" t="s">
        <v>788</v>
      </c>
      <c r="D138" s="128" t="s">
        <v>824</v>
      </c>
      <c r="E138" s="118" t="str">
        <f>IF(C138 ="","",C138-Listas!$B$2)</f>
        <v/>
      </c>
      <c r="F138" s="130">
        <v>4.43136299E9</v>
      </c>
    </row>
    <row r="139" ht="15.75" customHeight="1">
      <c r="A139" s="128" t="s">
        <v>1062</v>
      </c>
      <c r="B139" s="60" t="s">
        <v>788</v>
      </c>
      <c r="D139" s="128" t="s">
        <v>824</v>
      </c>
      <c r="E139" s="118" t="str">
        <f>IF(C139 ="","",C139-Listas!$B$2)</f>
        <v/>
      </c>
      <c r="F139" s="130">
        <v>4.431679856E9</v>
      </c>
    </row>
    <row r="140" ht="15.75" customHeight="1">
      <c r="A140" s="128" t="s">
        <v>1063</v>
      </c>
      <c r="B140" s="60" t="s">
        <v>788</v>
      </c>
      <c r="D140" s="128" t="s">
        <v>824</v>
      </c>
      <c r="E140" s="118" t="str">
        <f>IF(C140 ="","",C140-Listas!$B$2)</f>
        <v/>
      </c>
      <c r="F140" s="130">
        <v>4.433688215E9</v>
      </c>
    </row>
    <row r="141" ht="15.75" customHeight="1">
      <c r="A141" s="128" t="s">
        <v>1064</v>
      </c>
      <c r="B141" s="60" t="s">
        <v>788</v>
      </c>
      <c r="D141" s="128" t="s">
        <v>824</v>
      </c>
      <c r="E141" s="118" t="str">
        <f>IF(C141 ="","",C141-Listas!$B$2)</f>
        <v/>
      </c>
      <c r="F141" s="130">
        <v>5.537078698E9</v>
      </c>
    </row>
    <row r="142" ht="15.75" customHeight="1">
      <c r="A142" s="128" t="s">
        <v>1065</v>
      </c>
      <c r="B142" s="60" t="s">
        <v>788</v>
      </c>
      <c r="D142" s="128" t="s">
        <v>824</v>
      </c>
      <c r="E142" s="118" t="str">
        <f>IF(C142 ="","",C142-Listas!$B$2)</f>
        <v/>
      </c>
      <c r="F142" s="130">
        <v>4.432044016E9</v>
      </c>
    </row>
    <row r="143" ht="15.75" customHeight="1">
      <c r="A143" s="128" t="s">
        <v>1066</v>
      </c>
      <c r="B143" s="60" t="s">
        <v>788</v>
      </c>
      <c r="D143" s="128" t="s">
        <v>824</v>
      </c>
      <c r="E143" s="118" t="str">
        <f>IF(C143 ="","",C143-Listas!$B$2)</f>
        <v/>
      </c>
      <c r="F143" s="130">
        <v>4.431264341E9</v>
      </c>
    </row>
    <row r="144" ht="15.75" customHeight="1">
      <c r="A144" s="128" t="s">
        <v>1067</v>
      </c>
      <c r="B144" s="60" t="s">
        <v>788</v>
      </c>
      <c r="D144" s="128" t="s">
        <v>824</v>
      </c>
      <c r="E144" s="118" t="str">
        <f>IF(C144 ="","",C144-Listas!$B$2)</f>
        <v/>
      </c>
      <c r="F144" s="130">
        <v>4.43207716E9</v>
      </c>
    </row>
    <row r="145" ht="15.75" customHeight="1">
      <c r="A145" s="128" t="s">
        <v>1068</v>
      </c>
      <c r="B145" s="60" t="s">
        <v>788</v>
      </c>
      <c r="D145" s="128" t="s">
        <v>824</v>
      </c>
      <c r="E145" s="118" t="str">
        <f>IF(C145 ="","",C145-Listas!$B$2)</f>
        <v/>
      </c>
      <c r="F145" s="130">
        <v>4.4315516E9</v>
      </c>
    </row>
    <row r="146" ht="15.75" customHeight="1">
      <c r="A146" s="128" t="s">
        <v>1069</v>
      </c>
      <c r="B146" s="60" t="s">
        <v>788</v>
      </c>
      <c r="D146" s="128" t="s">
        <v>824</v>
      </c>
      <c r="E146" s="118" t="str">
        <f>IF(C146 ="","",C146-Listas!$B$2)</f>
        <v/>
      </c>
      <c r="F146" s="130">
        <v>4.434928344E9</v>
      </c>
    </row>
    <row r="147" ht="15.75" customHeight="1">
      <c r="A147" s="128" t="s">
        <v>1070</v>
      </c>
      <c r="B147" s="60" t="s">
        <v>788</v>
      </c>
      <c r="D147" s="128" t="s">
        <v>824</v>
      </c>
      <c r="E147" s="118" t="str">
        <f>IF(C147 ="","",C147-Listas!$B$2)</f>
        <v/>
      </c>
      <c r="F147" s="130">
        <v>9.99271023E9</v>
      </c>
    </row>
    <row r="148" ht="15.75" customHeight="1">
      <c r="A148" s="128" t="s">
        <v>1071</v>
      </c>
      <c r="B148" s="60" t="s">
        <v>788</v>
      </c>
      <c r="D148" s="128" t="s">
        <v>824</v>
      </c>
      <c r="E148" s="118" t="str">
        <f>IF(C148 ="","",C148-Listas!$B$2)</f>
        <v/>
      </c>
      <c r="F148" s="130">
        <v>5.554332382E9</v>
      </c>
    </row>
    <row r="149" ht="15.75" customHeight="1">
      <c r="A149" s="128" t="s">
        <v>1072</v>
      </c>
      <c r="B149" s="60" t="s">
        <v>788</v>
      </c>
      <c r="D149" s="128" t="s">
        <v>818</v>
      </c>
      <c r="E149" s="118" t="str">
        <f>IF(C149 ="","",C149-Listas!$B$2)</f>
        <v/>
      </c>
      <c r="F149" s="130">
        <v>5.526901534E9</v>
      </c>
    </row>
    <row r="150" ht="15.75" customHeight="1">
      <c r="A150" s="128" t="s">
        <v>1073</v>
      </c>
      <c r="B150" s="60" t="s">
        <v>788</v>
      </c>
      <c r="D150" s="128" t="s">
        <v>824</v>
      </c>
      <c r="E150" s="118" t="str">
        <f>IF(C150 ="","",C150-Listas!$B$2)</f>
        <v/>
      </c>
      <c r="F150" s="130">
        <v>4.431551917E9</v>
      </c>
    </row>
    <row r="151" ht="15.75" customHeight="1">
      <c r="A151" s="60" t="s">
        <v>1074</v>
      </c>
      <c r="B151" s="60" t="s">
        <v>788</v>
      </c>
      <c r="C151" s="113" t="s">
        <v>805</v>
      </c>
      <c r="D151" s="60" t="s">
        <v>809</v>
      </c>
      <c r="E151" s="118" t="str">
        <f>IF(C151 ="","",C151-Listas!$B$2)</f>
        <v>#VALUE!</v>
      </c>
      <c r="F151" s="64">
        <v>3.316231578E9</v>
      </c>
      <c r="G151" s="64" t="s">
        <v>1075</v>
      </c>
    </row>
    <row r="152" ht="15.75" customHeight="1">
      <c r="A152" s="60" t="s">
        <v>1076</v>
      </c>
      <c r="B152" s="60" t="s">
        <v>788</v>
      </c>
      <c r="C152" s="113" t="s">
        <v>805</v>
      </c>
      <c r="D152" s="60" t="s">
        <v>809</v>
      </c>
      <c r="E152" s="118" t="str">
        <f>IF(C152 ="","",C152-Listas!$B$2)</f>
        <v>#VALUE!</v>
      </c>
      <c r="F152" s="64">
        <v>3.331400515E9</v>
      </c>
      <c r="G152" s="64" t="s">
        <v>1025</v>
      </c>
    </row>
    <row r="153" ht="15.75" customHeight="1">
      <c r="A153" s="60" t="s">
        <v>1077</v>
      </c>
      <c r="B153" s="60" t="s">
        <v>788</v>
      </c>
      <c r="C153" s="113" t="s">
        <v>1078</v>
      </c>
      <c r="D153" s="60" t="s">
        <v>809</v>
      </c>
      <c r="E153" s="118" t="str">
        <f>IF(C153 ="","",C153-Listas!$B$2)</f>
        <v>#VALUE!</v>
      </c>
      <c r="F153" s="64">
        <v>3.314393267E9</v>
      </c>
      <c r="G153" s="64" t="s">
        <v>1079</v>
      </c>
    </row>
    <row r="154" ht="15.75" customHeight="1">
      <c r="A154" s="60" t="s">
        <v>1080</v>
      </c>
      <c r="B154" s="60" t="s">
        <v>788</v>
      </c>
      <c r="C154" s="113" t="s">
        <v>805</v>
      </c>
      <c r="D154" s="60" t="s">
        <v>809</v>
      </c>
      <c r="E154" s="118" t="str">
        <f>IF(C154 ="","",C154-Listas!$B$2)</f>
        <v>#VALUE!</v>
      </c>
      <c r="F154" s="64">
        <v>3.313859028E9</v>
      </c>
      <c r="G154" s="64" t="s">
        <v>1079</v>
      </c>
    </row>
    <row r="155" ht="15.75" customHeight="1">
      <c r="A155" s="60" t="s">
        <v>1081</v>
      </c>
      <c r="B155" s="60" t="s">
        <v>788</v>
      </c>
      <c r="C155" s="113" t="s">
        <v>1078</v>
      </c>
      <c r="D155" s="60" t="s">
        <v>809</v>
      </c>
      <c r="E155" s="118" t="str">
        <f>IF(C155 ="","",C155-Listas!$B$2)</f>
        <v>#VALUE!</v>
      </c>
      <c r="F155" s="64">
        <v>3.323852082E9</v>
      </c>
      <c r="G155" s="64" t="s">
        <v>1079</v>
      </c>
    </row>
    <row r="156" ht="15.75" customHeight="1">
      <c r="A156" s="60" t="s">
        <v>1082</v>
      </c>
      <c r="B156" s="60" t="s">
        <v>788</v>
      </c>
      <c r="C156" s="113" t="s">
        <v>805</v>
      </c>
      <c r="D156" s="60" t="s">
        <v>809</v>
      </c>
      <c r="E156" s="118" t="str">
        <f>IF(C156 ="","",C156-Listas!$B$2)</f>
        <v>#VALUE!</v>
      </c>
      <c r="F156" s="64">
        <v>3.314276777E10</v>
      </c>
      <c r="G156" s="64" t="s">
        <v>1079</v>
      </c>
    </row>
    <row r="157" ht="15.75" customHeight="1">
      <c r="A157" s="60" t="s">
        <v>1083</v>
      </c>
      <c r="B157" s="60" t="s">
        <v>788</v>
      </c>
      <c r="C157" s="113" t="s">
        <v>805</v>
      </c>
      <c r="D157" s="60" t="s">
        <v>809</v>
      </c>
      <c r="E157" s="118" t="str">
        <f>IF(C157 ="","",C157-Listas!$B$2)</f>
        <v>#VALUE!</v>
      </c>
      <c r="F157" s="64">
        <v>3.312890546E9</v>
      </c>
      <c r="G157" s="64" t="s">
        <v>1084</v>
      </c>
    </row>
    <row r="158" ht="15.75" customHeight="1">
      <c r="A158" s="60" t="s">
        <v>1085</v>
      </c>
      <c r="B158" s="60" t="s">
        <v>788</v>
      </c>
      <c r="C158" s="113" t="s">
        <v>1078</v>
      </c>
      <c r="D158" s="60" t="s">
        <v>809</v>
      </c>
      <c r="E158" s="118" t="str">
        <f>IF(C158 ="","",C158-Listas!$B$2)</f>
        <v>#VALUE!</v>
      </c>
      <c r="F158" s="64">
        <v>3.31225797E9</v>
      </c>
      <c r="G158" s="64" t="s">
        <v>1084</v>
      </c>
    </row>
    <row r="159" ht="15.75" customHeight="1">
      <c r="A159" s="60" t="s">
        <v>1086</v>
      </c>
      <c r="B159" s="60" t="s">
        <v>788</v>
      </c>
      <c r="C159" s="113" t="s">
        <v>1087</v>
      </c>
      <c r="D159" s="60" t="s">
        <v>809</v>
      </c>
      <c r="E159" s="118" t="str">
        <f>IF(C159 ="","",C159-Listas!$B$2)</f>
        <v>#VALUE!</v>
      </c>
      <c r="F159" s="64">
        <v>3.338067309E9</v>
      </c>
      <c r="G159" s="64" t="s">
        <v>1025</v>
      </c>
    </row>
    <row r="160" ht="15.75" customHeight="1">
      <c r="A160" s="60" t="s">
        <v>1088</v>
      </c>
      <c r="B160" s="60" t="s">
        <v>788</v>
      </c>
      <c r="C160" s="113" t="s">
        <v>805</v>
      </c>
      <c r="D160" s="60" t="s">
        <v>809</v>
      </c>
      <c r="E160" s="118" t="str">
        <f>IF(C160 ="","",C160-Listas!$B$2)</f>
        <v>#VALUE!</v>
      </c>
      <c r="F160" s="64">
        <v>3.325785141E9</v>
      </c>
      <c r="G160" s="64" t="s">
        <v>1075</v>
      </c>
    </row>
    <row r="161" ht="15.75" customHeight="1">
      <c r="A161" s="60" t="s">
        <v>1089</v>
      </c>
      <c r="B161" s="60" t="s">
        <v>788</v>
      </c>
      <c r="C161" s="113" t="s">
        <v>1078</v>
      </c>
      <c r="D161" s="60" t="s">
        <v>809</v>
      </c>
      <c r="E161" s="118" t="str">
        <f>IF(C161 ="","",C161-Listas!$B$2)</f>
        <v>#VALUE!</v>
      </c>
      <c r="F161" s="64">
        <v>3.338397801E9</v>
      </c>
      <c r="G161" s="64" t="s">
        <v>1084</v>
      </c>
    </row>
    <row r="162" ht="15.75" customHeight="1">
      <c r="A162" s="60" t="s">
        <v>1035</v>
      </c>
      <c r="B162" s="60" t="s">
        <v>788</v>
      </c>
      <c r="C162" s="113" t="s">
        <v>805</v>
      </c>
      <c r="D162" s="60" t="s">
        <v>809</v>
      </c>
      <c r="E162" s="118" t="str">
        <f>IF(C162 ="","",C162-Listas!$B$2)</f>
        <v>#VALUE!</v>
      </c>
      <c r="F162" s="64">
        <v>3.313457019E9</v>
      </c>
      <c r="G162" s="64" t="s">
        <v>1084</v>
      </c>
    </row>
    <row r="163" ht="15.75" customHeight="1">
      <c r="A163" s="60" t="s">
        <v>1090</v>
      </c>
      <c r="B163" s="60" t="s">
        <v>788</v>
      </c>
      <c r="C163" s="113" t="s">
        <v>805</v>
      </c>
      <c r="D163" s="60" t="s">
        <v>809</v>
      </c>
      <c r="E163" s="118" t="str">
        <f>IF(C163 ="","",C163-Listas!$B$2)</f>
        <v>#VALUE!</v>
      </c>
      <c r="F163" s="64">
        <v>3.311095948E9</v>
      </c>
      <c r="G163" s="64" t="s">
        <v>1084</v>
      </c>
    </row>
    <row r="164" ht="15.75" customHeight="1">
      <c r="A164" s="60" t="s">
        <v>1091</v>
      </c>
      <c r="B164" s="60" t="s">
        <v>788</v>
      </c>
      <c r="C164" s="113" t="s">
        <v>1092</v>
      </c>
      <c r="D164" s="60" t="s">
        <v>809</v>
      </c>
      <c r="E164" s="118" t="str">
        <f>IF(C164 ="","",C164-Listas!$B$2)</f>
        <v>#VALUE!</v>
      </c>
      <c r="F164" s="64">
        <v>3.325376649E9</v>
      </c>
      <c r="G164" s="64" t="s">
        <v>1025</v>
      </c>
    </row>
    <row r="165" ht="15.75" customHeight="1">
      <c r="A165" s="60" t="s">
        <v>1093</v>
      </c>
      <c r="B165" s="60" t="s">
        <v>788</v>
      </c>
      <c r="C165" s="113" t="s">
        <v>805</v>
      </c>
      <c r="D165" s="60" t="s">
        <v>809</v>
      </c>
      <c r="E165" s="118" t="str">
        <f>IF(C165 ="","",C165-Listas!$B$2)</f>
        <v>#VALUE!</v>
      </c>
      <c r="F165" s="64">
        <v>3.31354523E9</v>
      </c>
      <c r="G165" s="64" t="s">
        <v>1094</v>
      </c>
    </row>
    <row r="166" ht="15.75" customHeight="1">
      <c r="A166" s="127" t="s">
        <v>1095</v>
      </c>
      <c r="B166" s="60" t="s">
        <v>788</v>
      </c>
      <c r="C166" s="113" t="s">
        <v>805</v>
      </c>
      <c r="D166" s="60" t="s">
        <v>809</v>
      </c>
      <c r="E166" s="118"/>
      <c r="F166" s="64">
        <v>3.314502765E9</v>
      </c>
      <c r="G166" s="64" t="s">
        <v>1075</v>
      </c>
    </row>
    <row r="167" ht="15.75" customHeight="1">
      <c r="A167" s="127" t="s">
        <v>1096</v>
      </c>
      <c r="B167" s="60" t="s">
        <v>788</v>
      </c>
      <c r="C167" s="113" t="s">
        <v>805</v>
      </c>
      <c r="D167" s="60" t="s">
        <v>809</v>
      </c>
      <c r="E167" s="118" t="str">
        <f>IF(C166 ="","",C166-Listas!$B$2)</f>
        <v>#VALUE!</v>
      </c>
      <c r="F167" s="64">
        <v>3.312186903E9</v>
      </c>
      <c r="G167" s="64" t="s">
        <v>1094</v>
      </c>
    </row>
    <row r="168" ht="15.75" customHeight="1">
      <c r="A168" s="127" t="s">
        <v>1097</v>
      </c>
      <c r="B168" s="60" t="s">
        <v>788</v>
      </c>
      <c r="C168" s="113" t="s">
        <v>847</v>
      </c>
      <c r="D168" s="60" t="s">
        <v>809</v>
      </c>
      <c r="E168" s="118" t="str">
        <f>IF(C168 ="","",C168-Listas!$B$2)</f>
        <v>#VALUE!</v>
      </c>
      <c r="F168" s="64">
        <v>3.314021754E9</v>
      </c>
      <c r="G168" s="64" t="s">
        <v>1094</v>
      </c>
    </row>
    <row r="169" ht="15.75" customHeight="1">
      <c r="A169" s="127" t="s">
        <v>1098</v>
      </c>
      <c r="B169" s="60" t="s">
        <v>788</v>
      </c>
      <c r="C169" s="113" t="s">
        <v>1099</v>
      </c>
      <c r="D169" s="60" t="s">
        <v>809</v>
      </c>
      <c r="E169" s="118" t="str">
        <f>IF(C169 ="","",C169-Listas!$B$2)</f>
        <v>#VALUE!</v>
      </c>
      <c r="F169" s="64">
        <v>3.331294121E9</v>
      </c>
      <c r="G169" s="64" t="s">
        <v>1094</v>
      </c>
    </row>
    <row r="170" ht="15.75" customHeight="1">
      <c r="A170" s="127" t="s">
        <v>1100</v>
      </c>
      <c r="B170" s="60" t="s">
        <v>788</v>
      </c>
      <c r="C170" s="113" t="s">
        <v>1101</v>
      </c>
      <c r="D170" s="60" t="s">
        <v>809</v>
      </c>
      <c r="E170" s="118" t="str">
        <f>IF(C170 ="","",C170-Listas!$B$2)</f>
        <v>#VALUE!</v>
      </c>
      <c r="F170" s="64">
        <v>3.321497974E9</v>
      </c>
      <c r="G170" s="64" t="s">
        <v>1102</v>
      </c>
    </row>
    <row r="171" ht="15.75" customHeight="1">
      <c r="A171" s="127" t="s">
        <v>1103</v>
      </c>
      <c r="B171" s="60" t="s">
        <v>788</v>
      </c>
      <c r="C171" s="113" t="s">
        <v>805</v>
      </c>
      <c r="D171" s="60" t="s">
        <v>809</v>
      </c>
      <c r="E171" s="118" t="str">
        <f>IF(C171 ="","",C171-Listas!$B$2)</f>
        <v>#VALUE!</v>
      </c>
      <c r="F171" s="64">
        <v>3.338076753E9</v>
      </c>
      <c r="G171" s="64" t="s">
        <v>1075</v>
      </c>
    </row>
    <row r="172" ht="15.75" customHeight="1">
      <c r="A172" s="127" t="s">
        <v>1104</v>
      </c>
      <c r="B172" s="60" t="s">
        <v>788</v>
      </c>
      <c r="C172" s="113" t="s">
        <v>805</v>
      </c>
      <c r="D172" s="60" t="s">
        <v>809</v>
      </c>
      <c r="E172" s="118" t="str">
        <f>IF(C172 ="","",C172-Listas!$B$2)</f>
        <v>#VALUE!</v>
      </c>
      <c r="F172" s="64">
        <v>3.33100021E9</v>
      </c>
      <c r="G172" s="64" t="s">
        <v>1105</v>
      </c>
    </row>
    <row r="173" ht="15.75" customHeight="1">
      <c r="A173" s="127" t="s">
        <v>1106</v>
      </c>
      <c r="B173" s="60" t="s">
        <v>788</v>
      </c>
      <c r="C173" s="113" t="s">
        <v>1107</v>
      </c>
      <c r="D173" s="60" t="s">
        <v>809</v>
      </c>
      <c r="E173" s="118" t="str">
        <f>IF(C173 ="","",C173-Listas!$B$2)</f>
        <v>#VALUE!</v>
      </c>
      <c r="F173" s="64">
        <v>3.312679577E9</v>
      </c>
      <c r="G173" s="64" t="s">
        <v>1105</v>
      </c>
    </row>
    <row r="174" ht="15.75" customHeight="1">
      <c r="A174" s="127" t="s">
        <v>1108</v>
      </c>
      <c r="B174" s="60" t="s">
        <v>788</v>
      </c>
      <c r="C174" s="113" t="s">
        <v>805</v>
      </c>
      <c r="D174" s="60" t="s">
        <v>809</v>
      </c>
      <c r="E174" s="118" t="str">
        <f>IF(C174 ="","",C174-Listas!$B$2)</f>
        <v>#VALUE!</v>
      </c>
      <c r="F174" s="64">
        <v>3.335081677E9</v>
      </c>
      <c r="G174" s="64" t="s">
        <v>1105</v>
      </c>
    </row>
    <row r="175" ht="15.75" customHeight="1">
      <c r="A175" s="127" t="s">
        <v>1109</v>
      </c>
      <c r="B175" s="60" t="s">
        <v>788</v>
      </c>
      <c r="C175" s="113" t="s">
        <v>1110</v>
      </c>
      <c r="D175" s="60" t="s">
        <v>809</v>
      </c>
      <c r="E175" s="118" t="str">
        <f>IF(C175 ="","",C175-Listas!$B$2)</f>
        <v>#VALUE!</v>
      </c>
      <c r="F175" s="64">
        <v>3.332440637E9</v>
      </c>
      <c r="G175" s="64" t="s">
        <v>1105</v>
      </c>
    </row>
    <row r="176" ht="15.75" customHeight="1">
      <c r="A176" s="127" t="s">
        <v>1111</v>
      </c>
      <c r="B176" s="60" t="s">
        <v>788</v>
      </c>
      <c r="C176" s="113" t="s">
        <v>805</v>
      </c>
      <c r="D176" s="60" t="s">
        <v>809</v>
      </c>
      <c r="E176" s="118" t="str">
        <f>IF(C176 ="","",C176-Listas!$B$2)</f>
        <v>#VALUE!</v>
      </c>
      <c r="F176" s="64">
        <v>3.311515606E9</v>
      </c>
      <c r="G176" s="64" t="s">
        <v>1105</v>
      </c>
    </row>
    <row r="177" ht="15.75" customHeight="1">
      <c r="A177" s="60" t="s">
        <v>1112</v>
      </c>
      <c r="B177" s="60" t="s">
        <v>788</v>
      </c>
      <c r="C177" s="113" t="s">
        <v>1113</v>
      </c>
      <c r="D177" s="60" t="s">
        <v>809</v>
      </c>
      <c r="E177" s="118" t="str">
        <f>IF(C177 ="","",C177-Listas!$B$2)</f>
        <v>#VALUE!</v>
      </c>
      <c r="F177" s="64">
        <v>3.334053078E9</v>
      </c>
      <c r="G177" s="64" t="s">
        <v>1075</v>
      </c>
    </row>
    <row r="178" ht="15.75" customHeight="1">
      <c r="A178" s="60" t="s">
        <v>1114</v>
      </c>
      <c r="B178" s="60" t="s">
        <v>788</v>
      </c>
      <c r="C178" s="113" t="s">
        <v>1115</v>
      </c>
      <c r="D178" s="60" t="s">
        <v>809</v>
      </c>
      <c r="E178" s="118" t="str">
        <f>IF(C178 ="","",C178-Listas!$B$2)</f>
        <v>#VALUE!</v>
      </c>
      <c r="F178" s="64">
        <v>3.314072039E9</v>
      </c>
      <c r="G178" s="64" t="s">
        <v>1116</v>
      </c>
    </row>
    <row r="179" ht="15.75" customHeight="1">
      <c r="A179" s="60" t="s">
        <v>1117</v>
      </c>
      <c r="B179" s="60" t="s">
        <v>788</v>
      </c>
      <c r="C179" s="113" t="s">
        <v>1087</v>
      </c>
      <c r="D179" s="60" t="s">
        <v>809</v>
      </c>
      <c r="E179" s="118" t="str">
        <f>IF(C179 ="","",C179-Listas!$B$2)</f>
        <v>#VALUE!</v>
      </c>
      <c r="F179" s="64">
        <v>3.314370635E9</v>
      </c>
      <c r="G179" s="64" t="s">
        <v>1075</v>
      </c>
    </row>
    <row r="180" ht="15.75" customHeight="1">
      <c r="A180" s="60" t="s">
        <v>1118</v>
      </c>
      <c r="B180" s="60" t="s">
        <v>788</v>
      </c>
      <c r="C180" s="113" t="s">
        <v>1087</v>
      </c>
      <c r="D180" s="60" t="s">
        <v>809</v>
      </c>
      <c r="E180" s="118" t="str">
        <f>IF(C180 ="","",C180-Listas!$B$2)</f>
        <v>#VALUE!</v>
      </c>
      <c r="F180" s="64">
        <v>3.353313426E9</v>
      </c>
      <c r="G180" s="64" t="s">
        <v>1075</v>
      </c>
    </row>
    <row r="181" ht="15.75" customHeight="1">
      <c r="A181" s="60" t="s">
        <v>1119</v>
      </c>
      <c r="B181" s="60" t="s">
        <v>788</v>
      </c>
      <c r="C181" s="113" t="s">
        <v>805</v>
      </c>
      <c r="D181" s="60" t="s">
        <v>809</v>
      </c>
      <c r="E181" s="118" t="str">
        <f>IF(C181 ="","",C181-Listas!$B$2)</f>
        <v>#VALUE!</v>
      </c>
      <c r="F181" s="64">
        <v>3.31856106E9</v>
      </c>
      <c r="G181" s="64" t="s">
        <v>1105</v>
      </c>
    </row>
    <row r="182" ht="15.75" customHeight="1">
      <c r="A182" s="60" t="s">
        <v>1120</v>
      </c>
      <c r="B182" s="60" t="s">
        <v>788</v>
      </c>
      <c r="C182" s="113" t="s">
        <v>1121</v>
      </c>
      <c r="D182" s="60" t="s">
        <v>809</v>
      </c>
      <c r="E182" s="118" t="str">
        <f>IF(C182 ="","",C182-Listas!$B$2)</f>
        <v>#VALUE!</v>
      </c>
      <c r="F182" s="64">
        <v>3.315698688E9</v>
      </c>
      <c r="G182" s="64" t="s">
        <v>1105</v>
      </c>
    </row>
    <row r="183" ht="15.75" customHeight="1">
      <c r="A183" s="60" t="s">
        <v>1122</v>
      </c>
      <c r="B183" s="60" t="s">
        <v>788</v>
      </c>
      <c r="C183" s="113" t="s">
        <v>1092</v>
      </c>
      <c r="D183" s="60" t="s">
        <v>809</v>
      </c>
      <c r="E183" s="118" t="str">
        <f>IF(C183 ="","",C183-Listas!$B$2)</f>
        <v>#VALUE!</v>
      </c>
      <c r="F183" s="64">
        <v>3.317132084E9</v>
      </c>
      <c r="G183" s="64" t="s">
        <v>1105</v>
      </c>
    </row>
    <row r="184" ht="15.75" customHeight="1">
      <c r="A184" s="60" t="s">
        <v>1123</v>
      </c>
      <c r="B184" s="60" t="s">
        <v>788</v>
      </c>
      <c r="C184" s="113" t="s">
        <v>805</v>
      </c>
      <c r="D184" s="60" t="s">
        <v>809</v>
      </c>
      <c r="E184" s="118" t="str">
        <f>IF(C184 ="","",C184-Listas!$B$2)</f>
        <v>#VALUE!</v>
      </c>
      <c r="F184" s="64">
        <v>3.338098705E9</v>
      </c>
      <c r="G184" s="64" t="s">
        <v>1124</v>
      </c>
    </row>
    <row r="185" ht="15.75" customHeight="1">
      <c r="A185" s="60" t="s">
        <v>1125</v>
      </c>
      <c r="B185" s="60" t="s">
        <v>788</v>
      </c>
      <c r="C185" s="113" t="s">
        <v>1087</v>
      </c>
      <c r="D185" s="60" t="s">
        <v>809</v>
      </c>
      <c r="E185" s="118" t="str">
        <f>IF(C185 ="","",C185-Listas!$B$2)</f>
        <v>#VALUE!</v>
      </c>
      <c r="F185" s="64">
        <v>3.339569407E9</v>
      </c>
      <c r="G185" s="64" t="s">
        <v>1105</v>
      </c>
    </row>
    <row r="186" ht="15.75" customHeight="1">
      <c r="A186" s="60" t="s">
        <v>1126</v>
      </c>
      <c r="B186" s="60" t="s">
        <v>788</v>
      </c>
      <c r="C186" s="113" t="s">
        <v>805</v>
      </c>
      <c r="D186" s="60" t="s">
        <v>809</v>
      </c>
      <c r="E186" s="118" t="str">
        <f>IF(C186 ="","",C186-Listas!$B$2)</f>
        <v>#VALUE!</v>
      </c>
      <c r="F186" s="64">
        <v>3.320485591E9</v>
      </c>
      <c r="G186" s="64" t="s">
        <v>1105</v>
      </c>
    </row>
    <row r="187" ht="15.75" customHeight="1">
      <c r="A187" s="60" t="s">
        <v>1127</v>
      </c>
      <c r="B187" s="60" t="s">
        <v>788</v>
      </c>
      <c r="C187" s="113" t="s">
        <v>805</v>
      </c>
      <c r="D187" s="60" t="s">
        <v>809</v>
      </c>
      <c r="E187" s="118" t="str">
        <f>IF(C187 ="","",C187-Listas!$B$2)</f>
        <v>#VALUE!</v>
      </c>
      <c r="F187" s="64">
        <v>3.311733067E9</v>
      </c>
      <c r="G187" s="64" t="s">
        <v>1128</v>
      </c>
    </row>
    <row r="188" ht="15.75" customHeight="1">
      <c r="A188" s="60" t="s">
        <v>1129</v>
      </c>
      <c r="B188" s="60" t="s">
        <v>788</v>
      </c>
      <c r="C188" s="113" t="s">
        <v>805</v>
      </c>
      <c r="D188" s="60" t="s">
        <v>809</v>
      </c>
      <c r="E188" s="118" t="str">
        <f>IF(C188 ="","",C188-Listas!$B$2)</f>
        <v>#VALUE!</v>
      </c>
      <c r="F188" s="64">
        <v>3.311135595E9</v>
      </c>
      <c r="G188" s="64" t="s">
        <v>1128</v>
      </c>
    </row>
    <row r="189" ht="15.75" customHeight="1">
      <c r="A189" s="60" t="s">
        <v>1130</v>
      </c>
      <c r="B189" s="60" t="s">
        <v>788</v>
      </c>
      <c r="C189" s="113" t="s">
        <v>805</v>
      </c>
      <c r="D189" s="60" t="s">
        <v>809</v>
      </c>
      <c r="E189" s="118" t="str">
        <f>IF(C189 ="","",C189-Listas!$B$2)</f>
        <v>#VALUE!</v>
      </c>
      <c r="F189" s="64">
        <v>3.322410241E9</v>
      </c>
    </row>
    <row r="190" ht="15.75" customHeight="1">
      <c r="A190" s="60" t="s">
        <v>1131</v>
      </c>
      <c r="B190" s="60" t="s">
        <v>788</v>
      </c>
      <c r="C190" s="113" t="s">
        <v>1087</v>
      </c>
      <c r="D190" s="60" t="s">
        <v>809</v>
      </c>
      <c r="E190" s="118" t="str">
        <f>IF(C190 ="","",C190-Listas!$B$2)</f>
        <v>#VALUE!</v>
      </c>
      <c r="F190" s="64">
        <v>3.331915789E9</v>
      </c>
    </row>
    <row r="191" ht="15.75" customHeight="1">
      <c r="A191" s="60" t="s">
        <v>1132</v>
      </c>
      <c r="B191" s="60" t="s">
        <v>788</v>
      </c>
      <c r="C191" s="113" t="s">
        <v>1133</v>
      </c>
      <c r="D191" s="60" t="s">
        <v>809</v>
      </c>
      <c r="E191" s="118" t="str">
        <f>IF(C191 ="","",C191-Listas!$B$2)</f>
        <v>#VALUE!</v>
      </c>
      <c r="F191" s="64">
        <v>3.315273899E9</v>
      </c>
    </row>
    <row r="192" ht="15.75" customHeight="1">
      <c r="A192" s="60" t="s">
        <v>1134</v>
      </c>
      <c r="B192" s="60" t="s">
        <v>788</v>
      </c>
      <c r="C192" s="113" t="s">
        <v>1135</v>
      </c>
      <c r="D192" s="60" t="s">
        <v>809</v>
      </c>
      <c r="E192" s="118" t="str">
        <f>IF(C192 ="","",C192-Listas!$B$2)</f>
        <v>#VALUE!</v>
      </c>
      <c r="F192" s="64">
        <v>3.314666715E9</v>
      </c>
      <c r="G192" s="64" t="s">
        <v>1136</v>
      </c>
    </row>
    <row r="193" ht="15.75" customHeight="1">
      <c r="A193" s="60" t="s">
        <v>1137</v>
      </c>
      <c r="B193" s="60" t="s">
        <v>788</v>
      </c>
      <c r="C193" s="113" t="s">
        <v>805</v>
      </c>
      <c r="D193" s="60" t="s">
        <v>809</v>
      </c>
      <c r="E193" s="118" t="str">
        <f>IF(C193 ="","",C193-Listas!$B$2)</f>
        <v>#VALUE!</v>
      </c>
      <c r="F193" s="64">
        <v>3.338096925E9</v>
      </c>
      <c r="G193" s="64" t="s">
        <v>1138</v>
      </c>
    </row>
    <row r="194" ht="15.75" customHeight="1">
      <c r="A194" s="60" t="s">
        <v>1139</v>
      </c>
      <c r="B194" s="60" t="s">
        <v>788</v>
      </c>
      <c r="C194" s="113" t="s">
        <v>1078</v>
      </c>
      <c r="D194" s="60" t="s">
        <v>809</v>
      </c>
      <c r="E194" s="118" t="str">
        <f>IF(C194 ="","",C194-Listas!$B$2)</f>
        <v>#VALUE!</v>
      </c>
      <c r="F194" s="64">
        <v>3.317073291E9</v>
      </c>
      <c r="G194" s="64" t="s">
        <v>1138</v>
      </c>
    </row>
    <row r="195" ht="15.75" customHeight="1">
      <c r="A195" s="60" t="s">
        <v>1140</v>
      </c>
      <c r="B195" s="60" t="s">
        <v>788</v>
      </c>
      <c r="C195" s="113" t="s">
        <v>805</v>
      </c>
      <c r="D195" s="60" t="s">
        <v>809</v>
      </c>
      <c r="E195" s="118" t="str">
        <f>IF(C195 ="","",C195-Listas!$B$2)</f>
        <v>#VALUE!</v>
      </c>
      <c r="F195" s="64">
        <v>3.311866936E9</v>
      </c>
      <c r="G195" s="64" t="s">
        <v>1141</v>
      </c>
    </row>
    <row r="196" ht="15.75" customHeight="1">
      <c r="A196" s="60" t="s">
        <v>1142</v>
      </c>
      <c r="B196" s="60" t="s">
        <v>788</v>
      </c>
      <c r="C196" s="113" t="s">
        <v>805</v>
      </c>
      <c r="D196" s="60" t="s">
        <v>809</v>
      </c>
      <c r="E196" s="118" t="str">
        <f>IF(C196 ="","",C196-Listas!$B$2)</f>
        <v>#VALUE!</v>
      </c>
      <c r="F196" s="64">
        <v>3.31225531E9</v>
      </c>
      <c r="G196" s="64" t="s">
        <v>1143</v>
      </c>
    </row>
    <row r="197" ht="15.75" customHeight="1">
      <c r="A197" s="60" t="s">
        <v>1144</v>
      </c>
      <c r="B197" s="60" t="s">
        <v>788</v>
      </c>
      <c r="C197" s="113" t="s">
        <v>805</v>
      </c>
      <c r="D197" s="60" t="s">
        <v>809</v>
      </c>
      <c r="E197" s="118" t="str">
        <f>IF(C197 ="","",C197-Listas!$B$2)</f>
        <v>#VALUE!</v>
      </c>
      <c r="F197" s="64">
        <v>3.334644322E9</v>
      </c>
      <c r="G197" s="64" t="s">
        <v>1141</v>
      </c>
    </row>
    <row r="198" ht="15.75" customHeight="1">
      <c r="A198" s="60" t="s">
        <v>1145</v>
      </c>
      <c r="B198" s="60" t="s">
        <v>788</v>
      </c>
      <c r="C198" s="113" t="s">
        <v>1146</v>
      </c>
      <c r="D198" s="60" t="s">
        <v>809</v>
      </c>
      <c r="E198" s="118" t="str">
        <f>IF(C198 ="","",C198-Listas!$B$2)</f>
        <v>#VALUE!</v>
      </c>
      <c r="F198" s="64">
        <v>3.321783695E9</v>
      </c>
      <c r="G198" s="64" t="s">
        <v>1141</v>
      </c>
    </row>
    <row r="199" ht="15.75" customHeight="1">
      <c r="A199" s="60" t="s">
        <v>1147</v>
      </c>
      <c r="B199" s="60" t="s">
        <v>788</v>
      </c>
      <c r="C199" s="113" t="s">
        <v>1148</v>
      </c>
      <c r="D199" s="60" t="s">
        <v>793</v>
      </c>
      <c r="E199" s="118" t="str">
        <f>IF(C199 ="","",C199-Listas!$B$2)</f>
        <v>#VALUE!</v>
      </c>
      <c r="F199" s="64">
        <v>3.315110604E9</v>
      </c>
      <c r="G199" s="64" t="s">
        <v>1149</v>
      </c>
    </row>
    <row r="200" ht="15.75" customHeight="1">
      <c r="A200" s="60" t="s">
        <v>1150</v>
      </c>
      <c r="B200" s="60" t="s">
        <v>788</v>
      </c>
      <c r="C200" s="124" t="s">
        <v>1151</v>
      </c>
      <c r="D200" s="60" t="s">
        <v>793</v>
      </c>
      <c r="E200" s="118" t="str">
        <f>IF(C200 ="","",C200-Listas!$B$2)</f>
        <v>#VALUE!</v>
      </c>
      <c r="F200" s="64">
        <v>3.310654457E9</v>
      </c>
      <c r="G200" s="131" t="s">
        <v>1152</v>
      </c>
    </row>
    <row r="201" ht="15.75" customHeight="1">
      <c r="A201" s="60" t="s">
        <v>1153</v>
      </c>
      <c r="B201" s="60" t="s">
        <v>788</v>
      </c>
      <c r="C201" s="113" t="s">
        <v>805</v>
      </c>
      <c r="D201" s="60" t="s">
        <v>793</v>
      </c>
      <c r="E201" s="118" t="str">
        <f>IF(C201 ="","",C201-Listas!$B$2)</f>
        <v>#VALUE!</v>
      </c>
      <c r="F201" s="64">
        <v>2.288262868E9</v>
      </c>
      <c r="G201" s="64" t="s">
        <v>1149</v>
      </c>
    </row>
    <row r="202" ht="15.75" customHeight="1">
      <c r="A202" s="60" t="s">
        <v>1154</v>
      </c>
      <c r="B202" s="60" t="s">
        <v>788</v>
      </c>
      <c r="C202" s="113" t="s">
        <v>805</v>
      </c>
      <c r="D202" s="60" t="s">
        <v>793</v>
      </c>
      <c r="E202" s="118" t="str">
        <f>IF(C202 ="","",C202-Listas!$B$2)</f>
        <v>#VALUE!</v>
      </c>
      <c r="F202" s="64">
        <v>2.281450045E9</v>
      </c>
      <c r="G202" s="64" t="s">
        <v>1149</v>
      </c>
    </row>
    <row r="203" ht="15.75" customHeight="1">
      <c r="A203" s="60" t="s">
        <v>1155</v>
      </c>
      <c r="B203" s="60" t="s">
        <v>788</v>
      </c>
      <c r="C203" s="113" t="s">
        <v>805</v>
      </c>
      <c r="D203" s="60" t="s">
        <v>793</v>
      </c>
      <c r="E203" s="118" t="str">
        <f>IF(C203 ="","",C203-Listas!$B$2)</f>
        <v>#VALUE!</v>
      </c>
      <c r="F203" s="64">
        <v>3.316348619E9</v>
      </c>
      <c r="G203" s="64" t="s">
        <v>1149</v>
      </c>
    </row>
    <row r="204" ht="15.75" customHeight="1">
      <c r="A204" s="60" t="s">
        <v>1156</v>
      </c>
      <c r="B204" s="60" t="s">
        <v>788</v>
      </c>
      <c r="C204" s="113" t="s">
        <v>805</v>
      </c>
      <c r="D204" s="60" t="s">
        <v>1157</v>
      </c>
      <c r="E204" s="118" t="str">
        <f>IF(C204 ="","",C204-Listas!$B$2)</f>
        <v>#VALUE!</v>
      </c>
      <c r="F204" s="64">
        <v>6.64356583E9</v>
      </c>
      <c r="G204" s="64" t="s">
        <v>1158</v>
      </c>
    </row>
    <row r="205" ht="15.75" customHeight="1">
      <c r="A205" s="60" t="s">
        <v>1159</v>
      </c>
      <c r="B205" s="60" t="s">
        <v>788</v>
      </c>
      <c r="C205" s="113" t="s">
        <v>805</v>
      </c>
      <c r="D205" s="60" t="s">
        <v>1157</v>
      </c>
      <c r="E205" s="118" t="str">
        <f>IF(C205 ="","",C205-Listas!$B$2)</f>
        <v>#VALUE!</v>
      </c>
      <c r="F205" s="64">
        <v>3.33581142E9</v>
      </c>
      <c r="G205" s="64" t="s">
        <v>1158</v>
      </c>
    </row>
    <row r="206" ht="15.75" customHeight="1">
      <c r="A206" s="60" t="s">
        <v>1160</v>
      </c>
      <c r="B206" s="60" t="s">
        <v>788</v>
      </c>
      <c r="C206" s="113" t="s">
        <v>805</v>
      </c>
      <c r="D206" s="60" t="s">
        <v>1157</v>
      </c>
      <c r="E206" s="118" t="str">
        <f>IF(C206 ="","",C206-Listas!$B$2)</f>
        <v>#VALUE!</v>
      </c>
      <c r="F206" s="64">
        <v>3.331419249E9</v>
      </c>
      <c r="G206" s="64" t="s">
        <v>805</v>
      </c>
    </row>
    <row r="207" ht="15.75" customHeight="1">
      <c r="A207" s="60" t="s">
        <v>1161</v>
      </c>
      <c r="B207" s="60" t="s">
        <v>788</v>
      </c>
      <c r="C207" s="113" t="s">
        <v>805</v>
      </c>
      <c r="D207" s="60" t="s">
        <v>1157</v>
      </c>
      <c r="E207" s="118" t="str">
        <f>IF(C207 ="","",C207-Listas!$B$2)</f>
        <v>#VALUE!</v>
      </c>
      <c r="F207" s="64">
        <v>3.315731063E9</v>
      </c>
      <c r="G207" s="64" t="s">
        <v>805</v>
      </c>
    </row>
    <row r="208" ht="15.75" customHeight="1">
      <c r="A208" s="60" t="s">
        <v>1162</v>
      </c>
      <c r="B208" s="60" t="s">
        <v>788</v>
      </c>
      <c r="C208" s="113" t="s">
        <v>805</v>
      </c>
      <c r="D208" s="60" t="s">
        <v>1157</v>
      </c>
      <c r="E208" s="118" t="str">
        <f>IF(C208 ="","",C208-Listas!$B$2)</f>
        <v>#VALUE!</v>
      </c>
      <c r="F208" s="64">
        <v>3.314089125E9</v>
      </c>
      <c r="G208" s="64" t="s">
        <v>1149</v>
      </c>
    </row>
    <row r="209" ht="15.75" customHeight="1">
      <c r="A209" s="60" t="s">
        <v>1163</v>
      </c>
      <c r="B209" s="60" t="s">
        <v>788</v>
      </c>
      <c r="C209" s="113" t="s">
        <v>805</v>
      </c>
      <c r="D209" s="60" t="s">
        <v>1157</v>
      </c>
      <c r="E209" s="118" t="str">
        <f>IF(C209 ="","",C209-Listas!$B$2)</f>
        <v>#VALUE!</v>
      </c>
      <c r="F209" s="64">
        <v>3.314080265E9</v>
      </c>
      <c r="G209" s="64" t="s">
        <v>805</v>
      </c>
    </row>
    <row r="210" ht="15.75" customHeight="1">
      <c r="A210" s="60" t="s">
        <v>1164</v>
      </c>
      <c r="B210" s="60" t="s">
        <v>788</v>
      </c>
      <c r="C210" s="113" t="s">
        <v>805</v>
      </c>
      <c r="D210" s="60" t="s">
        <v>1157</v>
      </c>
      <c r="E210" s="118" t="str">
        <f>IF(C210 ="","",C210-Listas!$B$2)</f>
        <v>#VALUE!</v>
      </c>
      <c r="F210" s="64">
        <v>3.320445944E9</v>
      </c>
      <c r="G210" s="64" t="s">
        <v>1158</v>
      </c>
    </row>
    <row r="211" ht="15.75" customHeight="1">
      <c r="A211" s="60" t="s">
        <v>1165</v>
      </c>
      <c r="B211" s="60" t="s">
        <v>788</v>
      </c>
      <c r="C211" s="124" t="s">
        <v>1151</v>
      </c>
      <c r="D211" s="60" t="s">
        <v>1166</v>
      </c>
      <c r="E211" s="118" t="str">
        <f>IF(C211 ="","",C211-Listas!$B$2)</f>
        <v>#VALUE!</v>
      </c>
      <c r="F211" s="64">
        <v>6.691533837E9</v>
      </c>
      <c r="G211" s="131" t="s">
        <v>1167</v>
      </c>
    </row>
    <row r="212" ht="15.75" customHeight="1">
      <c r="A212" s="60" t="s">
        <v>1168</v>
      </c>
      <c r="B212" s="60" t="s">
        <v>788</v>
      </c>
      <c r="C212" s="113" t="s">
        <v>805</v>
      </c>
      <c r="D212" s="60" t="s">
        <v>1166</v>
      </c>
      <c r="E212" s="118" t="str">
        <f>IF(C212 ="","",C212-Listas!$B$2)</f>
        <v>#VALUE!</v>
      </c>
      <c r="F212" s="64">
        <v>6.691456014E9</v>
      </c>
      <c r="G212" s="132" t="s">
        <v>1169</v>
      </c>
    </row>
    <row r="213" ht="15.75" customHeight="1">
      <c r="A213" s="60" t="s">
        <v>1170</v>
      </c>
      <c r="B213" s="60" t="s">
        <v>788</v>
      </c>
      <c r="C213" s="113" t="s">
        <v>805</v>
      </c>
      <c r="D213" s="60" t="s">
        <v>1166</v>
      </c>
      <c r="E213" s="118" t="str">
        <f>IF(C213 ="","",C213-Listas!$B$2)</f>
        <v>#VALUE!</v>
      </c>
      <c r="F213" s="64">
        <v>6.691864096E9</v>
      </c>
      <c r="G213" s="64" t="s">
        <v>805</v>
      </c>
    </row>
    <row r="214" ht="15.75" customHeight="1">
      <c r="A214" s="60" t="s">
        <v>1171</v>
      </c>
      <c r="B214" s="60" t="s">
        <v>788</v>
      </c>
      <c r="C214" s="113" t="s">
        <v>805</v>
      </c>
      <c r="D214" s="60" t="s">
        <v>1166</v>
      </c>
      <c r="E214" s="118" t="str">
        <f>IF(C214 ="","",C214-Listas!$B$2)</f>
        <v>#VALUE!</v>
      </c>
      <c r="F214" s="64">
        <v>6.371150054E9</v>
      </c>
      <c r="G214" s="64" t="s">
        <v>805</v>
      </c>
    </row>
    <row r="215" ht="15.75" customHeight="1">
      <c r="A215" s="60" t="s">
        <v>1172</v>
      </c>
      <c r="B215" s="60" t="s">
        <v>788</v>
      </c>
      <c r="C215" s="113" t="s">
        <v>805</v>
      </c>
      <c r="D215" s="60" t="s">
        <v>1173</v>
      </c>
      <c r="E215" s="118" t="str">
        <f>IF(C215 ="","",C215-Listas!$B$2)</f>
        <v>#VALUE!</v>
      </c>
      <c r="F215" s="64">
        <v>3.310959055E9</v>
      </c>
      <c r="G215" s="132" t="s">
        <v>1169</v>
      </c>
    </row>
    <row r="216" ht="15.75" customHeight="1">
      <c r="A216" s="60" t="s">
        <v>1174</v>
      </c>
      <c r="B216" s="60" t="s">
        <v>788</v>
      </c>
      <c r="C216" s="113" t="s">
        <v>805</v>
      </c>
      <c r="D216" s="60" t="s">
        <v>1173</v>
      </c>
      <c r="E216" s="118" t="str">
        <f>IF(C216 ="","",C216-Listas!$B$2)</f>
        <v>#VALUE!</v>
      </c>
      <c r="F216" s="64">
        <v>3.787091484E9</v>
      </c>
      <c r="G216" s="64" t="s">
        <v>1149</v>
      </c>
    </row>
    <row r="217" ht="15.75" customHeight="1">
      <c r="A217" s="60" t="s">
        <v>1175</v>
      </c>
      <c r="B217" s="60" t="s">
        <v>788</v>
      </c>
      <c r="C217" s="113" t="s">
        <v>805</v>
      </c>
      <c r="D217" s="60" t="s">
        <v>1173</v>
      </c>
      <c r="E217" s="118" t="str">
        <f>IF(C217 ="","",C217-Listas!$B$2)</f>
        <v>#VALUE!</v>
      </c>
      <c r="F217" s="64">
        <v>3.317649368E9</v>
      </c>
      <c r="G217" s="64" t="s">
        <v>1176</v>
      </c>
    </row>
    <row r="218" ht="15.75" customHeight="1">
      <c r="A218" s="60" t="s">
        <v>1177</v>
      </c>
      <c r="B218" s="60" t="s">
        <v>788</v>
      </c>
      <c r="C218" s="113" t="s">
        <v>1087</v>
      </c>
      <c r="D218" s="60" t="s">
        <v>1173</v>
      </c>
      <c r="E218" s="118" t="str">
        <f>IF(C218 ="","",C218-Listas!$B$2)</f>
        <v>#VALUE!</v>
      </c>
      <c r="F218" s="64">
        <v>3.324978578E9</v>
      </c>
      <c r="G218" s="64" t="s">
        <v>1149</v>
      </c>
    </row>
    <row r="219" ht="15.75" customHeight="1">
      <c r="A219" s="60" t="s">
        <v>1178</v>
      </c>
      <c r="B219" s="60" t="s">
        <v>788</v>
      </c>
      <c r="C219" s="113" t="s">
        <v>805</v>
      </c>
      <c r="D219" s="60" t="s">
        <v>1179</v>
      </c>
      <c r="E219" s="118" t="str">
        <f>IF(C219 ="","",C219-Listas!$B$2)</f>
        <v>#VALUE!</v>
      </c>
      <c r="F219" s="64">
        <v>3.331082234E9</v>
      </c>
      <c r="G219" s="64" t="s">
        <v>1176</v>
      </c>
    </row>
    <row r="220" ht="15.75" customHeight="1">
      <c r="A220" s="60" t="s">
        <v>1180</v>
      </c>
      <c r="B220" s="60" t="s">
        <v>788</v>
      </c>
      <c r="C220" s="113" t="s">
        <v>805</v>
      </c>
      <c r="D220" s="60" t="s">
        <v>1179</v>
      </c>
      <c r="E220" s="118" t="str">
        <f>IF(C220 ="","",C220-Listas!$B$2)</f>
        <v>#VALUE!</v>
      </c>
      <c r="F220" s="64">
        <v>3.31553301E9</v>
      </c>
      <c r="G220" s="64" t="s">
        <v>1149</v>
      </c>
    </row>
    <row r="221" ht="15.75" customHeight="1">
      <c r="A221" s="60" t="s">
        <v>1181</v>
      </c>
      <c r="B221" s="60" t="s">
        <v>788</v>
      </c>
      <c r="C221" s="113" t="s">
        <v>1182</v>
      </c>
      <c r="D221" s="60" t="s">
        <v>1179</v>
      </c>
      <c r="E221" s="118" t="str">
        <f>IF(C221 ="","",C221-Listas!$B$2)</f>
        <v>#VALUE!</v>
      </c>
      <c r="F221" s="64">
        <v>3.334705045E9</v>
      </c>
      <c r="G221" s="64" t="s">
        <v>1176</v>
      </c>
    </row>
    <row r="222" ht="15.75" customHeight="1">
      <c r="A222" s="60" t="s">
        <v>1066</v>
      </c>
      <c r="B222" s="60" t="s">
        <v>788</v>
      </c>
      <c r="C222" s="113" t="s">
        <v>805</v>
      </c>
      <c r="D222" s="60" t="s">
        <v>1183</v>
      </c>
      <c r="E222" s="118" t="str">
        <f>IF(C222 ="","",C222-Listas!$B$2)</f>
        <v>#VALUE!</v>
      </c>
      <c r="F222" s="64">
        <v>3.320193686E9</v>
      </c>
      <c r="G222" s="64" t="s">
        <v>1184</v>
      </c>
    </row>
    <row r="223" ht="15.75" customHeight="1">
      <c r="A223" s="60" t="s">
        <v>1185</v>
      </c>
      <c r="B223" s="60" t="s">
        <v>788</v>
      </c>
      <c r="C223" s="113" t="s">
        <v>805</v>
      </c>
      <c r="D223" s="60" t="s">
        <v>1186</v>
      </c>
      <c r="E223" s="118" t="str">
        <f>IF(C223 ="","",C223-Listas!$B$2)</f>
        <v>#VALUE!</v>
      </c>
      <c r="F223" s="64">
        <v>3.3199484E9</v>
      </c>
      <c r="G223" s="64" t="s">
        <v>1176</v>
      </c>
    </row>
    <row r="224" ht="15.75" customHeight="1">
      <c r="A224" s="60" t="s">
        <v>1187</v>
      </c>
      <c r="B224" s="60" t="s">
        <v>788</v>
      </c>
      <c r="C224" s="113" t="s">
        <v>820</v>
      </c>
      <c r="D224" s="60" t="s">
        <v>1186</v>
      </c>
      <c r="E224" s="118" t="str">
        <f>IF(C224 ="","",C224-Listas!$B$2)</f>
        <v>#VALUE!</v>
      </c>
      <c r="F224" s="64">
        <v>3.310435206E9</v>
      </c>
      <c r="G224" s="64" t="s">
        <v>1176</v>
      </c>
    </row>
    <row r="225" ht="15.75" customHeight="1">
      <c r="A225" s="60" t="s">
        <v>1188</v>
      </c>
      <c r="B225" s="60" t="s">
        <v>788</v>
      </c>
      <c r="C225" s="113" t="s">
        <v>805</v>
      </c>
      <c r="D225" s="60" t="s">
        <v>1186</v>
      </c>
      <c r="E225" s="118" t="str">
        <f>IF(C225 ="","",C225-Listas!$B$2)</f>
        <v>#VALUE!</v>
      </c>
      <c r="F225" s="64">
        <v>3.317612732E9</v>
      </c>
      <c r="G225" s="64" t="s">
        <v>1176</v>
      </c>
    </row>
    <row r="226" ht="15.75" customHeight="1">
      <c r="A226" s="60" t="s">
        <v>1189</v>
      </c>
      <c r="B226" s="60" t="s">
        <v>788</v>
      </c>
      <c r="C226" s="113" t="s">
        <v>805</v>
      </c>
      <c r="D226" s="60" t="s">
        <v>1190</v>
      </c>
      <c r="E226" s="118" t="str">
        <f>IF(C226 ="","",C226-Listas!$B$2)</f>
        <v>#VALUE!</v>
      </c>
      <c r="F226" s="64">
        <v>3.339166207E9</v>
      </c>
      <c r="G226" s="64" t="s">
        <v>1176</v>
      </c>
    </row>
    <row r="227" ht="15.75" customHeight="1">
      <c r="A227" s="60" t="s">
        <v>1150</v>
      </c>
      <c r="B227" s="60" t="s">
        <v>788</v>
      </c>
      <c r="C227" s="124" t="s">
        <v>1191</v>
      </c>
      <c r="D227" s="60" t="s">
        <v>1190</v>
      </c>
      <c r="E227" s="118" t="str">
        <f>IF(C227 ="","",C227-Listas!$B$2)</f>
        <v>#VALUE!</v>
      </c>
      <c r="F227" s="64">
        <v>2.224028445E9</v>
      </c>
      <c r="G227" s="124" t="s">
        <v>1192</v>
      </c>
    </row>
    <row r="228" ht="15.75" customHeight="1">
      <c r="A228" s="60" t="s">
        <v>1193</v>
      </c>
      <c r="B228" s="60" t="s">
        <v>788</v>
      </c>
      <c r="C228" s="113" t="s">
        <v>805</v>
      </c>
      <c r="D228" s="60" t="s">
        <v>1190</v>
      </c>
      <c r="E228" s="118" t="str">
        <f>IF(C228 ="","",C228-Listas!$B$2)</f>
        <v>#VALUE!</v>
      </c>
      <c r="F228" s="64">
        <v>3.317005934E9</v>
      </c>
      <c r="G228" s="64" t="s">
        <v>1176</v>
      </c>
    </row>
    <row r="229" ht="15.75" customHeight="1">
      <c r="A229" s="60" t="s">
        <v>1194</v>
      </c>
      <c r="B229" s="60" t="s">
        <v>788</v>
      </c>
      <c r="C229" s="113" t="s">
        <v>1182</v>
      </c>
      <c r="D229" s="60" t="s">
        <v>1190</v>
      </c>
      <c r="E229" s="118" t="str">
        <f>IF(C229 ="","",C229-Listas!$B$2)</f>
        <v>#VALUE!</v>
      </c>
      <c r="F229" s="64">
        <v>2.227794887E9</v>
      </c>
      <c r="G229" s="64" t="s">
        <v>1176</v>
      </c>
    </row>
    <row r="230" ht="15.75" customHeight="1">
      <c r="A230" s="60" t="s">
        <v>945</v>
      </c>
      <c r="B230" s="60" t="s">
        <v>788</v>
      </c>
      <c r="C230" s="113" t="s">
        <v>805</v>
      </c>
      <c r="D230" s="60" t="s">
        <v>1195</v>
      </c>
      <c r="E230" s="118" t="str">
        <f>IF(C230 ="","",C230-Listas!$B$2)</f>
        <v>#VALUE!</v>
      </c>
      <c r="F230" s="64">
        <v>6.141983787E9</v>
      </c>
      <c r="G230" s="64" t="s">
        <v>1141</v>
      </c>
    </row>
    <row r="231" ht="15.75" customHeight="1">
      <c r="A231" s="60" t="s">
        <v>1196</v>
      </c>
      <c r="B231" s="60" t="s">
        <v>788</v>
      </c>
      <c r="C231" s="113" t="s">
        <v>1197</v>
      </c>
      <c r="D231" s="60" t="s">
        <v>1195</v>
      </c>
      <c r="E231" s="118" t="str">
        <f>IF(C231 ="","",C231-Listas!$B$2)</f>
        <v>#VALUE!</v>
      </c>
      <c r="F231" s="64">
        <v>6.14254407E9</v>
      </c>
      <c r="G231" s="126" t="s">
        <v>1169</v>
      </c>
    </row>
    <row r="232" ht="15.75" customHeight="1">
      <c r="A232" s="60" t="s">
        <v>1198</v>
      </c>
      <c r="B232" s="60" t="s">
        <v>788</v>
      </c>
      <c r="C232" s="113" t="s">
        <v>805</v>
      </c>
      <c r="D232" s="60" t="s">
        <v>1195</v>
      </c>
      <c r="E232" s="118" t="str">
        <f>IF(C232 ="","",C232-Listas!$B$2)</f>
        <v>#VALUE!</v>
      </c>
      <c r="F232" s="64">
        <v>5.579185147E9</v>
      </c>
      <c r="G232" s="64" t="s">
        <v>1141</v>
      </c>
    </row>
    <row r="233" ht="15.75" customHeight="1">
      <c r="A233" s="60" t="s">
        <v>1199</v>
      </c>
      <c r="B233" s="60" t="s">
        <v>788</v>
      </c>
      <c r="C233" s="113" t="s">
        <v>805</v>
      </c>
      <c r="D233" s="60" t="s">
        <v>1195</v>
      </c>
      <c r="E233" s="118" t="str">
        <f>IF(C233 ="","",C233-Listas!$B$2)</f>
        <v>#VALUE!</v>
      </c>
      <c r="F233" s="64">
        <v>6.143658646E9</v>
      </c>
      <c r="G233" s="64" t="s">
        <v>1141</v>
      </c>
    </row>
    <row r="234" ht="15.75" customHeight="1">
      <c r="A234" s="60" t="s">
        <v>1200</v>
      </c>
      <c r="B234" s="60" t="s">
        <v>788</v>
      </c>
      <c r="C234" s="113" t="s">
        <v>805</v>
      </c>
      <c r="D234" s="60" t="s">
        <v>1195</v>
      </c>
      <c r="E234" s="118" t="str">
        <f>IF(C234 ="","",C234-Listas!$B$2)</f>
        <v>#VALUE!</v>
      </c>
      <c r="F234" s="64">
        <v>6.141775876E9</v>
      </c>
      <c r="G234" s="64" t="s">
        <v>1141</v>
      </c>
    </row>
    <row r="235" ht="15.75" customHeight="1">
      <c r="A235" s="60" t="s">
        <v>1201</v>
      </c>
      <c r="B235" s="60" t="s">
        <v>788</v>
      </c>
      <c r="C235" s="113" t="s">
        <v>805</v>
      </c>
      <c r="D235" s="60" t="s">
        <v>1202</v>
      </c>
      <c r="E235" s="118" t="str">
        <f>IF(C235 ="","",C235-Listas!$B$2)</f>
        <v>#VALUE!</v>
      </c>
      <c r="F235" s="64">
        <v>3.328451714E9</v>
      </c>
      <c r="G235" s="64" t="s">
        <v>1141</v>
      </c>
    </row>
    <row r="236" ht="15.75" customHeight="1">
      <c r="A236" s="60" t="s">
        <v>1203</v>
      </c>
      <c r="B236" s="60" t="s">
        <v>788</v>
      </c>
      <c r="C236" s="113" t="s">
        <v>805</v>
      </c>
      <c r="D236" s="60" t="s">
        <v>1204</v>
      </c>
      <c r="E236" s="118" t="str">
        <f>IF(C236 ="","",C236-Listas!$B$2)</f>
        <v>#VALUE!</v>
      </c>
      <c r="F236" s="64">
        <v>3.340250885E9</v>
      </c>
      <c r="G236" s="64" t="s">
        <v>1141</v>
      </c>
    </row>
    <row r="237" ht="15.75" customHeight="1">
      <c r="A237" s="60" t="s">
        <v>1205</v>
      </c>
      <c r="B237" s="60" t="s">
        <v>788</v>
      </c>
      <c r="C237" s="113" t="s">
        <v>805</v>
      </c>
      <c r="D237" s="60" t="s">
        <v>1204</v>
      </c>
      <c r="E237" s="118" t="str">
        <f>IF(C238 ="","",C238-Listas!$B$2)</f>
        <v>#VALUE!</v>
      </c>
      <c r="F237" s="64">
        <v>3.31584025E9</v>
      </c>
      <c r="G237" s="64" t="s">
        <v>1141</v>
      </c>
    </row>
    <row r="238" ht="15.75" customHeight="1">
      <c r="A238" s="60" t="s">
        <v>1206</v>
      </c>
      <c r="B238" s="60" t="s">
        <v>788</v>
      </c>
      <c r="C238" s="113" t="s">
        <v>1207</v>
      </c>
      <c r="D238" s="60" t="s">
        <v>1204</v>
      </c>
      <c r="E238" s="118" t="str">
        <f>IF(#REF! ="","",#REF!-Listas!$B$2)</f>
        <v>#REF!</v>
      </c>
      <c r="F238" s="64">
        <v>3.33015143E9</v>
      </c>
      <c r="G238" s="64" t="s">
        <v>1176</v>
      </c>
    </row>
    <row r="239" ht="15.75" customHeight="1">
      <c r="A239" s="60" t="s">
        <v>1208</v>
      </c>
      <c r="B239" s="60" t="s">
        <v>788</v>
      </c>
      <c r="C239" s="113" t="s">
        <v>842</v>
      </c>
      <c r="D239" s="60" t="s">
        <v>1209</v>
      </c>
      <c r="E239" s="118" t="str">
        <f>IF(C239 ="","",C239-Listas!$B$2)</f>
        <v>#VALUE!</v>
      </c>
      <c r="F239" s="64">
        <v>3.316322729E9</v>
      </c>
      <c r="G239" s="64" t="s">
        <v>1176</v>
      </c>
    </row>
    <row r="240" ht="15.75" customHeight="1">
      <c r="A240" s="60" t="s">
        <v>1210</v>
      </c>
      <c r="B240" s="60" t="s">
        <v>788</v>
      </c>
      <c r="C240" s="113" t="s">
        <v>820</v>
      </c>
      <c r="D240" s="60" t="s">
        <v>1209</v>
      </c>
      <c r="E240" s="118" t="str">
        <f>IF(C240 ="","",C240-Listas!$B$2)</f>
        <v>#VALUE!</v>
      </c>
      <c r="F240" s="64">
        <v>3.326764327E9</v>
      </c>
      <c r="G240" s="64" t="s">
        <v>1176</v>
      </c>
    </row>
    <row r="241" ht="15.75" customHeight="1">
      <c r="A241" s="60" t="s">
        <v>1211</v>
      </c>
      <c r="B241" s="60" t="s">
        <v>788</v>
      </c>
      <c r="C241" s="124" t="s">
        <v>1212</v>
      </c>
      <c r="D241" s="60" t="s">
        <v>1209</v>
      </c>
      <c r="E241" s="118" t="str">
        <f>IF(C241 ="","",C241-Listas!$B$2)</f>
        <v>#VALUE!</v>
      </c>
      <c r="F241" s="64">
        <v>3.311862243E9</v>
      </c>
      <c r="G241" s="124" t="s">
        <v>1192</v>
      </c>
    </row>
    <row r="242" ht="15.75" customHeight="1">
      <c r="A242" s="60" t="s">
        <v>1213</v>
      </c>
      <c r="B242" s="60" t="s">
        <v>788</v>
      </c>
      <c r="C242" s="113" t="s">
        <v>1214</v>
      </c>
      <c r="D242" s="60" t="s">
        <v>1209</v>
      </c>
      <c r="E242" s="118" t="str">
        <f>IF(C242 ="","",C242-Listas!$B$2)</f>
        <v>#VALUE!</v>
      </c>
      <c r="F242" s="64">
        <v>3.337223599E9</v>
      </c>
      <c r="G242" s="64" t="s">
        <v>1176</v>
      </c>
    </row>
    <row r="243" ht="15.75" customHeight="1">
      <c r="A243" s="60" t="s">
        <v>1215</v>
      </c>
      <c r="B243" s="60" t="s">
        <v>788</v>
      </c>
      <c r="C243" s="113" t="s">
        <v>1087</v>
      </c>
      <c r="D243" s="60" t="s">
        <v>1209</v>
      </c>
      <c r="E243" s="118" t="str">
        <f>IF(C243 ="","",C243-Listas!$B$2)</f>
        <v>#VALUE!</v>
      </c>
      <c r="F243" s="64">
        <v>3.317432259E9</v>
      </c>
      <c r="G243" s="64" t="s">
        <v>1176</v>
      </c>
    </row>
    <row r="244" ht="15.75" customHeight="1">
      <c r="A244" s="60" t="s">
        <v>1216</v>
      </c>
      <c r="B244" s="60" t="s">
        <v>788</v>
      </c>
      <c r="C244" s="113" t="s">
        <v>805</v>
      </c>
      <c r="D244" s="60" t="s">
        <v>1209</v>
      </c>
      <c r="E244" s="118" t="str">
        <f>IF(C244 ="","",C244-Listas!$B$2)</f>
        <v>#VALUE!</v>
      </c>
      <c r="F244" s="64">
        <v>4.423207972E9</v>
      </c>
      <c r="G244" s="133" t="s">
        <v>1169</v>
      </c>
    </row>
    <row r="245" ht="15.75" customHeight="1">
      <c r="A245" s="60" t="s">
        <v>1217</v>
      </c>
      <c r="B245" s="60" t="s">
        <v>788</v>
      </c>
      <c r="C245" s="113" t="s">
        <v>805</v>
      </c>
      <c r="D245" s="60" t="s">
        <v>1209</v>
      </c>
      <c r="E245" s="118" t="str">
        <f>IF(C245 ="","",C245-Listas!$B$2)</f>
        <v>#VALUE!</v>
      </c>
      <c r="F245" s="64">
        <v>3.310098335E9</v>
      </c>
      <c r="G245" s="64" t="s">
        <v>1176</v>
      </c>
    </row>
    <row r="246" ht="15.75" customHeight="1">
      <c r="A246" s="60" t="s">
        <v>1218</v>
      </c>
      <c r="B246" s="60" t="s">
        <v>788</v>
      </c>
      <c r="C246" s="113" t="s">
        <v>1219</v>
      </c>
      <c r="D246" s="60" t="s">
        <v>1220</v>
      </c>
      <c r="E246" s="118" t="str">
        <f>IF(C246 ="","",C246-Listas!$B$2)</f>
        <v>#VALUE!</v>
      </c>
      <c r="F246" s="64">
        <v>3.313375309E9</v>
      </c>
      <c r="G246" s="64" t="s">
        <v>1176</v>
      </c>
    </row>
    <row r="247" ht="15.75" customHeight="1">
      <c r="A247" s="60" t="s">
        <v>1221</v>
      </c>
      <c r="B247" s="60" t="s">
        <v>788</v>
      </c>
      <c r="C247" s="113" t="s">
        <v>805</v>
      </c>
      <c r="D247" s="60" t="s">
        <v>1220</v>
      </c>
      <c r="E247" s="118" t="str">
        <f>IF(C247 ="","",C247-Listas!$B$2)</f>
        <v>#VALUE!</v>
      </c>
      <c r="F247" s="64">
        <v>3.313082934E9</v>
      </c>
      <c r="G247" s="64" t="s">
        <v>1222</v>
      </c>
    </row>
    <row r="248" ht="15.75" customHeight="1">
      <c r="A248" s="64" t="s">
        <v>1223</v>
      </c>
      <c r="B248" s="60" t="s">
        <v>788</v>
      </c>
      <c r="C248" s="113" t="s">
        <v>904</v>
      </c>
      <c r="D248" s="60" t="s">
        <v>1220</v>
      </c>
      <c r="E248" s="118" t="str">
        <f>IF(C248 ="","",C248-Listas!$B$2)</f>
        <v>#VALUE!</v>
      </c>
      <c r="F248" s="64">
        <v>3.338078377E9</v>
      </c>
      <c r="G248" s="64" t="s">
        <v>1224</v>
      </c>
    </row>
    <row r="249" ht="15.75" customHeight="1">
      <c r="A249" s="64" t="s">
        <v>1225</v>
      </c>
      <c r="B249" s="60" t="s">
        <v>788</v>
      </c>
      <c r="C249" s="113" t="s">
        <v>805</v>
      </c>
      <c r="D249" s="60" t="s">
        <v>1220</v>
      </c>
      <c r="E249" s="118" t="str">
        <f>IF(C249 ="","",C249-Listas!$B$2)</f>
        <v>#VALUE!</v>
      </c>
      <c r="F249" s="64">
        <v>3.314781576E9</v>
      </c>
      <c r="G249" s="64" t="s">
        <v>1141</v>
      </c>
    </row>
    <row r="250" ht="15.75" customHeight="1">
      <c r="A250" s="64" t="s">
        <v>1200</v>
      </c>
      <c r="B250" s="60" t="s">
        <v>788</v>
      </c>
      <c r="C250" s="113" t="s">
        <v>1226</v>
      </c>
      <c r="D250" s="60" t="s">
        <v>1220</v>
      </c>
      <c r="E250" s="118" t="str">
        <f>IF(C250 ="","",C250-Listas!$B$2)</f>
        <v>#VALUE!</v>
      </c>
      <c r="F250" s="64">
        <v>3.312845907E9</v>
      </c>
      <c r="G250" s="64" t="s">
        <v>1141</v>
      </c>
    </row>
    <row r="251" ht="15.75" customHeight="1">
      <c r="A251" s="64" t="s">
        <v>1200</v>
      </c>
      <c r="B251" s="60" t="s">
        <v>788</v>
      </c>
      <c r="C251" s="113" t="s">
        <v>1227</v>
      </c>
      <c r="D251" s="60" t="s">
        <v>1220</v>
      </c>
      <c r="E251" s="118" t="str">
        <f>IF(C251 ="","",C251-Listas!$B$2)</f>
        <v>#VALUE!</v>
      </c>
      <c r="F251" s="64">
        <v>3.339690583E9</v>
      </c>
      <c r="G251" s="64" t="s">
        <v>1141</v>
      </c>
    </row>
    <row r="252" ht="15.75" customHeight="1">
      <c r="A252" s="64" t="s">
        <v>1003</v>
      </c>
      <c r="B252" s="60" t="s">
        <v>788</v>
      </c>
      <c r="C252" s="113" t="s">
        <v>805</v>
      </c>
      <c r="D252" s="60" t="s">
        <v>1220</v>
      </c>
      <c r="E252" s="118" t="str">
        <f>IF(C252 ="","",C252-Listas!$B$2)</f>
        <v>#VALUE!</v>
      </c>
      <c r="F252" s="64">
        <v>3.310702857E9</v>
      </c>
      <c r="G252" s="64" t="s">
        <v>1141</v>
      </c>
    </row>
    <row r="253" ht="15.75" customHeight="1">
      <c r="A253" s="64" t="s">
        <v>1228</v>
      </c>
      <c r="B253" s="60" t="s">
        <v>788</v>
      </c>
      <c r="C253" s="113" t="s">
        <v>805</v>
      </c>
      <c r="D253" s="60" t="s">
        <v>1220</v>
      </c>
      <c r="E253" s="118" t="str">
        <f>IF(C253 ="","",C253-Listas!$B$2)</f>
        <v>#VALUE!</v>
      </c>
      <c r="F253" s="64">
        <v>3.33201503E9</v>
      </c>
      <c r="G253" s="64" t="s">
        <v>1229</v>
      </c>
    </row>
    <row r="254" ht="15.75" customHeight="1">
      <c r="A254" s="64" t="s">
        <v>1230</v>
      </c>
      <c r="B254" s="60" t="s">
        <v>788</v>
      </c>
      <c r="C254" s="113" t="s">
        <v>805</v>
      </c>
      <c r="D254" s="60" t="s">
        <v>1220</v>
      </c>
      <c r="E254" s="118" t="str">
        <f>IF(C254 ="","",C254-Listas!$B$2)</f>
        <v>#VALUE!</v>
      </c>
      <c r="F254" s="64">
        <v>3.312517632E9</v>
      </c>
      <c r="G254" s="64" t="s">
        <v>1141</v>
      </c>
    </row>
    <row r="255" ht="15.75" customHeight="1">
      <c r="A255" s="64" t="s">
        <v>1022</v>
      </c>
      <c r="B255" s="60" t="s">
        <v>788</v>
      </c>
      <c r="C255" s="113" t="s">
        <v>805</v>
      </c>
      <c r="D255" s="60" t="s">
        <v>1220</v>
      </c>
      <c r="E255" s="118" t="str">
        <f>IF(C255 ="","",C255-Listas!$B$2)</f>
        <v>#VALUE!</v>
      </c>
      <c r="F255" s="64">
        <v>3.327853166E9</v>
      </c>
      <c r="G255" s="64" t="s">
        <v>1231</v>
      </c>
    </row>
    <row r="256" ht="15.75" customHeight="1">
      <c r="A256" s="64" t="s">
        <v>1232</v>
      </c>
      <c r="B256" s="60" t="s">
        <v>788</v>
      </c>
      <c r="C256" s="113" t="s">
        <v>805</v>
      </c>
      <c r="D256" s="60" t="s">
        <v>1220</v>
      </c>
      <c r="E256" s="118" t="str">
        <f>IF(C256 ="","",C256-Listas!$B$2)</f>
        <v>#VALUE!</v>
      </c>
      <c r="F256" s="64">
        <v>3.32121326E9</v>
      </c>
      <c r="G256" s="64" t="s">
        <v>1231</v>
      </c>
    </row>
    <row r="257" ht="15.75" customHeight="1">
      <c r="A257" s="64" t="s">
        <v>1162</v>
      </c>
      <c r="B257" s="60" t="s">
        <v>788</v>
      </c>
      <c r="C257" s="113" t="s">
        <v>805</v>
      </c>
      <c r="D257" s="60" t="s">
        <v>1220</v>
      </c>
      <c r="E257" s="118" t="str">
        <f>IF(C257 ="","",C257-Listas!$B$2)</f>
        <v>#VALUE!</v>
      </c>
      <c r="F257" s="64">
        <v>3.333687415E9</v>
      </c>
      <c r="G257" s="64" t="s">
        <v>1233</v>
      </c>
    </row>
    <row r="258" ht="15.75" customHeight="1">
      <c r="A258" s="64" t="s">
        <v>1234</v>
      </c>
      <c r="B258" s="60" t="s">
        <v>788</v>
      </c>
      <c r="C258" s="113" t="s">
        <v>805</v>
      </c>
      <c r="D258" s="60" t="s">
        <v>1220</v>
      </c>
      <c r="E258" s="118" t="str">
        <f>IF(C258 ="","",C258-Listas!$B$2)</f>
        <v>#VALUE!</v>
      </c>
      <c r="F258" s="64">
        <v>3.317375375E9</v>
      </c>
      <c r="G258" s="64" t="s">
        <v>1231</v>
      </c>
    </row>
    <row r="259" ht="15.75" customHeight="1">
      <c r="A259" s="64" t="s">
        <v>1235</v>
      </c>
      <c r="B259" s="60" t="s">
        <v>788</v>
      </c>
      <c r="C259" s="113" t="s">
        <v>805</v>
      </c>
      <c r="D259" s="60" t="s">
        <v>1220</v>
      </c>
      <c r="E259" s="118" t="str">
        <f>IF(C259 ="","",C259-Listas!$B$2)</f>
        <v>#VALUE!</v>
      </c>
      <c r="F259" s="64">
        <v>3.320821753E9</v>
      </c>
      <c r="G259" s="64" t="s">
        <v>1231</v>
      </c>
    </row>
    <row r="260" ht="15.75" customHeight="1">
      <c r="A260" s="64" t="s">
        <v>1236</v>
      </c>
      <c r="B260" s="60" t="s">
        <v>788</v>
      </c>
      <c r="C260" s="113" t="s">
        <v>805</v>
      </c>
      <c r="D260" s="60" t="s">
        <v>1220</v>
      </c>
      <c r="E260" s="118" t="str">
        <f>IF(C260 ="","",C260-Listas!$B$2)</f>
        <v>#VALUE!</v>
      </c>
      <c r="F260" s="64">
        <v>3.338088972E9</v>
      </c>
      <c r="G260" s="64" t="s">
        <v>1229</v>
      </c>
    </row>
    <row r="261" ht="15.75" customHeight="1">
      <c r="A261" s="64" t="s">
        <v>1237</v>
      </c>
      <c r="B261" s="60" t="s">
        <v>788</v>
      </c>
      <c r="C261" s="113" t="s">
        <v>1238</v>
      </c>
      <c r="D261" s="60" t="s">
        <v>1220</v>
      </c>
      <c r="E261" s="118" t="str">
        <f>IF(C261 ="","",C261-Listas!$B$2)</f>
        <v>#VALUE!</v>
      </c>
      <c r="F261" s="64">
        <v>3.315278876E9</v>
      </c>
      <c r="G261" s="64" t="s">
        <v>1231</v>
      </c>
    </row>
    <row r="262" ht="15.75" customHeight="1">
      <c r="A262" s="64" t="s">
        <v>1239</v>
      </c>
      <c r="B262" s="60" t="s">
        <v>788</v>
      </c>
      <c r="C262" s="113" t="s">
        <v>805</v>
      </c>
      <c r="D262" s="60" t="s">
        <v>1220</v>
      </c>
      <c r="E262" s="118" t="str">
        <f>IF(C262 ="","",C262-Listas!$B$2)</f>
        <v>#VALUE!</v>
      </c>
      <c r="F262" s="64">
        <v>3.312387463E9</v>
      </c>
      <c r="G262" s="64" t="s">
        <v>1231</v>
      </c>
    </row>
    <row r="263" ht="15.75" customHeight="1">
      <c r="A263" s="64" t="s">
        <v>1240</v>
      </c>
      <c r="B263" s="60" t="s">
        <v>788</v>
      </c>
      <c r="C263" s="134" t="s">
        <v>1241</v>
      </c>
      <c r="D263" s="60" t="s">
        <v>1220</v>
      </c>
      <c r="E263" s="118" t="str">
        <f>IF(C263 ="","",C263-Listas!$B$2)</f>
        <v>#VALUE!</v>
      </c>
      <c r="F263" s="64">
        <v>3.331197651E9</v>
      </c>
      <c r="G263" s="134" t="s">
        <v>1242</v>
      </c>
    </row>
    <row r="264" ht="15.75" customHeight="1">
      <c r="A264" s="64" t="s">
        <v>1243</v>
      </c>
      <c r="B264" s="60" t="s">
        <v>788</v>
      </c>
      <c r="C264" s="113" t="s">
        <v>805</v>
      </c>
      <c r="D264" s="60" t="s">
        <v>1220</v>
      </c>
      <c r="E264" s="118" t="str">
        <f>IF(C264 ="","",C264-Listas!$B$2)</f>
        <v>#VALUE!</v>
      </c>
      <c r="F264" s="64">
        <v>3.313364774E9</v>
      </c>
      <c r="G264" s="64" t="s">
        <v>1231</v>
      </c>
    </row>
    <row r="265" ht="15.75" customHeight="1">
      <c r="A265" s="64" t="s">
        <v>1244</v>
      </c>
      <c r="B265" s="60" t="s">
        <v>788</v>
      </c>
      <c r="C265" s="113" t="s">
        <v>805</v>
      </c>
      <c r="D265" s="60" t="s">
        <v>1220</v>
      </c>
      <c r="E265" s="118" t="str">
        <f>IF(C265 ="","",C265-Listas!$B$2)</f>
        <v>#VALUE!</v>
      </c>
      <c r="F265" s="64">
        <v>3.312939259E9</v>
      </c>
      <c r="G265" s="64" t="s">
        <v>1245</v>
      </c>
    </row>
    <row r="266" ht="15.75" customHeight="1">
      <c r="A266" s="64" t="s">
        <v>1246</v>
      </c>
      <c r="B266" s="60" t="s">
        <v>788</v>
      </c>
      <c r="C266" s="113" t="s">
        <v>805</v>
      </c>
      <c r="D266" s="60" t="s">
        <v>1220</v>
      </c>
      <c r="E266" s="118" t="str">
        <f>IF(C266 ="","",C266-Listas!$B$2)</f>
        <v>#VALUE!</v>
      </c>
      <c r="F266" s="64">
        <v>3.319565458E9</v>
      </c>
      <c r="G266" s="64" t="s">
        <v>1245</v>
      </c>
    </row>
    <row r="267" ht="15.75" customHeight="1">
      <c r="A267" s="64" t="s">
        <v>1247</v>
      </c>
      <c r="B267" s="60" t="s">
        <v>788</v>
      </c>
      <c r="C267" s="113" t="s">
        <v>805</v>
      </c>
      <c r="D267" s="60" t="s">
        <v>1220</v>
      </c>
      <c r="E267" s="118" t="str">
        <f>IF(C267 ="","",C267-Listas!$B$2)</f>
        <v>#VALUE!</v>
      </c>
      <c r="F267" s="64">
        <v>3.339658267E9</v>
      </c>
      <c r="G267" s="64" t="s">
        <v>1248</v>
      </c>
    </row>
    <row r="268" ht="15.75" customHeight="1">
      <c r="A268" s="64" t="s">
        <v>1249</v>
      </c>
      <c r="B268" s="60" t="s">
        <v>788</v>
      </c>
      <c r="C268" s="132" t="s">
        <v>904</v>
      </c>
      <c r="D268" s="60" t="s">
        <v>1220</v>
      </c>
      <c r="E268" s="118" t="str">
        <f>IF(C268 ="","",C268-Listas!$B$2)</f>
        <v>#VALUE!</v>
      </c>
      <c r="F268" s="64">
        <v>3.318209057E9</v>
      </c>
      <c r="G268" s="64" t="s">
        <v>1248</v>
      </c>
    </row>
    <row r="269" ht="15.75" customHeight="1">
      <c r="A269" s="64" t="s">
        <v>1250</v>
      </c>
      <c r="B269" s="60" t="s">
        <v>788</v>
      </c>
      <c r="C269" s="113" t="s">
        <v>805</v>
      </c>
      <c r="D269" s="60" t="s">
        <v>1220</v>
      </c>
      <c r="E269" s="118" t="str">
        <f>IF(C269 ="","",C269-Listas!$B$2)</f>
        <v>#VALUE!</v>
      </c>
      <c r="F269" s="64">
        <v>3.33451915E9</v>
      </c>
      <c r="G269" s="64" t="s">
        <v>805</v>
      </c>
    </row>
    <row r="270" ht="15.75" customHeight="1">
      <c r="A270" s="64" t="s">
        <v>1251</v>
      </c>
      <c r="B270" s="60" t="s">
        <v>788</v>
      </c>
      <c r="C270" s="132" t="s">
        <v>904</v>
      </c>
      <c r="D270" s="60" t="s">
        <v>1220</v>
      </c>
      <c r="E270" s="118" t="str">
        <f>IF(C270 ="","",C270-Listas!$B$2)</f>
        <v>#VALUE!</v>
      </c>
      <c r="F270" s="64">
        <v>3.318304756E9</v>
      </c>
      <c r="G270" s="64" t="s">
        <v>1248</v>
      </c>
    </row>
    <row r="271" ht="15.75" customHeight="1">
      <c r="A271" s="64" t="s">
        <v>1252</v>
      </c>
      <c r="B271" s="64" t="s">
        <v>788</v>
      </c>
      <c r="C271" s="113" t="s">
        <v>805</v>
      </c>
      <c r="D271" s="64" t="s">
        <v>1253</v>
      </c>
      <c r="E271" s="118" t="str">
        <f>IF(C271 ="","",C271-Listas!$B$2)</f>
        <v>#VALUE!</v>
      </c>
      <c r="F271" s="64">
        <v>3.312655801E9</v>
      </c>
      <c r="G271" s="64" t="s">
        <v>1254</v>
      </c>
    </row>
    <row r="272" ht="15.75" customHeight="1">
      <c r="A272" s="64" t="s">
        <v>1255</v>
      </c>
      <c r="B272" s="64" t="s">
        <v>788</v>
      </c>
      <c r="C272" s="113" t="s">
        <v>805</v>
      </c>
      <c r="D272" s="64" t="s">
        <v>1253</v>
      </c>
      <c r="E272" s="118" t="str">
        <f>IF(C272 ="","",C272-Listas!$B$2)</f>
        <v>#VALUE!</v>
      </c>
      <c r="F272" s="64">
        <v>3.331400044E9</v>
      </c>
      <c r="G272" s="64" t="s">
        <v>1256</v>
      </c>
    </row>
    <row r="273" ht="15.75" customHeight="1">
      <c r="A273" s="64" t="s">
        <v>1257</v>
      </c>
      <c r="B273" s="64" t="s">
        <v>788</v>
      </c>
      <c r="C273" s="113" t="s">
        <v>805</v>
      </c>
      <c r="D273" s="64" t="s">
        <v>1258</v>
      </c>
      <c r="E273" s="118" t="str">
        <f>IF(C273 ="","",C273-Listas!$B$2)</f>
        <v>#VALUE!</v>
      </c>
      <c r="F273" s="64">
        <v>3.31331244E9</v>
      </c>
      <c r="G273" s="64" t="s">
        <v>1254</v>
      </c>
    </row>
    <row r="274" ht="15.75" customHeight="1">
      <c r="A274" s="64" t="s">
        <v>1259</v>
      </c>
      <c r="B274" s="64" t="s">
        <v>788</v>
      </c>
      <c r="C274" s="113" t="s">
        <v>805</v>
      </c>
      <c r="D274" s="64" t="s">
        <v>1258</v>
      </c>
      <c r="E274" s="118" t="str">
        <f>IF(C274 ="","",C274-Listas!$B$2)</f>
        <v>#VALUE!</v>
      </c>
      <c r="F274" s="64">
        <v>3.323401377E9</v>
      </c>
      <c r="G274" s="64" t="s">
        <v>1254</v>
      </c>
    </row>
    <row r="275" ht="15.75" customHeight="1">
      <c r="A275" s="64" t="s">
        <v>1260</v>
      </c>
      <c r="B275" s="64" t="s">
        <v>788</v>
      </c>
      <c r="C275" s="113" t="s">
        <v>805</v>
      </c>
      <c r="D275" s="64" t="s">
        <v>1258</v>
      </c>
      <c r="E275" s="118" t="str">
        <f>IF(C275 ="","",C275-Listas!$B$2)</f>
        <v>#VALUE!</v>
      </c>
      <c r="F275" s="64">
        <v>3.325384682E9</v>
      </c>
      <c r="G275" s="64" t="s">
        <v>1254</v>
      </c>
    </row>
    <row r="276" ht="15.75" customHeight="1">
      <c r="A276" s="64" t="s">
        <v>1261</v>
      </c>
      <c r="B276" s="64" t="s">
        <v>788</v>
      </c>
      <c r="C276" s="113" t="s">
        <v>805</v>
      </c>
      <c r="D276" s="64" t="s">
        <v>1258</v>
      </c>
      <c r="E276" s="118" t="str">
        <f>IF(C276 ="","",C276-Listas!$B$2)</f>
        <v>#VALUE!</v>
      </c>
      <c r="F276" s="64">
        <v>3.314456062E9</v>
      </c>
      <c r="G276" s="64" t="s">
        <v>1254</v>
      </c>
    </row>
    <row r="277" ht="15.75" customHeight="1">
      <c r="A277" s="64" t="s">
        <v>1262</v>
      </c>
      <c r="B277" s="64" t="s">
        <v>788</v>
      </c>
      <c r="C277" s="113" t="s">
        <v>805</v>
      </c>
      <c r="D277" s="64" t="s">
        <v>1258</v>
      </c>
      <c r="E277" s="118" t="str">
        <f>IF(C277 ="","",C277-Listas!$B$2)</f>
        <v>#VALUE!</v>
      </c>
      <c r="F277" s="64">
        <v>3.32548544E9</v>
      </c>
      <c r="G277" s="64" t="s">
        <v>1263</v>
      </c>
    </row>
    <row r="278" ht="15.75" customHeight="1">
      <c r="A278" s="64" t="s">
        <v>1264</v>
      </c>
      <c r="B278" s="64" t="s">
        <v>788</v>
      </c>
      <c r="C278" s="113" t="s">
        <v>805</v>
      </c>
      <c r="D278" s="64" t="s">
        <v>1265</v>
      </c>
      <c r="E278" s="118" t="str">
        <f>IF(C278 ="","",C278-Listas!$B$2)</f>
        <v>#VALUE!</v>
      </c>
      <c r="F278" s="64">
        <v>3.316056E9</v>
      </c>
      <c r="G278" s="64" t="s">
        <v>1254</v>
      </c>
    </row>
    <row r="279" ht="15.75" customHeight="1">
      <c r="A279" s="64" t="s">
        <v>1266</v>
      </c>
      <c r="B279" s="64" t="s">
        <v>788</v>
      </c>
      <c r="C279" s="113" t="s">
        <v>805</v>
      </c>
      <c r="D279" s="64" t="s">
        <v>1265</v>
      </c>
      <c r="E279" s="118" t="str">
        <f>IF(C279 ="","",C279-Listas!$B$2)</f>
        <v>#VALUE!</v>
      </c>
      <c r="F279" s="64">
        <v>3.316026231E9</v>
      </c>
      <c r="G279" s="64" t="s">
        <v>1254</v>
      </c>
    </row>
    <row r="280" ht="15.75" customHeight="1">
      <c r="A280" s="64" t="s">
        <v>1267</v>
      </c>
      <c r="B280" s="64" t="s">
        <v>788</v>
      </c>
      <c r="C280" s="113" t="s">
        <v>805</v>
      </c>
      <c r="D280" s="64" t="s">
        <v>1265</v>
      </c>
      <c r="E280" s="118" t="str">
        <f>IF(C280 ="","",C280-Listas!$B$2)</f>
        <v>#VALUE!</v>
      </c>
      <c r="F280" s="64">
        <v>3.314262723E9</v>
      </c>
      <c r="G280" s="64" t="s">
        <v>1254</v>
      </c>
    </row>
    <row r="281" ht="15.75" customHeight="1">
      <c r="A281" s="64" t="s">
        <v>1268</v>
      </c>
      <c r="B281" s="64" t="s">
        <v>788</v>
      </c>
      <c r="C281" s="113" t="s">
        <v>805</v>
      </c>
      <c r="D281" s="64" t="s">
        <v>1265</v>
      </c>
      <c r="E281" s="118" t="str">
        <f>IF(C281 ="","",C281-Listas!$B$2)</f>
        <v>#VALUE!</v>
      </c>
      <c r="F281" s="64">
        <v>3.31163828E9</v>
      </c>
      <c r="G281" s="64" t="s">
        <v>1254</v>
      </c>
    </row>
    <row r="282" ht="15.75" customHeight="1">
      <c r="A282" s="64" t="s">
        <v>1269</v>
      </c>
      <c r="B282" s="64" t="s">
        <v>788</v>
      </c>
      <c r="C282" s="113" t="s">
        <v>805</v>
      </c>
      <c r="D282" s="64" t="s">
        <v>1270</v>
      </c>
      <c r="E282" s="118" t="str">
        <f>IF(C282 ="","",C282-Listas!$B$2)</f>
        <v>#VALUE!</v>
      </c>
      <c r="F282" s="64">
        <v>3.326777949E9</v>
      </c>
      <c r="G282" s="64" t="s">
        <v>1271</v>
      </c>
    </row>
    <row r="283" ht="15.75" customHeight="1">
      <c r="A283" s="64" t="s">
        <v>1272</v>
      </c>
      <c r="B283" s="64" t="s">
        <v>788</v>
      </c>
      <c r="C283" s="113" t="s">
        <v>805</v>
      </c>
      <c r="D283" s="64" t="s">
        <v>1270</v>
      </c>
      <c r="E283" s="118" t="str">
        <f>IF(C283 ="","",C283-Listas!$B$2)</f>
        <v>#VALUE!</v>
      </c>
      <c r="F283" s="64">
        <v>3.321547062E9</v>
      </c>
      <c r="G283" s="64" t="s">
        <v>1263</v>
      </c>
    </row>
    <row r="284" ht="15.75" customHeight="1">
      <c r="A284" s="64" t="s">
        <v>1273</v>
      </c>
      <c r="B284" s="64" t="s">
        <v>788</v>
      </c>
      <c r="C284" s="113" t="s">
        <v>805</v>
      </c>
      <c r="D284" s="64" t="s">
        <v>1270</v>
      </c>
      <c r="E284" s="118" t="str">
        <f>IF(C284 ="","",C284-Listas!$B$2)</f>
        <v>#VALUE!</v>
      </c>
      <c r="F284" s="64">
        <v>3.310162464E9</v>
      </c>
      <c r="G284" s="64" t="s">
        <v>1254</v>
      </c>
    </row>
    <row r="285" ht="15.75" customHeight="1">
      <c r="A285" s="64" t="s">
        <v>1274</v>
      </c>
      <c r="B285" s="64" t="s">
        <v>788</v>
      </c>
      <c r="C285" s="113" t="s">
        <v>805</v>
      </c>
      <c r="D285" s="64" t="s">
        <v>1270</v>
      </c>
      <c r="E285" s="118" t="str">
        <f>IF(C285 ="","",C285-Listas!$B$2)</f>
        <v>#VALUE!</v>
      </c>
      <c r="F285" s="64">
        <v>3.334957026E9</v>
      </c>
      <c r="G285" s="64" t="s">
        <v>1254</v>
      </c>
    </row>
    <row r="286" ht="15.75" customHeight="1">
      <c r="A286" s="64" t="s">
        <v>1275</v>
      </c>
      <c r="B286" s="64" t="s">
        <v>788</v>
      </c>
      <c r="C286" s="113" t="s">
        <v>805</v>
      </c>
      <c r="D286" s="64" t="s">
        <v>1270</v>
      </c>
      <c r="E286" s="118" t="str">
        <f>IF(C286 ="","",C286-Listas!$B$2)</f>
        <v>#VALUE!</v>
      </c>
      <c r="F286" s="64">
        <v>3.318038472E9</v>
      </c>
      <c r="G286" s="64" t="s">
        <v>1254</v>
      </c>
    </row>
    <row r="287" ht="15.75" customHeight="1">
      <c r="A287" s="64" t="s">
        <v>1276</v>
      </c>
      <c r="B287" s="64" t="s">
        <v>788</v>
      </c>
      <c r="C287" s="113" t="s">
        <v>805</v>
      </c>
      <c r="D287" s="64" t="s">
        <v>1277</v>
      </c>
      <c r="E287" s="118" t="str">
        <f>IF(C287 ="","",C287-Listas!$B$2)</f>
        <v>#VALUE!</v>
      </c>
      <c r="F287" s="64">
        <v>3.334734292E9</v>
      </c>
      <c r="G287" s="64" t="s">
        <v>1254</v>
      </c>
    </row>
    <row r="288" ht="15.75" customHeight="1">
      <c r="A288" s="64" t="s">
        <v>1278</v>
      </c>
      <c r="B288" s="64" t="s">
        <v>788</v>
      </c>
      <c r="C288" s="113" t="s">
        <v>805</v>
      </c>
      <c r="D288" s="64" t="s">
        <v>1277</v>
      </c>
      <c r="E288" s="118" t="str">
        <f>IF(C288 ="","",C288-Listas!$B$2)</f>
        <v>#VALUE!</v>
      </c>
      <c r="F288" s="64">
        <v>3.31177479E9</v>
      </c>
      <c r="G288" s="64" t="s">
        <v>1254</v>
      </c>
    </row>
    <row r="289" ht="15.75" customHeight="1">
      <c r="A289" s="64" t="s">
        <v>1279</v>
      </c>
      <c r="B289" s="64" t="s">
        <v>788</v>
      </c>
      <c r="C289" s="113" t="s">
        <v>805</v>
      </c>
      <c r="D289" s="64" t="s">
        <v>1277</v>
      </c>
      <c r="E289" s="118" t="str">
        <f>IF(C289 ="","",C289-Listas!$B$2)</f>
        <v>#VALUE!</v>
      </c>
      <c r="F289" s="64">
        <v>3.33189436E9</v>
      </c>
      <c r="G289" s="64" t="s">
        <v>1254</v>
      </c>
    </row>
    <row r="290" ht="15.75" customHeight="1">
      <c r="A290" s="64" t="s">
        <v>1280</v>
      </c>
      <c r="B290" s="64" t="s">
        <v>1281</v>
      </c>
      <c r="C290" s="113" t="s">
        <v>805</v>
      </c>
      <c r="D290" s="64" t="s">
        <v>1282</v>
      </c>
      <c r="E290" s="118" t="str">
        <f>IF(C290 ="","",C290-Listas!$B$2)</f>
        <v>#VALUE!</v>
      </c>
      <c r="F290" s="64">
        <v>3.331370305E9</v>
      </c>
      <c r="G290" s="64" t="s">
        <v>1283</v>
      </c>
    </row>
    <row r="291" ht="15.75" customHeight="1">
      <c r="A291" s="64" t="s">
        <v>1284</v>
      </c>
      <c r="B291" s="64" t="s">
        <v>1281</v>
      </c>
      <c r="C291" s="124" t="s">
        <v>1285</v>
      </c>
      <c r="D291" s="64" t="s">
        <v>1286</v>
      </c>
      <c r="E291" s="118" t="str">
        <f>IF(C291 ="","",C291-Listas!$B$2)</f>
        <v>#VALUE!</v>
      </c>
      <c r="F291" s="64">
        <v>3.338447023E9</v>
      </c>
      <c r="G291" s="64" t="s">
        <v>1248</v>
      </c>
    </row>
    <row r="292" ht="15.75" customHeight="1">
      <c r="A292" s="64" t="s">
        <v>1287</v>
      </c>
      <c r="B292" s="64" t="s">
        <v>1281</v>
      </c>
      <c r="C292" s="113" t="s">
        <v>805</v>
      </c>
      <c r="D292" s="64" t="s">
        <v>1288</v>
      </c>
      <c r="E292" s="118" t="str">
        <f>IF(C292 ="","",C292-Listas!$B$2)</f>
        <v>#VALUE!</v>
      </c>
      <c r="F292" s="64">
        <v>3.310066599E9</v>
      </c>
      <c r="G292" s="64" t="s">
        <v>1248</v>
      </c>
    </row>
    <row r="293" ht="15.75" customHeight="1">
      <c r="A293" s="64" t="s">
        <v>1289</v>
      </c>
      <c r="B293" s="64" t="s">
        <v>1281</v>
      </c>
      <c r="C293" s="113" t="s">
        <v>805</v>
      </c>
      <c r="D293" s="64" t="s">
        <v>1288</v>
      </c>
      <c r="E293" s="118" t="str">
        <f>IF(C293 ="","",C293-Listas!$B$2)</f>
        <v>#VALUE!</v>
      </c>
      <c r="F293" s="64">
        <v>3.313669784E9</v>
      </c>
      <c r="G293" s="64" t="s">
        <v>1290</v>
      </c>
    </row>
    <row r="294" ht="15.75" customHeight="1">
      <c r="A294" s="64" t="s">
        <v>1291</v>
      </c>
      <c r="B294" s="64" t="s">
        <v>1281</v>
      </c>
      <c r="C294" s="113" t="s">
        <v>805</v>
      </c>
      <c r="D294" s="64" t="s">
        <v>1288</v>
      </c>
      <c r="E294" s="118" t="str">
        <f>IF(C294 ="","",C294-Listas!$B$2)</f>
        <v>#VALUE!</v>
      </c>
      <c r="F294" s="64">
        <v>3.313380803E9</v>
      </c>
      <c r="G294" s="64" t="s">
        <v>1292</v>
      </c>
    </row>
    <row r="295" ht="15.75" customHeight="1">
      <c r="A295" s="64" t="s">
        <v>1293</v>
      </c>
      <c r="B295" s="64" t="s">
        <v>1281</v>
      </c>
      <c r="C295" s="113" t="s">
        <v>805</v>
      </c>
      <c r="D295" s="64" t="s">
        <v>1288</v>
      </c>
      <c r="E295" s="118" t="str">
        <f>IF(C295 ="","",C295-Listas!$B$2)</f>
        <v>#VALUE!</v>
      </c>
      <c r="F295" s="64">
        <v>3.315364757E9</v>
      </c>
      <c r="G295" s="64" t="s">
        <v>1294</v>
      </c>
    </row>
    <row r="296" ht="15.75" customHeight="1">
      <c r="A296" s="64" t="s">
        <v>1295</v>
      </c>
      <c r="B296" s="64" t="s">
        <v>1281</v>
      </c>
      <c r="C296" s="113" t="s">
        <v>1296</v>
      </c>
      <c r="D296" s="64" t="s">
        <v>1288</v>
      </c>
      <c r="E296" s="118" t="str">
        <f>IF(C296 ="","",C296-Listas!$B$2)</f>
        <v>#VALUE!</v>
      </c>
      <c r="F296" s="64">
        <v>3.32343316E9</v>
      </c>
      <c r="G296" s="64" t="s">
        <v>1297</v>
      </c>
    </row>
    <row r="297" ht="15.75" customHeight="1">
      <c r="A297" s="64" t="s">
        <v>1298</v>
      </c>
      <c r="B297" s="64" t="s">
        <v>1281</v>
      </c>
      <c r="C297" s="113" t="s">
        <v>805</v>
      </c>
      <c r="D297" s="64" t="s">
        <v>1288</v>
      </c>
      <c r="E297" s="118" t="str">
        <f>IF(C297 ="","",C297-Listas!$B$2)</f>
        <v>#VALUE!</v>
      </c>
      <c r="F297" s="64">
        <v>3.312422081E9</v>
      </c>
      <c r="G297" s="64" t="s">
        <v>1299</v>
      </c>
    </row>
    <row r="298" ht="15.75" customHeight="1">
      <c r="A298" s="64" t="s">
        <v>1300</v>
      </c>
      <c r="B298" s="64" t="s">
        <v>1281</v>
      </c>
      <c r="C298" s="113" t="s">
        <v>805</v>
      </c>
      <c r="D298" s="64" t="s">
        <v>1288</v>
      </c>
      <c r="E298" s="118" t="str">
        <f>IF(C298 ="","",C298-Listas!$B$2)</f>
        <v>#VALUE!</v>
      </c>
      <c r="F298" s="64">
        <v>3.320344217E9</v>
      </c>
      <c r="G298" s="64" t="s">
        <v>1299</v>
      </c>
    </row>
    <row r="299" ht="15.75" customHeight="1">
      <c r="A299" s="64" t="s">
        <v>1301</v>
      </c>
      <c r="B299" s="64" t="s">
        <v>1281</v>
      </c>
      <c r="C299" s="113" t="s">
        <v>805</v>
      </c>
      <c r="D299" s="64" t="s">
        <v>1288</v>
      </c>
      <c r="E299" s="118" t="str">
        <f>IF(C299 ="","",C299-Listas!$B$2)</f>
        <v>#VALUE!</v>
      </c>
      <c r="F299" s="64">
        <v>5.530744078E9</v>
      </c>
      <c r="G299" s="64" t="s">
        <v>1302</v>
      </c>
    </row>
    <row r="300" ht="15.75" customHeight="1">
      <c r="A300" s="64" t="s">
        <v>1303</v>
      </c>
      <c r="B300" s="64" t="s">
        <v>1281</v>
      </c>
      <c r="C300" s="113" t="s">
        <v>805</v>
      </c>
      <c r="D300" s="64" t="s">
        <v>1288</v>
      </c>
      <c r="E300" s="118" t="str">
        <f>IF(C300 ="","",C300-Listas!$B$2)</f>
        <v>#VALUE!</v>
      </c>
      <c r="F300" s="64">
        <v>3.333708163E9</v>
      </c>
      <c r="G300" s="64" t="s">
        <v>1292</v>
      </c>
    </row>
    <row r="301" ht="15.75" customHeight="1">
      <c r="A301" s="64" t="s">
        <v>1304</v>
      </c>
      <c r="B301" s="64" t="s">
        <v>1281</v>
      </c>
      <c r="C301" s="132" t="s">
        <v>1033</v>
      </c>
      <c r="D301" s="64" t="s">
        <v>1288</v>
      </c>
      <c r="E301" s="118" t="str">
        <f>IF(C301 ="","",C301-Listas!$B$2)</f>
        <v>#VALUE!</v>
      </c>
      <c r="F301" s="64">
        <v>5.539571897E9</v>
      </c>
      <c r="G301" s="64" t="s">
        <v>1302</v>
      </c>
    </row>
    <row r="302" ht="15.75" customHeight="1">
      <c r="A302" s="64" t="s">
        <v>1305</v>
      </c>
      <c r="B302" s="64" t="s">
        <v>1281</v>
      </c>
      <c r="C302" s="113" t="s">
        <v>805</v>
      </c>
      <c r="D302" s="64" t="s">
        <v>1288</v>
      </c>
      <c r="E302" s="118" t="str">
        <f>IF(C302 ="","",C302-Listas!$B$2)</f>
        <v>#VALUE!</v>
      </c>
      <c r="F302" s="64">
        <v>3.310114495E9</v>
      </c>
      <c r="G302" s="64" t="s">
        <v>1299</v>
      </c>
    </row>
    <row r="303" ht="15.75" customHeight="1">
      <c r="A303" s="64" t="s">
        <v>1306</v>
      </c>
      <c r="B303" s="64" t="s">
        <v>1281</v>
      </c>
      <c r="C303" s="113" t="s">
        <v>805</v>
      </c>
      <c r="D303" s="64" t="s">
        <v>1288</v>
      </c>
      <c r="E303" s="118" t="str">
        <f>IF(C303 ="","",C303-Listas!$B$2)</f>
        <v>#VALUE!</v>
      </c>
      <c r="F303" s="64">
        <v>4.581056663E9</v>
      </c>
      <c r="G303" s="64" t="s">
        <v>1299</v>
      </c>
    </row>
    <row r="304" ht="15.75" customHeight="1">
      <c r="A304" s="64" t="s">
        <v>1307</v>
      </c>
      <c r="B304" s="64" t="s">
        <v>1281</v>
      </c>
      <c r="C304" s="113" t="s">
        <v>805</v>
      </c>
      <c r="D304" s="64" t="s">
        <v>1288</v>
      </c>
      <c r="E304" s="118" t="str">
        <f>IF(C304 ="","",C304-Listas!$B$2)</f>
        <v>#VALUE!</v>
      </c>
      <c r="F304" s="64">
        <v>3.321661023E9</v>
      </c>
      <c r="G304" s="64" t="s">
        <v>1302</v>
      </c>
    </row>
    <row r="305" ht="15.75" customHeight="1">
      <c r="A305" s="64" t="s">
        <v>1308</v>
      </c>
      <c r="B305" s="64" t="s">
        <v>1281</v>
      </c>
      <c r="C305" s="113" t="s">
        <v>805</v>
      </c>
      <c r="D305" s="64" t="s">
        <v>1288</v>
      </c>
      <c r="E305" s="118" t="str">
        <f>IF(C305 ="","",C305-Listas!$B$2)</f>
        <v>#VALUE!</v>
      </c>
      <c r="F305" s="64" t="s">
        <v>1309</v>
      </c>
      <c r="G305" s="64" t="s">
        <v>1299</v>
      </c>
    </row>
    <row r="306" ht="15.75" customHeight="1">
      <c r="A306" s="64" t="s">
        <v>1310</v>
      </c>
      <c r="B306" s="64" t="s">
        <v>1281</v>
      </c>
      <c r="C306" s="64" t="s">
        <v>1110</v>
      </c>
      <c r="D306" s="64" t="s">
        <v>1288</v>
      </c>
      <c r="E306" s="118" t="str">
        <f>IF(C306 ="","",C306-Listas!$B$2)</f>
        <v>#VALUE!</v>
      </c>
      <c r="F306" s="64">
        <v>3.312466051E9</v>
      </c>
    </row>
    <row r="307" ht="15.75" customHeight="1">
      <c r="A307" s="64" t="s">
        <v>1311</v>
      </c>
      <c r="B307" s="64" t="s">
        <v>1281</v>
      </c>
      <c r="C307" s="64" t="s">
        <v>1110</v>
      </c>
      <c r="D307" s="64" t="s">
        <v>1288</v>
      </c>
      <c r="E307" s="118" t="str">
        <f>IF(C307 ="","",C307-Listas!$B$2)</f>
        <v>#VALUE!</v>
      </c>
      <c r="F307" s="64">
        <v>3.318849489E9</v>
      </c>
    </row>
    <row r="308" ht="15.75" customHeight="1">
      <c r="A308" s="64" t="s">
        <v>1312</v>
      </c>
      <c r="B308" s="64" t="s">
        <v>1281</v>
      </c>
      <c r="C308" s="64" t="s">
        <v>1110</v>
      </c>
      <c r="D308" s="64" t="s">
        <v>1288</v>
      </c>
      <c r="E308" s="118" t="str">
        <f>IF(C308 ="","",C308-Listas!$B$2)</f>
        <v>#VALUE!</v>
      </c>
      <c r="F308" s="64">
        <v>5.541063447E9</v>
      </c>
    </row>
    <row r="309" ht="15.75" customHeight="1">
      <c r="A309" s="64" t="s">
        <v>1313</v>
      </c>
      <c r="B309" s="64" t="s">
        <v>1281</v>
      </c>
      <c r="C309" s="113" t="s">
        <v>805</v>
      </c>
      <c r="D309" s="64" t="s">
        <v>1288</v>
      </c>
      <c r="E309" s="118" t="str">
        <f>IF(C309 ="","",C309-Listas!$B$2)</f>
        <v>#VALUE!</v>
      </c>
      <c r="F309" s="64">
        <v>3.335773408E9</v>
      </c>
    </row>
    <row r="310" ht="15.75" customHeight="1">
      <c r="A310" s="64" t="s">
        <v>1314</v>
      </c>
      <c r="B310" s="64" t="s">
        <v>1281</v>
      </c>
      <c r="C310" s="64" t="s">
        <v>1110</v>
      </c>
      <c r="D310" s="64" t="s">
        <v>1288</v>
      </c>
      <c r="E310" s="118" t="str">
        <f>IF(C310 ="","",C310-Listas!$B$2)</f>
        <v>#VALUE!</v>
      </c>
      <c r="F310" s="64">
        <v>3.314453878E9</v>
      </c>
    </row>
    <row r="311" ht="15.75" customHeight="1">
      <c r="A311" s="64" t="s">
        <v>1315</v>
      </c>
      <c r="B311" s="64" t="s">
        <v>1281</v>
      </c>
      <c r="D311" s="64" t="s">
        <v>1288</v>
      </c>
      <c r="E311" s="118" t="str">
        <f>IF(C311 ="","",C311-Listas!$B$2)</f>
        <v/>
      </c>
      <c r="F311" s="64">
        <v>5.52422593E9</v>
      </c>
    </row>
    <row r="312" ht="15.75" customHeight="1">
      <c r="A312" s="64" t="s">
        <v>1316</v>
      </c>
      <c r="B312" s="64" t="s">
        <v>1281</v>
      </c>
      <c r="D312" s="64" t="s">
        <v>1288</v>
      </c>
      <c r="E312" s="118" t="str">
        <f>IF(C312 ="","",C312-Listas!$B$2)</f>
        <v/>
      </c>
      <c r="F312" s="64">
        <v>3.336628008E9</v>
      </c>
    </row>
    <row r="313" ht="15.75" customHeight="1">
      <c r="A313" s="64" t="s">
        <v>1317</v>
      </c>
      <c r="B313" s="64" t="s">
        <v>1281</v>
      </c>
      <c r="D313" s="64" t="s">
        <v>1288</v>
      </c>
      <c r="E313" s="118" t="str">
        <f>IF(C313 ="","",C313-Listas!$B$2)</f>
        <v/>
      </c>
      <c r="F313" s="64">
        <v>3.329664571E9</v>
      </c>
    </row>
    <row r="314" ht="15.75" customHeight="1">
      <c r="A314" s="64" t="s">
        <v>1318</v>
      </c>
      <c r="B314" s="64" t="s">
        <v>1281</v>
      </c>
      <c r="D314" s="64" t="s">
        <v>1288</v>
      </c>
      <c r="E314" s="118" t="str">
        <f>IF(C314 ="","",C314-Listas!$B$2)</f>
        <v/>
      </c>
      <c r="F314" s="64">
        <v>3.310411599E9</v>
      </c>
    </row>
    <row r="315" ht="15.75" customHeight="1">
      <c r="A315" s="64" t="s">
        <v>1319</v>
      </c>
      <c r="B315" s="64" t="s">
        <v>1281</v>
      </c>
      <c r="D315" s="64" t="s">
        <v>1288</v>
      </c>
      <c r="E315" s="118" t="str">
        <f>IF(C315 ="","",C315-Listas!$B$2)</f>
        <v/>
      </c>
      <c r="F315" s="64">
        <v>3.33492994E8</v>
      </c>
    </row>
    <row r="316" ht="15.75" customHeight="1">
      <c r="A316" s="64" t="s">
        <v>1320</v>
      </c>
      <c r="B316" s="64" t="s">
        <v>1281</v>
      </c>
      <c r="D316" s="64" t="s">
        <v>1288</v>
      </c>
      <c r="E316" s="118" t="str">
        <f>IF(C316 ="","",C316-Listas!$B$2)</f>
        <v/>
      </c>
      <c r="F316" s="64">
        <v>3.311348174E9</v>
      </c>
    </row>
    <row r="317" ht="15.75" customHeight="1">
      <c r="A317" s="64" t="s">
        <v>1321</v>
      </c>
      <c r="B317" s="64" t="s">
        <v>1281</v>
      </c>
      <c r="D317" s="64" t="s">
        <v>1288</v>
      </c>
      <c r="E317" s="118" t="str">
        <f>IF(C317 ="","",C317-Listas!$B$2)</f>
        <v/>
      </c>
      <c r="F317" s="64">
        <v>3.312563292E9</v>
      </c>
    </row>
    <row r="318" ht="15.75" customHeight="1">
      <c r="A318" s="64" t="s">
        <v>1322</v>
      </c>
      <c r="B318" s="64" t="s">
        <v>1281</v>
      </c>
      <c r="D318" s="64" t="s">
        <v>1288</v>
      </c>
      <c r="E318" s="118" t="str">
        <f>IF(C318 ="","",C318-Listas!$B$2)</f>
        <v/>
      </c>
      <c r="F318" s="64">
        <v>3.310096709E9</v>
      </c>
    </row>
    <row r="319" ht="15.75" customHeight="1">
      <c r="A319" s="64" t="s">
        <v>1323</v>
      </c>
      <c r="B319" s="64" t="s">
        <v>1281</v>
      </c>
      <c r="D319" s="64" t="s">
        <v>1288</v>
      </c>
      <c r="E319" s="118" t="str">
        <f>IF(C319 ="","",C319-Listas!$B$2)</f>
        <v/>
      </c>
      <c r="F319" s="64">
        <v>3.334940201E9</v>
      </c>
    </row>
    <row r="320" ht="15.75" customHeight="1">
      <c r="A320" s="64" t="s">
        <v>1324</v>
      </c>
      <c r="B320" s="64" t="s">
        <v>1281</v>
      </c>
      <c r="D320" s="64" t="s">
        <v>1288</v>
      </c>
      <c r="E320" s="118" t="str">
        <f>IF(C320 ="","",C320-Listas!$B$2)</f>
        <v/>
      </c>
      <c r="F320" s="64">
        <v>3.312693025E9</v>
      </c>
    </row>
    <row r="321" ht="15.75" customHeight="1">
      <c r="A321" s="64" t="s">
        <v>1325</v>
      </c>
      <c r="B321" s="64" t="s">
        <v>1281</v>
      </c>
      <c r="D321" s="64" t="s">
        <v>1288</v>
      </c>
      <c r="E321" s="118" t="str">
        <f>IF(C321 ="","",C321-Listas!$B$2)</f>
        <v/>
      </c>
      <c r="F321" s="64">
        <v>3.310684012E9</v>
      </c>
    </row>
    <row r="322" ht="15.75" customHeight="1">
      <c r="A322" s="64" t="s">
        <v>1326</v>
      </c>
      <c r="B322" s="64" t="s">
        <v>1281</v>
      </c>
      <c r="D322" s="64" t="s">
        <v>1288</v>
      </c>
      <c r="E322" s="118" t="str">
        <f>IF(C322 ="","",C322-Listas!$B$2)</f>
        <v/>
      </c>
      <c r="F322" s="64">
        <v>3.339548158E9</v>
      </c>
    </row>
    <row r="323" ht="15.75" customHeight="1">
      <c r="A323" s="64" t="s">
        <v>1327</v>
      </c>
      <c r="B323" s="64" t="s">
        <v>1281</v>
      </c>
      <c r="D323" s="64" t="s">
        <v>1288</v>
      </c>
      <c r="E323" s="118" t="str">
        <f>IF(C323 ="","",C323-Listas!$B$2)</f>
        <v/>
      </c>
      <c r="F323" s="64">
        <v>3.318485037E9</v>
      </c>
    </row>
    <row r="324" ht="15.75" customHeight="1">
      <c r="A324" s="64" t="s">
        <v>1328</v>
      </c>
      <c r="B324" s="64" t="s">
        <v>1281</v>
      </c>
      <c r="D324" s="64" t="s">
        <v>1288</v>
      </c>
      <c r="E324" s="118" t="str">
        <f>IF(C324 ="","",C324-Listas!$B$2)</f>
        <v/>
      </c>
      <c r="F324" s="64">
        <v>3.322193671E9</v>
      </c>
    </row>
    <row r="325" ht="15.75" customHeight="1">
      <c r="A325" s="64" t="s">
        <v>1329</v>
      </c>
      <c r="B325" s="64" t="s">
        <v>1281</v>
      </c>
      <c r="D325" s="64" t="s">
        <v>1288</v>
      </c>
      <c r="E325" s="118" t="str">
        <f>IF(C325 ="","",C325-Listas!$B$2)</f>
        <v/>
      </c>
      <c r="F325" s="64">
        <v>3.33242133E9</v>
      </c>
    </row>
    <row r="326" ht="15.75" customHeight="1">
      <c r="A326" s="64" t="s">
        <v>1330</v>
      </c>
      <c r="B326" s="64" t="s">
        <v>1281</v>
      </c>
      <c r="D326" s="64" t="s">
        <v>1288</v>
      </c>
      <c r="E326" s="118" t="str">
        <f>IF(C326 ="","",C326-Listas!$B$2)</f>
        <v/>
      </c>
      <c r="F326" s="64">
        <v>3.339565876E9</v>
      </c>
    </row>
    <row r="327" ht="15.75" customHeight="1">
      <c r="A327" s="64" t="s">
        <v>1331</v>
      </c>
      <c r="B327" s="64" t="s">
        <v>1281</v>
      </c>
      <c r="D327" s="64" t="s">
        <v>1288</v>
      </c>
      <c r="E327" s="118" t="str">
        <f>IF(C327 ="","",C327-Listas!$B$2)</f>
        <v/>
      </c>
      <c r="F327" s="64">
        <v>3.331722279E9</v>
      </c>
    </row>
    <row r="328" ht="15.75" customHeight="1">
      <c r="A328" s="64" t="s">
        <v>1332</v>
      </c>
      <c r="B328" s="64" t="s">
        <v>1281</v>
      </c>
      <c r="D328" s="64" t="s">
        <v>1288</v>
      </c>
      <c r="E328" s="118" t="str">
        <f>IF(C328 ="","",C328-Listas!$B$2)</f>
        <v/>
      </c>
      <c r="F328" s="64">
        <v>3.353054279E9</v>
      </c>
    </row>
    <row r="329" ht="15.75" customHeight="1">
      <c r="A329" s="64" t="s">
        <v>1333</v>
      </c>
      <c r="B329" s="64" t="s">
        <v>1281</v>
      </c>
      <c r="D329" s="64" t="s">
        <v>1288</v>
      </c>
      <c r="E329" s="118" t="str">
        <f>IF(C329 ="","",C329-Listas!$B$2)</f>
        <v/>
      </c>
      <c r="F329" s="64">
        <v>4.581048682E9</v>
      </c>
    </row>
    <row r="330" ht="15.75" customHeight="1">
      <c r="A330" s="64" t="s">
        <v>1334</v>
      </c>
      <c r="B330" s="64" t="s">
        <v>1281</v>
      </c>
      <c r="C330" s="113" t="s">
        <v>1335</v>
      </c>
      <c r="D330" s="64" t="s">
        <v>1336</v>
      </c>
      <c r="E330" s="118" t="str">
        <f>IF(C330 ="","",C330-Listas!$B$2)</f>
        <v>#VALUE!</v>
      </c>
      <c r="F330" s="64">
        <v>3.335843662E9</v>
      </c>
      <c r="G330" s="64" t="s">
        <v>1337</v>
      </c>
    </row>
    <row r="331" ht="15.75" customHeight="1">
      <c r="A331" s="64" t="s">
        <v>1338</v>
      </c>
      <c r="B331" s="64" t="s">
        <v>1281</v>
      </c>
      <c r="C331" s="113" t="s">
        <v>1339</v>
      </c>
      <c r="D331" s="64" t="s">
        <v>1336</v>
      </c>
      <c r="E331" s="118" t="str">
        <f>IF(C331 ="","",C331-Listas!$B$2)</f>
        <v>#VALUE!</v>
      </c>
      <c r="F331" s="64">
        <v>3.339559798E9</v>
      </c>
      <c r="G331" s="64" t="s">
        <v>1337</v>
      </c>
    </row>
    <row r="332" ht="15.75" customHeight="1">
      <c r="A332" s="64" t="s">
        <v>1340</v>
      </c>
      <c r="B332" s="64" t="s">
        <v>1281</v>
      </c>
      <c r="C332" s="113" t="s">
        <v>805</v>
      </c>
      <c r="D332" s="64" t="s">
        <v>1336</v>
      </c>
      <c r="E332" s="118" t="str">
        <f>IF(C332 ="","",C332-Listas!$B$2)</f>
        <v>#VALUE!</v>
      </c>
      <c r="F332" s="64">
        <v>9.988450612E9</v>
      </c>
      <c r="G332" s="64" t="s">
        <v>1337</v>
      </c>
    </row>
    <row r="333" ht="15.75" customHeight="1">
      <c r="A333" s="64" t="s">
        <v>1341</v>
      </c>
      <c r="B333" s="64" t="s">
        <v>1281</v>
      </c>
      <c r="C333" s="113" t="s">
        <v>805</v>
      </c>
      <c r="D333" s="64" t="s">
        <v>1336</v>
      </c>
      <c r="E333" s="118" t="str">
        <f>IF(C333 ="","",C333-Listas!$B$2)</f>
        <v>#VALUE!</v>
      </c>
      <c r="F333" s="64">
        <v>4.41113954E9</v>
      </c>
      <c r="G333" s="64" t="s">
        <v>1337</v>
      </c>
    </row>
    <row r="334" ht="15.75" customHeight="1">
      <c r="A334" s="64" t="s">
        <v>1342</v>
      </c>
      <c r="B334" s="64" t="s">
        <v>1281</v>
      </c>
      <c r="C334" s="113" t="s">
        <v>805</v>
      </c>
      <c r="D334" s="64" t="s">
        <v>1336</v>
      </c>
      <c r="E334" s="118" t="str">
        <f>IF(C334 ="","",C334-Listas!$B$2)</f>
        <v>#VALUE!</v>
      </c>
      <c r="F334" s="64">
        <v>3.314054868E9</v>
      </c>
      <c r="G334" s="64" t="s">
        <v>1337</v>
      </c>
    </row>
    <row r="335" ht="15.75" customHeight="1">
      <c r="E335" s="118" t="str">
        <f>IF(C335 ="","",C335-Listas!$B$2)</f>
        <v/>
      </c>
    </row>
    <row r="336" ht="15.75" customHeight="1">
      <c r="E336" s="118" t="str">
        <f>IF(C336 ="","",C336-Listas!$B$2)</f>
        <v/>
      </c>
    </row>
    <row r="337" ht="15.75" customHeight="1">
      <c r="E337" s="118" t="str">
        <f>IF(C337 ="","",C337-Listas!$B$2)</f>
        <v/>
      </c>
    </row>
    <row r="338" ht="15.75" customHeight="1">
      <c r="E338" s="118" t="str">
        <f>IF(C338 ="","",C338-Listas!$B$2)</f>
        <v/>
      </c>
    </row>
    <row r="339" ht="15.75" customHeight="1">
      <c r="E339" s="118" t="str">
        <f>IF(C339 ="","",C339-Listas!$B$2)</f>
        <v/>
      </c>
    </row>
    <row r="340" ht="15.75" customHeight="1">
      <c r="E340" s="118" t="str">
        <f>IF(C340 ="","",C340-Listas!$B$2)</f>
        <v/>
      </c>
    </row>
    <row r="341" ht="15.75" customHeight="1">
      <c r="E341" s="118" t="str">
        <f>IF(C341 ="","",C341-Listas!$B$2)</f>
        <v/>
      </c>
    </row>
    <row r="342" ht="15.75" customHeight="1">
      <c r="E342" s="118" t="str">
        <f>IF(C342 ="","",C342-Listas!$B$2)</f>
        <v/>
      </c>
    </row>
    <row r="343" ht="15.75" customHeight="1">
      <c r="E343" s="118" t="str">
        <f>IF(C343 ="","",C343-Listas!$B$2)</f>
        <v/>
      </c>
    </row>
    <row r="344" ht="15.75" customHeight="1">
      <c r="E344" s="118" t="str">
        <f>IF(C344 ="","",C344-Listas!$B$2)</f>
        <v/>
      </c>
    </row>
    <row r="345" ht="15.75" customHeight="1">
      <c r="E345" s="118" t="str">
        <f>IF(C345 ="","",C345-Listas!$B$2)</f>
        <v/>
      </c>
    </row>
    <row r="346" ht="15.75" customHeight="1">
      <c r="E346" s="118" t="str">
        <f>IF(C346 ="","",C346-Listas!$B$2)</f>
        <v/>
      </c>
    </row>
    <row r="347" ht="15.75" customHeight="1">
      <c r="E347" s="118" t="str">
        <f>IF(C347 ="","",C347-Listas!$B$2)</f>
        <v/>
      </c>
    </row>
    <row r="348" ht="15.75" customHeight="1">
      <c r="E348" s="118" t="str">
        <f>IF(C348 ="","",C348-Listas!$B$2)</f>
        <v/>
      </c>
    </row>
    <row r="349" ht="15.75" customHeight="1">
      <c r="E349" s="118" t="str">
        <f>IF(C349 ="","",C349-Listas!$B$2)</f>
        <v/>
      </c>
    </row>
    <row r="350" ht="15.75" customHeight="1">
      <c r="E350" s="118" t="str">
        <f>IF(C350 ="","",C350-Listas!$B$2)</f>
        <v/>
      </c>
    </row>
    <row r="351" ht="15.75" customHeight="1">
      <c r="E351" s="118" t="str">
        <f>IF(C351 ="","",C351-Listas!$B$2)</f>
        <v/>
      </c>
    </row>
    <row r="352" ht="15.75" customHeight="1">
      <c r="E352" s="118" t="str">
        <f>IF(C352 ="","",C352-Listas!$B$2)</f>
        <v/>
      </c>
    </row>
    <row r="353" ht="15.75" customHeight="1">
      <c r="E353" s="118" t="str">
        <f>IF(C353 ="","",C353-Listas!$B$2)</f>
        <v/>
      </c>
    </row>
    <row r="354" ht="15.75" customHeight="1">
      <c r="E354" s="118" t="str">
        <f>IF(C354 ="","",C354-Listas!$B$2)</f>
        <v/>
      </c>
    </row>
    <row r="355" ht="15.75" customHeight="1">
      <c r="E355" s="118" t="str">
        <f>IF(C355 ="","",C355-Listas!$B$2)</f>
        <v/>
      </c>
    </row>
    <row r="356" ht="15.75" customHeight="1">
      <c r="E356" s="118" t="str">
        <f>IF(C356 ="","",C356-Listas!$B$2)</f>
        <v/>
      </c>
    </row>
    <row r="357" ht="15.75" customHeight="1">
      <c r="E357" s="118" t="str">
        <f>IF(C357 ="","",C357-Listas!$B$2)</f>
        <v/>
      </c>
    </row>
    <row r="358" ht="15.75" customHeight="1">
      <c r="E358" s="118" t="str">
        <f>IF(C358 ="","",C358-Listas!$B$2)</f>
        <v/>
      </c>
    </row>
    <row r="359" ht="15.75" customHeight="1">
      <c r="E359" s="118" t="str">
        <f>IF(C359 ="","",C359-Listas!$B$2)</f>
        <v/>
      </c>
    </row>
    <row r="360" ht="15.75" customHeight="1">
      <c r="E360" s="118" t="str">
        <f>IF(C360 ="","",C360-Listas!$B$2)</f>
        <v/>
      </c>
    </row>
    <row r="361" ht="15.75" customHeight="1">
      <c r="E361" s="118" t="str">
        <f>IF(C361 ="","",C361-Listas!$B$2)</f>
        <v/>
      </c>
    </row>
    <row r="362" ht="15.75" customHeight="1">
      <c r="E362" s="118" t="str">
        <f>IF(C362 ="","",C362-Listas!$B$2)</f>
        <v/>
      </c>
    </row>
    <row r="363" ht="15.75" customHeight="1">
      <c r="E363" s="118" t="str">
        <f>IF(C363 ="","",C363-Listas!$B$2)</f>
        <v/>
      </c>
    </row>
    <row r="364" ht="15.75" customHeight="1">
      <c r="E364" s="118" t="str">
        <f>IF(C364 ="","",C364-Listas!$B$2)</f>
        <v/>
      </c>
    </row>
    <row r="365" ht="15.75" customHeight="1">
      <c r="E365" s="118" t="str">
        <f>IF(C365 ="","",C365-Listas!$B$2)</f>
        <v/>
      </c>
    </row>
    <row r="366" ht="15.75" customHeight="1">
      <c r="E366" s="118" t="str">
        <f>IF(C366 ="","",C366-Listas!$B$2)</f>
        <v/>
      </c>
    </row>
    <row r="367" ht="15.75" customHeight="1">
      <c r="E367" s="118" t="str">
        <f>IF(C367 ="","",C367-Listas!$B$2)</f>
        <v/>
      </c>
    </row>
    <row r="368" ht="15.75" customHeight="1">
      <c r="E368" s="118" t="str">
        <f>IF(C368 ="","",C368-Listas!$B$2)</f>
        <v/>
      </c>
    </row>
    <row r="369" ht="15.75" customHeight="1">
      <c r="E369" s="118" t="str">
        <f>IF(C369 ="","",C369-Listas!$B$2)</f>
        <v/>
      </c>
    </row>
    <row r="370" ht="15.75" customHeight="1">
      <c r="E370" s="118" t="str">
        <f>IF(C370 ="","",C370-Listas!$B$2)</f>
        <v/>
      </c>
    </row>
    <row r="371" ht="15.75" customHeight="1">
      <c r="E371" s="118" t="str">
        <f>IF(C371 ="","",C371-Listas!$B$2)</f>
        <v/>
      </c>
    </row>
    <row r="372" ht="15.75" customHeight="1">
      <c r="E372" s="118" t="str">
        <f>IF(C372 ="","",C372-Listas!$B$2)</f>
        <v/>
      </c>
    </row>
    <row r="373" ht="15.75" customHeight="1">
      <c r="E373" s="118" t="str">
        <f>IF(C373 ="","",C373-Listas!$B$2)</f>
        <v/>
      </c>
    </row>
    <row r="374" ht="15.75" customHeight="1">
      <c r="E374" s="118" t="str">
        <f>IF(C374 ="","",C374-Listas!$B$2)</f>
        <v/>
      </c>
    </row>
    <row r="375" ht="15.75" customHeight="1">
      <c r="E375" s="118" t="str">
        <f>IF(C375 ="","",C375-Listas!$B$2)</f>
        <v/>
      </c>
    </row>
    <row r="376" ht="15.75" customHeight="1">
      <c r="E376" s="118" t="str">
        <f>IF(C376 ="","",C376-Listas!$B$2)</f>
        <v/>
      </c>
    </row>
    <row r="377" ht="15.75" customHeight="1">
      <c r="E377" s="118" t="str">
        <f>IF(C377 ="","",C377-Listas!$B$2)</f>
        <v/>
      </c>
    </row>
    <row r="378" ht="15.75" customHeight="1">
      <c r="E378" s="118" t="str">
        <f>IF(C378 ="","",C378-Listas!$B$2)</f>
        <v/>
      </c>
    </row>
    <row r="379" ht="15.75" customHeight="1">
      <c r="E379" s="118" t="str">
        <f>IF(C379 ="","",C379-Listas!$B$2)</f>
        <v/>
      </c>
    </row>
    <row r="380" ht="15.75" customHeight="1">
      <c r="E380" s="118" t="str">
        <f>IF(C380 ="","",C380-Listas!$B$2)</f>
        <v/>
      </c>
    </row>
    <row r="381" ht="15.75" customHeight="1">
      <c r="E381" s="118" t="str">
        <f>IF(C381 ="","",C381-Listas!$B$2)</f>
        <v/>
      </c>
    </row>
    <row r="382" ht="15.75" customHeight="1">
      <c r="E382" s="118" t="str">
        <f>IF(C382 ="","",C382-Listas!$B$2)</f>
        <v/>
      </c>
    </row>
    <row r="383" ht="15.75" customHeight="1">
      <c r="E383" s="118" t="str">
        <f>IF(C383 ="","",C383-Listas!$B$2)</f>
        <v/>
      </c>
    </row>
    <row r="384" ht="15.75" customHeight="1">
      <c r="E384" s="118" t="str">
        <f>IF(C384 ="","",C384-Listas!$B$2)</f>
        <v/>
      </c>
    </row>
    <row r="385" ht="15.75" customHeight="1">
      <c r="E385" s="118" t="str">
        <f>IF(C385 ="","",C385-Listas!$B$2)</f>
        <v/>
      </c>
    </row>
    <row r="386" ht="15.75" customHeight="1">
      <c r="E386" s="118" t="str">
        <f>IF(C386 ="","",C386-Listas!$B$2)</f>
        <v/>
      </c>
    </row>
    <row r="387" ht="15.75" customHeight="1">
      <c r="E387" s="118" t="str">
        <f>IF(C387 ="","",C387-Listas!$B$2)</f>
        <v/>
      </c>
    </row>
    <row r="388" ht="15.75" customHeight="1">
      <c r="E388" s="118" t="str">
        <f>IF(C388 ="","",C388-Listas!$B$2)</f>
        <v/>
      </c>
    </row>
    <row r="389" ht="15.75" customHeight="1">
      <c r="E389" s="118" t="str">
        <f>IF(C389 ="","",C389-Listas!$B$2)</f>
        <v/>
      </c>
    </row>
    <row r="390" ht="15.75" customHeight="1">
      <c r="E390" s="118" t="str">
        <f>IF(C390 ="","",C390-Listas!$B$2)</f>
        <v/>
      </c>
    </row>
    <row r="391" ht="15.75" customHeight="1">
      <c r="E391" s="118" t="str">
        <f>IF(C391 ="","",C391-Listas!$B$2)</f>
        <v/>
      </c>
    </row>
    <row r="392" ht="15.75" customHeight="1">
      <c r="E392" s="118" t="str">
        <f>IF(C392 ="","",C392-Listas!$B$2)</f>
        <v/>
      </c>
    </row>
    <row r="393" ht="15.75" customHeight="1">
      <c r="E393" s="118" t="str">
        <f>IF(C393 ="","",C393-Listas!$B$2)</f>
        <v/>
      </c>
    </row>
    <row r="394" ht="15.75" customHeight="1">
      <c r="E394" s="118" t="str">
        <f>IF(C394 ="","",C394-Listas!$B$2)</f>
        <v/>
      </c>
    </row>
    <row r="395" ht="15.75" customHeight="1">
      <c r="E395" s="118" t="str">
        <f>IF(C395 ="","",C395-Listas!$B$2)</f>
        <v/>
      </c>
    </row>
    <row r="396" ht="15.75" customHeight="1">
      <c r="E396" s="118" t="str">
        <f>IF(C396 ="","",C396-Listas!$B$2)</f>
        <v/>
      </c>
    </row>
    <row r="397" ht="15.75" customHeight="1">
      <c r="E397" s="118" t="str">
        <f>IF(C397 ="","",C397-Listas!$B$2)</f>
        <v/>
      </c>
    </row>
    <row r="398" ht="15.75" customHeight="1">
      <c r="E398" s="118" t="str">
        <f>IF(C398 ="","",C398-Listas!$B$2)</f>
        <v/>
      </c>
    </row>
    <row r="399" ht="15.75" customHeight="1">
      <c r="E399" s="118" t="str">
        <f>IF(C399 ="","",C399-Listas!$B$2)</f>
        <v/>
      </c>
    </row>
    <row r="400" ht="15.75" customHeight="1">
      <c r="E400" s="118" t="str">
        <f>IF(C400 ="","",C400-Listas!$B$2)</f>
        <v/>
      </c>
    </row>
    <row r="401" ht="15.75" customHeight="1">
      <c r="E401" s="118" t="str">
        <f>IF(C401 ="","",C401-Listas!$B$2)</f>
        <v/>
      </c>
    </row>
    <row r="402" ht="15.75" customHeight="1">
      <c r="E402" s="118" t="str">
        <f>IF(C402 ="","",C402-Listas!$B$2)</f>
        <v/>
      </c>
    </row>
    <row r="403" ht="15.75" customHeight="1">
      <c r="E403" s="118" t="str">
        <f>IF(C403 ="","",C403-Listas!$B$2)</f>
        <v/>
      </c>
    </row>
    <row r="404" ht="15.75" customHeight="1">
      <c r="E404" s="118" t="str">
        <f>IF(C404 ="","",C404-Listas!$B$2)</f>
        <v/>
      </c>
    </row>
    <row r="405" ht="15.75" customHeight="1">
      <c r="E405" s="118" t="str">
        <f>IF(C405 ="","",C405-Listas!$B$2)</f>
        <v/>
      </c>
    </row>
    <row r="406" ht="15.75" customHeight="1">
      <c r="E406" s="118" t="str">
        <f>IF(C406 ="","",C406-Listas!$B$2)</f>
        <v/>
      </c>
    </row>
    <row r="407" ht="15.75" customHeight="1">
      <c r="E407" s="118" t="str">
        <f>IF(C407 ="","",C407-Listas!$B$2)</f>
        <v/>
      </c>
    </row>
    <row r="408" ht="15.75" customHeight="1">
      <c r="E408" s="118" t="str">
        <f>IF(C408 ="","",C408-Listas!$B$2)</f>
        <v/>
      </c>
    </row>
    <row r="409" ht="15.75" customHeight="1">
      <c r="E409" s="118" t="str">
        <f>IF(C409 ="","",C409-Listas!$B$2)</f>
        <v/>
      </c>
    </row>
    <row r="410" ht="15.75" customHeight="1">
      <c r="E410" s="118" t="str">
        <f>IF(C410 ="","",C410-Listas!$B$2)</f>
        <v/>
      </c>
    </row>
    <row r="411" ht="15.75" customHeight="1">
      <c r="E411" s="118" t="str">
        <f>IF(C411 ="","",C411-Listas!$B$2)</f>
        <v/>
      </c>
    </row>
    <row r="412" ht="15.75" customHeight="1">
      <c r="E412" s="118" t="str">
        <f>IF(C412 ="","",C412-Listas!$B$2)</f>
        <v/>
      </c>
    </row>
    <row r="413" ht="15.75" customHeight="1">
      <c r="E413" s="118" t="str">
        <f>IF(C413 ="","",C413-Listas!$B$2)</f>
        <v/>
      </c>
    </row>
    <row r="414" ht="15.75" customHeight="1">
      <c r="E414" s="118" t="str">
        <f>IF(C414 ="","",C414-Listas!$B$2)</f>
        <v/>
      </c>
    </row>
    <row r="415" ht="15.75" customHeight="1">
      <c r="E415" s="118" t="str">
        <f>IF(C415 ="","",C415-Listas!$B$2)</f>
        <v/>
      </c>
    </row>
    <row r="416" ht="15.75" customHeight="1">
      <c r="E416" s="118" t="str">
        <f>IF(C416 ="","",C416-Listas!$B$2)</f>
        <v/>
      </c>
    </row>
    <row r="417" ht="15.75" customHeight="1">
      <c r="E417" s="118" t="str">
        <f>IF(C417 ="","",C417-Listas!$B$2)</f>
        <v/>
      </c>
    </row>
    <row r="418" ht="15.75" customHeight="1">
      <c r="E418" s="118" t="str">
        <f>IF(C418 ="","",C418-Listas!$B$2)</f>
        <v/>
      </c>
    </row>
    <row r="419" ht="15.75" customHeight="1">
      <c r="E419" s="118" t="str">
        <f>IF(C419 ="","",C419-Listas!$B$2)</f>
        <v/>
      </c>
    </row>
    <row r="420" ht="15.75" customHeight="1">
      <c r="E420" s="118" t="str">
        <f>IF(C420 ="","",C420-Listas!$B$2)</f>
        <v/>
      </c>
    </row>
    <row r="421" ht="15.75" customHeight="1">
      <c r="E421" s="118" t="str">
        <f>IF(C421 ="","",C421-Listas!$B$2)</f>
        <v/>
      </c>
    </row>
    <row r="422" ht="15.75" customHeight="1">
      <c r="E422" s="118" t="str">
        <f>IF(C422 ="","",C422-Listas!$B$2)</f>
        <v/>
      </c>
    </row>
    <row r="423" ht="15.75" customHeight="1">
      <c r="E423" s="118" t="str">
        <f>IF(C423 ="","",C423-Listas!$B$2)</f>
        <v/>
      </c>
    </row>
    <row r="424" ht="15.75" customHeight="1">
      <c r="E424" s="118" t="str">
        <f>IF(C424 ="","",C424-Listas!$B$2)</f>
        <v/>
      </c>
    </row>
    <row r="425" ht="15.75" customHeight="1">
      <c r="E425" s="118" t="str">
        <f>IF(C425 ="","",C425-Listas!$B$2)</f>
        <v/>
      </c>
    </row>
    <row r="426" ht="15.75" customHeight="1">
      <c r="E426" s="118" t="str">
        <f>IF(C426 ="","",C426-Listas!$B$2)</f>
        <v/>
      </c>
    </row>
    <row r="427" ht="15.75" customHeight="1">
      <c r="E427" s="118" t="str">
        <f>IF(C427 ="","",C427-Listas!$B$2)</f>
        <v/>
      </c>
    </row>
    <row r="428" ht="15.75" customHeight="1">
      <c r="E428" s="118" t="str">
        <f>IF(C428 ="","",C428-Listas!$B$2)</f>
        <v/>
      </c>
    </row>
    <row r="429" ht="15.75" customHeight="1">
      <c r="E429" s="118" t="str">
        <f>IF(C429 ="","",C429-Listas!$B$2)</f>
        <v/>
      </c>
    </row>
    <row r="430" ht="15.75" customHeight="1">
      <c r="E430" s="118" t="str">
        <f>IF(C430 ="","",C430-Listas!$B$2)</f>
        <v/>
      </c>
    </row>
    <row r="431" ht="15.75" customHeight="1">
      <c r="E431" s="118" t="str">
        <f>IF(C431 ="","",C431-Listas!$B$2)</f>
        <v/>
      </c>
    </row>
    <row r="432" ht="15.75" customHeight="1">
      <c r="E432" s="118" t="str">
        <f>IF(C432 ="","",C432-Listas!$B$2)</f>
        <v/>
      </c>
    </row>
    <row r="433" ht="15.75" customHeight="1">
      <c r="E433" s="118" t="str">
        <f>IF(C433 ="","",C433-Listas!$B$2)</f>
        <v/>
      </c>
    </row>
    <row r="434" ht="15.75" customHeight="1">
      <c r="E434" s="118" t="str">
        <f>IF(C434 ="","",C434-Listas!$B$2)</f>
        <v/>
      </c>
    </row>
    <row r="435" ht="15.75" customHeight="1">
      <c r="E435" s="118" t="str">
        <f>IF(C435 ="","",C435-Listas!$B$2)</f>
        <v/>
      </c>
    </row>
    <row r="436" ht="15.75" customHeight="1">
      <c r="E436" s="118" t="str">
        <f>IF(C436 ="","",C436-Listas!$B$2)</f>
        <v/>
      </c>
    </row>
    <row r="437" ht="15.75" customHeight="1">
      <c r="E437" s="118" t="str">
        <f>IF(C437 ="","",C437-Listas!$B$2)</f>
        <v/>
      </c>
    </row>
    <row r="438" ht="15.75" customHeight="1">
      <c r="E438" s="118" t="str">
        <f>IF(C438 ="","",C438-Listas!$B$2)</f>
        <v/>
      </c>
    </row>
    <row r="439" ht="15.75" customHeight="1">
      <c r="E439" s="118" t="str">
        <f>IF(C439 ="","",C439-Listas!$B$2)</f>
        <v/>
      </c>
    </row>
    <row r="440" ht="15.75" customHeight="1">
      <c r="E440" s="118" t="str">
        <f>IF(C440 ="","",C440-Listas!$B$2)</f>
        <v/>
      </c>
    </row>
    <row r="441" ht="15.75" customHeight="1">
      <c r="E441" s="118" t="str">
        <f>IF(C441 ="","",C441-Listas!$B$2)</f>
        <v/>
      </c>
    </row>
    <row r="442" ht="15.75" customHeight="1">
      <c r="E442" s="118" t="str">
        <f>IF(C442 ="","",C442-Listas!$B$2)</f>
        <v/>
      </c>
    </row>
    <row r="443" ht="15.75" customHeight="1">
      <c r="E443" s="118" t="str">
        <f>IF(C443 ="","",C443-Listas!$B$2)</f>
        <v/>
      </c>
    </row>
    <row r="444" ht="15.75" customHeight="1">
      <c r="E444" s="118" t="str">
        <f>IF(C444 ="","",C444-Listas!$B$2)</f>
        <v/>
      </c>
    </row>
    <row r="445" ht="15.75" customHeight="1">
      <c r="E445" s="118" t="str">
        <f>IF(C445 ="","",C445-Listas!$B$2)</f>
        <v/>
      </c>
    </row>
    <row r="446" ht="15.75" customHeight="1">
      <c r="E446" s="118" t="str">
        <f>IF(C446 ="","",C446-Listas!$B$2)</f>
        <v/>
      </c>
    </row>
    <row r="447" ht="15.75" customHeight="1">
      <c r="E447" s="118" t="str">
        <f>IF(C447 ="","",C447-Listas!$B$2)</f>
        <v/>
      </c>
    </row>
    <row r="448" ht="15.75" customHeight="1">
      <c r="E448" s="118" t="str">
        <f>IF(C448 ="","",C448-Listas!$B$2)</f>
        <v/>
      </c>
    </row>
    <row r="449" ht="15.75" customHeight="1">
      <c r="E449" s="118" t="str">
        <f>IF(C449 ="","",C449-Listas!$B$2)</f>
        <v/>
      </c>
    </row>
    <row r="450" ht="15.75" customHeight="1">
      <c r="E450" s="118" t="str">
        <f>IF(C450 ="","",C450-Listas!$B$2)</f>
        <v/>
      </c>
    </row>
    <row r="451" ht="15.75" customHeight="1">
      <c r="E451" s="118" t="str">
        <f>IF(C451 ="","",C451-Listas!$B$2)</f>
        <v/>
      </c>
    </row>
    <row r="452" ht="15.75" customHeight="1">
      <c r="E452" s="118" t="str">
        <f>IF(C452 ="","",C452-Listas!$B$2)</f>
        <v/>
      </c>
    </row>
    <row r="453" ht="15.75" customHeight="1">
      <c r="E453" s="118" t="str">
        <f>IF(C453 ="","",C453-Listas!$B$2)</f>
        <v/>
      </c>
    </row>
    <row r="454" ht="15.75" customHeight="1">
      <c r="E454" s="118" t="str">
        <f>IF(C454 ="","",C454-Listas!$B$2)</f>
        <v/>
      </c>
    </row>
    <row r="455" ht="15.75" customHeight="1">
      <c r="E455" s="118" t="str">
        <f>IF(C455 ="","",C455-Listas!$B$2)</f>
        <v/>
      </c>
    </row>
    <row r="456" ht="15.75" customHeight="1">
      <c r="E456" s="118" t="str">
        <f>IF(C456 ="","",C456-Listas!$B$2)</f>
        <v/>
      </c>
    </row>
    <row r="457" ht="15.75" customHeight="1">
      <c r="E457" s="118" t="str">
        <f>IF(C457 ="","",C457-Listas!$B$2)</f>
        <v/>
      </c>
    </row>
    <row r="458" ht="15.75" customHeight="1">
      <c r="E458" s="118" t="str">
        <f>IF(C458 ="","",C458-Listas!$B$2)</f>
        <v/>
      </c>
    </row>
    <row r="459" ht="15.75" customHeight="1">
      <c r="E459" s="118" t="str">
        <f>IF(C459 ="","",C459-Listas!$B$2)</f>
        <v/>
      </c>
    </row>
    <row r="460" ht="15.75" customHeight="1">
      <c r="E460" s="118" t="str">
        <f>IF(C460 ="","",C460-Listas!$B$2)</f>
        <v/>
      </c>
    </row>
    <row r="461" ht="15.75" customHeight="1">
      <c r="E461" s="118" t="str">
        <f>IF(C461 ="","",C461-Listas!$B$2)</f>
        <v/>
      </c>
    </row>
    <row r="462" ht="15.75" customHeight="1">
      <c r="E462" s="118" t="str">
        <f>IF(C462 ="","",C462-Listas!$B$2)</f>
        <v/>
      </c>
    </row>
    <row r="463" ht="15.75" customHeight="1">
      <c r="E463" s="118" t="str">
        <f>IF(C463 ="","",C463-Listas!$B$2)</f>
        <v/>
      </c>
    </row>
    <row r="464" ht="15.75" customHeight="1">
      <c r="E464" s="118" t="str">
        <f>IF(C464 ="","",C464-Listas!$B$2)</f>
        <v/>
      </c>
    </row>
    <row r="465" ht="15.75" customHeight="1">
      <c r="E465" s="118" t="str">
        <f>IF(C465 ="","",C465-Listas!$B$2)</f>
        <v/>
      </c>
    </row>
    <row r="466" ht="15.75" customHeight="1">
      <c r="E466" s="118" t="str">
        <f>IF(C466 ="","",C466-Listas!$B$2)</f>
        <v/>
      </c>
    </row>
    <row r="467" ht="15.75" customHeight="1">
      <c r="E467" s="118" t="str">
        <f>IF(C467 ="","",C467-Listas!$B$2)</f>
        <v/>
      </c>
    </row>
    <row r="468" ht="15.75" customHeight="1">
      <c r="E468" s="118" t="str">
        <f>IF(C468 ="","",C468-Listas!$B$2)</f>
        <v/>
      </c>
    </row>
    <row r="469" ht="15.75" customHeight="1">
      <c r="E469" s="118" t="str">
        <f>IF(C469 ="","",C469-Listas!$B$2)</f>
        <v/>
      </c>
    </row>
    <row r="470" ht="15.75" customHeight="1">
      <c r="E470" s="118" t="str">
        <f>IF(C470 ="","",C470-Listas!$B$2)</f>
        <v/>
      </c>
    </row>
    <row r="471" ht="15.75" customHeight="1">
      <c r="E471" s="118" t="str">
        <f>IF(C471 ="","",C471-Listas!$B$2)</f>
        <v/>
      </c>
    </row>
    <row r="472" ht="15.75" customHeight="1">
      <c r="E472" s="118" t="str">
        <f>IF(C472 ="","",C472-Listas!$B$2)</f>
        <v/>
      </c>
    </row>
    <row r="473" ht="15.75" customHeight="1">
      <c r="E473" s="118" t="str">
        <f>IF(C473 ="","",C473-Listas!$B$2)</f>
        <v/>
      </c>
    </row>
    <row r="474" ht="15.75" customHeight="1">
      <c r="E474" s="118" t="str">
        <f>IF(C474 ="","",C474-Listas!$B$2)</f>
        <v/>
      </c>
    </row>
    <row r="475" ht="15.75" customHeight="1">
      <c r="E475" s="118" t="str">
        <f>IF(C475 ="","",C475-Listas!$B$2)</f>
        <v/>
      </c>
    </row>
    <row r="476" ht="15.75" customHeight="1">
      <c r="E476" s="118" t="str">
        <f>IF(C476 ="","",C476-Listas!$B$2)</f>
        <v/>
      </c>
    </row>
    <row r="477" ht="15.75" customHeight="1">
      <c r="E477" s="118" t="str">
        <f>IF(C477 ="","",C477-Listas!$B$2)</f>
        <v/>
      </c>
    </row>
    <row r="478" ht="15.75" customHeight="1">
      <c r="E478" s="118" t="str">
        <f>IF(C478 ="","",C478-Listas!$B$2)</f>
        <v/>
      </c>
    </row>
    <row r="479" ht="15.75" customHeight="1">
      <c r="E479" s="118" t="str">
        <f>IF(C479 ="","",C479-Listas!$B$2)</f>
        <v/>
      </c>
    </row>
    <row r="480" ht="15.75" customHeight="1">
      <c r="E480" s="118" t="str">
        <f>IF(C480 ="","",C480-Listas!$B$2)</f>
        <v/>
      </c>
    </row>
    <row r="481" ht="15.75" customHeight="1">
      <c r="E481" s="118" t="str">
        <f>IF(C481 ="","",C481-Listas!$B$2)</f>
        <v/>
      </c>
    </row>
    <row r="482" ht="15.75" customHeight="1">
      <c r="E482" s="118" t="str">
        <f>IF(C482 ="","",C482-Listas!$B$2)</f>
        <v/>
      </c>
    </row>
    <row r="483" ht="15.75" customHeight="1">
      <c r="E483" s="118" t="str">
        <f>IF(C483 ="","",C483-Listas!$B$2)</f>
        <v/>
      </c>
    </row>
    <row r="484" ht="15.75" customHeight="1">
      <c r="E484" s="118" t="str">
        <f>IF(C484 ="","",C484-Listas!$B$2)</f>
        <v/>
      </c>
    </row>
    <row r="485" ht="15.75" customHeight="1">
      <c r="E485" s="118" t="str">
        <f>IF(C485 ="","",C485-Listas!$B$2)</f>
        <v/>
      </c>
    </row>
    <row r="486" ht="15.75" customHeight="1">
      <c r="E486" s="118" t="str">
        <f>IF(C486 ="","",C486-Listas!$B$2)</f>
        <v/>
      </c>
    </row>
    <row r="487" ht="15.75" customHeight="1">
      <c r="E487" s="118" t="str">
        <f>IF(C487 ="","",C487-Listas!$B$2)</f>
        <v/>
      </c>
    </row>
    <row r="488" ht="15.75" customHeight="1">
      <c r="E488" s="118" t="str">
        <f>IF(C488 ="","",C488-Listas!$B$2)</f>
        <v/>
      </c>
    </row>
    <row r="489" ht="15.75" customHeight="1">
      <c r="E489" s="118" t="str">
        <f>IF(C489 ="","",C489-Listas!$B$2)</f>
        <v/>
      </c>
    </row>
    <row r="490" ht="15.75" customHeight="1">
      <c r="E490" s="118" t="str">
        <f>IF(C490 ="","",C490-Listas!$B$2)</f>
        <v/>
      </c>
    </row>
    <row r="491" ht="15.75" customHeight="1">
      <c r="E491" s="118" t="str">
        <f>IF(C491 ="","",C491-Listas!$B$2)</f>
        <v/>
      </c>
    </row>
    <row r="492" ht="15.75" customHeight="1">
      <c r="E492" s="118" t="str">
        <f>IF(C492 ="","",C492-Listas!$B$2)</f>
        <v/>
      </c>
    </row>
    <row r="493" ht="15.75" customHeight="1">
      <c r="E493" s="118" t="str">
        <f>IF(C493 ="","",C493-Listas!$B$2)</f>
        <v/>
      </c>
    </row>
    <row r="494" ht="15.75" customHeight="1">
      <c r="E494" s="118" t="str">
        <f>IF(C494 ="","",C494-Listas!$B$2)</f>
        <v/>
      </c>
    </row>
    <row r="495" ht="15.75" customHeight="1">
      <c r="E495" s="118" t="str">
        <f>IF(C495 ="","",C495-Listas!$B$2)</f>
        <v/>
      </c>
    </row>
    <row r="496" ht="15.75" customHeight="1">
      <c r="E496" s="118" t="str">
        <f>IF(C496 ="","",C496-Listas!$B$2)</f>
        <v/>
      </c>
    </row>
    <row r="497" ht="15.75" customHeight="1">
      <c r="E497" s="118" t="str">
        <f>IF(C497 ="","",C497-Listas!$B$2)</f>
        <v/>
      </c>
    </row>
    <row r="498" ht="15.75" customHeight="1">
      <c r="E498" s="118" t="str">
        <f>IF(C498 ="","",C498-Listas!$B$2)</f>
        <v/>
      </c>
    </row>
    <row r="499" ht="15.75" customHeight="1">
      <c r="E499" s="118" t="str">
        <f>IF(C499 ="","",C499-Listas!$B$2)</f>
        <v/>
      </c>
    </row>
    <row r="500" ht="15.75" customHeight="1">
      <c r="E500" s="118" t="str">
        <f>IF(C500 ="","",C500-Listas!$B$2)</f>
        <v/>
      </c>
    </row>
    <row r="501" ht="15.75" customHeight="1">
      <c r="E501" s="118" t="str">
        <f>IF(C501 ="","",C501-Listas!$B$2)</f>
        <v/>
      </c>
    </row>
    <row r="502" ht="15.75" customHeight="1">
      <c r="E502" s="118" t="str">
        <f>IF(C502 ="","",C502-Listas!$B$2)</f>
        <v/>
      </c>
    </row>
    <row r="503" ht="15.75" customHeight="1">
      <c r="E503" s="118" t="str">
        <f>IF(C503 ="","",C503-Listas!$B$2)</f>
        <v/>
      </c>
    </row>
    <row r="504" ht="15.75" customHeight="1">
      <c r="E504" s="118" t="str">
        <f>IF(C504 ="","",C504-Listas!$B$2)</f>
        <v/>
      </c>
    </row>
    <row r="505" ht="15.75" customHeight="1">
      <c r="E505" s="118" t="str">
        <f>IF(C505 ="","",C505-Listas!$B$2)</f>
        <v/>
      </c>
    </row>
    <row r="506" ht="15.75" customHeight="1">
      <c r="E506" s="118" t="str">
        <f>IF(C506 ="","",C506-Listas!$B$2)</f>
        <v/>
      </c>
    </row>
    <row r="507" ht="15.75" customHeight="1">
      <c r="E507" s="118" t="str">
        <f>IF(C507 ="","",C507-Listas!$B$2)</f>
        <v/>
      </c>
    </row>
    <row r="508" ht="15.75" customHeight="1">
      <c r="E508" s="118" t="str">
        <f>IF(C508 ="","",C508-Listas!$B$2)</f>
        <v/>
      </c>
    </row>
    <row r="509" ht="15.75" customHeight="1">
      <c r="E509" s="118" t="str">
        <f>IF(C509 ="","",C509-Listas!$B$2)</f>
        <v/>
      </c>
    </row>
    <row r="510" ht="15.75" customHeight="1">
      <c r="E510" s="118" t="str">
        <f>IF(C510 ="","",C510-Listas!$B$2)</f>
        <v/>
      </c>
    </row>
    <row r="511" ht="15.75" customHeight="1">
      <c r="E511" s="118" t="str">
        <f>IF(C511 ="","",C511-Listas!$B$2)</f>
        <v/>
      </c>
    </row>
    <row r="512" ht="15.75" customHeight="1">
      <c r="E512" s="118" t="str">
        <f>IF(C512 ="","",C512-Listas!$B$2)</f>
        <v/>
      </c>
    </row>
    <row r="513" ht="15.75" customHeight="1">
      <c r="E513" s="118" t="str">
        <f>IF(C513 ="","",C513-Listas!$B$2)</f>
        <v/>
      </c>
    </row>
    <row r="514" ht="15.75" customHeight="1">
      <c r="E514" s="118" t="str">
        <f>IF(C514 ="","",C514-Listas!$B$2)</f>
        <v/>
      </c>
    </row>
    <row r="515" ht="15.75" customHeight="1">
      <c r="E515" s="118" t="str">
        <f>IF(C515 ="","",C515-Listas!$B$2)</f>
        <v/>
      </c>
    </row>
    <row r="516" ht="15.75" customHeight="1">
      <c r="E516" s="118" t="str">
        <f>IF(C516 ="","",C516-Listas!$B$2)</f>
        <v/>
      </c>
    </row>
    <row r="517" ht="15.75" customHeight="1">
      <c r="E517" s="118" t="str">
        <f>IF(C517 ="","",C517-Listas!$B$2)</f>
        <v/>
      </c>
    </row>
    <row r="518" ht="15.75" customHeight="1">
      <c r="E518" s="118" t="str">
        <f>IF(C518 ="","",C518-Listas!$B$2)</f>
        <v/>
      </c>
    </row>
    <row r="519" ht="15.75" customHeight="1">
      <c r="E519" s="118" t="str">
        <f>IF(C519 ="","",C519-Listas!$B$2)</f>
        <v/>
      </c>
    </row>
    <row r="520" ht="15.75" customHeight="1">
      <c r="E520" s="118" t="str">
        <f>IF(C520 ="","",C520-Listas!$B$2)</f>
        <v/>
      </c>
    </row>
    <row r="521" ht="15.75" customHeight="1">
      <c r="E521" s="118" t="str">
        <f>IF(C521 ="","",C521-Listas!$B$2)</f>
        <v/>
      </c>
    </row>
    <row r="522" ht="15.75" customHeight="1">
      <c r="E522" s="118" t="str">
        <f>IF(C522 ="","",C522-Listas!$B$2)</f>
        <v/>
      </c>
    </row>
    <row r="523" ht="15.75" customHeight="1">
      <c r="E523" s="118" t="str">
        <f>IF(C523 ="","",C523-Listas!$B$2)</f>
        <v/>
      </c>
    </row>
    <row r="524" ht="15.75" customHeight="1">
      <c r="E524" s="118" t="str">
        <f>IF(C524 ="","",C524-Listas!$B$2)</f>
        <v/>
      </c>
    </row>
    <row r="525" ht="15.75" customHeight="1">
      <c r="E525" s="118" t="str">
        <f>IF(C525 ="","",C525-Listas!$B$2)</f>
        <v/>
      </c>
    </row>
    <row r="526" ht="15.75" customHeight="1">
      <c r="E526" s="118" t="str">
        <f>IF(C526 ="","",C526-Listas!$B$2)</f>
        <v/>
      </c>
    </row>
    <row r="527" ht="15.75" customHeight="1">
      <c r="E527" s="118" t="str">
        <f>IF(C527 ="","",C527-Listas!$B$2)</f>
        <v/>
      </c>
    </row>
    <row r="528" ht="15.75" customHeight="1">
      <c r="E528" s="118" t="str">
        <f>IF(C528 ="","",C528-Listas!$B$2)</f>
        <v/>
      </c>
    </row>
    <row r="529" ht="15.75" customHeight="1">
      <c r="E529" s="118" t="str">
        <f>IF(C529 ="","",C529-Listas!$B$2)</f>
        <v/>
      </c>
    </row>
    <row r="530" ht="15.75" customHeight="1">
      <c r="E530" s="118" t="str">
        <f>IF(C530 ="","",C530-Listas!$B$2)</f>
        <v/>
      </c>
    </row>
    <row r="531" ht="15.75" customHeight="1">
      <c r="E531" s="118" t="str">
        <f>IF(C531 ="","",C531-Listas!$B$2)</f>
        <v/>
      </c>
    </row>
    <row r="532" ht="15.75" customHeight="1">
      <c r="E532" s="118" t="str">
        <f>IF(C532 ="","",C532-Listas!$B$2)</f>
        <v/>
      </c>
    </row>
    <row r="533" ht="15.75" customHeight="1">
      <c r="E533" s="118" t="str">
        <f>IF(C533 ="","",C533-Listas!$B$2)</f>
        <v/>
      </c>
    </row>
    <row r="534" ht="15.75" customHeight="1">
      <c r="E534" s="118" t="str">
        <f>IF(C534 ="","",C534-Listas!$B$2)</f>
        <v/>
      </c>
    </row>
    <row r="535" ht="15.75" customHeight="1">
      <c r="E535" s="118" t="str">
        <f>IF(C535 ="","",C535-Listas!$B$2)</f>
        <v/>
      </c>
    </row>
    <row r="536" ht="15.75" customHeight="1">
      <c r="E536" s="118" t="str">
        <f>IF(C536 ="","",C536-Listas!$B$2)</f>
        <v/>
      </c>
    </row>
    <row r="537" ht="15.75" customHeight="1">
      <c r="E537" s="118" t="str">
        <f>IF(C537 ="","",C537-Listas!$B$2)</f>
        <v/>
      </c>
    </row>
    <row r="538" ht="15.75" customHeight="1">
      <c r="E538" s="118" t="str">
        <f>IF(C538 ="","",C538-Listas!$B$2)</f>
        <v/>
      </c>
    </row>
    <row r="539" ht="15.75" customHeight="1">
      <c r="E539" s="118" t="str">
        <f>IF(C539 ="","",C539-Listas!$B$2)</f>
        <v/>
      </c>
    </row>
    <row r="540" ht="15.75" customHeight="1">
      <c r="E540" s="118" t="str">
        <f>IF(C540 ="","",C540-Listas!$B$2)</f>
        <v/>
      </c>
    </row>
    <row r="541" ht="15.75" customHeight="1">
      <c r="E541" s="118" t="str">
        <f>IF(C541 ="","",C541-Listas!$B$2)</f>
        <v/>
      </c>
    </row>
    <row r="542" ht="15.75" customHeight="1">
      <c r="E542" s="118" t="str">
        <f>IF(C542 ="","",C542-Listas!$B$2)</f>
        <v/>
      </c>
    </row>
    <row r="543" ht="15.75" customHeight="1">
      <c r="E543" s="118" t="str">
        <f>IF(C543 ="","",C543-Listas!$B$2)</f>
        <v/>
      </c>
    </row>
    <row r="544" ht="15.75" customHeight="1">
      <c r="E544" s="118" t="str">
        <f>IF(C544 ="","",C544-Listas!$B$2)</f>
        <v/>
      </c>
    </row>
    <row r="545" ht="15.75" customHeight="1">
      <c r="E545" s="118" t="str">
        <f>IF(C545 ="","",C545-Listas!$B$2)</f>
        <v/>
      </c>
    </row>
    <row r="546" ht="15.75" customHeight="1">
      <c r="E546" s="118" t="str">
        <f>IF(C546 ="","",C546-Listas!$B$2)</f>
        <v/>
      </c>
    </row>
    <row r="547" ht="15.75" customHeight="1">
      <c r="E547" s="118" t="str">
        <f>IF(C547 ="","",C547-Listas!$B$2)</f>
        <v/>
      </c>
    </row>
    <row r="548" ht="15.75" customHeight="1">
      <c r="E548" s="118" t="str">
        <f>IF(C548 ="","",C548-Listas!$B$2)</f>
        <v/>
      </c>
    </row>
    <row r="549" ht="15.75" customHeight="1">
      <c r="E549" s="118" t="str">
        <f>IF(C549 ="","",C549-Listas!$B$2)</f>
        <v/>
      </c>
    </row>
    <row r="550" ht="15.75" customHeight="1">
      <c r="E550" s="118" t="str">
        <f>IF(C550 ="","",C550-Listas!$B$2)</f>
        <v/>
      </c>
    </row>
    <row r="551" ht="15.75" customHeight="1">
      <c r="E551" s="118" t="str">
        <f>IF(C551 ="","",C551-Listas!$B$2)</f>
        <v/>
      </c>
    </row>
    <row r="552" ht="15.75" customHeight="1">
      <c r="E552" s="118" t="str">
        <f>IF(C552 ="","",C552-Listas!$B$2)</f>
        <v/>
      </c>
    </row>
    <row r="553" ht="15.75" customHeight="1">
      <c r="E553" s="118" t="str">
        <f>IF(C553 ="","",C553-Listas!$B$2)</f>
        <v/>
      </c>
    </row>
    <row r="554" ht="15.75" customHeight="1">
      <c r="E554" s="118" t="str">
        <f>IF(C554 ="","",C554-Listas!$B$2)</f>
        <v/>
      </c>
    </row>
    <row r="555" ht="15.75" customHeight="1">
      <c r="E555" s="118" t="str">
        <f>IF(C555 ="","",C555-Listas!$B$2)</f>
        <v/>
      </c>
    </row>
    <row r="556" ht="15.75" customHeight="1">
      <c r="E556" s="118" t="str">
        <f>IF(C556 ="","",C556-Listas!$B$2)</f>
        <v/>
      </c>
    </row>
    <row r="557" ht="15.75" customHeight="1">
      <c r="E557" s="118" t="str">
        <f>IF(C557 ="","",C557-Listas!$B$2)</f>
        <v/>
      </c>
    </row>
    <row r="558" ht="15.75" customHeight="1">
      <c r="E558" s="118" t="str">
        <f>IF(C558 ="","",C558-Listas!$B$2)</f>
        <v/>
      </c>
    </row>
    <row r="559" ht="15.75" customHeight="1">
      <c r="E559" s="118" t="str">
        <f>IF(C559 ="","",C559-Listas!$B$2)</f>
        <v/>
      </c>
    </row>
    <row r="560" ht="15.75" customHeight="1">
      <c r="E560" s="118" t="str">
        <f>IF(C560 ="","",C560-Listas!$B$2)</f>
        <v/>
      </c>
    </row>
    <row r="561" ht="15.75" customHeight="1">
      <c r="E561" s="118" t="str">
        <f>IF(C561 ="","",C561-Listas!$B$2)</f>
        <v/>
      </c>
    </row>
    <row r="562" ht="15.75" customHeight="1">
      <c r="E562" s="118" t="str">
        <f>IF(C562 ="","",C562-Listas!$B$2)</f>
        <v/>
      </c>
    </row>
    <row r="563" ht="15.75" customHeight="1">
      <c r="E563" s="118" t="str">
        <f>IF(C563 ="","",C563-Listas!$B$2)</f>
        <v/>
      </c>
    </row>
    <row r="564" ht="15.75" customHeight="1">
      <c r="E564" s="118" t="str">
        <f>IF(C564 ="","",C564-Listas!$B$2)</f>
        <v/>
      </c>
    </row>
    <row r="565" ht="15.75" customHeight="1">
      <c r="E565" s="118" t="str">
        <f>IF(C565 ="","",C565-Listas!$B$2)</f>
        <v/>
      </c>
    </row>
    <row r="566" ht="15.75" customHeight="1">
      <c r="E566" s="118" t="str">
        <f>IF(C566 ="","",C566-Listas!$B$2)</f>
        <v/>
      </c>
    </row>
    <row r="567" ht="15.75" customHeight="1">
      <c r="E567" s="118" t="str">
        <f>IF(C567 ="","",C567-Listas!$B$2)</f>
        <v/>
      </c>
    </row>
    <row r="568" ht="15.75" customHeight="1">
      <c r="E568" s="118" t="str">
        <f>IF(C568 ="","",C568-Listas!$B$2)</f>
        <v/>
      </c>
    </row>
    <row r="569" ht="15.75" customHeight="1">
      <c r="E569" s="118" t="str">
        <f>IF(C569 ="","",C569-Listas!$B$2)</f>
        <v/>
      </c>
    </row>
    <row r="570" ht="15.75" customHeight="1">
      <c r="E570" s="118" t="str">
        <f>IF(C570 ="","",C570-Listas!$B$2)</f>
        <v/>
      </c>
    </row>
    <row r="571" ht="15.75" customHeight="1">
      <c r="E571" s="118" t="str">
        <f>IF(C571 ="","",C571-Listas!$B$2)</f>
        <v/>
      </c>
    </row>
    <row r="572" ht="15.75" customHeight="1">
      <c r="E572" s="118" t="str">
        <f>IF(C572 ="","",C572-Listas!$B$2)</f>
        <v/>
      </c>
    </row>
    <row r="573" ht="15.75" customHeight="1">
      <c r="E573" s="118" t="str">
        <f>IF(C573 ="","",C573-Listas!$B$2)</f>
        <v/>
      </c>
    </row>
    <row r="574" ht="15.75" customHeight="1">
      <c r="E574" s="118" t="str">
        <f>IF(C574 ="","",C574-Listas!$B$2)</f>
        <v/>
      </c>
    </row>
    <row r="575" ht="15.75" customHeight="1">
      <c r="E575" s="118" t="str">
        <f>IF(C575 ="","",C575-Listas!$B$2)</f>
        <v/>
      </c>
    </row>
    <row r="576" ht="15.75" customHeight="1">
      <c r="E576" s="118" t="str">
        <f>IF(C576 ="","",C576-Listas!$B$2)</f>
        <v/>
      </c>
    </row>
    <row r="577" ht="15.75" customHeight="1">
      <c r="E577" s="118" t="str">
        <f>IF(C577 ="","",C577-Listas!$B$2)</f>
        <v/>
      </c>
    </row>
    <row r="578" ht="15.75" customHeight="1">
      <c r="E578" s="118" t="str">
        <f>IF(C578 ="","",C578-Listas!$B$2)</f>
        <v/>
      </c>
    </row>
    <row r="579" ht="15.75" customHeight="1">
      <c r="E579" s="118" t="str">
        <f>IF(C579 ="","",C579-Listas!$B$2)</f>
        <v/>
      </c>
    </row>
    <row r="580" ht="15.75" customHeight="1">
      <c r="E580" s="118" t="str">
        <f>IF(C580 ="","",C580-Listas!$B$2)</f>
        <v/>
      </c>
    </row>
    <row r="581" ht="15.75" customHeight="1">
      <c r="E581" s="118" t="str">
        <f>IF(C581 ="","",C581-Listas!$B$2)</f>
        <v/>
      </c>
    </row>
    <row r="582" ht="15.75" customHeight="1">
      <c r="E582" s="118" t="str">
        <f>IF(C582 ="","",C582-Listas!$B$2)</f>
        <v/>
      </c>
    </row>
    <row r="583" ht="15.75" customHeight="1">
      <c r="E583" s="118" t="str">
        <f>IF(C583 ="","",C583-Listas!$B$2)</f>
        <v/>
      </c>
    </row>
    <row r="584" ht="15.75" customHeight="1">
      <c r="E584" s="118" t="str">
        <f>IF(C584 ="","",C584-Listas!$B$2)</f>
        <v/>
      </c>
    </row>
    <row r="585" ht="15.75" customHeight="1">
      <c r="E585" s="118" t="str">
        <f>IF(C585 ="","",C585-Listas!$B$2)</f>
        <v/>
      </c>
    </row>
    <row r="586" ht="15.75" customHeight="1">
      <c r="E586" s="118" t="str">
        <f>IF(C586 ="","",C586-Listas!$B$2)</f>
        <v/>
      </c>
    </row>
    <row r="587" ht="15.75" customHeight="1">
      <c r="E587" s="118" t="str">
        <f>IF(C587 ="","",C587-Listas!$B$2)</f>
        <v/>
      </c>
    </row>
    <row r="588" ht="15.75" customHeight="1">
      <c r="E588" s="118" t="str">
        <f>IF(C588 ="","",C588-Listas!$B$2)</f>
        <v/>
      </c>
    </row>
    <row r="589" ht="15.75" customHeight="1">
      <c r="E589" s="118" t="str">
        <f>IF(C589 ="","",C589-Listas!$B$2)</f>
        <v/>
      </c>
    </row>
    <row r="590" ht="15.75" customHeight="1">
      <c r="E590" s="118" t="str">
        <f>IF(C590 ="","",C590-Listas!$B$2)</f>
        <v/>
      </c>
    </row>
    <row r="591" ht="15.75" customHeight="1">
      <c r="E591" s="118" t="str">
        <f>IF(C591 ="","",C591-Listas!$B$2)</f>
        <v/>
      </c>
    </row>
    <row r="592" ht="15.75" customHeight="1">
      <c r="E592" s="118" t="str">
        <f>IF(C592 ="","",C592-Listas!$B$2)</f>
        <v/>
      </c>
    </row>
    <row r="593" ht="15.75" customHeight="1">
      <c r="E593" s="118" t="str">
        <f>IF(C593 ="","",C593-Listas!$B$2)</f>
        <v/>
      </c>
    </row>
    <row r="594" ht="15.75" customHeight="1">
      <c r="E594" s="118" t="str">
        <f>IF(C594 ="","",C594-Listas!$B$2)</f>
        <v/>
      </c>
    </row>
    <row r="595" ht="15.75" customHeight="1">
      <c r="E595" s="118" t="str">
        <f>IF(C595 ="","",C595-Listas!$B$2)</f>
        <v/>
      </c>
    </row>
    <row r="596" ht="15.75" customHeight="1">
      <c r="E596" s="118" t="str">
        <f>IF(C596 ="","",C596-Listas!$B$2)</f>
        <v/>
      </c>
    </row>
    <row r="597" ht="15.75" customHeight="1">
      <c r="E597" s="118" t="str">
        <f>IF(C597 ="","",C597-Listas!$B$2)</f>
        <v/>
      </c>
    </row>
    <row r="598" ht="15.75" customHeight="1">
      <c r="E598" s="118" t="str">
        <f>IF(C598 ="","",C598-Listas!$B$2)</f>
        <v/>
      </c>
    </row>
    <row r="599" ht="15.75" customHeight="1">
      <c r="E599" s="118" t="str">
        <f>IF(C599 ="","",C599-Listas!$B$2)</f>
        <v/>
      </c>
    </row>
    <row r="600" ht="15.75" customHeight="1">
      <c r="E600" s="118" t="str">
        <f>IF(C600 ="","",C600-Listas!$B$2)</f>
        <v/>
      </c>
    </row>
    <row r="601" ht="15.75" customHeight="1">
      <c r="E601" s="118" t="str">
        <f>IF(C601 ="","",C601-Listas!$B$2)</f>
        <v/>
      </c>
    </row>
    <row r="602" ht="15.75" customHeight="1">
      <c r="E602" s="118" t="str">
        <f>IF(C602 ="","",C602-Listas!$B$2)</f>
        <v/>
      </c>
    </row>
    <row r="603" ht="15.75" customHeight="1">
      <c r="E603" s="118" t="str">
        <f>IF(C603 ="","",C603-Listas!$B$2)</f>
        <v/>
      </c>
    </row>
    <row r="604" ht="15.75" customHeight="1">
      <c r="E604" s="118" t="str">
        <f>IF(C604 ="","",C604-Listas!$B$2)</f>
        <v/>
      </c>
    </row>
    <row r="605" ht="15.75" customHeight="1">
      <c r="E605" s="118" t="str">
        <f>IF(C605 ="","",C605-Listas!$B$2)</f>
        <v/>
      </c>
    </row>
    <row r="606" ht="15.75" customHeight="1">
      <c r="E606" s="118" t="str">
        <f>IF(C606 ="","",C606-Listas!$B$2)</f>
        <v/>
      </c>
    </row>
    <row r="607" ht="15.75" customHeight="1">
      <c r="E607" s="118" t="str">
        <f>IF(C607 ="","",C607-Listas!$B$2)</f>
        <v/>
      </c>
    </row>
    <row r="608" ht="15.75" customHeight="1">
      <c r="E608" s="118" t="str">
        <f>IF(C608 ="","",C608-Listas!$B$2)</f>
        <v/>
      </c>
    </row>
    <row r="609" ht="15.75" customHeight="1">
      <c r="E609" s="118" t="str">
        <f>IF(C609 ="","",C609-Listas!$B$2)</f>
        <v/>
      </c>
    </row>
    <row r="610" ht="15.75" customHeight="1">
      <c r="E610" s="118" t="str">
        <f>IF(C610 ="","",C610-Listas!$B$2)</f>
        <v/>
      </c>
    </row>
    <row r="611" ht="15.75" customHeight="1">
      <c r="E611" s="118" t="str">
        <f>IF(C611 ="","",C611-Listas!$B$2)</f>
        <v/>
      </c>
    </row>
    <row r="612" ht="15.75" customHeight="1">
      <c r="E612" s="118" t="str">
        <f>IF(C612 ="","",C612-Listas!$B$2)</f>
        <v/>
      </c>
    </row>
    <row r="613" ht="15.75" customHeight="1">
      <c r="E613" s="118" t="str">
        <f>IF(C613 ="","",C613-Listas!$B$2)</f>
        <v/>
      </c>
    </row>
    <row r="614" ht="15.75" customHeight="1">
      <c r="E614" s="118" t="str">
        <f>IF(C614 ="","",C614-Listas!$B$2)</f>
        <v/>
      </c>
    </row>
    <row r="615" ht="15.75" customHeight="1">
      <c r="E615" s="118" t="str">
        <f>IF(C615 ="","",C615-Listas!$B$2)</f>
        <v/>
      </c>
    </row>
    <row r="616" ht="15.75" customHeight="1">
      <c r="E616" s="118" t="str">
        <f>IF(C616 ="","",C616-Listas!$B$2)</f>
        <v/>
      </c>
    </row>
    <row r="617" ht="15.75" customHeight="1">
      <c r="E617" s="118" t="str">
        <f>IF(C617 ="","",C617-Listas!$B$2)</f>
        <v/>
      </c>
    </row>
    <row r="618" ht="15.75" customHeight="1">
      <c r="E618" s="118" t="str">
        <f>IF(C618 ="","",C618-Listas!$B$2)</f>
        <v/>
      </c>
    </row>
    <row r="619" ht="15.75" customHeight="1">
      <c r="E619" s="118" t="str">
        <f>IF(C619 ="","",C619-Listas!$B$2)</f>
        <v/>
      </c>
    </row>
    <row r="620" ht="15.75" customHeight="1">
      <c r="E620" s="118" t="str">
        <f>IF(C620 ="","",C620-Listas!$B$2)</f>
        <v/>
      </c>
    </row>
    <row r="621" ht="15.75" customHeight="1">
      <c r="E621" s="118" t="str">
        <f>IF(C621 ="","",C621-Listas!$B$2)</f>
        <v/>
      </c>
    </row>
    <row r="622" ht="15.75" customHeight="1">
      <c r="E622" s="118" t="str">
        <f>IF(C622 ="","",C622-Listas!$B$2)</f>
        <v/>
      </c>
    </row>
    <row r="623" ht="15.75" customHeight="1">
      <c r="E623" s="118" t="str">
        <f>IF(C623 ="","",C623-Listas!$B$2)</f>
        <v/>
      </c>
    </row>
    <row r="624" ht="15.75" customHeight="1">
      <c r="E624" s="118" t="str">
        <f>IF(C624 ="","",C624-Listas!$B$2)</f>
        <v/>
      </c>
    </row>
    <row r="625" ht="15.75" customHeight="1">
      <c r="E625" s="118" t="str">
        <f>IF(C625 ="","",C625-Listas!$B$2)</f>
        <v/>
      </c>
    </row>
    <row r="626" ht="15.75" customHeight="1">
      <c r="E626" s="118" t="str">
        <f>IF(C626 ="","",C626-Listas!$B$2)</f>
        <v/>
      </c>
    </row>
    <row r="627" ht="15.75" customHeight="1">
      <c r="E627" s="118" t="str">
        <f>IF(C627 ="","",C627-Listas!$B$2)</f>
        <v/>
      </c>
    </row>
    <row r="628" ht="15.75" customHeight="1">
      <c r="E628" s="118" t="str">
        <f>IF(C628 ="","",C628-Listas!$B$2)</f>
        <v/>
      </c>
    </row>
    <row r="629" ht="15.75" customHeight="1">
      <c r="E629" s="118" t="str">
        <f>IF(C629 ="","",C629-Listas!$B$2)</f>
        <v/>
      </c>
    </row>
    <row r="630" ht="15.75" customHeight="1">
      <c r="E630" s="118" t="str">
        <f>IF(C630 ="","",C630-Listas!$B$2)</f>
        <v/>
      </c>
    </row>
    <row r="631" ht="15.75" customHeight="1">
      <c r="E631" s="118" t="str">
        <f>IF(C631 ="","",C631-Listas!$B$2)</f>
        <v/>
      </c>
    </row>
    <row r="632" ht="15.75" customHeight="1">
      <c r="E632" s="118" t="str">
        <f>IF(C632 ="","",C632-Listas!$B$2)</f>
        <v/>
      </c>
    </row>
    <row r="633" ht="15.75" customHeight="1">
      <c r="E633" s="118" t="str">
        <f>IF(C633 ="","",C633-Listas!$B$2)</f>
        <v/>
      </c>
    </row>
    <row r="634" ht="15.75" customHeight="1">
      <c r="E634" s="118" t="str">
        <f>IF(C634 ="","",C634-Listas!$B$2)</f>
        <v/>
      </c>
    </row>
    <row r="635" ht="15.75" customHeight="1">
      <c r="E635" s="118" t="str">
        <f>IF(C635 ="","",C635-Listas!$B$2)</f>
        <v/>
      </c>
    </row>
    <row r="636" ht="15.75" customHeight="1">
      <c r="E636" s="118" t="str">
        <f>IF(C636 ="","",C636-Listas!$B$2)</f>
        <v/>
      </c>
    </row>
    <row r="637" ht="15.75" customHeight="1">
      <c r="E637" s="118" t="str">
        <f>IF(C637 ="","",C637-Listas!$B$2)</f>
        <v/>
      </c>
    </row>
    <row r="638" ht="15.75" customHeight="1">
      <c r="E638" s="118" t="str">
        <f>IF(C638 ="","",C638-Listas!$B$2)</f>
        <v/>
      </c>
    </row>
    <row r="639" ht="15.75" customHeight="1">
      <c r="E639" s="118" t="str">
        <f>IF(C639 ="","",C639-Listas!$B$2)</f>
        <v/>
      </c>
    </row>
    <row r="640" ht="15.75" customHeight="1">
      <c r="E640" s="118" t="str">
        <f>IF(C640 ="","",C640-Listas!$B$2)</f>
        <v/>
      </c>
    </row>
    <row r="641" ht="15.75" customHeight="1">
      <c r="E641" s="118" t="str">
        <f>IF(C641 ="","",C641-Listas!$B$2)</f>
        <v/>
      </c>
    </row>
    <row r="642" ht="15.75" customHeight="1">
      <c r="E642" s="118" t="str">
        <f>IF(C642 ="","",C642-Listas!$B$2)</f>
        <v/>
      </c>
    </row>
    <row r="643" ht="15.75" customHeight="1">
      <c r="E643" s="118" t="str">
        <f>IF(C643 ="","",C643-Listas!$B$2)</f>
        <v/>
      </c>
    </row>
    <row r="644" ht="15.75" customHeight="1">
      <c r="E644" s="118" t="str">
        <f>IF(C644 ="","",C644-Listas!$B$2)</f>
        <v/>
      </c>
    </row>
    <row r="645" ht="15.75" customHeight="1">
      <c r="E645" s="118" t="str">
        <f>IF(C645 ="","",C645-Listas!$B$2)</f>
        <v/>
      </c>
    </row>
    <row r="646" ht="15.75" customHeight="1">
      <c r="E646" s="118" t="str">
        <f>IF(C646 ="","",C646-Listas!$B$2)</f>
        <v/>
      </c>
    </row>
    <row r="647" ht="15.75" customHeight="1">
      <c r="E647" s="118" t="str">
        <f>IF(C647 ="","",C647-Listas!$B$2)</f>
        <v/>
      </c>
    </row>
    <row r="648" ht="15.75" customHeight="1">
      <c r="E648" s="118" t="str">
        <f>IF(C648 ="","",C648-Listas!$B$2)</f>
        <v/>
      </c>
    </row>
    <row r="649" ht="15.75" customHeight="1">
      <c r="E649" s="118" t="str">
        <f>IF(C649 ="","",C649-Listas!$B$2)</f>
        <v/>
      </c>
    </row>
    <row r="650" ht="15.75" customHeight="1">
      <c r="E650" s="118" t="str">
        <f>IF(C650 ="","",C650-Listas!$B$2)</f>
        <v/>
      </c>
    </row>
    <row r="651" ht="15.75" customHeight="1">
      <c r="E651" s="118" t="str">
        <f>IF(C651 ="","",C651-Listas!$B$2)</f>
        <v/>
      </c>
    </row>
    <row r="652" ht="15.75" customHeight="1">
      <c r="E652" s="118" t="str">
        <f>IF(C652 ="","",C652-Listas!$B$2)</f>
        <v/>
      </c>
    </row>
    <row r="653" ht="15.75" customHeight="1">
      <c r="E653" s="118" t="str">
        <f>IF(C653 ="","",C653-Listas!$B$2)</f>
        <v/>
      </c>
    </row>
    <row r="654" ht="15.75" customHeight="1">
      <c r="E654" s="118" t="str">
        <f>IF(C654 ="","",C654-Listas!$B$2)</f>
        <v/>
      </c>
    </row>
    <row r="655" ht="15.75" customHeight="1">
      <c r="E655" s="118" t="str">
        <f>IF(C655 ="","",C655-Listas!$B$2)</f>
        <v/>
      </c>
    </row>
    <row r="656" ht="15.75" customHeight="1">
      <c r="E656" s="118" t="str">
        <f>IF(C656 ="","",C656-Listas!$B$2)</f>
        <v/>
      </c>
    </row>
    <row r="657" ht="15.75" customHeight="1">
      <c r="E657" s="118" t="str">
        <f>IF(C657 ="","",C657-Listas!$B$2)</f>
        <v/>
      </c>
    </row>
    <row r="658" ht="15.75" customHeight="1">
      <c r="E658" s="118" t="str">
        <f>IF(C658 ="","",C658-Listas!$B$2)</f>
        <v/>
      </c>
    </row>
    <row r="659" ht="15.75" customHeight="1">
      <c r="E659" s="118" t="str">
        <f>IF(C659 ="","",C659-Listas!$B$2)</f>
        <v/>
      </c>
    </row>
    <row r="660" ht="15.75" customHeight="1">
      <c r="E660" s="118" t="str">
        <f>IF(C660 ="","",C660-Listas!$B$2)</f>
        <v/>
      </c>
    </row>
    <row r="661" ht="15.75" customHeight="1">
      <c r="E661" s="118" t="str">
        <f>IF(C661 ="","",C661-Listas!$B$2)</f>
        <v/>
      </c>
    </row>
    <row r="662" ht="15.75" customHeight="1">
      <c r="E662" s="118" t="str">
        <f>IF(C662 ="","",C662-Listas!$B$2)</f>
        <v/>
      </c>
    </row>
    <row r="663" ht="15.75" customHeight="1">
      <c r="E663" s="118" t="str">
        <f>IF(C663 ="","",C663-Listas!$B$2)</f>
        <v/>
      </c>
    </row>
    <row r="664" ht="15.75" customHeight="1">
      <c r="E664" s="118" t="str">
        <f>IF(C664 ="","",C664-Listas!$B$2)</f>
        <v/>
      </c>
    </row>
    <row r="665" ht="15.75" customHeight="1">
      <c r="E665" s="118" t="str">
        <f>IF(C665 ="","",C665-Listas!$B$2)</f>
        <v/>
      </c>
    </row>
    <row r="666" ht="15.75" customHeight="1">
      <c r="E666" s="118" t="str">
        <f>IF(C666 ="","",C666-Listas!$B$2)</f>
        <v/>
      </c>
    </row>
    <row r="667" ht="15.75" customHeight="1">
      <c r="E667" s="118" t="str">
        <f>IF(C667 ="","",C667-Listas!$B$2)</f>
        <v/>
      </c>
    </row>
    <row r="668" ht="15.75" customHeight="1">
      <c r="E668" s="118" t="str">
        <f>IF(C668 ="","",C668-Listas!$B$2)</f>
        <v/>
      </c>
    </row>
    <row r="669" ht="15.75" customHeight="1">
      <c r="E669" s="118" t="str">
        <f>IF(C669 ="","",C669-Listas!$B$2)</f>
        <v/>
      </c>
    </row>
    <row r="670" ht="15.75" customHeight="1">
      <c r="E670" s="118" t="str">
        <f>IF(C670 ="","",C670-Listas!$B$2)</f>
        <v/>
      </c>
    </row>
    <row r="671" ht="15.75" customHeight="1">
      <c r="E671" s="118" t="str">
        <f>IF(C671 ="","",C671-Listas!$B$2)</f>
        <v/>
      </c>
    </row>
    <row r="672" ht="15.75" customHeight="1">
      <c r="E672" s="118" t="str">
        <f>IF(C672 ="","",C672-Listas!$B$2)</f>
        <v/>
      </c>
    </row>
    <row r="673" ht="15.75" customHeight="1">
      <c r="E673" s="118" t="str">
        <f>IF(C673 ="","",C673-Listas!$B$2)</f>
        <v/>
      </c>
    </row>
    <row r="674" ht="15.75" customHeight="1">
      <c r="E674" s="118" t="str">
        <f>IF(C674 ="","",C674-Listas!$B$2)</f>
        <v/>
      </c>
    </row>
    <row r="675" ht="15.75" customHeight="1">
      <c r="E675" s="118" t="str">
        <f>IF(C675 ="","",C675-Listas!$B$2)</f>
        <v/>
      </c>
    </row>
    <row r="676" ht="15.75" customHeight="1">
      <c r="E676" s="118" t="str">
        <f>IF(C676 ="","",C676-Listas!$B$2)</f>
        <v/>
      </c>
    </row>
    <row r="677" ht="15.75" customHeight="1">
      <c r="E677" s="118" t="str">
        <f>IF(C677 ="","",C677-Listas!$B$2)</f>
        <v/>
      </c>
    </row>
    <row r="678" ht="15.75" customHeight="1">
      <c r="E678" s="118" t="str">
        <f>IF(C678 ="","",C678-Listas!$B$2)</f>
        <v/>
      </c>
    </row>
    <row r="679" ht="15.75" customHeight="1">
      <c r="E679" s="118" t="str">
        <f>IF(C679 ="","",C679-Listas!$B$2)</f>
        <v/>
      </c>
    </row>
    <row r="680" ht="15.75" customHeight="1">
      <c r="E680" s="118" t="str">
        <f>IF(C680 ="","",C680-Listas!$B$2)</f>
        <v/>
      </c>
    </row>
    <row r="681" ht="15.75" customHeight="1">
      <c r="E681" s="118" t="str">
        <f>IF(C681 ="","",C681-Listas!$B$2)</f>
        <v/>
      </c>
    </row>
    <row r="682" ht="15.75" customHeight="1">
      <c r="E682" s="118" t="str">
        <f>IF(C682 ="","",C682-Listas!$B$2)</f>
        <v/>
      </c>
    </row>
    <row r="683" ht="15.75" customHeight="1">
      <c r="E683" s="118" t="str">
        <f>IF(C683 ="","",C683-Listas!$B$2)</f>
        <v/>
      </c>
    </row>
    <row r="684" ht="15.75" customHeight="1">
      <c r="E684" s="118" t="str">
        <f>IF(C684 ="","",C684-Listas!$B$2)</f>
        <v/>
      </c>
    </row>
    <row r="685" ht="15.75" customHeight="1">
      <c r="E685" s="118" t="str">
        <f>IF(C685 ="","",C685-Listas!$B$2)</f>
        <v/>
      </c>
    </row>
    <row r="686" ht="15.75" customHeight="1">
      <c r="E686" s="118" t="str">
        <f>IF(C686 ="","",C686-Listas!$B$2)</f>
        <v/>
      </c>
    </row>
    <row r="687" ht="15.75" customHeight="1">
      <c r="E687" s="118" t="str">
        <f>IF(C687 ="","",C687-Listas!$B$2)</f>
        <v/>
      </c>
    </row>
    <row r="688" ht="15.75" customHeight="1">
      <c r="E688" s="118" t="str">
        <f>IF(C688 ="","",C688-Listas!$B$2)</f>
        <v/>
      </c>
    </row>
    <row r="689" ht="15.75" customHeight="1">
      <c r="E689" s="118" t="str">
        <f>IF(C689 ="","",C689-Listas!$B$2)</f>
        <v/>
      </c>
    </row>
    <row r="690" ht="15.75" customHeight="1">
      <c r="E690" s="118" t="str">
        <f>IF(C690 ="","",C690-Listas!$B$2)</f>
        <v/>
      </c>
    </row>
    <row r="691" ht="15.75" customHeight="1">
      <c r="E691" s="118" t="str">
        <f>IF(C691 ="","",C691-Listas!$B$2)</f>
        <v/>
      </c>
    </row>
    <row r="692" ht="15.75" customHeight="1">
      <c r="E692" s="118" t="str">
        <f>IF(C692 ="","",C692-Listas!$B$2)</f>
        <v/>
      </c>
    </row>
    <row r="693" ht="15.75" customHeight="1">
      <c r="E693" s="118" t="str">
        <f>IF(C693 ="","",C693-Listas!$B$2)</f>
        <v/>
      </c>
    </row>
    <row r="694" ht="15.75" customHeight="1">
      <c r="E694" s="118" t="str">
        <f>IF(C694 ="","",C694-Listas!$B$2)</f>
        <v/>
      </c>
    </row>
    <row r="695" ht="15.75" customHeight="1">
      <c r="E695" s="118" t="str">
        <f>IF(C695 ="","",C695-Listas!$B$2)</f>
        <v/>
      </c>
    </row>
    <row r="696" ht="15.75" customHeight="1">
      <c r="E696" s="118" t="str">
        <f>IF(C696 ="","",C696-Listas!$B$2)</f>
        <v/>
      </c>
    </row>
    <row r="697" ht="15.75" customHeight="1">
      <c r="E697" s="118" t="str">
        <f>IF(C697 ="","",C697-Listas!$B$2)</f>
        <v/>
      </c>
    </row>
    <row r="698" ht="15.75" customHeight="1">
      <c r="E698" s="118" t="str">
        <f>IF(C698 ="","",C698-Listas!$B$2)</f>
        <v/>
      </c>
    </row>
    <row r="699" ht="15.75" customHeight="1">
      <c r="E699" s="118" t="str">
        <f>IF(C699 ="","",C699-Listas!$B$2)</f>
        <v/>
      </c>
    </row>
    <row r="700" ht="15.75" customHeight="1">
      <c r="E700" s="118" t="str">
        <f>IF(C700 ="","",C700-Listas!$B$2)</f>
        <v/>
      </c>
    </row>
    <row r="701" ht="15.75" customHeight="1">
      <c r="E701" s="118" t="str">
        <f>IF(C701 ="","",C701-Listas!$B$2)</f>
        <v/>
      </c>
    </row>
    <row r="702" ht="15.75" customHeight="1">
      <c r="E702" s="118" t="str">
        <f>IF(C702 ="","",C702-Listas!$B$2)</f>
        <v/>
      </c>
    </row>
    <row r="703" ht="15.75" customHeight="1">
      <c r="E703" s="118" t="str">
        <f>IF(C703 ="","",C703-Listas!$B$2)</f>
        <v/>
      </c>
    </row>
    <row r="704" ht="15.75" customHeight="1">
      <c r="E704" s="118" t="str">
        <f>IF(C704 ="","",C704-Listas!$B$2)</f>
        <v/>
      </c>
    </row>
    <row r="705" ht="15.75" customHeight="1">
      <c r="E705" s="118" t="str">
        <f>IF(C705 ="","",C705-Listas!$B$2)</f>
        <v/>
      </c>
    </row>
    <row r="706" ht="15.75" customHeight="1">
      <c r="E706" s="118" t="str">
        <f>IF(C706 ="","",C706-Listas!$B$2)</f>
        <v/>
      </c>
    </row>
    <row r="707" ht="15.75" customHeight="1">
      <c r="E707" s="118" t="str">
        <f>IF(C707 ="","",C707-Listas!$B$2)</f>
        <v/>
      </c>
    </row>
    <row r="708" ht="15.75" customHeight="1">
      <c r="E708" s="118" t="str">
        <f>IF(C708 ="","",C708-Listas!$B$2)</f>
        <v/>
      </c>
    </row>
    <row r="709" ht="15.75" customHeight="1">
      <c r="E709" s="118" t="str">
        <f>IF(C709 ="","",C709-Listas!$B$2)</f>
        <v/>
      </c>
    </row>
    <row r="710" ht="15.75" customHeight="1">
      <c r="E710" s="118" t="str">
        <f>IF(C710 ="","",C710-Listas!$B$2)</f>
        <v/>
      </c>
    </row>
    <row r="711" ht="15.75" customHeight="1">
      <c r="E711" s="118" t="str">
        <f>IF(C711 ="","",C711-Listas!$B$2)</f>
        <v/>
      </c>
    </row>
    <row r="712" ht="15.75" customHeight="1">
      <c r="E712" s="118" t="str">
        <f>IF(C712 ="","",C712-Listas!$B$2)</f>
        <v/>
      </c>
    </row>
    <row r="713" ht="15.75" customHeight="1">
      <c r="E713" s="118" t="str">
        <f>IF(C713 ="","",C713-Listas!$B$2)</f>
        <v/>
      </c>
    </row>
    <row r="714" ht="15.75" customHeight="1">
      <c r="E714" s="118" t="str">
        <f>IF(C714 ="","",C714-Listas!$B$2)</f>
        <v/>
      </c>
    </row>
    <row r="715" ht="15.75" customHeight="1">
      <c r="E715" s="118" t="str">
        <f>IF(C715 ="","",C715-Listas!$B$2)</f>
        <v/>
      </c>
    </row>
    <row r="716" ht="15.75" customHeight="1">
      <c r="E716" s="118" t="str">
        <f>IF(C716 ="","",C716-Listas!$B$2)</f>
        <v/>
      </c>
    </row>
    <row r="717" ht="15.75" customHeight="1">
      <c r="E717" s="118" t="str">
        <f>IF(C717 ="","",C717-Listas!$B$2)</f>
        <v/>
      </c>
    </row>
    <row r="718" ht="15.75" customHeight="1">
      <c r="E718" s="118" t="str">
        <f>IF(C718 ="","",C718-Listas!$B$2)</f>
        <v/>
      </c>
    </row>
    <row r="719" ht="15.75" customHeight="1">
      <c r="E719" s="118" t="str">
        <f>IF(C719 ="","",C719-Listas!$B$2)</f>
        <v/>
      </c>
    </row>
    <row r="720" ht="15.75" customHeight="1">
      <c r="E720" s="118" t="str">
        <f>IF(C720 ="","",C720-Listas!$B$2)</f>
        <v/>
      </c>
    </row>
    <row r="721" ht="15.75" customHeight="1">
      <c r="E721" s="118" t="str">
        <f>IF(C721 ="","",C721-Listas!$B$2)</f>
        <v/>
      </c>
    </row>
    <row r="722" ht="15.75" customHeight="1">
      <c r="E722" s="118" t="str">
        <f>IF(C722 ="","",C722-Listas!$B$2)</f>
        <v/>
      </c>
    </row>
    <row r="723" ht="15.75" customHeight="1">
      <c r="E723" s="118" t="str">
        <f>IF(C723 ="","",C723-Listas!$B$2)</f>
        <v/>
      </c>
    </row>
    <row r="724" ht="15.75" customHeight="1">
      <c r="E724" s="118" t="str">
        <f>IF(C724 ="","",C724-Listas!$B$2)</f>
        <v/>
      </c>
    </row>
    <row r="725" ht="15.75" customHeight="1">
      <c r="E725" s="118" t="str">
        <f>IF(C725 ="","",C725-Listas!$B$2)</f>
        <v/>
      </c>
    </row>
    <row r="726" ht="15.75" customHeight="1">
      <c r="E726" s="118" t="str">
        <f>IF(C726 ="","",C726-Listas!$B$2)</f>
        <v/>
      </c>
    </row>
    <row r="727" ht="15.75" customHeight="1">
      <c r="E727" s="118" t="str">
        <f>IF(C727 ="","",C727-Listas!$B$2)</f>
        <v/>
      </c>
    </row>
    <row r="728" ht="15.75" customHeight="1">
      <c r="E728" s="118" t="str">
        <f>IF(C728 ="","",C728-Listas!$B$2)</f>
        <v/>
      </c>
    </row>
    <row r="729" ht="15.75" customHeight="1">
      <c r="E729" s="118" t="str">
        <f>IF(C729 ="","",C729-Listas!$B$2)</f>
        <v/>
      </c>
    </row>
    <row r="730" ht="15.75" customHeight="1">
      <c r="E730" s="118" t="str">
        <f>IF(C730 ="","",C730-Listas!$B$2)</f>
        <v/>
      </c>
    </row>
    <row r="731" ht="15.75" customHeight="1">
      <c r="E731" s="118" t="str">
        <f>IF(C731 ="","",C731-Listas!$B$2)</f>
        <v/>
      </c>
    </row>
    <row r="732" ht="15.75" customHeight="1">
      <c r="E732" s="118" t="str">
        <f>IF(C732 ="","",C732-Listas!$B$2)</f>
        <v/>
      </c>
    </row>
    <row r="733" ht="15.75" customHeight="1">
      <c r="E733" s="118" t="str">
        <f>IF(C733 ="","",C733-Listas!$B$2)</f>
        <v/>
      </c>
    </row>
    <row r="734" ht="15.75" customHeight="1">
      <c r="E734" s="118" t="str">
        <f>IF(C734 ="","",C734-Listas!$B$2)</f>
        <v/>
      </c>
    </row>
    <row r="735" ht="15.75" customHeight="1">
      <c r="E735" s="118" t="str">
        <f>IF(C735 ="","",C735-Listas!$B$2)</f>
        <v/>
      </c>
    </row>
    <row r="736" ht="15.75" customHeight="1">
      <c r="E736" s="118" t="str">
        <f>IF(C736 ="","",C736-Listas!$B$2)</f>
        <v/>
      </c>
    </row>
    <row r="737" ht="15.75" customHeight="1">
      <c r="E737" s="118" t="str">
        <f>IF(C737 ="","",C737-Listas!$B$2)</f>
        <v/>
      </c>
    </row>
    <row r="738" ht="15.75" customHeight="1">
      <c r="E738" s="118" t="str">
        <f>IF(C738 ="","",C738-Listas!$B$2)</f>
        <v/>
      </c>
    </row>
    <row r="739" ht="15.75" customHeight="1">
      <c r="E739" s="118" t="str">
        <f>IF(C739 ="","",C739-Listas!$B$2)</f>
        <v/>
      </c>
    </row>
    <row r="740" ht="15.75" customHeight="1">
      <c r="E740" s="118" t="str">
        <f>IF(C740 ="","",C740-Listas!$B$2)</f>
        <v/>
      </c>
    </row>
    <row r="741" ht="15.75" customHeight="1">
      <c r="E741" s="118" t="str">
        <f>IF(C741 ="","",C741-Listas!$B$2)</f>
        <v/>
      </c>
    </row>
    <row r="742" ht="15.75" customHeight="1">
      <c r="E742" s="118" t="str">
        <f>IF(C742 ="","",C742-Listas!$B$2)</f>
        <v/>
      </c>
    </row>
    <row r="743" ht="15.75" customHeight="1">
      <c r="E743" s="118" t="str">
        <f>IF(C743 ="","",C743-Listas!$B$2)</f>
        <v/>
      </c>
    </row>
    <row r="744" ht="15.75" customHeight="1">
      <c r="E744" s="118" t="str">
        <f>IF(C744 ="","",C744-Listas!$B$2)</f>
        <v/>
      </c>
    </row>
    <row r="745" ht="15.75" customHeight="1">
      <c r="E745" s="118" t="str">
        <f>IF(C745 ="","",C745-Listas!$B$2)</f>
        <v/>
      </c>
    </row>
    <row r="746" ht="15.75" customHeight="1">
      <c r="E746" s="118" t="str">
        <f>IF(C746 ="","",C746-Listas!$B$2)</f>
        <v/>
      </c>
    </row>
    <row r="747" ht="15.75" customHeight="1">
      <c r="E747" s="118" t="str">
        <f>IF(C747 ="","",C747-Listas!$B$2)</f>
        <v/>
      </c>
    </row>
    <row r="748" ht="15.75" customHeight="1">
      <c r="E748" s="118" t="str">
        <f>IF(C748 ="","",C748-Listas!$B$2)</f>
        <v/>
      </c>
    </row>
    <row r="749" ht="15.75" customHeight="1">
      <c r="E749" s="118" t="str">
        <f>IF(C749 ="","",C749-Listas!$B$2)</f>
        <v/>
      </c>
    </row>
    <row r="750" ht="15.75" customHeight="1">
      <c r="E750" s="118" t="str">
        <f>IF(C750 ="","",C750-Listas!$B$2)</f>
        <v/>
      </c>
    </row>
    <row r="751" ht="15.75" customHeight="1">
      <c r="E751" s="118" t="str">
        <f>IF(C751 ="","",C751-Listas!$B$2)</f>
        <v/>
      </c>
    </row>
    <row r="752" ht="15.75" customHeight="1">
      <c r="E752" s="118" t="str">
        <f>IF(C752 ="","",C752-Listas!$B$2)</f>
        <v/>
      </c>
    </row>
    <row r="753" ht="15.75" customHeight="1">
      <c r="E753" s="118" t="str">
        <f>IF(C753 ="","",C753-Listas!$B$2)</f>
        <v/>
      </c>
    </row>
    <row r="754" ht="15.75" customHeight="1">
      <c r="E754" s="118" t="str">
        <f>IF(C754 ="","",C754-Listas!$B$2)</f>
        <v/>
      </c>
    </row>
    <row r="755" ht="15.75" customHeight="1">
      <c r="E755" s="118" t="str">
        <f>IF(C755 ="","",C755-Listas!$B$2)</f>
        <v/>
      </c>
    </row>
    <row r="756" ht="15.75" customHeight="1">
      <c r="E756" s="118" t="str">
        <f>IF(C756 ="","",C756-Listas!$B$2)</f>
        <v/>
      </c>
    </row>
    <row r="757" ht="15.75" customHeight="1">
      <c r="E757" s="118" t="str">
        <f>IF(C757 ="","",C757-Listas!$B$2)</f>
        <v/>
      </c>
    </row>
    <row r="758" ht="15.75" customHeight="1">
      <c r="E758" s="118" t="str">
        <f>IF(C758 ="","",C758-Listas!$B$2)</f>
        <v/>
      </c>
    </row>
    <row r="759" ht="15.75" customHeight="1">
      <c r="E759" s="118" t="str">
        <f>IF(C759 ="","",C759-Listas!$B$2)</f>
        <v/>
      </c>
    </row>
    <row r="760" ht="15.75" customHeight="1">
      <c r="E760" s="118" t="str">
        <f>IF(C760 ="","",C760-Listas!$B$2)</f>
        <v/>
      </c>
    </row>
    <row r="761" ht="15.75" customHeight="1">
      <c r="E761" s="118" t="str">
        <f>IF(C761 ="","",C761-Listas!$B$2)</f>
        <v/>
      </c>
    </row>
    <row r="762" ht="15.75" customHeight="1">
      <c r="E762" s="118" t="str">
        <f>IF(C762 ="","",C762-Listas!$B$2)</f>
        <v/>
      </c>
    </row>
    <row r="763" ht="15.75" customHeight="1">
      <c r="E763" s="118" t="str">
        <f>IF(C763 ="","",C763-Listas!$B$2)</f>
        <v/>
      </c>
    </row>
    <row r="764" ht="15.75" customHeight="1">
      <c r="E764" s="118" t="str">
        <f>IF(C764 ="","",C764-Listas!$B$2)</f>
        <v/>
      </c>
    </row>
    <row r="765" ht="15.75" customHeight="1">
      <c r="E765" s="118" t="str">
        <f>IF(C765 ="","",C765-Listas!$B$2)</f>
        <v/>
      </c>
    </row>
    <row r="766" ht="15.75" customHeight="1">
      <c r="E766" s="118" t="str">
        <f>IF(C766 ="","",C766-Listas!$B$2)</f>
        <v/>
      </c>
    </row>
    <row r="767" ht="15.75" customHeight="1">
      <c r="E767" s="118" t="str">
        <f>IF(C767 ="","",C767-Listas!$B$2)</f>
        <v/>
      </c>
    </row>
    <row r="768" ht="15.75" customHeight="1">
      <c r="E768" s="118" t="str">
        <f>IF(C768 ="","",C768-Listas!$B$2)</f>
        <v/>
      </c>
    </row>
    <row r="769" ht="15.75" customHeight="1">
      <c r="E769" s="118" t="str">
        <f>IF(C769 ="","",C769-Listas!$B$2)</f>
        <v/>
      </c>
    </row>
    <row r="770" ht="15.75" customHeight="1">
      <c r="E770" s="118" t="str">
        <f>IF(C770 ="","",C770-Listas!$B$2)</f>
        <v/>
      </c>
    </row>
    <row r="771" ht="15.75" customHeight="1">
      <c r="E771" s="118" t="str">
        <f>IF(C771 ="","",C771-Listas!$B$2)</f>
        <v/>
      </c>
    </row>
    <row r="772" ht="15.75" customHeight="1">
      <c r="E772" s="118" t="str">
        <f>IF(C772 ="","",C772-Listas!$B$2)</f>
        <v/>
      </c>
    </row>
    <row r="773" ht="15.75" customHeight="1">
      <c r="E773" s="118" t="str">
        <f>IF(C773 ="","",C773-Listas!$B$2)</f>
        <v/>
      </c>
    </row>
    <row r="774" ht="15.75" customHeight="1">
      <c r="E774" s="118" t="str">
        <f>IF(C774 ="","",C774-Listas!$B$2)</f>
        <v/>
      </c>
    </row>
    <row r="775" ht="15.75" customHeight="1">
      <c r="E775" s="118" t="str">
        <f>IF(C775 ="","",C775-Listas!$B$2)</f>
        <v/>
      </c>
    </row>
    <row r="776" ht="15.75" customHeight="1">
      <c r="E776" s="118" t="str">
        <f>IF(C776 ="","",C776-Listas!$B$2)</f>
        <v/>
      </c>
    </row>
    <row r="777" ht="15.75" customHeight="1">
      <c r="E777" s="118" t="str">
        <f>IF(C777 ="","",C777-Listas!$B$2)</f>
        <v/>
      </c>
    </row>
    <row r="778" ht="15.75" customHeight="1">
      <c r="E778" s="118" t="str">
        <f>IF(C778 ="","",C778-Listas!$B$2)</f>
        <v/>
      </c>
    </row>
    <row r="779" ht="15.75" customHeight="1">
      <c r="E779" s="118" t="str">
        <f>IF(C779 ="","",C779-Listas!$B$2)</f>
        <v/>
      </c>
    </row>
    <row r="780" ht="15.75" customHeight="1">
      <c r="E780" s="118" t="str">
        <f>IF(C780 ="","",C780-Listas!$B$2)</f>
        <v/>
      </c>
    </row>
    <row r="781" ht="15.75" customHeight="1">
      <c r="E781" s="118" t="str">
        <f>IF(C781 ="","",C781-Listas!$B$2)</f>
        <v/>
      </c>
    </row>
    <row r="782" ht="15.75" customHeight="1">
      <c r="E782" s="118" t="str">
        <f>IF(C782 ="","",C782-Listas!$B$2)</f>
        <v/>
      </c>
    </row>
    <row r="783" ht="15.75" customHeight="1">
      <c r="E783" s="118" t="str">
        <f>IF(C783 ="","",C783-Listas!$B$2)</f>
        <v/>
      </c>
    </row>
    <row r="784" ht="15.75" customHeight="1">
      <c r="E784" s="118" t="str">
        <f>IF(C784 ="","",C784-Listas!$B$2)</f>
        <v/>
      </c>
    </row>
    <row r="785" ht="15.75" customHeight="1">
      <c r="E785" s="118" t="str">
        <f>IF(C785 ="","",C785-Listas!$B$2)</f>
        <v/>
      </c>
    </row>
    <row r="786" ht="15.75" customHeight="1">
      <c r="E786" s="118" t="str">
        <f>IF(C786 ="","",C786-Listas!$B$2)</f>
        <v/>
      </c>
    </row>
    <row r="787" ht="15.75" customHeight="1">
      <c r="E787" s="118" t="str">
        <f>IF(C787 ="","",C787-Listas!$B$2)</f>
        <v/>
      </c>
    </row>
    <row r="788" ht="15.75" customHeight="1">
      <c r="E788" s="118" t="str">
        <f>IF(C788 ="","",C788-Listas!$B$2)</f>
        <v/>
      </c>
    </row>
    <row r="789" ht="15.75" customHeight="1">
      <c r="E789" s="118" t="str">
        <f>IF(C789 ="","",C789-Listas!$B$2)</f>
        <v/>
      </c>
    </row>
    <row r="790" ht="15.75" customHeight="1">
      <c r="E790" s="118" t="str">
        <f>IF(C790 ="","",C790-Listas!$B$2)</f>
        <v/>
      </c>
    </row>
    <row r="791" ht="15.75" customHeight="1">
      <c r="E791" s="118" t="str">
        <f>IF(C791 ="","",C791-Listas!$B$2)</f>
        <v/>
      </c>
    </row>
    <row r="792" ht="15.75" customHeight="1">
      <c r="E792" s="118" t="str">
        <f>IF(C792 ="","",C792-Listas!$B$2)</f>
        <v/>
      </c>
    </row>
    <row r="793" ht="15.75" customHeight="1">
      <c r="E793" s="118" t="str">
        <f>IF(C793 ="","",C793-Listas!$B$2)</f>
        <v/>
      </c>
    </row>
    <row r="794" ht="15.75" customHeight="1">
      <c r="E794" s="118" t="str">
        <f>IF(C794 ="","",C794-Listas!$B$2)</f>
        <v/>
      </c>
    </row>
    <row r="795" ht="15.75" customHeight="1">
      <c r="E795" s="118" t="str">
        <f>IF(C795 ="","",C795-Listas!$B$2)</f>
        <v/>
      </c>
    </row>
    <row r="796" ht="15.75" customHeight="1">
      <c r="E796" s="118" t="str">
        <f>IF(C796 ="","",C796-Listas!$B$2)</f>
        <v/>
      </c>
    </row>
    <row r="797" ht="15.75" customHeight="1">
      <c r="E797" s="118" t="str">
        <f>IF(C797 ="","",C797-Listas!$B$2)</f>
        <v/>
      </c>
    </row>
    <row r="798" ht="15.75" customHeight="1">
      <c r="E798" s="118" t="str">
        <f>IF(C798 ="","",C798-Listas!$B$2)</f>
        <v/>
      </c>
    </row>
    <row r="799" ht="15.75" customHeight="1">
      <c r="E799" s="118" t="str">
        <f>IF(C799 ="","",C799-Listas!$B$2)</f>
        <v/>
      </c>
    </row>
    <row r="800" ht="15.75" customHeight="1">
      <c r="E800" s="118" t="str">
        <f>IF(C800 ="","",C800-Listas!$B$2)</f>
        <v/>
      </c>
    </row>
    <row r="801" ht="15.75" customHeight="1">
      <c r="E801" s="118" t="str">
        <f>IF(C801 ="","",C801-Listas!$B$2)</f>
        <v/>
      </c>
    </row>
    <row r="802" ht="15.75" customHeight="1">
      <c r="E802" s="118" t="str">
        <f>IF(C802 ="","",C802-Listas!$B$2)</f>
        <v/>
      </c>
    </row>
    <row r="803" ht="15.75" customHeight="1">
      <c r="E803" s="118" t="str">
        <f>IF(C803 ="","",C803-Listas!$B$2)</f>
        <v/>
      </c>
    </row>
    <row r="804" ht="15.75" customHeight="1">
      <c r="E804" s="118" t="str">
        <f>IF(C804 ="","",C804-Listas!$B$2)</f>
        <v/>
      </c>
    </row>
    <row r="805" ht="15.75" customHeight="1">
      <c r="E805" s="118" t="str">
        <f>IF(C805 ="","",C805-Listas!$B$2)</f>
        <v/>
      </c>
    </row>
    <row r="806" ht="15.75" customHeight="1">
      <c r="E806" s="118" t="str">
        <f>IF(C806 ="","",C806-Listas!$B$2)</f>
        <v/>
      </c>
    </row>
    <row r="807" ht="15.75" customHeight="1">
      <c r="E807" s="118" t="str">
        <f>IF(C807 ="","",C807-Listas!$B$2)</f>
        <v/>
      </c>
    </row>
    <row r="808" ht="15.75" customHeight="1">
      <c r="E808" s="118" t="str">
        <f>IF(C808 ="","",C808-Listas!$B$2)</f>
        <v/>
      </c>
    </row>
    <row r="809" ht="15.75" customHeight="1">
      <c r="E809" s="118" t="str">
        <f>IF(C809 ="","",C809-Listas!$B$2)</f>
        <v/>
      </c>
    </row>
    <row r="810" ht="15.75" customHeight="1">
      <c r="E810" s="118" t="str">
        <f>IF(C810 ="","",C810-Listas!$B$2)</f>
        <v/>
      </c>
    </row>
    <row r="811" ht="15.75" customHeight="1">
      <c r="E811" s="118" t="str">
        <f>IF(C811 ="","",C811-Listas!$B$2)</f>
        <v/>
      </c>
    </row>
    <row r="812" ht="15.75" customHeight="1">
      <c r="E812" s="118" t="str">
        <f>IF(C812 ="","",C812-Listas!$B$2)</f>
        <v/>
      </c>
    </row>
    <row r="813" ht="15.75" customHeight="1">
      <c r="E813" s="118" t="str">
        <f>IF(C813 ="","",C813-Listas!$B$2)</f>
        <v/>
      </c>
    </row>
    <row r="814" ht="15.75" customHeight="1">
      <c r="E814" s="118" t="str">
        <f>IF(C814 ="","",C814-Listas!$B$2)</f>
        <v/>
      </c>
    </row>
    <row r="815" ht="15.75" customHeight="1">
      <c r="E815" s="118" t="str">
        <f>IF(C815 ="","",C815-Listas!$B$2)</f>
        <v/>
      </c>
    </row>
    <row r="816" ht="15.75" customHeight="1">
      <c r="E816" s="118" t="str">
        <f>IF(C816 ="","",C816-Listas!$B$2)</f>
        <v/>
      </c>
    </row>
    <row r="817" ht="15.75" customHeight="1">
      <c r="E817" s="118" t="str">
        <f>IF(C817 ="","",C817-Listas!$B$2)</f>
        <v/>
      </c>
    </row>
    <row r="818" ht="15.75" customHeight="1">
      <c r="E818" s="118" t="str">
        <f>IF(C818 ="","",C818-Listas!$B$2)</f>
        <v/>
      </c>
    </row>
    <row r="819" ht="15.75" customHeight="1">
      <c r="E819" s="118" t="str">
        <f>IF(C819 ="","",C819-Listas!$B$2)</f>
        <v/>
      </c>
    </row>
    <row r="820" ht="15.75" customHeight="1">
      <c r="E820" s="118" t="str">
        <f>IF(C820 ="","",C820-Listas!$B$2)</f>
        <v/>
      </c>
    </row>
    <row r="821" ht="15.75" customHeight="1">
      <c r="E821" s="118" t="str">
        <f>IF(C821 ="","",C821-Listas!$B$2)</f>
        <v/>
      </c>
    </row>
    <row r="822" ht="15.75" customHeight="1">
      <c r="E822" s="118" t="str">
        <f>IF(C822 ="","",C822-Listas!$B$2)</f>
        <v/>
      </c>
    </row>
    <row r="823" ht="15.75" customHeight="1">
      <c r="E823" s="118" t="str">
        <f>IF(C823 ="","",C823-Listas!$B$2)</f>
        <v/>
      </c>
    </row>
    <row r="824" ht="15.75" customHeight="1">
      <c r="E824" s="118" t="str">
        <f>IF(C824 ="","",C824-Listas!$B$2)</f>
        <v/>
      </c>
    </row>
    <row r="825" ht="15.75" customHeight="1">
      <c r="E825" s="118" t="str">
        <f>IF(C825 ="","",C825-Listas!$B$2)</f>
        <v/>
      </c>
    </row>
    <row r="826" ht="15.75" customHeight="1">
      <c r="E826" s="118" t="str">
        <f>IF(C826 ="","",C826-Listas!$B$2)</f>
        <v/>
      </c>
    </row>
    <row r="827" ht="15.75" customHeight="1">
      <c r="E827" s="118" t="str">
        <f>IF(C827 ="","",C827-Listas!$B$2)</f>
        <v/>
      </c>
    </row>
    <row r="828" ht="15.75" customHeight="1">
      <c r="E828" s="118" t="str">
        <f>IF(C828 ="","",C828-Listas!$B$2)</f>
        <v/>
      </c>
    </row>
    <row r="829" ht="15.75" customHeight="1">
      <c r="E829" s="118" t="str">
        <f>IF(C829 ="","",C829-Listas!$B$2)</f>
        <v/>
      </c>
    </row>
    <row r="830" ht="15.75" customHeight="1">
      <c r="E830" s="118" t="str">
        <f>IF(C830 ="","",C830-Listas!$B$2)</f>
        <v/>
      </c>
    </row>
    <row r="831" ht="15.75" customHeight="1">
      <c r="E831" s="118" t="str">
        <f>IF(C831 ="","",C831-Listas!$B$2)</f>
        <v/>
      </c>
    </row>
    <row r="832" ht="15.75" customHeight="1">
      <c r="E832" s="118" t="str">
        <f>IF(C832 ="","",C832-Listas!$B$2)</f>
        <v/>
      </c>
    </row>
    <row r="833" ht="15.75" customHeight="1">
      <c r="E833" s="118" t="str">
        <f>IF(C833 ="","",C833-Listas!$B$2)</f>
        <v/>
      </c>
    </row>
    <row r="834" ht="15.75" customHeight="1">
      <c r="E834" s="118" t="str">
        <f>IF(C834 ="","",C834-Listas!$B$2)</f>
        <v/>
      </c>
    </row>
    <row r="835" ht="15.75" customHeight="1">
      <c r="E835" s="118" t="str">
        <f>IF(C835 ="","",C835-Listas!$B$2)</f>
        <v/>
      </c>
    </row>
    <row r="836" ht="15.75" customHeight="1">
      <c r="E836" s="118" t="str">
        <f>IF(C836 ="","",C836-Listas!$B$2)</f>
        <v/>
      </c>
    </row>
    <row r="837" ht="15.75" customHeight="1">
      <c r="E837" s="118" t="str">
        <f>IF(C837 ="","",C837-Listas!$B$2)</f>
        <v/>
      </c>
    </row>
    <row r="838" ht="15.75" customHeight="1">
      <c r="E838" s="118" t="str">
        <f>IF(C838 ="","",C838-Listas!$B$2)</f>
        <v/>
      </c>
    </row>
    <row r="839" ht="15.75" customHeight="1">
      <c r="E839" s="118" t="str">
        <f>IF(C839 ="","",C839-Listas!$B$2)</f>
        <v/>
      </c>
    </row>
    <row r="840" ht="15.75" customHeight="1">
      <c r="E840" s="118" t="str">
        <f>IF(C840 ="","",C840-Listas!$B$2)</f>
        <v/>
      </c>
    </row>
    <row r="841" ht="15.75" customHeight="1">
      <c r="E841" s="118" t="str">
        <f>IF(C841 ="","",C841-Listas!$B$2)</f>
        <v/>
      </c>
    </row>
    <row r="842" ht="15.75" customHeight="1">
      <c r="E842" s="118" t="str">
        <f>IF(C842 ="","",C842-Listas!$B$2)</f>
        <v/>
      </c>
    </row>
    <row r="843" ht="15.75" customHeight="1">
      <c r="E843" s="118" t="str">
        <f>IF(C843 ="","",C843-Listas!$B$2)</f>
        <v/>
      </c>
    </row>
    <row r="844" ht="15.75" customHeight="1">
      <c r="E844" s="118" t="str">
        <f>IF(C844 ="","",C844-Listas!$B$2)</f>
        <v/>
      </c>
    </row>
    <row r="845" ht="15.75" customHeight="1">
      <c r="E845" s="118" t="str">
        <f>IF(C845 ="","",C845-Listas!$B$2)</f>
        <v/>
      </c>
    </row>
    <row r="846" ht="15.75" customHeight="1">
      <c r="E846" s="118" t="str">
        <f>IF(C846 ="","",C846-Listas!$B$2)</f>
        <v/>
      </c>
    </row>
    <row r="847" ht="15.75" customHeight="1">
      <c r="E847" s="118" t="str">
        <f>IF(C847 ="","",C847-Listas!$B$2)</f>
        <v/>
      </c>
    </row>
    <row r="848" ht="15.75" customHeight="1">
      <c r="E848" s="118" t="str">
        <f>IF(C848 ="","",C848-Listas!$B$2)</f>
        <v/>
      </c>
    </row>
    <row r="849" ht="15.75" customHeight="1">
      <c r="E849" s="118" t="str">
        <f>IF(C849 ="","",C849-Listas!$B$2)</f>
        <v/>
      </c>
    </row>
    <row r="850" ht="15.75" customHeight="1">
      <c r="E850" s="118" t="str">
        <f>IF(C850 ="","",C850-Listas!$B$2)</f>
        <v/>
      </c>
    </row>
    <row r="851" ht="15.75" customHeight="1">
      <c r="E851" s="118" t="str">
        <f>IF(C851 ="","",C851-Listas!$B$2)</f>
        <v/>
      </c>
    </row>
    <row r="852" ht="15.75" customHeight="1">
      <c r="E852" s="118" t="str">
        <f>IF(C852 ="","",C852-Listas!$B$2)</f>
        <v/>
      </c>
    </row>
    <row r="853" ht="15.75" customHeight="1">
      <c r="E853" s="118" t="str">
        <f>IF(C853 ="","",C853-Listas!$B$2)</f>
        <v/>
      </c>
    </row>
    <row r="854" ht="15.75" customHeight="1">
      <c r="E854" s="118" t="str">
        <f>IF(C854 ="","",C854-Listas!$B$2)</f>
        <v/>
      </c>
    </row>
    <row r="855" ht="15.75" customHeight="1">
      <c r="E855" s="118" t="str">
        <f>IF(C855 ="","",C855-Listas!$B$2)</f>
        <v/>
      </c>
    </row>
    <row r="856" ht="15.75" customHeight="1">
      <c r="E856" s="118" t="str">
        <f>IF(C856 ="","",C856-Listas!$B$2)</f>
        <v/>
      </c>
    </row>
    <row r="857" ht="15.75" customHeight="1">
      <c r="E857" s="118" t="str">
        <f>IF(C857 ="","",C857-Listas!$B$2)</f>
        <v/>
      </c>
    </row>
    <row r="858" ht="15.75" customHeight="1">
      <c r="E858" s="118" t="str">
        <f>IF(C858 ="","",C858-Listas!$B$2)</f>
        <v/>
      </c>
    </row>
    <row r="859" ht="15.75" customHeight="1">
      <c r="E859" s="118" t="str">
        <f>IF(C859 ="","",C859-Listas!$B$2)</f>
        <v/>
      </c>
    </row>
    <row r="860" ht="15.75" customHeight="1">
      <c r="E860" s="118" t="str">
        <f>IF(C860 ="","",C860-Listas!$B$2)</f>
        <v/>
      </c>
    </row>
    <row r="861" ht="15.75" customHeight="1">
      <c r="E861" s="118" t="str">
        <f>IF(C861 ="","",C861-Listas!$B$2)</f>
        <v/>
      </c>
    </row>
    <row r="862" ht="15.75" customHeight="1">
      <c r="E862" s="118" t="str">
        <f>IF(C862 ="","",C862-Listas!$B$2)</f>
        <v/>
      </c>
    </row>
    <row r="863" ht="15.75" customHeight="1">
      <c r="E863" s="118" t="str">
        <f>IF(C863 ="","",C863-Listas!$B$2)</f>
        <v/>
      </c>
    </row>
    <row r="864" ht="15.75" customHeight="1">
      <c r="E864" s="118" t="str">
        <f>IF(C864 ="","",C864-Listas!$B$2)</f>
        <v/>
      </c>
    </row>
    <row r="865" ht="15.75" customHeight="1">
      <c r="E865" s="118" t="str">
        <f>IF(C865 ="","",C865-Listas!$B$2)</f>
        <v/>
      </c>
    </row>
    <row r="866" ht="15.75" customHeight="1">
      <c r="E866" s="118" t="str">
        <f>IF(C866 ="","",C866-Listas!$B$2)</f>
        <v/>
      </c>
    </row>
    <row r="867" ht="15.75" customHeight="1">
      <c r="E867" s="118" t="str">
        <f>IF(C867 ="","",C867-Listas!$B$2)</f>
        <v/>
      </c>
    </row>
    <row r="868" ht="15.75" customHeight="1">
      <c r="E868" s="118" t="str">
        <f>IF(C868 ="","",C868-Listas!$B$2)</f>
        <v/>
      </c>
    </row>
    <row r="869" ht="15.75" customHeight="1">
      <c r="E869" s="118" t="str">
        <f>IF(C869 ="","",C869-Listas!$B$2)</f>
        <v/>
      </c>
    </row>
    <row r="870" ht="15.75" customHeight="1">
      <c r="E870" s="118" t="str">
        <f>IF(C870 ="","",C870-Listas!$B$2)</f>
        <v/>
      </c>
    </row>
    <row r="871" ht="15.75" customHeight="1">
      <c r="E871" s="118" t="str">
        <f>IF(C871 ="","",C871-Listas!$B$2)</f>
        <v/>
      </c>
    </row>
    <row r="872" ht="15.75" customHeight="1">
      <c r="E872" s="118" t="str">
        <f>IF(C872 ="","",C872-Listas!$B$2)</f>
        <v/>
      </c>
    </row>
    <row r="873" ht="15.75" customHeight="1">
      <c r="E873" s="118" t="str">
        <f>IF(C873 ="","",C873-Listas!$B$2)</f>
        <v/>
      </c>
    </row>
    <row r="874" ht="15.75" customHeight="1">
      <c r="E874" s="118" t="str">
        <f>IF(C874 ="","",C874-Listas!$B$2)</f>
        <v/>
      </c>
    </row>
    <row r="875" ht="15.75" customHeight="1">
      <c r="E875" s="118" t="str">
        <f>IF(C875 ="","",C875-Listas!$B$2)</f>
        <v/>
      </c>
    </row>
    <row r="876" ht="15.75" customHeight="1">
      <c r="E876" s="118" t="str">
        <f>IF(C876 ="","",C876-Listas!$B$2)</f>
        <v/>
      </c>
    </row>
    <row r="877" ht="15.75" customHeight="1">
      <c r="E877" s="118" t="str">
        <f>IF(C877 ="","",C877-Listas!$B$2)</f>
        <v/>
      </c>
    </row>
    <row r="878" ht="15.75" customHeight="1">
      <c r="E878" s="118" t="str">
        <f>IF(C878 ="","",C878-Listas!$B$2)</f>
        <v/>
      </c>
    </row>
    <row r="879" ht="15.75" customHeight="1">
      <c r="E879" s="118" t="str">
        <f>IF(C879 ="","",C879-Listas!$B$2)</f>
        <v/>
      </c>
    </row>
    <row r="880" ht="15.75" customHeight="1">
      <c r="E880" s="118" t="str">
        <f>IF(C880 ="","",C880-Listas!$B$2)</f>
        <v/>
      </c>
    </row>
    <row r="881" ht="15.75" customHeight="1">
      <c r="E881" s="118" t="str">
        <f>IF(C881 ="","",C881-Listas!$B$2)</f>
        <v/>
      </c>
    </row>
    <row r="882" ht="15.75" customHeight="1">
      <c r="E882" s="118" t="str">
        <f>IF(C882 ="","",C882-Listas!$B$2)</f>
        <v/>
      </c>
    </row>
    <row r="883" ht="15.75" customHeight="1">
      <c r="E883" s="118" t="str">
        <f>IF(C883 ="","",C883-Listas!$B$2)</f>
        <v/>
      </c>
    </row>
    <row r="884" ht="15.75" customHeight="1">
      <c r="E884" s="118" t="str">
        <f>IF(C884 ="","",C884-Listas!$B$2)</f>
        <v/>
      </c>
    </row>
    <row r="885" ht="15.75" customHeight="1">
      <c r="E885" s="118" t="str">
        <f>IF(C885 ="","",C885-Listas!$B$2)</f>
        <v/>
      </c>
    </row>
    <row r="886" ht="15.75" customHeight="1">
      <c r="E886" s="118" t="str">
        <f>IF(C886 ="","",C886-Listas!$B$2)</f>
        <v/>
      </c>
    </row>
    <row r="887" ht="15.75" customHeight="1">
      <c r="E887" s="118" t="str">
        <f>IF(C887 ="","",C887-Listas!$B$2)</f>
        <v/>
      </c>
    </row>
    <row r="888" ht="15.75" customHeight="1">
      <c r="E888" s="118" t="str">
        <f>IF(C888 ="","",C888-Listas!$B$2)</f>
        <v/>
      </c>
    </row>
    <row r="889" ht="15.75" customHeight="1">
      <c r="E889" s="118" t="str">
        <f>IF(C889 ="","",C889-Listas!$B$2)</f>
        <v/>
      </c>
    </row>
    <row r="890" ht="15.75" customHeight="1">
      <c r="E890" s="118" t="str">
        <f>IF(C890 ="","",C890-Listas!$B$2)</f>
        <v/>
      </c>
    </row>
    <row r="891" ht="15.75" customHeight="1">
      <c r="E891" s="118" t="str">
        <f>IF(C891 ="","",C891-Listas!$B$2)</f>
        <v/>
      </c>
    </row>
    <row r="892" ht="15.75" customHeight="1">
      <c r="E892" s="118" t="str">
        <f>IF(C892 ="","",C892-Listas!$B$2)</f>
        <v/>
      </c>
    </row>
    <row r="893" ht="15.75" customHeight="1">
      <c r="E893" s="118" t="str">
        <f>IF(C893 ="","",C893-Listas!$B$2)</f>
        <v/>
      </c>
    </row>
    <row r="894" ht="15.75" customHeight="1">
      <c r="E894" s="118" t="str">
        <f>IF(C894 ="","",C894-Listas!$B$2)</f>
        <v/>
      </c>
    </row>
    <row r="895" ht="15.75" customHeight="1">
      <c r="E895" s="118" t="str">
        <f>IF(C895 ="","",C895-Listas!$B$2)</f>
        <v/>
      </c>
    </row>
    <row r="896" ht="15.75" customHeight="1">
      <c r="E896" s="118" t="str">
        <f>IF(C896 ="","",C896-Listas!$B$2)</f>
        <v/>
      </c>
    </row>
    <row r="897" ht="15.75" customHeight="1">
      <c r="E897" s="118" t="str">
        <f>IF(C897 ="","",C897-Listas!$B$2)</f>
        <v/>
      </c>
    </row>
    <row r="898" ht="15.75" customHeight="1">
      <c r="E898" s="118" t="str">
        <f>IF(C898 ="","",C898-Listas!$B$2)</f>
        <v/>
      </c>
    </row>
    <row r="899" ht="15.75" customHeight="1">
      <c r="E899" s="118" t="str">
        <f>IF(C899 ="","",C899-Listas!$B$2)</f>
        <v/>
      </c>
    </row>
    <row r="900" ht="15.75" customHeight="1">
      <c r="E900" s="118" t="str">
        <f>IF(C900 ="","",C900-Listas!$B$2)</f>
        <v/>
      </c>
    </row>
    <row r="901" ht="15.75" customHeight="1">
      <c r="E901" s="118" t="str">
        <f>IF(C901 ="","",C901-Listas!$B$2)</f>
        <v/>
      </c>
    </row>
    <row r="902" ht="15.75" customHeight="1">
      <c r="E902" s="118" t="str">
        <f>IF(C902 ="","",C902-Listas!$B$2)</f>
        <v/>
      </c>
    </row>
    <row r="903" ht="15.75" customHeight="1">
      <c r="E903" s="118" t="str">
        <f>IF(C903 ="","",C903-Listas!$B$2)</f>
        <v/>
      </c>
    </row>
    <row r="904" ht="15.75" customHeight="1">
      <c r="E904" s="118" t="str">
        <f>IF(C904 ="","",C904-Listas!$B$2)</f>
        <v/>
      </c>
    </row>
    <row r="905" ht="15.75" customHeight="1">
      <c r="E905" s="118" t="str">
        <f>IF(C905 ="","",C905-Listas!$B$2)</f>
        <v/>
      </c>
    </row>
    <row r="906" ht="15.75" customHeight="1">
      <c r="E906" s="118" t="str">
        <f>IF(C906 ="","",C906-Listas!$B$2)</f>
        <v/>
      </c>
    </row>
    <row r="907" ht="15.75" customHeight="1">
      <c r="E907" s="118" t="str">
        <f>IF(C907 ="","",C907-Listas!$B$2)</f>
        <v/>
      </c>
    </row>
    <row r="908" ht="15.75" customHeight="1">
      <c r="E908" s="118" t="str">
        <f>IF(C908 ="","",C908-Listas!$B$2)</f>
        <v/>
      </c>
    </row>
    <row r="909" ht="15.75" customHeight="1">
      <c r="E909" s="118" t="str">
        <f>IF(C909 ="","",C909-Listas!$B$2)</f>
        <v/>
      </c>
    </row>
    <row r="910" ht="15.75" customHeight="1">
      <c r="E910" s="118" t="str">
        <f>IF(C910 ="","",C910-Listas!$B$2)</f>
        <v/>
      </c>
    </row>
    <row r="911" ht="15.75" customHeight="1">
      <c r="E911" s="118" t="str">
        <f>IF(C911 ="","",C911-Listas!$B$2)</f>
        <v/>
      </c>
    </row>
    <row r="912" ht="15.75" customHeight="1">
      <c r="E912" s="118" t="str">
        <f>IF(C912 ="","",C912-Listas!$B$2)</f>
        <v/>
      </c>
    </row>
    <row r="913" ht="15.75" customHeight="1">
      <c r="E913" s="118" t="str">
        <f>IF(C913 ="","",C913-Listas!$B$2)</f>
        <v/>
      </c>
    </row>
    <row r="914" ht="15.75" customHeight="1">
      <c r="E914" s="118" t="str">
        <f>IF(C914 ="","",C914-Listas!$B$2)</f>
        <v/>
      </c>
    </row>
    <row r="915" ht="15.75" customHeight="1">
      <c r="E915" s="118" t="str">
        <f>IF(C915 ="","",C915-Listas!$B$2)</f>
        <v/>
      </c>
    </row>
    <row r="916" ht="15.75" customHeight="1">
      <c r="E916" s="118" t="str">
        <f>IF(C916 ="","",C916-Listas!$B$2)</f>
        <v/>
      </c>
    </row>
    <row r="917" ht="15.75" customHeight="1">
      <c r="E917" s="118" t="str">
        <f>IF(C917 ="","",C917-Listas!$B$2)</f>
        <v/>
      </c>
    </row>
    <row r="918" ht="15.75" customHeight="1">
      <c r="E918" s="118" t="str">
        <f>IF(C918 ="","",C918-Listas!$B$2)</f>
        <v/>
      </c>
    </row>
    <row r="919" ht="15.75" customHeight="1">
      <c r="E919" s="118" t="str">
        <f>IF(C919 ="","",C919-Listas!$B$2)</f>
        <v/>
      </c>
    </row>
    <row r="920" ht="15.75" customHeight="1">
      <c r="E920" s="118" t="str">
        <f>IF(C920 ="","",C920-Listas!$B$2)</f>
        <v/>
      </c>
    </row>
    <row r="921" ht="15.75" customHeight="1">
      <c r="E921" s="118" t="str">
        <f>IF(C921 ="","",C921-Listas!$B$2)</f>
        <v/>
      </c>
    </row>
    <row r="922" ht="15.75" customHeight="1">
      <c r="E922" s="118" t="str">
        <f>IF(C922 ="","",C922-Listas!$B$2)</f>
        <v/>
      </c>
    </row>
    <row r="923" ht="15.75" customHeight="1">
      <c r="E923" s="118" t="str">
        <f>IF(C923 ="","",C923-Listas!$B$2)</f>
        <v/>
      </c>
    </row>
    <row r="924" ht="15.75" customHeight="1">
      <c r="E924" s="118" t="str">
        <f>IF(C924 ="","",C924-Listas!$B$2)</f>
        <v/>
      </c>
    </row>
    <row r="925" ht="15.75" customHeight="1">
      <c r="E925" s="118" t="str">
        <f>IF(C925 ="","",C925-Listas!$B$2)</f>
        <v/>
      </c>
    </row>
    <row r="926" ht="15.75" customHeight="1">
      <c r="E926" s="118" t="str">
        <f>IF(C926 ="","",C926-Listas!$B$2)</f>
        <v/>
      </c>
    </row>
    <row r="927" ht="15.75" customHeight="1">
      <c r="E927" s="118" t="str">
        <f>IF(C927 ="","",C927-Listas!$B$2)</f>
        <v/>
      </c>
    </row>
    <row r="928" ht="15.75" customHeight="1">
      <c r="E928" s="118" t="str">
        <f>IF(C928 ="","",C928-Listas!$B$2)</f>
        <v/>
      </c>
    </row>
    <row r="929" ht="15.75" customHeight="1">
      <c r="E929" s="118" t="str">
        <f>IF(C929 ="","",C929-Listas!$B$2)</f>
        <v/>
      </c>
    </row>
    <row r="930" ht="15.75" customHeight="1">
      <c r="E930" s="118" t="str">
        <f>IF(C930 ="","",C930-Listas!$B$2)</f>
        <v/>
      </c>
    </row>
    <row r="931" ht="15.75" customHeight="1">
      <c r="E931" s="118" t="str">
        <f>IF(C931 ="","",C931-Listas!$B$2)</f>
        <v/>
      </c>
    </row>
    <row r="932" ht="15.75" customHeight="1">
      <c r="E932" s="118" t="str">
        <f>IF(C932 ="","",C932-Listas!$B$2)</f>
        <v/>
      </c>
    </row>
    <row r="933" ht="15.75" customHeight="1">
      <c r="E933" s="118" t="str">
        <f>IF(C933 ="","",C933-Listas!$B$2)</f>
        <v/>
      </c>
    </row>
    <row r="934" ht="15.75" customHeight="1">
      <c r="E934" s="118" t="str">
        <f>IF(C934 ="","",C934-Listas!$B$2)</f>
        <v/>
      </c>
    </row>
    <row r="935" ht="15.75" customHeight="1">
      <c r="E935" s="118" t="str">
        <f>IF(C935 ="","",C935-Listas!$B$2)</f>
        <v/>
      </c>
    </row>
    <row r="936" ht="15.75" customHeight="1">
      <c r="E936" s="118" t="str">
        <f>IF(C936 ="","",C936-Listas!$B$2)</f>
        <v/>
      </c>
    </row>
    <row r="937" ht="15.75" customHeight="1">
      <c r="E937" s="118" t="str">
        <f>IF(C937 ="","",C937-Listas!$B$2)</f>
        <v/>
      </c>
    </row>
    <row r="938" ht="15.75" customHeight="1">
      <c r="E938" s="118" t="str">
        <f>IF(C938 ="","",C938-Listas!$B$2)</f>
        <v/>
      </c>
    </row>
    <row r="939" ht="15.75" customHeight="1">
      <c r="E939" s="118" t="str">
        <f>IF(C939 ="","",C939-Listas!$B$2)</f>
        <v/>
      </c>
    </row>
    <row r="940" ht="15.75" customHeight="1">
      <c r="E940" s="118" t="str">
        <f>IF(C940 ="","",C940-Listas!$B$2)</f>
        <v/>
      </c>
    </row>
    <row r="941" ht="15.75" customHeight="1">
      <c r="E941" s="118" t="str">
        <f>IF(C941 ="","",C941-Listas!$B$2)</f>
        <v/>
      </c>
    </row>
    <row r="942" ht="15.75" customHeight="1">
      <c r="E942" s="118" t="str">
        <f>IF(C942 ="","",C942-Listas!$B$2)</f>
        <v/>
      </c>
    </row>
    <row r="943" ht="15.75" customHeight="1">
      <c r="E943" s="118" t="str">
        <f>IF(C943 ="","",C943-Listas!$B$2)</f>
        <v/>
      </c>
    </row>
    <row r="944" ht="15.75" customHeight="1">
      <c r="E944" s="118" t="str">
        <f>IF(C944 ="","",C944-Listas!$B$2)</f>
        <v/>
      </c>
    </row>
    <row r="945" ht="15.75" customHeight="1">
      <c r="E945" s="118" t="str">
        <f>IF(C945 ="","",C945-Listas!$B$2)</f>
        <v/>
      </c>
    </row>
    <row r="946" ht="15.75" customHeight="1">
      <c r="E946" s="118" t="str">
        <f>IF(C946 ="","",C946-Listas!$B$2)</f>
        <v/>
      </c>
    </row>
    <row r="947" ht="15.75" customHeight="1">
      <c r="E947" s="118" t="str">
        <f>IF(C947 ="","",C947-Listas!$B$2)</f>
        <v/>
      </c>
    </row>
    <row r="948" ht="15.75" customHeight="1">
      <c r="E948" s="118" t="str">
        <f>IF(C948 ="","",C948-Listas!$B$2)</f>
        <v/>
      </c>
    </row>
    <row r="949" ht="15.75" customHeight="1">
      <c r="E949" s="118" t="str">
        <f>IF(C949 ="","",C949-Listas!$B$2)</f>
        <v/>
      </c>
    </row>
    <row r="950" ht="15.75" customHeight="1">
      <c r="E950" s="118" t="str">
        <f>IF(C950 ="","",C950-Listas!$B$2)</f>
        <v/>
      </c>
    </row>
    <row r="951" ht="15.75" customHeight="1">
      <c r="E951" s="118" t="str">
        <f>IF(C951 ="","",C951-Listas!$B$2)</f>
        <v/>
      </c>
    </row>
    <row r="952" ht="15.75" customHeight="1">
      <c r="E952" s="118" t="str">
        <f>IF(C952 ="","",C952-Listas!$B$2)</f>
        <v/>
      </c>
    </row>
    <row r="953" ht="15.75" customHeight="1">
      <c r="E953" s="118" t="str">
        <f>IF(C953 ="","",C953-Listas!$B$2)</f>
        <v/>
      </c>
    </row>
    <row r="954" ht="15.75" customHeight="1">
      <c r="E954" s="118" t="str">
        <f>IF(C954 ="","",C954-Listas!$B$2)</f>
        <v/>
      </c>
    </row>
    <row r="955" ht="15.75" customHeight="1">
      <c r="E955" s="118" t="str">
        <f>IF(C955 ="","",C955-Listas!$B$2)</f>
        <v/>
      </c>
    </row>
    <row r="956" ht="15.75" customHeight="1">
      <c r="E956" s="118" t="str">
        <f>IF(C956 ="","",C956-Listas!$B$2)</f>
        <v/>
      </c>
    </row>
    <row r="957" ht="15.75" customHeight="1">
      <c r="E957" s="118" t="str">
        <f>IF(C957 ="","",C957-Listas!$B$2)</f>
        <v/>
      </c>
    </row>
    <row r="958" ht="15.75" customHeight="1">
      <c r="E958" s="118" t="str">
        <f>IF(C958 ="","",C958-Listas!$B$2)</f>
        <v/>
      </c>
    </row>
    <row r="959" ht="15.75" customHeight="1">
      <c r="E959" s="118" t="str">
        <f>IF(C959 ="","",C959-Listas!$B$2)</f>
        <v/>
      </c>
    </row>
    <row r="960" ht="15.75" customHeight="1">
      <c r="E960" s="118" t="str">
        <f>IF(C960 ="","",C960-Listas!$B$2)</f>
        <v/>
      </c>
    </row>
    <row r="961" ht="15.75" customHeight="1">
      <c r="E961" s="118" t="str">
        <f>IF(C961 ="","",C961-Listas!$B$2)</f>
        <v/>
      </c>
    </row>
    <row r="962" ht="15.75" customHeight="1">
      <c r="E962" s="118" t="str">
        <f>IF(C962 ="","",C962-Listas!$B$2)</f>
        <v/>
      </c>
    </row>
    <row r="963" ht="15.75" customHeight="1">
      <c r="E963" s="118" t="str">
        <f>IF(C963 ="","",C963-Listas!$B$2)</f>
        <v/>
      </c>
    </row>
    <row r="964" ht="15.75" customHeight="1">
      <c r="E964" s="118" t="str">
        <f>IF(C964 ="","",C964-Listas!$B$2)</f>
        <v/>
      </c>
    </row>
    <row r="965" ht="15.75" customHeight="1">
      <c r="E965" s="118" t="str">
        <f>IF(C965 ="","",C965-Listas!$B$2)</f>
        <v/>
      </c>
    </row>
    <row r="966" ht="15.75" customHeight="1">
      <c r="E966" s="118" t="str">
        <f>IF(C966 ="","",C966-Listas!$B$2)</f>
        <v/>
      </c>
    </row>
    <row r="967" ht="15.75" customHeight="1">
      <c r="E967" s="118" t="str">
        <f>IF(C967 ="","",C967-Listas!$B$2)</f>
        <v/>
      </c>
    </row>
    <row r="968" ht="15.75" customHeight="1">
      <c r="E968" s="118" t="str">
        <f>IF(C968 ="","",C968-Listas!$B$2)</f>
        <v/>
      </c>
    </row>
    <row r="969" ht="15.75" customHeight="1">
      <c r="E969" s="118" t="str">
        <f>IF(C969 ="","",C969-Listas!$B$2)</f>
        <v/>
      </c>
    </row>
    <row r="970" ht="15.75" customHeight="1">
      <c r="E970" s="118" t="str">
        <f>IF(C970 ="","",C970-Listas!$B$2)</f>
        <v/>
      </c>
    </row>
    <row r="971" ht="15.75" customHeight="1">
      <c r="E971" s="118" t="str">
        <f>IF(C971 ="","",C971-Listas!$B$2)</f>
        <v/>
      </c>
    </row>
    <row r="972" ht="15.75" customHeight="1">
      <c r="E972" s="118" t="str">
        <f>IF(C972 ="","",C972-Listas!$B$2)</f>
        <v/>
      </c>
    </row>
    <row r="973" ht="15.75" customHeight="1">
      <c r="E973" s="118" t="str">
        <f>IF(C973 ="","",C973-Listas!$B$2)</f>
        <v/>
      </c>
    </row>
    <row r="974" ht="15.75" customHeight="1">
      <c r="E974" s="118" t="str">
        <f>IF(C974 ="","",C974-Listas!$B$2)</f>
        <v/>
      </c>
    </row>
    <row r="975" ht="15.75" customHeight="1">
      <c r="E975" s="118" t="str">
        <f>IF(C975 ="","",C975-Listas!$B$2)</f>
        <v/>
      </c>
    </row>
    <row r="976" ht="15.75" customHeight="1">
      <c r="E976" s="118" t="str">
        <f>IF(C976 ="","",C976-Listas!$B$2)</f>
        <v/>
      </c>
    </row>
    <row r="977" ht="15.75" customHeight="1">
      <c r="E977" s="118" t="str">
        <f>IF(C977 ="","",C977-Listas!$B$2)</f>
        <v/>
      </c>
    </row>
    <row r="978" ht="15.75" customHeight="1">
      <c r="E978" s="118" t="str">
        <f>IF(C978 ="","",C978-Listas!$B$2)</f>
        <v/>
      </c>
    </row>
    <row r="979" ht="15.75" customHeight="1">
      <c r="E979" s="118" t="str">
        <f>IF(C979 ="","",C979-Listas!$B$2)</f>
        <v/>
      </c>
    </row>
    <row r="980" ht="15.75" customHeight="1">
      <c r="E980" s="118" t="str">
        <f>IF(C980 ="","",C980-Listas!$B$2)</f>
        <v/>
      </c>
    </row>
    <row r="981" ht="15.75" customHeight="1">
      <c r="E981" s="118" t="str">
        <f>IF(C981 ="","",C981-Listas!$B$2)</f>
        <v/>
      </c>
    </row>
    <row r="982" ht="15.75" customHeight="1">
      <c r="E982" s="118" t="str">
        <f>IF(C982 ="","",C982-Listas!$B$2)</f>
        <v/>
      </c>
    </row>
    <row r="983" ht="15.75" customHeight="1">
      <c r="E983" s="118" t="str">
        <f>IF(C983 ="","",C983-Listas!$B$2)</f>
        <v/>
      </c>
    </row>
    <row r="984" ht="15.75" customHeight="1">
      <c r="E984" s="118" t="str">
        <f>IF(C984 ="","",C984-Listas!$B$2)</f>
        <v/>
      </c>
    </row>
    <row r="985" ht="15.75" customHeight="1">
      <c r="E985" s="118" t="str">
        <f>IF(C985 ="","",C985-Listas!$B$2)</f>
        <v/>
      </c>
    </row>
    <row r="986" ht="15.75" customHeight="1">
      <c r="E986" s="118" t="str">
        <f>IF(C986 ="","",C986-Listas!$B$2)</f>
        <v/>
      </c>
    </row>
    <row r="987" ht="15.75" customHeight="1">
      <c r="E987" s="118" t="str">
        <f>IF(C987 ="","",C987-Listas!$B$2)</f>
        <v/>
      </c>
    </row>
    <row r="988" ht="15.75" customHeight="1">
      <c r="E988" s="118" t="str">
        <f>IF(C988 ="","",C988-Listas!$B$2)</f>
        <v/>
      </c>
    </row>
    <row r="989" ht="15.75" customHeight="1">
      <c r="E989" s="118" t="str">
        <f>IF(C989 ="","",C989-Listas!$B$2)</f>
        <v/>
      </c>
    </row>
    <row r="990" ht="15.75" customHeight="1">
      <c r="E990" s="118" t="str">
        <f>IF(C990 ="","",C990-Listas!$B$2)</f>
        <v/>
      </c>
    </row>
    <row r="991" ht="15.75" customHeight="1">
      <c r="E991" s="118" t="str">
        <f>IF(C991 ="","",C991-Listas!$B$2)</f>
        <v/>
      </c>
    </row>
    <row r="992" ht="15.75" customHeight="1">
      <c r="E992" s="118" t="str">
        <f>IF(C992 ="","",C992-Listas!$B$2)</f>
        <v/>
      </c>
    </row>
    <row r="993" ht="15.75" customHeight="1">
      <c r="E993" s="118" t="str">
        <f>IF(C993 ="","",C993-Listas!$B$2)</f>
        <v/>
      </c>
    </row>
    <row r="994" ht="15.75" customHeight="1">
      <c r="E994" s="118" t="str">
        <f>IF(C994 ="","",C994-Listas!$B$2)</f>
        <v/>
      </c>
    </row>
    <row r="995" ht="15.75" customHeight="1">
      <c r="E995" s="118" t="str">
        <f>IF(C995 ="","",C995-Listas!$B$2)</f>
        <v/>
      </c>
    </row>
    <row r="996" ht="15.75" customHeight="1">
      <c r="E996" s="118" t="str">
        <f>IF(C996 ="","",C996-Listas!$B$2)</f>
        <v/>
      </c>
    </row>
    <row r="997" ht="15.75" customHeight="1">
      <c r="E997" s="118" t="str">
        <f>IF(C997 ="","",C997-Listas!$B$2)</f>
        <v/>
      </c>
    </row>
    <row r="998" ht="15.75" customHeight="1">
      <c r="E998" s="118" t="str">
        <f>IF(C998 ="","",C998-Listas!$B$2)</f>
        <v/>
      </c>
    </row>
    <row r="999" ht="15.75" customHeight="1">
      <c r="E999" s="118" t="str">
        <f>IF(C999 ="","",C999-Listas!$B$2)</f>
        <v/>
      </c>
    </row>
    <row r="1000" ht="15.75" customHeight="1">
      <c r="E1000" s="118" t="str">
        <f>IF(C1000 ="","",C1000-Listas!$B$2)</f>
        <v/>
      </c>
    </row>
    <row r="1001" ht="15.75" customHeight="1">
      <c r="E1001" s="118" t="str">
        <f>IF(C1001 ="","",C1001-Listas!$B$2)</f>
        <v/>
      </c>
    </row>
    <row r="1002" ht="15.75" customHeight="1">
      <c r="E1002" s="118" t="str">
        <f>IF(C1002 ="","",C1002-Listas!$B$2)</f>
        <v/>
      </c>
    </row>
    <row r="1003" ht="15.75" customHeight="1">
      <c r="E1003" s="118" t="str">
        <f>IF(C1003 ="","",C1003-Listas!$B$2)</f>
        <v/>
      </c>
    </row>
    <row r="1004" ht="15.75" customHeight="1">
      <c r="E1004" s="118" t="str">
        <f>IF(C1004 ="","",C1004-Listas!$B$2)</f>
        <v/>
      </c>
    </row>
    <row r="1005" ht="15.75" customHeight="1">
      <c r="E1005" s="118" t="str">
        <f>IF(C1005 ="","",C1005-Listas!$B$2)</f>
        <v/>
      </c>
    </row>
    <row r="1006" ht="15.75" customHeight="1">
      <c r="E1006" s="118" t="str">
        <f>IF(C1006 ="","",C1006-Listas!$B$2)</f>
        <v/>
      </c>
    </row>
    <row r="1007" ht="15.75" customHeight="1">
      <c r="E1007" s="118" t="str">
        <f>IF(C1007 ="","",C1007-Listas!$B$2)</f>
        <v/>
      </c>
    </row>
    <row r="1008" ht="15.75" customHeight="1">
      <c r="E1008" s="118" t="str">
        <f>IF(C1008 ="","",C1008-Listas!$B$2)</f>
        <v/>
      </c>
    </row>
    <row r="1009" ht="15.75" customHeight="1">
      <c r="E1009" s="118" t="str">
        <f>IF(C1009 ="","",C1009-Listas!$B$2)</f>
        <v/>
      </c>
    </row>
    <row r="1010" ht="15.75" customHeight="1">
      <c r="E1010" s="118" t="str">
        <f>IF(C1010 ="","",C1010-Listas!$B$2)</f>
        <v/>
      </c>
    </row>
    <row r="1011" ht="15.75" customHeight="1">
      <c r="E1011" s="118" t="str">
        <f>IF(C1011 ="","",C1011-Listas!$B$2)</f>
        <v/>
      </c>
    </row>
    <row r="1012" ht="15.75" customHeight="1">
      <c r="E1012" s="118" t="str">
        <f>IF(C1012 ="","",C1012-Listas!$B$2)</f>
        <v/>
      </c>
    </row>
    <row r="1013" ht="15.75" customHeight="1">
      <c r="E1013" s="118" t="str">
        <f>IF(C1013 ="","",C1013-Listas!$B$2)</f>
        <v/>
      </c>
    </row>
    <row r="1014" ht="15.75" customHeight="1">
      <c r="E1014" s="118" t="str">
        <f>IF(C1014 ="","",C1014-Listas!$B$2)</f>
        <v/>
      </c>
    </row>
    <row r="1015" ht="15.75" customHeight="1">
      <c r="E1015" s="118" t="str">
        <f>IF(C1015 ="","",C1015-Listas!$B$2)</f>
        <v/>
      </c>
    </row>
    <row r="1016" ht="15.75" customHeight="1">
      <c r="E1016" s="118" t="str">
        <f>IF(C1016 ="","",C1016-Listas!$B$2)</f>
        <v/>
      </c>
    </row>
    <row r="1017" ht="15.75" customHeight="1">
      <c r="E1017" s="118" t="str">
        <f>IF(C1017 ="","",C1017-Listas!$B$2)</f>
        <v/>
      </c>
    </row>
    <row r="1018" ht="15.75" customHeight="1">
      <c r="E1018" s="118" t="str">
        <f>IF(C1018 ="","",C1018-Listas!$B$2)</f>
        <v/>
      </c>
    </row>
    <row r="1019" ht="15.75" customHeight="1">
      <c r="E1019" s="118" t="str">
        <f>IF(C1019 ="","",C1019-Listas!$B$2)</f>
        <v/>
      </c>
    </row>
  </sheetData>
  <autoFilter ref="$A$7:$G$1019"/>
  <mergeCells count="6">
    <mergeCell ref="B3:D3"/>
    <mergeCell ref="G5:J5"/>
    <mergeCell ref="L5:N5"/>
    <mergeCell ref="P5:Q5"/>
    <mergeCell ref="S5:T5"/>
    <mergeCell ref="W8:X8"/>
  </mergeCells>
  <conditionalFormatting sqref="C8:C1019">
    <cfRule type="expression" dxfId="10" priority="1">
      <formula>AND(ISNUMBER(C8),TRUNC(C8)&lt;TODAY())</formula>
    </cfRule>
  </conditionalFormatting>
  <conditionalFormatting sqref="C8:C1019">
    <cfRule type="timePeriod" dxfId="2" priority="2" timePeriod="today"/>
  </conditionalFormatting>
  <conditionalFormatting sqref="C8:C1019">
    <cfRule type="expression" dxfId="3" priority="3">
      <formula>AND(E:E&lt;=15, E:E&gt;=1)</formula>
    </cfRule>
  </conditionalFormatting>
  <dataValidations>
    <dataValidation type="list" allowBlank="1" sqref="B8">
      <formula1>"Mercado cálido,Referido,Redes sociales,Otro"</formula1>
    </dataValidation>
    <dataValidation type="list" allowBlank="1" sqref="B9:B270">
      <formula1>"Mercado cálido,Referido,Redes sociales"</formula1>
    </dataValidation>
  </dataValidation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8.38"/>
    <col customWidth="1" hidden="1" min="3" max="3" width="10.5"/>
    <col customWidth="1" min="4" max="4" width="19.25"/>
    <col customWidth="1" min="5" max="5" width="10.38"/>
    <col customWidth="1" min="6" max="7" width="8.38"/>
    <col customWidth="1" hidden="1" min="8" max="8" width="9.25"/>
    <col customWidth="1" min="9" max="9" width="14.5"/>
    <col customWidth="1" min="17" max="17" width="12.63"/>
    <col customWidth="1" min="19" max="19" width="10.13"/>
    <col customWidth="1" min="20" max="21" width="8.75"/>
    <col customWidth="1" hidden="1" min="22" max="22" width="8.75"/>
    <col customWidth="1" min="23" max="23" width="8.75"/>
    <col customWidth="1" min="24" max="24" width="10.38"/>
    <col customWidth="1" min="25" max="29" width="8.75"/>
    <col customWidth="1" hidden="1" min="30" max="30" width="8.75"/>
    <col customWidth="1" min="31" max="31" width="8.75"/>
    <col customWidth="1" min="32" max="32" width="6.63"/>
    <col customWidth="1" min="33" max="33" width="5.38"/>
    <col customWidth="1" min="34" max="36" width="8.75"/>
    <col customWidth="1" min="37" max="37" width="14.0"/>
    <col customWidth="1" min="38" max="42" width="8.75"/>
    <col customWidth="1" hidden="1" min="43" max="43" width="8.75"/>
    <col customWidth="1" min="44" max="46" width="8.75"/>
    <col customWidth="1" min="47" max="47" width="10.75"/>
    <col customWidth="1" min="48" max="53" width="8.75"/>
    <col customWidth="1" hidden="1" min="54" max="54" width="8.75"/>
    <col customWidth="1" min="55" max="57" width="8.75"/>
    <col customWidth="1" min="58" max="58" width="10.0"/>
    <col customWidth="1" min="59" max="59" width="10.38"/>
    <col customWidth="1" min="60" max="60" width="10.25"/>
    <col customWidth="1" min="61" max="63" width="8.75"/>
    <col customWidth="1" hidden="1" min="64" max="65" width="8.75"/>
    <col customWidth="1" min="66" max="66" width="8.75"/>
    <col customWidth="1" hidden="1" min="67" max="67" width="8.75"/>
    <col customWidth="1" min="68" max="68" width="8.75"/>
    <col customWidth="1" min="69" max="69" width="16.25"/>
    <col customWidth="1" min="70" max="71" width="8.75"/>
    <col customWidth="1" hidden="1" min="72" max="72" width="8.75"/>
    <col customWidth="1" min="73" max="73" width="8.75"/>
    <col customWidth="1" min="74" max="74" width="10.25"/>
    <col customWidth="1" min="75" max="76" width="8.75"/>
    <col customWidth="1" hidden="1" min="77" max="77" width="8.75"/>
    <col customWidth="1" min="78" max="78" width="8.75"/>
    <col customWidth="1" min="79" max="79" width="16.25"/>
    <col customWidth="1" min="80" max="81" width="8.75"/>
    <col customWidth="1" hidden="1" min="82" max="82" width="8.75"/>
    <col customWidth="1" min="83" max="83" width="8.75"/>
    <col customWidth="1" min="84" max="84" width="10.25"/>
    <col customWidth="1" min="85" max="85" width="8.75"/>
    <col customWidth="1" min="86" max="86" width="12.88"/>
    <col customWidth="1" min="87" max="87" width="14.5"/>
    <col customWidth="1" min="88" max="88" width="6.5"/>
    <col customWidth="1" min="89" max="92" width="15.63"/>
    <col customWidth="1" min="94" max="94" width="19.38"/>
    <col customWidth="1" min="95" max="95" width="8.75"/>
    <col customWidth="1" min="98" max="98" width="17.5"/>
  </cols>
  <sheetData>
    <row r="1">
      <c r="D1" s="135"/>
      <c r="CH1" s="1"/>
    </row>
    <row r="2">
      <c r="D2" s="135"/>
      <c r="CH2" s="1"/>
    </row>
    <row r="3">
      <c r="C3" s="7" t="s">
        <v>1343</v>
      </c>
      <c r="CH3" s="1"/>
    </row>
    <row r="4">
      <c r="D4" s="135"/>
      <c r="CH4" s="1"/>
    </row>
    <row r="5">
      <c r="D5" s="135"/>
      <c r="CH5" s="1"/>
    </row>
    <row r="6">
      <c r="D6" s="135"/>
      <c r="CH6" s="1"/>
    </row>
    <row r="7" hidden="1">
      <c r="D7" s="135"/>
      <c r="CH7" s="1"/>
    </row>
    <row r="8">
      <c r="D8" s="135"/>
      <c r="F8" s="136"/>
      <c r="H8" s="136"/>
      <c r="I8" s="136"/>
      <c r="J8" s="136"/>
      <c r="CH8" s="136" t="s">
        <v>1344</v>
      </c>
      <c r="CJ8" s="136"/>
      <c r="CK8" s="136"/>
    </row>
    <row r="9" ht="35.25" customHeight="1">
      <c r="B9" s="137" t="s">
        <v>1345</v>
      </c>
      <c r="F9" s="136"/>
      <c r="G9" s="138" t="s">
        <v>1346</v>
      </c>
      <c r="P9" s="139" t="s">
        <v>1347</v>
      </c>
      <c r="U9" s="139" t="s">
        <v>1348</v>
      </c>
      <c r="AC9" s="139" t="s">
        <v>1349</v>
      </c>
      <c r="AJ9" s="93"/>
      <c r="AK9" s="140" t="s">
        <v>1350</v>
      </c>
      <c r="AM9" s="136"/>
      <c r="AN9" s="136"/>
      <c r="AO9" s="93"/>
      <c r="AP9" s="140" t="s">
        <v>1351</v>
      </c>
      <c r="AZ9" s="93"/>
      <c r="BA9" s="140" t="s">
        <v>1352</v>
      </c>
      <c r="BK9" s="93"/>
      <c r="BL9" s="93"/>
      <c r="BM9" s="93"/>
      <c r="BN9" s="141" t="s">
        <v>1353</v>
      </c>
      <c r="BS9" s="142" t="s">
        <v>1354</v>
      </c>
      <c r="BX9" s="143" t="s">
        <v>1355</v>
      </c>
      <c r="CC9" s="143" t="s">
        <v>1356</v>
      </c>
      <c r="CJ9" s="136"/>
      <c r="CK9" s="136"/>
      <c r="CO9" s="93" t="s">
        <v>1357</v>
      </c>
      <c r="CS9" s="93" t="s">
        <v>1358</v>
      </c>
      <c r="CW9" s="93" t="s">
        <v>1359</v>
      </c>
    </row>
    <row r="10" hidden="1">
      <c r="B10" s="144"/>
      <c r="C10" s="144"/>
      <c r="D10" s="145"/>
      <c r="E10" s="144"/>
      <c r="G10" s="144"/>
      <c r="H10" s="144"/>
      <c r="I10" s="144"/>
      <c r="J10" s="144"/>
      <c r="AJ10" s="149"/>
      <c r="AM10" s="150"/>
      <c r="AN10" s="149"/>
      <c r="AO10" s="149"/>
      <c r="AZ10" s="149"/>
      <c r="BK10" s="149"/>
      <c r="BL10" s="149"/>
      <c r="BM10" s="149"/>
      <c r="BN10" s="153"/>
      <c r="BO10" s="153"/>
      <c r="BP10" s="154"/>
      <c r="BQ10" s="153"/>
      <c r="BS10" s="155"/>
      <c r="BT10" s="155"/>
      <c r="BU10" s="154"/>
      <c r="BV10" s="153"/>
      <c r="BX10" s="156"/>
      <c r="BY10" s="156"/>
      <c r="BZ10" s="157"/>
      <c r="CA10" s="156"/>
      <c r="CC10" s="158"/>
      <c r="CD10" s="158"/>
      <c r="CE10" s="157"/>
      <c r="CF10" s="156"/>
      <c r="CH10" s="159"/>
      <c r="CI10" s="160"/>
      <c r="CO10" s="161"/>
      <c r="CP10" s="160"/>
      <c r="CQ10" s="160"/>
      <c r="CS10" s="161"/>
      <c r="CT10" s="160"/>
      <c r="CU10" s="160"/>
      <c r="CW10" s="161"/>
      <c r="CX10" s="160"/>
      <c r="CY10" s="160"/>
    </row>
    <row r="11">
      <c r="AM11" s="166"/>
      <c r="AN11" s="167"/>
      <c r="BK11" s="149"/>
      <c r="BL11" s="149"/>
      <c r="BM11" s="149"/>
      <c r="CH11" s="159" t="s">
        <v>21</v>
      </c>
      <c r="CI11" s="160" t="s">
        <v>1369</v>
      </c>
      <c r="CO11" s="172" t="s">
        <v>1370</v>
      </c>
      <c r="CP11" s="173" t="s">
        <v>1371</v>
      </c>
      <c r="CQ11" s="174" t="s">
        <v>784</v>
      </c>
      <c r="CS11" s="172" t="s">
        <v>1372</v>
      </c>
      <c r="CT11" s="173" t="s">
        <v>1371</v>
      </c>
      <c r="CU11" s="174" t="s">
        <v>784</v>
      </c>
      <c r="CW11" s="172" t="s">
        <v>12</v>
      </c>
      <c r="CX11" s="173" t="s">
        <v>1371</v>
      </c>
      <c r="CY11" s="174" t="s">
        <v>784</v>
      </c>
    </row>
    <row r="12">
      <c r="AM12" s="181"/>
      <c r="AN12" s="1"/>
      <c r="CH12" s="45">
        <v>2018.0</v>
      </c>
      <c r="CI12" s="108">
        <f>COUNTIFS('BD Asesor'!$R:$R,CH12)</f>
        <v>3</v>
      </c>
      <c r="CO12" s="184" t="s">
        <v>54</v>
      </c>
      <c r="CP12" s="108">
        <f>COUNTIF('BD Asesor'!$A:$L,CO12)</f>
        <v>146</v>
      </c>
      <c r="CQ12" s="109">
        <f t="shared" ref="CQ12:CQ13" si="1">CP12/$CP$14</f>
        <v>0.6666666667</v>
      </c>
      <c r="CS12" s="184" t="s">
        <v>36</v>
      </c>
      <c r="CT12" s="108">
        <f>COUNTIF('BD Asesor'!$A:$L,CS12)</f>
        <v>84</v>
      </c>
      <c r="CU12" s="109">
        <f t="shared" ref="CU12:CU14" si="2">CT12/$CT$15</f>
        <v>0.3230769231</v>
      </c>
      <c r="CW12" s="184" t="s">
        <v>37</v>
      </c>
      <c r="CX12" s="108">
        <f>COUNTIF('BD Asesor'!$A:$L,CW12)</f>
        <v>61</v>
      </c>
      <c r="CY12" s="109">
        <f t="shared" ref="CY12:CY15" si="3">CX12/$CX$16</f>
        <v>0.2328244275</v>
      </c>
    </row>
    <row r="13">
      <c r="AM13" s="181"/>
      <c r="AN13" s="1"/>
      <c r="CH13" s="45">
        <v>2019.0</v>
      </c>
      <c r="CI13" s="108">
        <f>COUNTIFS('BD Asesor'!$R:$R,CH13)</f>
        <v>1</v>
      </c>
      <c r="CO13" s="184" t="s">
        <v>40</v>
      </c>
      <c r="CP13" s="108">
        <f>COUNTIF('BD Asesor'!$A:$L,CO13)</f>
        <v>73</v>
      </c>
      <c r="CQ13" s="109">
        <f t="shared" si="1"/>
        <v>0.3333333333</v>
      </c>
      <c r="CS13" s="184" t="s">
        <v>355</v>
      </c>
      <c r="CT13" s="108">
        <f>COUNTIF('BD Asesor'!$A:$L,CS13)</f>
        <v>3</v>
      </c>
      <c r="CU13" s="109">
        <f t="shared" si="2"/>
        <v>0.01153846154</v>
      </c>
      <c r="CW13" s="184" t="s">
        <v>94</v>
      </c>
      <c r="CX13" s="108">
        <f>COUNTIF('BD Asesor'!$A:$L,CW13)</f>
        <v>19</v>
      </c>
      <c r="CY13" s="109">
        <f t="shared" si="3"/>
        <v>0.07251908397</v>
      </c>
    </row>
    <row r="14">
      <c r="AM14" s="181"/>
      <c r="AN14" s="1"/>
      <c r="CH14" s="45">
        <v>2021.0</v>
      </c>
      <c r="CI14" s="108">
        <f>COUNTIFS('BD Asesor'!$R:$R,CH14)</f>
        <v>45</v>
      </c>
      <c r="CO14" s="117" t="s">
        <v>811</v>
      </c>
      <c r="CP14" s="120">
        <f>SUM(CP12:CP13)</f>
        <v>219</v>
      </c>
      <c r="CQ14" s="121"/>
      <c r="CS14" s="184" t="s">
        <v>45</v>
      </c>
      <c r="CT14" s="108">
        <f>COUNTIF('BD Asesor'!$A:$L,CS14)</f>
        <v>173</v>
      </c>
      <c r="CU14" s="109">
        <f t="shared" si="2"/>
        <v>0.6653846154</v>
      </c>
      <c r="CW14" s="184" t="s">
        <v>50</v>
      </c>
      <c r="CX14" s="108">
        <f>COUNTIF('BD Asesor'!$A:$L,CW14)</f>
        <v>44</v>
      </c>
      <c r="CY14" s="109">
        <f t="shared" si="3"/>
        <v>0.1679389313</v>
      </c>
    </row>
    <row r="15">
      <c r="R15" s="135"/>
      <c r="AM15" s="181"/>
      <c r="AN15" s="1"/>
      <c r="CH15" s="45">
        <v>2022.0</v>
      </c>
      <c r="CI15" s="108">
        <f>COUNTIFS('BD Asesor'!$R:$R,CH15)</f>
        <v>44</v>
      </c>
      <c r="CS15" s="117" t="s">
        <v>1380</v>
      </c>
      <c r="CT15" s="120">
        <f>SUM(CT12:CT14)</f>
        <v>260</v>
      </c>
      <c r="CU15" s="121"/>
      <c r="CW15" s="184" t="s">
        <v>58</v>
      </c>
      <c r="CX15" s="108">
        <f>COUNTIF('BD Asesor'!$A:$L,CW15)</f>
        <v>138</v>
      </c>
      <c r="CY15" s="109">
        <f t="shared" si="3"/>
        <v>0.5267175573</v>
      </c>
    </row>
    <row r="16">
      <c r="R16" s="135"/>
      <c r="AM16" s="181"/>
      <c r="AN16" s="1"/>
      <c r="CH16" s="45">
        <v>2023.0</v>
      </c>
      <c r="CI16" s="108">
        <f>COUNTIFS('BD Asesor'!$R:$R,CH16)</f>
        <v>44</v>
      </c>
      <c r="CW16" s="117" t="s">
        <v>1380</v>
      </c>
      <c r="CX16" s="120">
        <f>SUM(CX12:CX15)</f>
        <v>262</v>
      </c>
      <c r="CY16" s="121"/>
    </row>
    <row r="17">
      <c r="R17" s="135"/>
      <c r="AM17" s="181"/>
      <c r="AN17" s="1"/>
      <c r="CH17" s="45">
        <v>2024.0</v>
      </c>
      <c r="CI17" s="108">
        <f>COUNTIFS('BD Asesor'!$R:$R,CH17)</f>
        <v>43</v>
      </c>
    </row>
    <row r="18">
      <c r="R18" s="135"/>
      <c r="AM18" s="181"/>
      <c r="AN18" s="1"/>
      <c r="CH18" s="45">
        <v>2025.0</v>
      </c>
      <c r="CI18" s="108">
        <f>COUNTIFS('BD Asesor'!$R:$R,CH18)</f>
        <v>32</v>
      </c>
      <c r="CO18" s="93" t="s">
        <v>1386</v>
      </c>
      <c r="CS18" s="93" t="s">
        <v>1387</v>
      </c>
    </row>
    <row r="19">
      <c r="R19" s="135"/>
      <c r="AK19" s="1"/>
      <c r="AL19" s="1"/>
      <c r="AM19" s="181"/>
      <c r="AN19" s="1"/>
      <c r="CH19" s="45">
        <v>2026.0</v>
      </c>
      <c r="CI19" s="108">
        <f>COUNTIFS('BD Asesor'!$R:$R,CH19)</f>
        <v>11</v>
      </c>
      <c r="CO19" s="172" t="s">
        <v>1388</v>
      </c>
      <c r="CP19" s="173" t="s">
        <v>1389</v>
      </c>
      <c r="CQ19" s="174" t="s">
        <v>784</v>
      </c>
      <c r="CS19" s="172" t="s">
        <v>7</v>
      </c>
      <c r="CT19" s="173" t="s">
        <v>1371</v>
      </c>
      <c r="CU19" s="174" t="s">
        <v>784</v>
      </c>
    </row>
    <row r="20">
      <c r="R20" s="135"/>
      <c r="AK20" s="1"/>
      <c r="AL20" s="1"/>
      <c r="AM20" s="181"/>
      <c r="AN20" s="1"/>
      <c r="CH20" s="45">
        <v>2027.0</v>
      </c>
      <c r="CI20" s="108">
        <f>COUNTIFS('BD Asesor'!$R:$R,CH20)</f>
        <v>0</v>
      </c>
      <c r="CO20" s="186" t="s">
        <v>46</v>
      </c>
      <c r="CP20" s="108">
        <f>COUNTIF('BD Asesor'!$A:$L,CO20)</f>
        <v>176</v>
      </c>
      <c r="CQ20" s="109">
        <f t="shared" ref="CQ20:CQ21" si="4">CP20/$CP$22</f>
        <v>0.6743295019</v>
      </c>
      <c r="CS20" s="184" t="s">
        <v>34</v>
      </c>
      <c r="CT20" s="108">
        <f>COUNTIF('BD Asesor'!$A:$L,CS20)</f>
        <v>262</v>
      </c>
      <c r="CU20" s="109">
        <f t="shared" ref="CU20:CU21" si="5">CT20/$CT$22</f>
        <v>1</v>
      </c>
    </row>
    <row r="21">
      <c r="R21" s="135"/>
      <c r="AK21" s="1"/>
      <c r="AL21" s="1"/>
      <c r="AM21" s="181"/>
      <c r="AN21" s="1"/>
      <c r="CH21" s="45">
        <v>2028.0</v>
      </c>
      <c r="CI21" s="108">
        <f>COUNTIFS('BD Asesor'!$R:$R,CH21)</f>
        <v>0</v>
      </c>
      <c r="CO21" s="186" t="s">
        <v>41</v>
      </c>
      <c r="CP21" s="108">
        <f>COUNTIF('BD Asesor'!$A$7:$L$1008,CO21)</f>
        <v>85</v>
      </c>
      <c r="CQ21" s="109">
        <f t="shared" si="4"/>
        <v>0.3256704981</v>
      </c>
      <c r="CS21" s="184" t="s">
        <v>1393</v>
      </c>
      <c r="CT21" s="108">
        <f>COUNTIF('BD Asesor'!$A:$L,CS21)</f>
        <v>0</v>
      </c>
      <c r="CU21" s="109">
        <f t="shared" si="5"/>
        <v>0</v>
      </c>
    </row>
    <row r="22">
      <c r="R22" s="135"/>
      <c r="AK22" s="1"/>
      <c r="AL22" s="1"/>
      <c r="AM22" s="181"/>
      <c r="AN22" s="1"/>
      <c r="CH22" s="45">
        <v>2029.0</v>
      </c>
      <c r="CI22" s="108">
        <f>COUNTIFS('BD Asesor'!$R:$R,CH22)</f>
        <v>0</v>
      </c>
      <c r="CO22" s="117" t="s">
        <v>811</v>
      </c>
      <c r="CP22" s="120">
        <f>SUM(CP20:CP21)</f>
        <v>261</v>
      </c>
      <c r="CQ22" s="121"/>
      <c r="CS22" s="117" t="s">
        <v>811</v>
      </c>
      <c r="CT22" s="120">
        <f>SUM(CT20:CT21)</f>
        <v>262</v>
      </c>
      <c r="CU22" s="121"/>
    </row>
    <row r="23">
      <c r="R23" s="135"/>
      <c r="AK23" s="1"/>
      <c r="AL23" s="1"/>
      <c r="AM23" s="181"/>
      <c r="AN23" s="1"/>
      <c r="CH23" s="45">
        <v>2030.0</v>
      </c>
      <c r="CI23" s="108">
        <f>COUNTIFS('BD Asesor'!$R:$R,CH23)</f>
        <v>0</v>
      </c>
    </row>
    <row r="24">
      <c r="R24" s="135"/>
      <c r="AK24" s="1"/>
      <c r="AL24" s="1"/>
      <c r="AM24" s="181"/>
      <c r="AN24" s="1"/>
      <c r="CH24" s="74" t="s">
        <v>811</v>
      </c>
      <c r="CI24" s="84">
        <f>SUM(CI12:CI23)</f>
        <v>223</v>
      </c>
    </row>
    <row r="25">
      <c r="R25" s="135"/>
      <c r="AK25" s="1"/>
      <c r="AL25" s="1"/>
      <c r="AM25" s="181"/>
      <c r="AN25" s="1"/>
      <c r="CH25" s="1"/>
    </row>
    <row r="26">
      <c r="R26" s="135"/>
      <c r="AK26" s="1"/>
      <c r="AL26" s="1"/>
      <c r="AM26" s="181"/>
      <c r="AN26" s="1"/>
      <c r="CH26" s="1"/>
    </row>
    <row r="27">
      <c r="R27" s="135"/>
      <c r="AK27" s="1"/>
      <c r="AL27" s="1"/>
      <c r="AM27" s="181"/>
      <c r="AN27" s="1"/>
      <c r="CH27" s="1"/>
    </row>
    <row r="28">
      <c r="R28" s="135"/>
      <c r="AK28" s="1"/>
      <c r="AL28" s="1"/>
      <c r="AM28" s="181"/>
      <c r="AN28" s="1"/>
      <c r="CH28" s="1"/>
    </row>
    <row r="29">
      <c r="R29" s="135"/>
      <c r="AK29" s="1"/>
      <c r="AL29" s="1"/>
      <c r="AM29" s="181"/>
      <c r="AN29" s="1"/>
      <c r="CH29" s="1"/>
    </row>
    <row r="30">
      <c r="R30" s="135"/>
      <c r="AK30" s="1"/>
      <c r="AL30" s="1"/>
      <c r="AM30" s="181"/>
      <c r="AN30" s="1"/>
      <c r="CH30" s="1"/>
    </row>
    <row r="31">
      <c r="R31" s="135"/>
      <c r="AK31" s="1"/>
      <c r="AL31" s="1"/>
      <c r="AM31" s="181"/>
      <c r="AN31" s="1"/>
      <c r="CH31" s="1"/>
    </row>
    <row r="32">
      <c r="R32" s="135"/>
      <c r="AK32" s="1"/>
      <c r="AL32" s="1"/>
      <c r="AM32" s="181"/>
      <c r="AN32" s="1"/>
      <c r="CH32" s="1"/>
    </row>
    <row r="33">
      <c r="R33" s="135"/>
      <c r="AK33" s="1"/>
      <c r="AL33" s="1"/>
      <c r="AM33" s="181"/>
      <c r="AN33" s="1"/>
      <c r="CH33" s="1"/>
    </row>
    <row r="34">
      <c r="R34" s="135"/>
      <c r="AK34" s="1"/>
      <c r="AL34" s="1"/>
      <c r="AM34" s="181"/>
      <c r="AN34" s="1"/>
      <c r="CH34" s="1"/>
    </row>
    <row r="35">
      <c r="R35" s="135"/>
      <c r="AK35" s="1"/>
      <c r="AL35" s="1"/>
      <c r="AM35" s="181"/>
      <c r="AN35" s="1"/>
      <c r="CH35" s="1"/>
    </row>
    <row r="36">
      <c r="R36" s="135"/>
      <c r="AK36" s="1"/>
      <c r="AL36" s="1"/>
      <c r="AM36" s="181"/>
      <c r="AN36" s="1"/>
      <c r="CH36" s="1"/>
    </row>
    <row r="37">
      <c r="R37" s="135"/>
      <c r="AK37" s="1"/>
      <c r="AL37" s="1"/>
      <c r="AM37" s="181"/>
      <c r="AN37" s="1"/>
      <c r="CH37" s="1"/>
    </row>
    <row r="38">
      <c r="R38" s="135"/>
      <c r="AK38" s="1"/>
      <c r="AL38" s="1"/>
      <c r="AM38" s="181"/>
      <c r="AN38" s="1"/>
      <c r="CH38" s="1"/>
    </row>
    <row r="39">
      <c r="R39" s="135"/>
      <c r="AK39" s="1"/>
      <c r="AL39" s="1"/>
      <c r="AM39" s="181"/>
      <c r="AN39" s="1"/>
      <c r="CH39" s="1"/>
    </row>
    <row r="40">
      <c r="R40" s="135"/>
      <c r="AK40" s="1"/>
      <c r="AL40" s="1"/>
      <c r="AM40" s="181"/>
      <c r="AN40" s="1"/>
      <c r="CH40" s="1"/>
    </row>
    <row r="41">
      <c r="R41" s="135"/>
      <c r="AK41" s="1"/>
      <c r="AL41" s="1"/>
      <c r="AM41" s="181"/>
      <c r="AN41" s="1"/>
      <c r="CH41" s="1"/>
    </row>
    <row r="42">
      <c r="R42" s="135"/>
      <c r="AK42" s="1"/>
      <c r="AL42" s="1"/>
      <c r="AM42" s="181"/>
      <c r="AN42" s="1"/>
      <c r="CH42" s="1"/>
    </row>
    <row r="43">
      <c r="R43" s="135"/>
      <c r="AK43" s="1"/>
      <c r="AL43" s="1"/>
      <c r="AM43" s="181"/>
      <c r="AN43" s="1"/>
      <c r="CH43" s="1"/>
    </row>
    <row r="44">
      <c r="R44" s="135"/>
      <c r="AK44" s="1"/>
      <c r="AL44" s="1"/>
      <c r="AM44" s="181"/>
      <c r="AN44" s="1"/>
      <c r="CH44" s="1"/>
    </row>
    <row r="45">
      <c r="R45" s="135"/>
      <c r="AK45" s="1"/>
      <c r="AL45" s="1"/>
      <c r="AM45" s="181"/>
      <c r="AN45" s="1"/>
      <c r="CH45" s="1"/>
    </row>
    <row r="46">
      <c r="R46" s="135"/>
      <c r="AK46" s="1"/>
      <c r="AL46" s="1"/>
      <c r="AM46" s="181"/>
      <c r="AN46" s="1"/>
      <c r="CH46" s="1"/>
    </row>
    <row r="47">
      <c r="R47" s="135"/>
      <c r="AK47" s="1"/>
      <c r="AL47" s="1"/>
      <c r="AM47" s="181"/>
      <c r="AN47" s="1"/>
      <c r="CH47" s="1"/>
    </row>
    <row r="48">
      <c r="R48" s="135"/>
      <c r="AK48" s="1"/>
      <c r="AL48" s="1"/>
      <c r="AM48" s="181"/>
      <c r="AN48" s="1"/>
      <c r="CH48" s="1"/>
    </row>
    <row r="49">
      <c r="R49" s="135"/>
      <c r="AK49" s="1"/>
      <c r="AL49" s="1"/>
      <c r="AM49" s="181"/>
      <c r="AN49" s="1"/>
      <c r="CH49" s="1"/>
    </row>
    <row r="50">
      <c r="R50" s="135"/>
      <c r="AK50" s="1"/>
      <c r="AL50" s="1"/>
      <c r="AM50" s="181"/>
      <c r="AN50" s="1"/>
      <c r="CH50" s="1"/>
    </row>
    <row r="51">
      <c r="R51" s="135"/>
      <c r="AK51" s="1"/>
      <c r="AL51" s="1"/>
      <c r="AM51" s="181"/>
      <c r="AN51" s="1"/>
      <c r="CH51" s="1"/>
    </row>
    <row r="52">
      <c r="R52" s="135"/>
      <c r="AK52" s="1"/>
      <c r="AL52" s="1"/>
      <c r="AM52" s="181"/>
      <c r="AN52" s="1"/>
      <c r="CH52" s="1"/>
    </row>
    <row r="53">
      <c r="R53" s="135"/>
      <c r="AK53" s="1"/>
      <c r="AL53" s="1"/>
      <c r="AM53" s="181"/>
      <c r="AN53" s="1"/>
      <c r="CH53" s="1"/>
    </row>
    <row r="54">
      <c r="R54" s="135"/>
      <c r="AK54" s="1"/>
      <c r="AL54" s="1"/>
      <c r="AM54" s="181"/>
      <c r="AN54" s="1"/>
      <c r="CH54" s="1"/>
    </row>
    <row r="55">
      <c r="R55" s="135"/>
      <c r="AK55" s="1"/>
      <c r="AL55" s="1"/>
      <c r="AM55" s="181"/>
      <c r="AN55" s="1"/>
      <c r="CH55" s="1"/>
    </row>
    <row r="56">
      <c r="R56" s="135"/>
      <c r="AK56" s="1"/>
      <c r="AL56" s="1"/>
      <c r="AM56" s="181"/>
      <c r="AN56" s="1"/>
      <c r="CH56" s="1"/>
    </row>
    <row r="57">
      <c r="R57" s="135"/>
      <c r="AK57" s="1"/>
      <c r="AL57" s="1"/>
      <c r="AM57" s="181"/>
      <c r="AN57" s="1"/>
      <c r="CH57" s="1"/>
    </row>
    <row r="58">
      <c r="R58" s="135"/>
      <c r="AK58" s="1"/>
      <c r="AL58" s="1"/>
      <c r="AM58" s="181"/>
      <c r="AN58" s="1"/>
      <c r="CH58" s="1"/>
    </row>
    <row r="59">
      <c r="R59" s="135"/>
      <c r="AK59" s="1"/>
      <c r="AL59" s="1"/>
      <c r="AM59" s="181"/>
      <c r="AN59" s="1"/>
      <c r="CH59" s="1"/>
    </row>
    <row r="60">
      <c r="R60" s="135"/>
      <c r="AK60" s="1"/>
      <c r="AL60" s="1"/>
      <c r="AM60" s="1"/>
      <c r="AN60" s="1"/>
      <c r="CH60" s="1"/>
    </row>
    <row r="61">
      <c r="R61" s="135"/>
      <c r="CH61" s="1"/>
    </row>
    <row r="62">
      <c r="CH62" s="1"/>
    </row>
    <row r="63">
      <c r="CH63" s="1"/>
    </row>
    <row r="64">
      <c r="CH64" s="1"/>
    </row>
    <row r="65">
      <c r="CH65" s="1"/>
    </row>
    <row r="66">
      <c r="CH66" s="1"/>
    </row>
    <row r="67">
      <c r="CH67" s="1"/>
    </row>
    <row r="68">
      <c r="CH68" s="1"/>
    </row>
    <row r="69">
      <c r="CH69" s="1"/>
    </row>
    <row r="70">
      <c r="CH70" s="1"/>
    </row>
    <row r="71">
      <c r="CH71" s="1"/>
    </row>
    <row r="72">
      <c r="CH72" s="1"/>
    </row>
    <row r="73">
      <c r="CH73" s="1"/>
    </row>
    <row r="74">
      <c r="CH74" s="1"/>
    </row>
    <row r="75">
      <c r="CH75" s="1"/>
    </row>
    <row r="76">
      <c r="CH76" s="1"/>
    </row>
    <row r="77">
      <c r="CH77" s="1"/>
    </row>
    <row r="78">
      <c r="CH78" s="1"/>
    </row>
    <row r="79">
      <c r="CH79" s="1"/>
    </row>
    <row r="80">
      <c r="CH80" s="1"/>
    </row>
    <row r="81">
      <c r="CH81" s="1"/>
    </row>
    <row r="82">
      <c r="CH82" s="1"/>
    </row>
    <row r="83">
      <c r="CH83" s="1"/>
    </row>
    <row r="84">
      <c r="CH84" s="1"/>
    </row>
    <row r="85">
      <c r="CH85" s="1"/>
    </row>
    <row r="86">
      <c r="CH86" s="1"/>
    </row>
    <row r="87">
      <c r="CH87" s="1"/>
    </row>
    <row r="88">
      <c r="CH88" s="1"/>
    </row>
    <row r="89">
      <c r="CH89" s="1"/>
    </row>
    <row r="90">
      <c r="CH90" s="1"/>
    </row>
    <row r="91">
      <c r="CH91" s="1"/>
    </row>
    <row r="92">
      <c r="CH92" s="1"/>
    </row>
    <row r="93">
      <c r="CH93" s="1"/>
    </row>
    <row r="94">
      <c r="CH94" s="1"/>
    </row>
    <row r="95">
      <c r="CH95" s="1"/>
    </row>
    <row r="96">
      <c r="CH96" s="1"/>
    </row>
    <row r="97">
      <c r="CH97" s="1"/>
    </row>
    <row r="98">
      <c r="CH98" s="1"/>
    </row>
    <row r="99">
      <c r="CH99" s="1"/>
    </row>
    <row r="100">
      <c r="CH100" s="1"/>
    </row>
    <row r="101">
      <c r="CH101" s="1"/>
    </row>
    <row r="102">
      <c r="CH102" s="1"/>
    </row>
    <row r="103">
      <c r="CH103" s="1"/>
    </row>
    <row r="104">
      <c r="CH104" s="1"/>
    </row>
    <row r="105">
      <c r="D105" s="135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BD105" s="1"/>
      <c r="BE105" s="1"/>
      <c r="BF105" s="1"/>
      <c r="BG105" s="1"/>
      <c r="BH105" s="1"/>
      <c r="BI105" s="1"/>
      <c r="BJ105" s="1"/>
      <c r="CH105" s="1"/>
    </row>
    <row r="106">
      <c r="D106" s="135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BD106" s="1"/>
      <c r="BE106" s="1"/>
      <c r="BF106" s="1"/>
      <c r="BG106" s="1"/>
      <c r="BH106" s="1"/>
      <c r="BI106" s="1"/>
      <c r="BJ106" s="1"/>
      <c r="CH106" s="1"/>
    </row>
    <row r="107">
      <c r="D107" s="135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BD107" s="1"/>
      <c r="BE107" s="1"/>
      <c r="BF107" s="1"/>
      <c r="BG107" s="1"/>
      <c r="BH107" s="1"/>
      <c r="BI107" s="1"/>
      <c r="BJ107" s="1"/>
      <c r="CH107" s="1"/>
    </row>
    <row r="108">
      <c r="D108" s="135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BD108" s="1"/>
      <c r="BE108" s="1"/>
      <c r="BF108" s="1"/>
      <c r="BG108" s="1"/>
      <c r="BH108" s="1"/>
      <c r="BI108" s="1"/>
      <c r="BJ108" s="1"/>
      <c r="CH108" s="1"/>
    </row>
    <row r="109">
      <c r="D109" s="135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BD109" s="1"/>
      <c r="BE109" s="1"/>
      <c r="BF109" s="1"/>
      <c r="BG109" s="1"/>
      <c r="BH109" s="1"/>
      <c r="BI109" s="1"/>
      <c r="BJ109" s="1"/>
      <c r="CH109" s="1"/>
    </row>
    <row r="110">
      <c r="D110" s="135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BD110" s="1"/>
      <c r="BE110" s="1"/>
      <c r="BF110" s="1"/>
      <c r="BG110" s="1"/>
      <c r="BH110" s="1"/>
      <c r="BI110" s="1"/>
      <c r="BJ110" s="1"/>
      <c r="CH110" s="1"/>
    </row>
    <row r="111">
      <c r="D111" s="135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BD111" s="1"/>
      <c r="BE111" s="1"/>
      <c r="BF111" s="1"/>
      <c r="BG111" s="1"/>
      <c r="BH111" s="1"/>
      <c r="BI111" s="1"/>
      <c r="BJ111" s="1"/>
      <c r="CH111" s="1"/>
    </row>
    <row r="112">
      <c r="D112" s="135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BD112" s="1"/>
      <c r="BE112" s="1"/>
      <c r="BF112" s="1"/>
      <c r="BG112" s="1"/>
      <c r="BH112" s="1"/>
      <c r="BI112" s="1"/>
      <c r="BJ112" s="1"/>
      <c r="CH112" s="1"/>
    </row>
    <row r="113">
      <c r="D113" s="135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BD113" s="1"/>
      <c r="BE113" s="1"/>
      <c r="BF113" s="1"/>
      <c r="BG113" s="1"/>
      <c r="BH113" s="1"/>
      <c r="BI113" s="1"/>
      <c r="BJ113" s="1"/>
      <c r="CH113" s="1"/>
    </row>
    <row r="114">
      <c r="D114" s="135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BD114" s="1"/>
      <c r="BE114" s="1"/>
      <c r="BF114" s="1"/>
      <c r="BG114" s="1"/>
      <c r="BH114" s="1"/>
      <c r="BI114" s="1"/>
      <c r="BJ114" s="1"/>
      <c r="CH114" s="1"/>
    </row>
    <row r="115">
      <c r="D115" s="135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BD115" s="1"/>
      <c r="BE115" s="1"/>
      <c r="BF115" s="1"/>
      <c r="BG115" s="1"/>
      <c r="BH115" s="1"/>
      <c r="BI115" s="1"/>
      <c r="BJ115" s="1"/>
      <c r="CH115" s="1"/>
    </row>
    <row r="116">
      <c r="D116" s="135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BD116" s="1"/>
      <c r="BE116" s="1"/>
      <c r="BF116" s="1"/>
      <c r="BG116" s="1"/>
      <c r="BH116" s="1"/>
      <c r="BI116" s="1"/>
      <c r="BJ116" s="1"/>
      <c r="CH116" s="1"/>
    </row>
    <row r="117">
      <c r="D117" s="135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BD117" s="1"/>
      <c r="BE117" s="1"/>
      <c r="BF117" s="1"/>
      <c r="BG117" s="1"/>
      <c r="BH117" s="1"/>
      <c r="BI117" s="1"/>
      <c r="BJ117" s="1"/>
      <c r="CH117" s="1"/>
    </row>
    <row r="118">
      <c r="D118" s="135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BD118" s="1"/>
      <c r="BE118" s="1"/>
      <c r="BF118" s="1"/>
      <c r="BG118" s="1"/>
      <c r="BH118" s="1"/>
      <c r="BI118" s="1"/>
      <c r="BJ118" s="1"/>
      <c r="CH118" s="1"/>
    </row>
    <row r="119">
      <c r="D119" s="135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BD119" s="1"/>
      <c r="BE119" s="1"/>
      <c r="BF119" s="1"/>
      <c r="BG119" s="1"/>
      <c r="BH119" s="1"/>
      <c r="BI119" s="1"/>
      <c r="BJ119" s="1"/>
      <c r="CH119" s="1"/>
    </row>
    <row r="120">
      <c r="D120" s="135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BD120" s="1"/>
      <c r="BE120" s="1"/>
      <c r="BF120" s="1"/>
      <c r="BG120" s="1"/>
      <c r="BH120" s="1"/>
      <c r="BI120" s="1"/>
      <c r="BJ120" s="1"/>
      <c r="CH120" s="1"/>
    </row>
    <row r="121">
      <c r="D121" s="135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BD121" s="1"/>
      <c r="BE121" s="1"/>
      <c r="BF121" s="1"/>
      <c r="BG121" s="1"/>
      <c r="BH121" s="1"/>
      <c r="BI121" s="1"/>
      <c r="BJ121" s="1"/>
      <c r="CH121" s="1"/>
    </row>
    <row r="122">
      <c r="D122" s="135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BD122" s="1"/>
      <c r="BE122" s="1"/>
      <c r="BF122" s="1"/>
      <c r="BG122" s="1"/>
      <c r="BH122" s="1"/>
      <c r="BI122" s="1"/>
      <c r="BJ122" s="1"/>
      <c r="CH122" s="1"/>
    </row>
    <row r="123">
      <c r="D123" s="135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BD123" s="1"/>
      <c r="BE123" s="1"/>
      <c r="BF123" s="1"/>
      <c r="BG123" s="1"/>
      <c r="BH123" s="1"/>
      <c r="BI123" s="1"/>
      <c r="BJ123" s="1"/>
      <c r="CH123" s="1"/>
    </row>
    <row r="124">
      <c r="D124" s="135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BD124" s="1"/>
      <c r="BE124" s="1"/>
      <c r="BF124" s="1"/>
      <c r="BG124" s="1"/>
      <c r="BH124" s="1"/>
      <c r="BI124" s="1"/>
      <c r="BJ124" s="1"/>
      <c r="CH124" s="1"/>
    </row>
    <row r="125">
      <c r="D125" s="135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BD125" s="1"/>
      <c r="BE125" s="1"/>
      <c r="BF125" s="1"/>
      <c r="BG125" s="1"/>
      <c r="BH125" s="1"/>
      <c r="BI125" s="1"/>
      <c r="BJ125" s="1"/>
      <c r="CH125" s="1"/>
    </row>
    <row r="126">
      <c r="D126" s="135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BD126" s="1"/>
      <c r="BE126" s="1"/>
      <c r="BF126" s="1"/>
      <c r="BG126" s="1"/>
      <c r="BH126" s="1"/>
      <c r="BI126" s="1"/>
      <c r="BJ126" s="1"/>
      <c r="CH126" s="1"/>
    </row>
    <row r="127">
      <c r="D127" s="135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BD127" s="1"/>
      <c r="BE127" s="1"/>
      <c r="BF127" s="1"/>
      <c r="BG127" s="1"/>
      <c r="BH127" s="1"/>
      <c r="BI127" s="1"/>
      <c r="BJ127" s="1"/>
      <c r="CH127" s="1"/>
    </row>
    <row r="128">
      <c r="D128" s="135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BD128" s="1"/>
      <c r="BE128" s="1"/>
      <c r="BF128" s="1"/>
      <c r="BG128" s="1"/>
      <c r="BH128" s="1"/>
      <c r="BI128" s="1"/>
      <c r="BJ128" s="1"/>
      <c r="CH128" s="1"/>
    </row>
    <row r="129">
      <c r="D129" s="135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BD129" s="1"/>
      <c r="BE129" s="1"/>
      <c r="BF129" s="1"/>
      <c r="BG129" s="1"/>
      <c r="BH129" s="1"/>
      <c r="BI129" s="1"/>
      <c r="BJ129" s="1"/>
      <c r="CH129" s="1"/>
    </row>
    <row r="130">
      <c r="D130" s="135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BD130" s="1"/>
      <c r="BE130" s="1"/>
      <c r="BF130" s="1"/>
      <c r="BG130" s="1"/>
      <c r="BH130" s="1"/>
      <c r="BI130" s="1"/>
      <c r="BJ130" s="1"/>
      <c r="CH130" s="1"/>
    </row>
    <row r="131">
      <c r="D131" s="135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BD131" s="1"/>
      <c r="BE131" s="1"/>
      <c r="BF131" s="1"/>
      <c r="BG131" s="1"/>
      <c r="BH131" s="1"/>
      <c r="BI131" s="1"/>
      <c r="BJ131" s="1"/>
      <c r="CH131" s="1"/>
    </row>
    <row r="132">
      <c r="D132" s="135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BD132" s="1"/>
      <c r="BE132" s="1"/>
      <c r="BF132" s="1"/>
      <c r="BG132" s="1"/>
      <c r="BH132" s="1"/>
      <c r="BI132" s="1"/>
      <c r="BJ132" s="1"/>
      <c r="CH132" s="1"/>
    </row>
    <row r="133">
      <c r="D133" s="135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BD133" s="1"/>
      <c r="BE133" s="1"/>
      <c r="BF133" s="1"/>
      <c r="BG133" s="1"/>
      <c r="BH133" s="1"/>
      <c r="BI133" s="1"/>
      <c r="BJ133" s="1"/>
      <c r="CH133" s="1"/>
    </row>
    <row r="134">
      <c r="D134" s="135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BD134" s="1"/>
      <c r="BE134" s="1"/>
      <c r="BF134" s="1"/>
      <c r="BG134" s="1"/>
      <c r="BH134" s="1"/>
      <c r="BI134" s="1"/>
      <c r="BJ134" s="1"/>
      <c r="CH134" s="1"/>
    </row>
    <row r="135">
      <c r="D135" s="135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BD135" s="1"/>
      <c r="BE135" s="1"/>
      <c r="BF135" s="1"/>
      <c r="BG135" s="1"/>
      <c r="BH135" s="1"/>
      <c r="BI135" s="1"/>
      <c r="BJ135" s="1"/>
      <c r="CH135" s="1"/>
    </row>
    <row r="136">
      <c r="D136" s="135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BD136" s="1"/>
      <c r="BE136" s="1"/>
      <c r="BF136" s="1"/>
      <c r="BG136" s="1"/>
      <c r="BH136" s="1"/>
      <c r="BI136" s="1"/>
      <c r="BJ136" s="1"/>
      <c r="CH136" s="1"/>
    </row>
    <row r="137">
      <c r="D137" s="135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BD137" s="1"/>
      <c r="BE137" s="1"/>
      <c r="BF137" s="1"/>
      <c r="BG137" s="1"/>
      <c r="BH137" s="1"/>
      <c r="BI137" s="1"/>
      <c r="BJ137" s="1"/>
      <c r="CH137" s="1"/>
    </row>
    <row r="138">
      <c r="D138" s="135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BD138" s="1"/>
      <c r="BE138" s="1"/>
      <c r="BF138" s="1"/>
      <c r="BG138" s="1"/>
      <c r="BH138" s="1"/>
      <c r="BI138" s="1"/>
      <c r="BJ138" s="1"/>
      <c r="CH138" s="1"/>
    </row>
    <row r="139">
      <c r="D139" s="135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BD139" s="1"/>
      <c r="BE139" s="1"/>
      <c r="BF139" s="1"/>
      <c r="BG139" s="1"/>
      <c r="BH139" s="1"/>
      <c r="BI139" s="1"/>
      <c r="BJ139" s="1"/>
      <c r="CH139" s="1"/>
    </row>
    <row r="140">
      <c r="D140" s="135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BD140" s="1"/>
      <c r="BE140" s="1"/>
      <c r="BF140" s="1"/>
      <c r="BG140" s="1"/>
      <c r="BH140" s="1"/>
      <c r="BI140" s="1"/>
      <c r="BJ140" s="1"/>
      <c r="CH140" s="1"/>
    </row>
    <row r="141">
      <c r="D141" s="135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BD141" s="1"/>
      <c r="BE141" s="1"/>
      <c r="BF141" s="1"/>
      <c r="BG141" s="1"/>
      <c r="BH141" s="1"/>
      <c r="BI141" s="1"/>
      <c r="BJ141" s="1"/>
      <c r="CH141" s="1"/>
    </row>
    <row r="142">
      <c r="D142" s="135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BD142" s="1"/>
      <c r="BE142" s="1"/>
      <c r="BF142" s="1"/>
      <c r="BG142" s="1"/>
      <c r="BH142" s="1"/>
      <c r="BI142" s="1"/>
      <c r="BJ142" s="1"/>
      <c r="CH142" s="1"/>
    </row>
    <row r="143">
      <c r="D143" s="135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BD143" s="1"/>
      <c r="BE143" s="1"/>
      <c r="BF143" s="1"/>
      <c r="BG143" s="1"/>
      <c r="BH143" s="1"/>
      <c r="BI143" s="1"/>
      <c r="BJ143" s="1"/>
      <c r="CH143" s="1"/>
    </row>
    <row r="144">
      <c r="D144" s="135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BD144" s="1"/>
      <c r="BE144" s="1"/>
      <c r="BF144" s="1"/>
      <c r="BG144" s="1"/>
      <c r="BH144" s="1"/>
      <c r="BI144" s="1"/>
      <c r="BJ144" s="1"/>
      <c r="CH144" s="1"/>
    </row>
    <row r="145">
      <c r="D145" s="135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BD145" s="1"/>
      <c r="BE145" s="1"/>
      <c r="BF145" s="1"/>
      <c r="BG145" s="1"/>
      <c r="BH145" s="1"/>
      <c r="BI145" s="1"/>
      <c r="BJ145" s="1"/>
      <c r="CH145" s="1"/>
    </row>
    <row r="146">
      <c r="D146" s="135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BD146" s="1"/>
      <c r="BE146" s="1"/>
      <c r="BF146" s="1"/>
      <c r="BG146" s="1"/>
      <c r="BH146" s="1"/>
      <c r="BI146" s="1"/>
      <c r="BJ146" s="1"/>
      <c r="CH146" s="1"/>
    </row>
    <row r="147">
      <c r="D147" s="135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BD147" s="1"/>
      <c r="BE147" s="1"/>
      <c r="BF147" s="1"/>
      <c r="BG147" s="1"/>
      <c r="BH147" s="1"/>
      <c r="BI147" s="1"/>
      <c r="BJ147" s="1"/>
      <c r="CH147" s="1"/>
    </row>
    <row r="148">
      <c r="D148" s="135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BD148" s="1"/>
      <c r="BE148" s="1"/>
      <c r="BF148" s="1"/>
      <c r="BG148" s="1"/>
      <c r="BH148" s="1"/>
      <c r="BI148" s="1"/>
      <c r="BJ148" s="1"/>
      <c r="CH148" s="1"/>
    </row>
    <row r="149">
      <c r="D149" s="135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BD149" s="1"/>
      <c r="BE149" s="1"/>
      <c r="BF149" s="1"/>
      <c r="BG149" s="1"/>
      <c r="BH149" s="1"/>
      <c r="BI149" s="1"/>
      <c r="BJ149" s="1"/>
      <c r="CH149" s="1"/>
    </row>
    <row r="150">
      <c r="D150" s="135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BD150" s="1"/>
      <c r="BE150" s="1"/>
      <c r="BF150" s="1"/>
      <c r="BG150" s="1"/>
      <c r="BH150" s="1"/>
      <c r="BI150" s="1"/>
      <c r="BJ150" s="1"/>
      <c r="CH150" s="1"/>
    </row>
    <row r="151">
      <c r="D151" s="135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BD151" s="1"/>
      <c r="BE151" s="1"/>
      <c r="BF151" s="1"/>
      <c r="BG151" s="1"/>
      <c r="BH151" s="1"/>
      <c r="BI151" s="1"/>
      <c r="BJ151" s="1"/>
      <c r="CH151" s="1"/>
    </row>
    <row r="152">
      <c r="D152" s="135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BD152" s="1"/>
      <c r="BE152" s="1"/>
      <c r="BF152" s="1"/>
      <c r="BG152" s="1"/>
      <c r="BH152" s="1"/>
      <c r="BI152" s="1"/>
      <c r="BJ152" s="1"/>
      <c r="CH152" s="1"/>
    </row>
    <row r="153">
      <c r="D153" s="135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BD153" s="1"/>
      <c r="BE153" s="1"/>
      <c r="BF153" s="1"/>
      <c r="BG153" s="1"/>
      <c r="BH153" s="1"/>
      <c r="BI153" s="1"/>
      <c r="BJ153" s="1"/>
      <c r="CH153" s="1"/>
    </row>
    <row r="154">
      <c r="D154" s="135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BD154" s="1"/>
      <c r="BE154" s="1"/>
      <c r="BF154" s="1"/>
      <c r="BG154" s="1"/>
      <c r="BH154" s="1"/>
      <c r="BI154" s="1"/>
      <c r="BJ154" s="1"/>
      <c r="CH154" s="1"/>
    </row>
    <row r="155">
      <c r="D155" s="135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BD155" s="1"/>
      <c r="BE155" s="1"/>
      <c r="BF155" s="1"/>
      <c r="BG155" s="1"/>
      <c r="BH155" s="1"/>
      <c r="BI155" s="1"/>
      <c r="BJ155" s="1"/>
      <c r="CH155" s="1"/>
    </row>
    <row r="156">
      <c r="D156" s="135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BD156" s="1"/>
      <c r="BE156" s="1"/>
      <c r="BF156" s="1"/>
      <c r="BG156" s="1"/>
      <c r="BH156" s="1"/>
      <c r="BI156" s="1"/>
      <c r="BJ156" s="1"/>
      <c r="CH156" s="1"/>
    </row>
    <row r="157">
      <c r="D157" s="135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BD157" s="1"/>
      <c r="BE157" s="1"/>
      <c r="BF157" s="1"/>
      <c r="BG157" s="1"/>
      <c r="BH157" s="1"/>
      <c r="BI157" s="1"/>
      <c r="BJ157" s="1"/>
      <c r="CH157" s="1"/>
    </row>
    <row r="158">
      <c r="D158" s="135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BD158" s="1"/>
      <c r="BE158" s="1"/>
      <c r="BF158" s="1"/>
      <c r="BG158" s="1"/>
      <c r="BH158" s="1"/>
      <c r="BI158" s="1"/>
      <c r="BJ158" s="1"/>
      <c r="CH158" s="1"/>
    </row>
    <row r="159">
      <c r="D159" s="135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BD159" s="1"/>
      <c r="BE159" s="1"/>
      <c r="BF159" s="1"/>
      <c r="BG159" s="1"/>
      <c r="BH159" s="1"/>
      <c r="BI159" s="1"/>
      <c r="BJ159" s="1"/>
      <c r="CH159" s="1"/>
    </row>
    <row r="160">
      <c r="D160" s="135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BD160" s="1"/>
      <c r="BE160" s="1"/>
      <c r="BF160" s="1"/>
      <c r="BG160" s="1"/>
      <c r="BH160" s="1"/>
      <c r="BI160" s="1"/>
      <c r="BJ160" s="1"/>
      <c r="CH160" s="1"/>
    </row>
    <row r="161">
      <c r="D161" s="135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BD161" s="1"/>
      <c r="BE161" s="1"/>
      <c r="BF161" s="1"/>
      <c r="BG161" s="1"/>
      <c r="BH161" s="1"/>
      <c r="BI161" s="1"/>
      <c r="BJ161" s="1"/>
      <c r="CH161" s="1"/>
    </row>
    <row r="162">
      <c r="D162" s="135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BD162" s="1"/>
      <c r="BE162" s="1"/>
      <c r="BF162" s="1"/>
      <c r="BG162" s="1"/>
      <c r="BH162" s="1"/>
      <c r="BI162" s="1"/>
      <c r="BJ162" s="1"/>
      <c r="CH162" s="1"/>
    </row>
    <row r="163">
      <c r="D163" s="135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BD163" s="1"/>
      <c r="BE163" s="1"/>
      <c r="BF163" s="1"/>
      <c r="BG163" s="1"/>
      <c r="BH163" s="1"/>
      <c r="BI163" s="1"/>
      <c r="BJ163" s="1"/>
      <c r="CH163" s="1"/>
    </row>
    <row r="164">
      <c r="D164" s="135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BD164" s="1"/>
      <c r="BE164" s="1"/>
      <c r="BF164" s="1"/>
      <c r="BG164" s="1"/>
      <c r="BH164" s="1"/>
      <c r="BI164" s="1"/>
      <c r="BJ164" s="1"/>
      <c r="CH164" s="1"/>
    </row>
    <row r="165">
      <c r="D165" s="135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BD165" s="1"/>
      <c r="BE165" s="1"/>
      <c r="BF165" s="1"/>
      <c r="BG165" s="1"/>
      <c r="BH165" s="1"/>
      <c r="BI165" s="1"/>
      <c r="BJ165" s="1"/>
      <c r="CH165" s="1"/>
    </row>
    <row r="166">
      <c r="D166" s="135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BD166" s="1"/>
      <c r="BE166" s="1"/>
      <c r="BF166" s="1"/>
      <c r="BG166" s="1"/>
      <c r="BH166" s="1"/>
      <c r="BI166" s="1"/>
      <c r="BJ166" s="1"/>
      <c r="CH166" s="1"/>
    </row>
    <row r="167">
      <c r="D167" s="135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BD167" s="1"/>
      <c r="BE167" s="1"/>
      <c r="BF167" s="1"/>
      <c r="BG167" s="1"/>
      <c r="BH167" s="1"/>
      <c r="BI167" s="1"/>
      <c r="BJ167" s="1"/>
      <c r="CH167" s="1"/>
    </row>
    <row r="168">
      <c r="D168" s="135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BD168" s="1"/>
      <c r="BE168" s="1"/>
      <c r="BF168" s="1"/>
      <c r="BG168" s="1"/>
      <c r="BH168" s="1"/>
      <c r="BI168" s="1"/>
      <c r="BJ168" s="1"/>
      <c r="CH168" s="1"/>
    </row>
    <row r="169">
      <c r="D169" s="135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BD169" s="1"/>
      <c r="BE169" s="1"/>
      <c r="BF169" s="1"/>
      <c r="BG169" s="1"/>
      <c r="BH169" s="1"/>
      <c r="BI169" s="1"/>
      <c r="BJ169" s="1"/>
      <c r="CH169" s="1"/>
    </row>
    <row r="170">
      <c r="D170" s="135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BD170" s="1"/>
      <c r="BE170" s="1"/>
      <c r="BF170" s="1"/>
      <c r="BG170" s="1"/>
      <c r="BH170" s="1"/>
      <c r="BI170" s="1"/>
      <c r="BJ170" s="1"/>
      <c r="CH170" s="1"/>
    </row>
    <row r="171">
      <c r="D171" s="135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BD171" s="1"/>
      <c r="BE171" s="1"/>
      <c r="BF171" s="1"/>
      <c r="BG171" s="1"/>
      <c r="BH171" s="1"/>
      <c r="BI171" s="1"/>
      <c r="BJ171" s="1"/>
      <c r="CH171" s="1"/>
    </row>
    <row r="172">
      <c r="D172" s="135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BD172" s="1"/>
      <c r="BE172" s="1"/>
      <c r="BF172" s="1"/>
      <c r="BG172" s="1"/>
      <c r="BH172" s="1"/>
      <c r="BI172" s="1"/>
      <c r="BJ172" s="1"/>
      <c r="CH172" s="1"/>
    </row>
    <row r="173">
      <c r="D173" s="135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BD173" s="1"/>
      <c r="BE173" s="1"/>
      <c r="BF173" s="1"/>
      <c r="BG173" s="1"/>
      <c r="BH173" s="1"/>
      <c r="BI173" s="1"/>
      <c r="BJ173" s="1"/>
      <c r="CH173" s="1"/>
    </row>
    <row r="174">
      <c r="D174" s="135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BD174" s="1"/>
      <c r="BE174" s="1"/>
      <c r="BF174" s="1"/>
      <c r="BG174" s="1"/>
      <c r="BH174" s="1"/>
      <c r="BI174" s="1"/>
      <c r="BJ174" s="1"/>
      <c r="CH174" s="1"/>
    </row>
    <row r="175">
      <c r="D175" s="135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BD175" s="1"/>
      <c r="BE175" s="1"/>
      <c r="BF175" s="1"/>
      <c r="BG175" s="1"/>
      <c r="BH175" s="1"/>
      <c r="BI175" s="1"/>
      <c r="BJ175" s="1"/>
      <c r="CH175" s="1"/>
    </row>
    <row r="176">
      <c r="D176" s="135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BD176" s="1"/>
      <c r="BE176" s="1"/>
      <c r="BF176" s="1"/>
      <c r="BG176" s="1"/>
      <c r="BH176" s="1"/>
      <c r="BI176" s="1"/>
      <c r="BJ176" s="1"/>
      <c r="CH176" s="1"/>
    </row>
    <row r="177">
      <c r="D177" s="135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BD177" s="1"/>
      <c r="BE177" s="1"/>
      <c r="BF177" s="1"/>
      <c r="BG177" s="1"/>
      <c r="BH177" s="1"/>
      <c r="BI177" s="1"/>
      <c r="BJ177" s="1"/>
      <c r="CH177" s="1"/>
    </row>
    <row r="178">
      <c r="D178" s="135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BD178" s="1"/>
      <c r="BE178" s="1"/>
      <c r="BF178" s="1"/>
      <c r="BG178" s="1"/>
      <c r="BH178" s="1"/>
      <c r="BI178" s="1"/>
      <c r="BJ178" s="1"/>
      <c r="CH178" s="1"/>
    </row>
    <row r="179">
      <c r="D179" s="135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BD179" s="1"/>
      <c r="BE179" s="1"/>
      <c r="BF179" s="1"/>
      <c r="BG179" s="1"/>
      <c r="BH179" s="1"/>
      <c r="BI179" s="1"/>
      <c r="BJ179" s="1"/>
      <c r="CH179" s="1"/>
    </row>
    <row r="180">
      <c r="D180" s="135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BD180" s="1"/>
      <c r="BE180" s="1"/>
      <c r="BF180" s="1"/>
      <c r="BG180" s="1"/>
      <c r="BH180" s="1"/>
      <c r="BI180" s="1"/>
      <c r="BJ180" s="1"/>
      <c r="CH180" s="1"/>
    </row>
    <row r="181">
      <c r="D181" s="135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BD181" s="1"/>
      <c r="BE181" s="1"/>
      <c r="BF181" s="1"/>
      <c r="BG181" s="1"/>
      <c r="BH181" s="1"/>
      <c r="BI181" s="1"/>
      <c r="BJ181" s="1"/>
      <c r="CH181" s="1"/>
    </row>
    <row r="182">
      <c r="D182" s="135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BD182" s="1"/>
      <c r="BE182" s="1"/>
      <c r="BF182" s="1"/>
      <c r="BG182" s="1"/>
      <c r="BH182" s="1"/>
      <c r="BI182" s="1"/>
      <c r="BJ182" s="1"/>
      <c r="CH182" s="1"/>
    </row>
    <row r="183">
      <c r="D183" s="135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BD183" s="1"/>
      <c r="BE183" s="1"/>
      <c r="BF183" s="1"/>
      <c r="BG183" s="1"/>
      <c r="BH183" s="1"/>
      <c r="BI183" s="1"/>
      <c r="BJ183" s="1"/>
      <c r="CH183" s="1"/>
    </row>
    <row r="184">
      <c r="D184" s="135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BD184" s="1"/>
      <c r="BE184" s="1"/>
      <c r="BF184" s="1"/>
      <c r="BG184" s="1"/>
      <c r="BH184" s="1"/>
      <c r="BI184" s="1"/>
      <c r="BJ184" s="1"/>
      <c r="CH184" s="1"/>
    </row>
    <row r="185">
      <c r="D185" s="135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BD185" s="1"/>
      <c r="BE185" s="1"/>
      <c r="BF185" s="1"/>
      <c r="BG185" s="1"/>
      <c r="BH185" s="1"/>
      <c r="BI185" s="1"/>
      <c r="BJ185" s="1"/>
      <c r="CH185" s="1"/>
    </row>
    <row r="186">
      <c r="D186" s="135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BD186" s="1"/>
      <c r="BE186" s="1"/>
      <c r="BF186" s="1"/>
      <c r="BG186" s="1"/>
      <c r="BH186" s="1"/>
      <c r="BI186" s="1"/>
      <c r="BJ186" s="1"/>
      <c r="CH186" s="1"/>
    </row>
    <row r="187">
      <c r="D187" s="135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BD187" s="1"/>
      <c r="BE187" s="1"/>
      <c r="BF187" s="1"/>
      <c r="BG187" s="1"/>
      <c r="BH187" s="1"/>
      <c r="BI187" s="1"/>
      <c r="BJ187" s="1"/>
      <c r="CH187" s="1"/>
    </row>
    <row r="188">
      <c r="D188" s="135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BD188" s="1"/>
      <c r="BE188" s="1"/>
      <c r="BF188" s="1"/>
      <c r="BG188" s="1"/>
      <c r="BH188" s="1"/>
      <c r="BI188" s="1"/>
      <c r="BJ188" s="1"/>
      <c r="CH188" s="1"/>
    </row>
    <row r="189">
      <c r="D189" s="135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BD189" s="1"/>
      <c r="BE189" s="1"/>
      <c r="BF189" s="1"/>
      <c r="BG189" s="1"/>
      <c r="BH189" s="1"/>
      <c r="BI189" s="1"/>
      <c r="BJ189" s="1"/>
      <c r="CH189" s="1"/>
    </row>
    <row r="190">
      <c r="D190" s="135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BD190" s="1"/>
      <c r="BE190" s="1"/>
      <c r="BF190" s="1"/>
      <c r="BG190" s="1"/>
      <c r="BH190" s="1"/>
      <c r="BI190" s="1"/>
      <c r="BJ190" s="1"/>
      <c r="CH190" s="1"/>
    </row>
    <row r="191">
      <c r="D191" s="135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BD191" s="1"/>
      <c r="BE191" s="1"/>
      <c r="BF191" s="1"/>
      <c r="BG191" s="1"/>
      <c r="BH191" s="1"/>
      <c r="BI191" s="1"/>
      <c r="BJ191" s="1"/>
      <c r="CH191" s="1"/>
    </row>
    <row r="192">
      <c r="D192" s="135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BD192" s="1"/>
      <c r="BE192" s="1"/>
      <c r="BF192" s="1"/>
      <c r="BG192" s="1"/>
      <c r="BH192" s="1"/>
      <c r="BI192" s="1"/>
      <c r="BJ192" s="1"/>
      <c r="CH192" s="1"/>
    </row>
    <row r="193">
      <c r="D193" s="135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BD193" s="1"/>
      <c r="BE193" s="1"/>
      <c r="BF193" s="1"/>
      <c r="BG193" s="1"/>
      <c r="BH193" s="1"/>
      <c r="BI193" s="1"/>
      <c r="BJ193" s="1"/>
      <c r="CH193" s="1"/>
    </row>
    <row r="194">
      <c r="D194" s="135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BD194" s="1"/>
      <c r="BE194" s="1"/>
      <c r="BF194" s="1"/>
      <c r="BG194" s="1"/>
      <c r="BH194" s="1"/>
      <c r="BI194" s="1"/>
      <c r="BJ194" s="1"/>
      <c r="CH194" s="1"/>
    </row>
    <row r="195">
      <c r="D195" s="135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BD195" s="1"/>
      <c r="BE195" s="1"/>
      <c r="BF195" s="1"/>
      <c r="BG195" s="1"/>
      <c r="BH195" s="1"/>
      <c r="BI195" s="1"/>
      <c r="BJ195" s="1"/>
      <c r="CH195" s="1"/>
    </row>
    <row r="196">
      <c r="D196" s="135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BD196" s="1"/>
      <c r="BE196" s="1"/>
      <c r="BF196" s="1"/>
      <c r="BG196" s="1"/>
      <c r="BH196" s="1"/>
      <c r="BI196" s="1"/>
      <c r="BJ196" s="1"/>
      <c r="CH196" s="1"/>
    </row>
    <row r="197">
      <c r="D197" s="135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BD197" s="1"/>
      <c r="BE197" s="1"/>
      <c r="BF197" s="1"/>
      <c r="BG197" s="1"/>
      <c r="BH197" s="1"/>
      <c r="BI197" s="1"/>
      <c r="BJ197" s="1"/>
      <c r="CH197" s="1"/>
    </row>
    <row r="198">
      <c r="D198" s="135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BD198" s="1"/>
      <c r="BE198" s="1"/>
      <c r="BF198" s="1"/>
      <c r="BG198" s="1"/>
      <c r="BH198" s="1"/>
      <c r="BI198" s="1"/>
      <c r="BJ198" s="1"/>
      <c r="CH198" s="1"/>
    </row>
    <row r="199">
      <c r="D199" s="135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BD199" s="1"/>
      <c r="BE199" s="1"/>
      <c r="BF199" s="1"/>
      <c r="BG199" s="1"/>
      <c r="BH199" s="1"/>
      <c r="BI199" s="1"/>
      <c r="BJ199" s="1"/>
      <c r="CH199" s="1"/>
    </row>
    <row r="200">
      <c r="D200" s="135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BD200" s="1"/>
      <c r="BE200" s="1"/>
      <c r="BF200" s="1"/>
      <c r="BG200" s="1"/>
      <c r="BH200" s="1"/>
      <c r="BI200" s="1"/>
      <c r="BJ200" s="1"/>
      <c r="CH200" s="1"/>
    </row>
    <row r="201">
      <c r="D201" s="135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BD201" s="1"/>
      <c r="BE201" s="1"/>
      <c r="BF201" s="1"/>
      <c r="BG201" s="1"/>
      <c r="BH201" s="1"/>
      <c r="BI201" s="1"/>
      <c r="BJ201" s="1"/>
      <c r="CH201" s="1"/>
    </row>
    <row r="202">
      <c r="D202" s="135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BD202" s="1"/>
      <c r="BE202" s="1"/>
      <c r="BF202" s="1"/>
      <c r="BG202" s="1"/>
      <c r="BH202" s="1"/>
      <c r="BI202" s="1"/>
      <c r="BJ202" s="1"/>
      <c r="CH202" s="1"/>
    </row>
    <row r="203">
      <c r="D203" s="135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BD203" s="1"/>
      <c r="BE203" s="1"/>
      <c r="BF203" s="1"/>
      <c r="BG203" s="1"/>
      <c r="BH203" s="1"/>
      <c r="BI203" s="1"/>
      <c r="BJ203" s="1"/>
      <c r="CH203" s="1"/>
    </row>
    <row r="204">
      <c r="D204" s="135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BD204" s="1"/>
      <c r="BE204" s="1"/>
      <c r="BF204" s="1"/>
      <c r="BG204" s="1"/>
      <c r="BH204" s="1"/>
      <c r="BI204" s="1"/>
      <c r="BJ204" s="1"/>
      <c r="CH204" s="1"/>
    </row>
    <row r="205">
      <c r="D205" s="135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BD205" s="1"/>
      <c r="BE205" s="1"/>
      <c r="BF205" s="1"/>
      <c r="BG205" s="1"/>
      <c r="BH205" s="1"/>
      <c r="BI205" s="1"/>
      <c r="BJ205" s="1"/>
      <c r="CH205" s="1"/>
    </row>
    <row r="206">
      <c r="D206" s="135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BD206" s="1"/>
      <c r="BE206" s="1"/>
      <c r="BF206" s="1"/>
      <c r="BG206" s="1"/>
      <c r="BH206" s="1"/>
      <c r="BI206" s="1"/>
      <c r="BJ206" s="1"/>
      <c r="CH206" s="1"/>
    </row>
    <row r="207">
      <c r="D207" s="135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BD207" s="1"/>
      <c r="BE207" s="1"/>
      <c r="BF207" s="1"/>
      <c r="BG207" s="1"/>
      <c r="BH207" s="1"/>
      <c r="BI207" s="1"/>
      <c r="BJ207" s="1"/>
      <c r="CH207" s="1"/>
    </row>
    <row r="208">
      <c r="D208" s="135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BD208" s="1"/>
      <c r="BE208" s="1"/>
      <c r="BF208" s="1"/>
      <c r="BG208" s="1"/>
      <c r="BH208" s="1"/>
      <c r="BI208" s="1"/>
      <c r="BJ208" s="1"/>
      <c r="CH208" s="1"/>
    </row>
    <row r="209">
      <c r="D209" s="135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BD209" s="1"/>
      <c r="BE209" s="1"/>
      <c r="BF209" s="1"/>
      <c r="BG209" s="1"/>
      <c r="BH209" s="1"/>
      <c r="BI209" s="1"/>
      <c r="BJ209" s="1"/>
      <c r="CH209" s="1"/>
    </row>
    <row r="210">
      <c r="D210" s="135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BD210" s="1"/>
      <c r="BE210" s="1"/>
      <c r="BF210" s="1"/>
      <c r="BG210" s="1"/>
      <c r="BH210" s="1"/>
      <c r="BI210" s="1"/>
      <c r="BJ210" s="1"/>
      <c r="CH210" s="1"/>
    </row>
    <row r="211">
      <c r="D211" s="135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BD211" s="1"/>
      <c r="BE211" s="1"/>
      <c r="BF211" s="1"/>
      <c r="BG211" s="1"/>
      <c r="BH211" s="1"/>
      <c r="BI211" s="1"/>
      <c r="BJ211" s="1"/>
      <c r="CH211" s="1"/>
    </row>
    <row r="212">
      <c r="D212" s="135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BD212" s="1"/>
      <c r="BE212" s="1"/>
      <c r="BF212" s="1"/>
      <c r="BG212" s="1"/>
      <c r="BH212" s="1"/>
      <c r="BI212" s="1"/>
      <c r="BJ212" s="1"/>
      <c r="CH212" s="1"/>
    </row>
    <row r="213">
      <c r="D213" s="135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BD213" s="1"/>
      <c r="BE213" s="1"/>
      <c r="BF213" s="1"/>
      <c r="BG213" s="1"/>
      <c r="BH213" s="1"/>
      <c r="BI213" s="1"/>
      <c r="BJ213" s="1"/>
      <c r="CH213" s="1"/>
    </row>
    <row r="214">
      <c r="D214" s="135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BD214" s="1"/>
      <c r="BE214" s="1"/>
      <c r="BF214" s="1"/>
      <c r="BG214" s="1"/>
      <c r="BH214" s="1"/>
      <c r="BI214" s="1"/>
      <c r="BJ214" s="1"/>
      <c r="CH214" s="1"/>
    </row>
    <row r="215">
      <c r="D215" s="135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BD215" s="1"/>
      <c r="BE215" s="1"/>
      <c r="BF215" s="1"/>
      <c r="BG215" s="1"/>
      <c r="BH215" s="1"/>
      <c r="BI215" s="1"/>
      <c r="BJ215" s="1"/>
      <c r="CH215" s="1"/>
    </row>
    <row r="216">
      <c r="D216" s="135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BD216" s="1"/>
      <c r="BE216" s="1"/>
      <c r="BF216" s="1"/>
      <c r="BG216" s="1"/>
      <c r="BH216" s="1"/>
      <c r="BI216" s="1"/>
      <c r="BJ216" s="1"/>
      <c r="CH216" s="1"/>
    </row>
    <row r="217">
      <c r="D217" s="135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BD217" s="1"/>
      <c r="BE217" s="1"/>
      <c r="BF217" s="1"/>
      <c r="BG217" s="1"/>
      <c r="BH217" s="1"/>
      <c r="BI217" s="1"/>
      <c r="BJ217" s="1"/>
      <c r="CH217" s="1"/>
    </row>
    <row r="218">
      <c r="D218" s="135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BD218" s="1"/>
      <c r="BE218" s="1"/>
      <c r="BF218" s="1"/>
      <c r="BG218" s="1"/>
      <c r="BH218" s="1"/>
      <c r="BI218" s="1"/>
      <c r="BJ218" s="1"/>
      <c r="CH218" s="1"/>
    </row>
    <row r="219">
      <c r="D219" s="135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BD219" s="1"/>
      <c r="BE219" s="1"/>
      <c r="BF219" s="1"/>
      <c r="BG219" s="1"/>
      <c r="BH219" s="1"/>
      <c r="BI219" s="1"/>
      <c r="BJ219" s="1"/>
      <c r="CH219" s="1"/>
    </row>
    <row r="220">
      <c r="D220" s="135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BD220" s="1"/>
      <c r="BE220" s="1"/>
      <c r="BF220" s="1"/>
      <c r="BG220" s="1"/>
      <c r="BH220" s="1"/>
      <c r="BI220" s="1"/>
      <c r="BJ220" s="1"/>
      <c r="CH220" s="1"/>
    </row>
    <row r="221">
      <c r="D221" s="135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BD221" s="1"/>
      <c r="BE221" s="1"/>
      <c r="BF221" s="1"/>
      <c r="BG221" s="1"/>
      <c r="BH221" s="1"/>
      <c r="BI221" s="1"/>
      <c r="BJ221" s="1"/>
      <c r="CH221" s="1"/>
    </row>
    <row r="222">
      <c r="D222" s="135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BD222" s="1"/>
      <c r="BE222" s="1"/>
      <c r="BF222" s="1"/>
      <c r="BG222" s="1"/>
      <c r="BH222" s="1"/>
      <c r="BI222" s="1"/>
      <c r="BJ222" s="1"/>
      <c r="CH222" s="1"/>
    </row>
    <row r="223">
      <c r="D223" s="135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BD223" s="1"/>
      <c r="BE223" s="1"/>
      <c r="BF223" s="1"/>
      <c r="BG223" s="1"/>
      <c r="BH223" s="1"/>
      <c r="BI223" s="1"/>
      <c r="BJ223" s="1"/>
      <c r="CH223" s="1"/>
    </row>
    <row r="224">
      <c r="D224" s="135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BD224" s="1"/>
      <c r="BE224" s="1"/>
      <c r="BF224" s="1"/>
      <c r="BG224" s="1"/>
      <c r="BH224" s="1"/>
      <c r="BI224" s="1"/>
      <c r="BJ224" s="1"/>
      <c r="CH224" s="1"/>
    </row>
    <row r="225">
      <c r="D225" s="135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BD225" s="1"/>
      <c r="BE225" s="1"/>
      <c r="BF225" s="1"/>
      <c r="BG225" s="1"/>
      <c r="BH225" s="1"/>
      <c r="BI225" s="1"/>
      <c r="BJ225" s="1"/>
      <c r="CH225" s="1"/>
    </row>
    <row r="226">
      <c r="D226" s="135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BD226" s="1"/>
      <c r="BE226" s="1"/>
      <c r="BF226" s="1"/>
      <c r="BG226" s="1"/>
      <c r="BH226" s="1"/>
      <c r="BI226" s="1"/>
      <c r="BJ226" s="1"/>
      <c r="CH226" s="1"/>
    </row>
    <row r="227">
      <c r="D227" s="135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BD227" s="1"/>
      <c r="BE227" s="1"/>
      <c r="BF227" s="1"/>
      <c r="BG227" s="1"/>
      <c r="BH227" s="1"/>
      <c r="BI227" s="1"/>
      <c r="BJ227" s="1"/>
      <c r="CH227" s="1"/>
    </row>
    <row r="228">
      <c r="D228" s="135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BD228" s="1"/>
      <c r="BE228" s="1"/>
      <c r="BF228" s="1"/>
      <c r="BG228" s="1"/>
      <c r="BH228" s="1"/>
      <c r="BI228" s="1"/>
      <c r="BJ228" s="1"/>
      <c r="CH228" s="1"/>
    </row>
    <row r="229">
      <c r="D229" s="135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BD229" s="1"/>
      <c r="BE229" s="1"/>
      <c r="BF229" s="1"/>
      <c r="BG229" s="1"/>
      <c r="BH229" s="1"/>
      <c r="BI229" s="1"/>
      <c r="BJ229" s="1"/>
      <c r="CH229" s="1"/>
    </row>
    <row r="230">
      <c r="D230" s="135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BD230" s="1"/>
      <c r="BE230" s="1"/>
      <c r="BF230" s="1"/>
      <c r="BG230" s="1"/>
      <c r="BH230" s="1"/>
      <c r="BI230" s="1"/>
      <c r="BJ230" s="1"/>
      <c r="CH230" s="1"/>
    </row>
    <row r="231">
      <c r="D231" s="135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BD231" s="1"/>
      <c r="BE231" s="1"/>
      <c r="BF231" s="1"/>
      <c r="BG231" s="1"/>
      <c r="BH231" s="1"/>
      <c r="BI231" s="1"/>
      <c r="BJ231" s="1"/>
      <c r="CH231" s="1"/>
    </row>
    <row r="232">
      <c r="D232" s="135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BD232" s="1"/>
      <c r="BE232" s="1"/>
      <c r="BF232" s="1"/>
      <c r="BG232" s="1"/>
      <c r="BH232" s="1"/>
      <c r="BI232" s="1"/>
      <c r="BJ232" s="1"/>
      <c r="CH232" s="1"/>
    </row>
    <row r="233">
      <c r="D233" s="135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BD233" s="1"/>
      <c r="BE233" s="1"/>
      <c r="BF233" s="1"/>
      <c r="BG233" s="1"/>
      <c r="BH233" s="1"/>
      <c r="BI233" s="1"/>
      <c r="BJ233" s="1"/>
      <c r="CH233" s="1"/>
    </row>
    <row r="234">
      <c r="D234" s="135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BD234" s="1"/>
      <c r="BE234" s="1"/>
      <c r="BF234" s="1"/>
      <c r="BG234" s="1"/>
      <c r="BH234" s="1"/>
      <c r="BI234" s="1"/>
      <c r="BJ234" s="1"/>
      <c r="CH234" s="1"/>
    </row>
    <row r="235">
      <c r="D235" s="135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BD235" s="1"/>
      <c r="BE235" s="1"/>
      <c r="BF235" s="1"/>
      <c r="BG235" s="1"/>
      <c r="BH235" s="1"/>
      <c r="BI235" s="1"/>
      <c r="BJ235" s="1"/>
      <c r="CH235" s="1"/>
    </row>
    <row r="236">
      <c r="D236" s="135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BD236" s="1"/>
      <c r="BE236" s="1"/>
      <c r="BF236" s="1"/>
      <c r="BG236" s="1"/>
      <c r="BH236" s="1"/>
      <c r="BI236" s="1"/>
      <c r="BJ236" s="1"/>
      <c r="CH236" s="1"/>
    </row>
    <row r="237">
      <c r="D237" s="135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BD237" s="1"/>
      <c r="BE237" s="1"/>
      <c r="BF237" s="1"/>
      <c r="BG237" s="1"/>
      <c r="BH237" s="1"/>
      <c r="BI237" s="1"/>
      <c r="BJ237" s="1"/>
      <c r="CH237" s="1"/>
    </row>
    <row r="238">
      <c r="D238" s="135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BD238" s="1"/>
      <c r="BE238" s="1"/>
      <c r="BF238" s="1"/>
      <c r="BG238" s="1"/>
      <c r="BH238" s="1"/>
      <c r="BI238" s="1"/>
      <c r="BJ238" s="1"/>
      <c r="CH238" s="1"/>
    </row>
    <row r="239">
      <c r="D239" s="135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BD239" s="1"/>
      <c r="BE239" s="1"/>
      <c r="BF239" s="1"/>
      <c r="BG239" s="1"/>
      <c r="BH239" s="1"/>
      <c r="BI239" s="1"/>
      <c r="BJ239" s="1"/>
      <c r="CH239" s="1"/>
    </row>
    <row r="240">
      <c r="D240" s="135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BD240" s="1"/>
      <c r="BE240" s="1"/>
      <c r="BF240" s="1"/>
      <c r="BG240" s="1"/>
      <c r="BH240" s="1"/>
      <c r="BI240" s="1"/>
      <c r="BJ240" s="1"/>
      <c r="CH240" s="1"/>
    </row>
    <row r="241">
      <c r="D241" s="135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BD241" s="1"/>
      <c r="BE241" s="1"/>
      <c r="BF241" s="1"/>
      <c r="BG241" s="1"/>
      <c r="BH241" s="1"/>
      <c r="BI241" s="1"/>
      <c r="BJ241" s="1"/>
      <c r="CH241" s="1"/>
    </row>
    <row r="242">
      <c r="D242" s="135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BD242" s="1"/>
      <c r="BE242" s="1"/>
      <c r="BF242" s="1"/>
      <c r="BG242" s="1"/>
      <c r="BH242" s="1"/>
      <c r="BI242" s="1"/>
      <c r="BJ242" s="1"/>
      <c r="CH242" s="1"/>
    </row>
    <row r="243">
      <c r="D243" s="135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BD243" s="1"/>
      <c r="BE243" s="1"/>
      <c r="BF243" s="1"/>
      <c r="BG243" s="1"/>
      <c r="BH243" s="1"/>
      <c r="BI243" s="1"/>
      <c r="BJ243" s="1"/>
      <c r="CH243" s="1"/>
    </row>
    <row r="244">
      <c r="D244" s="135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BD244" s="1"/>
      <c r="BE244" s="1"/>
      <c r="BF244" s="1"/>
      <c r="BG244" s="1"/>
      <c r="BH244" s="1"/>
      <c r="BI244" s="1"/>
      <c r="BJ244" s="1"/>
      <c r="CH244" s="1"/>
    </row>
    <row r="245">
      <c r="D245" s="135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BD245" s="1"/>
      <c r="BE245" s="1"/>
      <c r="BF245" s="1"/>
      <c r="BG245" s="1"/>
      <c r="BH245" s="1"/>
      <c r="BI245" s="1"/>
      <c r="BJ245" s="1"/>
      <c r="CH245" s="1"/>
    </row>
    <row r="246">
      <c r="D246" s="135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BD246" s="1"/>
      <c r="BE246" s="1"/>
      <c r="BF246" s="1"/>
      <c r="BG246" s="1"/>
      <c r="BH246" s="1"/>
      <c r="BI246" s="1"/>
      <c r="BJ246" s="1"/>
      <c r="CH246" s="1"/>
    </row>
    <row r="247">
      <c r="D247" s="135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BD247" s="1"/>
      <c r="BE247" s="1"/>
      <c r="BF247" s="1"/>
      <c r="BG247" s="1"/>
      <c r="BH247" s="1"/>
      <c r="BI247" s="1"/>
      <c r="BJ247" s="1"/>
      <c r="CH247" s="1"/>
    </row>
    <row r="248">
      <c r="D248" s="135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BD248" s="1"/>
      <c r="BE248" s="1"/>
      <c r="BF248" s="1"/>
      <c r="BG248" s="1"/>
      <c r="BH248" s="1"/>
      <c r="BI248" s="1"/>
      <c r="BJ248" s="1"/>
      <c r="CH248" s="1"/>
    </row>
    <row r="249">
      <c r="D249" s="135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BD249" s="1"/>
      <c r="BE249" s="1"/>
      <c r="BF249" s="1"/>
      <c r="BG249" s="1"/>
      <c r="BH249" s="1"/>
      <c r="BI249" s="1"/>
      <c r="BJ249" s="1"/>
      <c r="CH249" s="1"/>
    </row>
    <row r="250">
      <c r="D250" s="135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BD250" s="1"/>
      <c r="BE250" s="1"/>
      <c r="BF250" s="1"/>
      <c r="BG250" s="1"/>
      <c r="BH250" s="1"/>
      <c r="BI250" s="1"/>
      <c r="BJ250" s="1"/>
      <c r="CH250" s="1"/>
    </row>
    <row r="251">
      <c r="D251" s="135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BD251" s="1"/>
      <c r="BE251" s="1"/>
      <c r="BF251" s="1"/>
      <c r="BG251" s="1"/>
      <c r="BH251" s="1"/>
      <c r="BI251" s="1"/>
      <c r="BJ251" s="1"/>
      <c r="CH251" s="1"/>
    </row>
    <row r="252">
      <c r="D252" s="135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BD252" s="1"/>
      <c r="BE252" s="1"/>
      <c r="BF252" s="1"/>
      <c r="BG252" s="1"/>
      <c r="BH252" s="1"/>
      <c r="BI252" s="1"/>
      <c r="BJ252" s="1"/>
      <c r="CH252" s="1"/>
    </row>
    <row r="253">
      <c r="D253" s="135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BD253" s="1"/>
      <c r="BE253" s="1"/>
      <c r="BF253" s="1"/>
      <c r="BG253" s="1"/>
      <c r="BH253" s="1"/>
      <c r="BI253" s="1"/>
      <c r="BJ253" s="1"/>
      <c r="CH253" s="1"/>
    </row>
    <row r="254">
      <c r="D254" s="135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BD254" s="1"/>
      <c r="BE254" s="1"/>
      <c r="BF254" s="1"/>
      <c r="BG254" s="1"/>
      <c r="BH254" s="1"/>
      <c r="BI254" s="1"/>
      <c r="BJ254" s="1"/>
      <c r="CH254" s="1"/>
    </row>
    <row r="255">
      <c r="D255" s="135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BD255" s="1"/>
      <c r="BE255" s="1"/>
      <c r="BF255" s="1"/>
      <c r="BG255" s="1"/>
      <c r="BH255" s="1"/>
      <c r="BI255" s="1"/>
      <c r="BJ255" s="1"/>
      <c r="CH255" s="1"/>
    </row>
    <row r="256">
      <c r="D256" s="135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BD256" s="1"/>
      <c r="BE256" s="1"/>
      <c r="BF256" s="1"/>
      <c r="BG256" s="1"/>
      <c r="BH256" s="1"/>
      <c r="BI256" s="1"/>
      <c r="BJ256" s="1"/>
      <c r="CH256" s="1"/>
    </row>
    <row r="257">
      <c r="D257" s="135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BD257" s="1"/>
      <c r="BE257" s="1"/>
      <c r="BF257" s="1"/>
      <c r="BG257" s="1"/>
      <c r="BH257" s="1"/>
      <c r="BI257" s="1"/>
      <c r="BJ257" s="1"/>
      <c r="CH257" s="1"/>
    </row>
    <row r="258">
      <c r="D258" s="135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BD258" s="1"/>
      <c r="BE258" s="1"/>
      <c r="BF258" s="1"/>
      <c r="BG258" s="1"/>
      <c r="BH258" s="1"/>
      <c r="BI258" s="1"/>
      <c r="BJ258" s="1"/>
      <c r="CH258" s="1"/>
    </row>
    <row r="259">
      <c r="D259" s="135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BD259" s="1"/>
      <c r="BE259" s="1"/>
      <c r="BF259" s="1"/>
      <c r="BG259" s="1"/>
      <c r="BH259" s="1"/>
      <c r="BI259" s="1"/>
      <c r="BJ259" s="1"/>
      <c r="CH259" s="1"/>
    </row>
    <row r="260">
      <c r="D260" s="135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BD260" s="1"/>
      <c r="BE260" s="1"/>
      <c r="BF260" s="1"/>
      <c r="BG260" s="1"/>
      <c r="BH260" s="1"/>
      <c r="BI260" s="1"/>
      <c r="BJ260" s="1"/>
      <c r="CH260" s="1"/>
    </row>
    <row r="261">
      <c r="D261" s="135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BD261" s="1"/>
      <c r="BE261" s="1"/>
      <c r="BF261" s="1"/>
      <c r="BG261" s="1"/>
      <c r="BH261" s="1"/>
      <c r="BI261" s="1"/>
      <c r="BJ261" s="1"/>
      <c r="CH261" s="1"/>
    </row>
    <row r="262">
      <c r="D262" s="135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BD262" s="1"/>
      <c r="BE262" s="1"/>
      <c r="BF262" s="1"/>
      <c r="BG262" s="1"/>
      <c r="BH262" s="1"/>
      <c r="BI262" s="1"/>
      <c r="BJ262" s="1"/>
      <c r="CH262" s="1"/>
    </row>
    <row r="263">
      <c r="D263" s="135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BD263" s="1"/>
      <c r="BE263" s="1"/>
      <c r="BF263" s="1"/>
      <c r="BG263" s="1"/>
      <c r="BH263" s="1"/>
      <c r="BI263" s="1"/>
      <c r="BJ263" s="1"/>
      <c r="CH263" s="1"/>
    </row>
    <row r="264">
      <c r="D264" s="135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BD264" s="1"/>
      <c r="BE264" s="1"/>
      <c r="BF264" s="1"/>
      <c r="BG264" s="1"/>
      <c r="BH264" s="1"/>
      <c r="BI264" s="1"/>
      <c r="BJ264" s="1"/>
      <c r="CH264" s="1"/>
    </row>
    <row r="265">
      <c r="D265" s="135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BD265" s="1"/>
      <c r="BE265" s="1"/>
      <c r="BF265" s="1"/>
      <c r="BG265" s="1"/>
      <c r="BH265" s="1"/>
      <c r="BI265" s="1"/>
      <c r="BJ265" s="1"/>
      <c r="CH265" s="1"/>
    </row>
    <row r="266">
      <c r="D266" s="135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BD266" s="1"/>
      <c r="BE266" s="1"/>
      <c r="BF266" s="1"/>
      <c r="BG266" s="1"/>
      <c r="BH266" s="1"/>
      <c r="BI266" s="1"/>
      <c r="BJ266" s="1"/>
      <c r="CH266" s="1"/>
    </row>
    <row r="267">
      <c r="D267" s="135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BD267" s="1"/>
      <c r="BE267" s="1"/>
      <c r="BF267" s="1"/>
      <c r="BG267" s="1"/>
      <c r="BH267" s="1"/>
      <c r="BI267" s="1"/>
      <c r="BJ267" s="1"/>
      <c r="CH267" s="1"/>
    </row>
    <row r="268">
      <c r="D268" s="135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BD268" s="1"/>
      <c r="BE268" s="1"/>
      <c r="BF268" s="1"/>
      <c r="BG268" s="1"/>
      <c r="BH268" s="1"/>
      <c r="BI268" s="1"/>
      <c r="BJ268" s="1"/>
      <c r="CH268" s="1"/>
    </row>
    <row r="269">
      <c r="D269" s="135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BD269" s="1"/>
      <c r="BE269" s="1"/>
      <c r="BF269" s="1"/>
      <c r="BG269" s="1"/>
      <c r="BH269" s="1"/>
      <c r="BI269" s="1"/>
      <c r="BJ269" s="1"/>
      <c r="CH269" s="1"/>
    </row>
    <row r="270">
      <c r="D270" s="135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BD270" s="1"/>
      <c r="BE270" s="1"/>
      <c r="BF270" s="1"/>
      <c r="BG270" s="1"/>
      <c r="BH270" s="1"/>
      <c r="BI270" s="1"/>
      <c r="BJ270" s="1"/>
      <c r="CH270" s="1"/>
    </row>
    <row r="271">
      <c r="D271" s="135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BD271" s="1"/>
      <c r="BE271" s="1"/>
      <c r="BF271" s="1"/>
      <c r="BG271" s="1"/>
      <c r="BH271" s="1"/>
      <c r="BI271" s="1"/>
      <c r="BJ271" s="1"/>
      <c r="CH271" s="1"/>
    </row>
    <row r="272">
      <c r="D272" s="135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BD272" s="1"/>
      <c r="BE272" s="1"/>
      <c r="BF272" s="1"/>
      <c r="BG272" s="1"/>
      <c r="BH272" s="1"/>
      <c r="BI272" s="1"/>
      <c r="BJ272" s="1"/>
      <c r="CH272" s="1"/>
    </row>
    <row r="273">
      <c r="D273" s="135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BD273" s="1"/>
      <c r="BE273" s="1"/>
      <c r="BF273" s="1"/>
      <c r="BG273" s="1"/>
      <c r="BH273" s="1"/>
      <c r="BI273" s="1"/>
      <c r="BJ273" s="1"/>
      <c r="CH273" s="1"/>
    </row>
    <row r="274">
      <c r="D274" s="135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BD274" s="1"/>
      <c r="BE274" s="1"/>
      <c r="BF274" s="1"/>
      <c r="BG274" s="1"/>
      <c r="BH274" s="1"/>
      <c r="BI274" s="1"/>
      <c r="BJ274" s="1"/>
      <c r="CH274" s="1"/>
    </row>
    <row r="275">
      <c r="D275" s="135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BD275" s="1"/>
      <c r="BE275" s="1"/>
      <c r="BF275" s="1"/>
      <c r="BG275" s="1"/>
      <c r="BH275" s="1"/>
      <c r="BI275" s="1"/>
      <c r="BJ275" s="1"/>
      <c r="CH275" s="1"/>
    </row>
    <row r="276">
      <c r="D276" s="135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BD276" s="1"/>
      <c r="BE276" s="1"/>
      <c r="BF276" s="1"/>
      <c r="BG276" s="1"/>
      <c r="BH276" s="1"/>
      <c r="BI276" s="1"/>
      <c r="BJ276" s="1"/>
      <c r="CH276" s="1"/>
    </row>
    <row r="277">
      <c r="D277" s="135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BD277" s="1"/>
      <c r="BE277" s="1"/>
      <c r="BF277" s="1"/>
      <c r="BG277" s="1"/>
      <c r="BH277" s="1"/>
      <c r="BI277" s="1"/>
      <c r="BJ277" s="1"/>
      <c r="CH277" s="1"/>
    </row>
    <row r="278">
      <c r="D278" s="135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BD278" s="1"/>
      <c r="BE278" s="1"/>
      <c r="BF278" s="1"/>
      <c r="BG278" s="1"/>
      <c r="BH278" s="1"/>
      <c r="BI278" s="1"/>
      <c r="BJ278" s="1"/>
      <c r="CH278" s="1"/>
    </row>
    <row r="279">
      <c r="D279" s="135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BD279" s="1"/>
      <c r="BE279" s="1"/>
      <c r="BF279" s="1"/>
      <c r="BG279" s="1"/>
      <c r="BH279" s="1"/>
      <c r="BI279" s="1"/>
      <c r="BJ279" s="1"/>
      <c r="CH279" s="1"/>
    </row>
    <row r="280">
      <c r="D280" s="135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BD280" s="1"/>
      <c r="BE280" s="1"/>
      <c r="BF280" s="1"/>
      <c r="BG280" s="1"/>
      <c r="BH280" s="1"/>
      <c r="BI280" s="1"/>
      <c r="BJ280" s="1"/>
      <c r="CH280" s="1"/>
    </row>
    <row r="281">
      <c r="D281" s="135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BD281" s="1"/>
      <c r="BE281" s="1"/>
      <c r="BF281" s="1"/>
      <c r="BG281" s="1"/>
      <c r="BH281" s="1"/>
      <c r="BI281" s="1"/>
      <c r="BJ281" s="1"/>
      <c r="CH281" s="1"/>
    </row>
    <row r="282">
      <c r="D282" s="135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BD282" s="1"/>
      <c r="BE282" s="1"/>
      <c r="BF282" s="1"/>
      <c r="BG282" s="1"/>
      <c r="BH282" s="1"/>
      <c r="BI282" s="1"/>
      <c r="BJ282" s="1"/>
      <c r="CH282" s="1"/>
    </row>
    <row r="283">
      <c r="D283" s="135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BD283" s="1"/>
      <c r="BE283" s="1"/>
      <c r="BF283" s="1"/>
      <c r="BG283" s="1"/>
      <c r="BH283" s="1"/>
      <c r="BI283" s="1"/>
      <c r="BJ283" s="1"/>
      <c r="CH283" s="1"/>
    </row>
    <row r="284">
      <c r="D284" s="135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BD284" s="1"/>
      <c r="BE284" s="1"/>
      <c r="BF284" s="1"/>
      <c r="BG284" s="1"/>
      <c r="BH284" s="1"/>
      <c r="BI284" s="1"/>
      <c r="BJ284" s="1"/>
      <c r="CH284" s="1"/>
    </row>
    <row r="285">
      <c r="D285" s="135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BD285" s="1"/>
      <c r="BE285" s="1"/>
      <c r="BF285" s="1"/>
      <c r="BG285" s="1"/>
      <c r="BH285" s="1"/>
      <c r="BI285" s="1"/>
      <c r="BJ285" s="1"/>
      <c r="CH285" s="1"/>
    </row>
    <row r="286">
      <c r="D286" s="135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BD286" s="1"/>
      <c r="BE286" s="1"/>
      <c r="BF286" s="1"/>
      <c r="BG286" s="1"/>
      <c r="BH286" s="1"/>
      <c r="BI286" s="1"/>
      <c r="BJ286" s="1"/>
      <c r="CH286" s="1"/>
    </row>
    <row r="287">
      <c r="D287" s="135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BD287" s="1"/>
      <c r="BE287" s="1"/>
      <c r="BF287" s="1"/>
      <c r="BG287" s="1"/>
      <c r="BH287" s="1"/>
      <c r="BI287" s="1"/>
      <c r="BJ287" s="1"/>
      <c r="CH287" s="1"/>
    </row>
    <row r="288">
      <c r="D288" s="135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BD288" s="1"/>
      <c r="BE288" s="1"/>
      <c r="BF288" s="1"/>
      <c r="BG288" s="1"/>
      <c r="BH288" s="1"/>
      <c r="BI288" s="1"/>
      <c r="BJ288" s="1"/>
      <c r="CH288" s="1"/>
    </row>
    <row r="289">
      <c r="D289" s="135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BD289" s="1"/>
      <c r="BE289" s="1"/>
      <c r="BF289" s="1"/>
      <c r="BG289" s="1"/>
      <c r="BH289" s="1"/>
      <c r="BI289" s="1"/>
      <c r="BJ289" s="1"/>
      <c r="CH289" s="1"/>
    </row>
    <row r="290">
      <c r="D290" s="135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BD290" s="1"/>
      <c r="BE290" s="1"/>
      <c r="BF290" s="1"/>
      <c r="BG290" s="1"/>
      <c r="BH290" s="1"/>
      <c r="BI290" s="1"/>
      <c r="BJ290" s="1"/>
      <c r="CH290" s="1"/>
    </row>
    <row r="291">
      <c r="D291" s="135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BD291" s="1"/>
      <c r="BE291" s="1"/>
      <c r="BF291" s="1"/>
      <c r="BG291" s="1"/>
      <c r="BH291" s="1"/>
      <c r="BI291" s="1"/>
      <c r="BJ291" s="1"/>
      <c r="CH291" s="1"/>
    </row>
    <row r="292">
      <c r="D292" s="135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BD292" s="1"/>
      <c r="BE292" s="1"/>
      <c r="BF292" s="1"/>
      <c r="BG292" s="1"/>
      <c r="BH292" s="1"/>
      <c r="BI292" s="1"/>
      <c r="BJ292" s="1"/>
      <c r="CH292" s="1"/>
    </row>
    <row r="293">
      <c r="D293" s="135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BD293" s="1"/>
      <c r="BE293" s="1"/>
      <c r="BF293" s="1"/>
      <c r="BG293" s="1"/>
      <c r="BH293" s="1"/>
      <c r="BI293" s="1"/>
      <c r="BJ293" s="1"/>
      <c r="CH293" s="1"/>
    </row>
    <row r="294">
      <c r="D294" s="135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BD294" s="1"/>
      <c r="BE294" s="1"/>
      <c r="BF294" s="1"/>
      <c r="BG294" s="1"/>
      <c r="BH294" s="1"/>
      <c r="BI294" s="1"/>
      <c r="BJ294" s="1"/>
      <c r="CH294" s="1"/>
    </row>
    <row r="295">
      <c r="D295" s="135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BD295" s="1"/>
      <c r="BE295" s="1"/>
      <c r="BF295" s="1"/>
      <c r="BG295" s="1"/>
      <c r="BH295" s="1"/>
      <c r="BI295" s="1"/>
      <c r="BJ295" s="1"/>
      <c r="CH295" s="1"/>
    </row>
    <row r="296">
      <c r="D296" s="135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BD296" s="1"/>
      <c r="BE296" s="1"/>
      <c r="BF296" s="1"/>
      <c r="BG296" s="1"/>
      <c r="BH296" s="1"/>
      <c r="BI296" s="1"/>
      <c r="BJ296" s="1"/>
      <c r="CH296" s="1"/>
    </row>
    <row r="297">
      <c r="D297" s="135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BD297" s="1"/>
      <c r="BE297" s="1"/>
      <c r="BF297" s="1"/>
      <c r="BG297" s="1"/>
      <c r="BH297" s="1"/>
      <c r="BI297" s="1"/>
      <c r="BJ297" s="1"/>
      <c r="CH297" s="1"/>
    </row>
    <row r="298">
      <c r="D298" s="135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BD298" s="1"/>
      <c r="BE298" s="1"/>
      <c r="BF298" s="1"/>
      <c r="BG298" s="1"/>
      <c r="BH298" s="1"/>
      <c r="BI298" s="1"/>
      <c r="BJ298" s="1"/>
      <c r="CH298" s="1"/>
    </row>
    <row r="299">
      <c r="D299" s="135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BD299" s="1"/>
      <c r="BE299" s="1"/>
      <c r="BF299" s="1"/>
      <c r="BG299" s="1"/>
      <c r="BH299" s="1"/>
      <c r="BI299" s="1"/>
      <c r="BJ299" s="1"/>
      <c r="CH299" s="1"/>
    </row>
    <row r="300">
      <c r="D300" s="135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BD300" s="1"/>
      <c r="BE300" s="1"/>
      <c r="BF300" s="1"/>
      <c r="BG300" s="1"/>
      <c r="BH300" s="1"/>
      <c r="BI300" s="1"/>
      <c r="BJ300" s="1"/>
      <c r="CH300" s="1"/>
    </row>
    <row r="301">
      <c r="D301" s="135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BD301" s="1"/>
      <c r="BE301" s="1"/>
      <c r="BF301" s="1"/>
      <c r="BG301" s="1"/>
      <c r="BH301" s="1"/>
      <c r="BI301" s="1"/>
      <c r="BJ301" s="1"/>
      <c r="CH301" s="1"/>
    </row>
    <row r="302">
      <c r="D302" s="135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BD302" s="1"/>
      <c r="BE302" s="1"/>
      <c r="BF302" s="1"/>
      <c r="BG302" s="1"/>
      <c r="BH302" s="1"/>
      <c r="BI302" s="1"/>
      <c r="BJ302" s="1"/>
      <c r="CH302" s="1"/>
    </row>
    <row r="303">
      <c r="D303" s="135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BD303" s="1"/>
      <c r="BE303" s="1"/>
      <c r="BF303" s="1"/>
      <c r="BG303" s="1"/>
      <c r="BH303" s="1"/>
      <c r="BI303" s="1"/>
      <c r="BJ303" s="1"/>
      <c r="CH303" s="1"/>
    </row>
    <row r="304">
      <c r="D304" s="135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BD304" s="1"/>
      <c r="BE304" s="1"/>
      <c r="BF304" s="1"/>
      <c r="BG304" s="1"/>
      <c r="BH304" s="1"/>
      <c r="BI304" s="1"/>
      <c r="BJ304" s="1"/>
      <c r="CH304" s="1"/>
    </row>
    <row r="305">
      <c r="D305" s="135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BD305" s="1"/>
      <c r="BE305" s="1"/>
      <c r="BF305" s="1"/>
      <c r="BG305" s="1"/>
      <c r="BH305" s="1"/>
      <c r="BI305" s="1"/>
      <c r="BJ305" s="1"/>
      <c r="CH305" s="1"/>
    </row>
    <row r="306">
      <c r="D306" s="135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BD306" s="1"/>
      <c r="BE306" s="1"/>
      <c r="BF306" s="1"/>
      <c r="BG306" s="1"/>
      <c r="BH306" s="1"/>
      <c r="BI306" s="1"/>
      <c r="BJ306" s="1"/>
      <c r="CH306" s="1"/>
    </row>
    <row r="307">
      <c r="D307" s="135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BD307" s="1"/>
      <c r="BE307" s="1"/>
      <c r="BF307" s="1"/>
      <c r="BG307" s="1"/>
      <c r="BH307" s="1"/>
      <c r="BI307" s="1"/>
      <c r="BJ307" s="1"/>
      <c r="CH307" s="1"/>
    </row>
    <row r="308">
      <c r="D308" s="135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BD308" s="1"/>
      <c r="BE308" s="1"/>
      <c r="BF308" s="1"/>
      <c r="BG308" s="1"/>
      <c r="BH308" s="1"/>
      <c r="BI308" s="1"/>
      <c r="BJ308" s="1"/>
      <c r="CH308" s="1"/>
    </row>
    <row r="309">
      <c r="D309" s="135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BD309" s="1"/>
      <c r="BE309" s="1"/>
      <c r="BF309" s="1"/>
      <c r="BG309" s="1"/>
      <c r="BH309" s="1"/>
      <c r="BI309" s="1"/>
      <c r="BJ309" s="1"/>
      <c r="CH309" s="1"/>
    </row>
    <row r="310">
      <c r="D310" s="135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BD310" s="1"/>
      <c r="BE310" s="1"/>
      <c r="BF310" s="1"/>
      <c r="BG310" s="1"/>
      <c r="BH310" s="1"/>
      <c r="BI310" s="1"/>
      <c r="BJ310" s="1"/>
      <c r="CH310" s="1"/>
    </row>
    <row r="311">
      <c r="D311" s="135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BD311" s="1"/>
      <c r="BE311" s="1"/>
      <c r="BF311" s="1"/>
      <c r="BG311" s="1"/>
      <c r="BH311" s="1"/>
      <c r="BI311" s="1"/>
      <c r="BJ311" s="1"/>
      <c r="CH311" s="1"/>
    </row>
    <row r="312">
      <c r="D312" s="135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BD312" s="1"/>
      <c r="BE312" s="1"/>
      <c r="BF312" s="1"/>
      <c r="BG312" s="1"/>
      <c r="BH312" s="1"/>
      <c r="BI312" s="1"/>
      <c r="BJ312" s="1"/>
      <c r="CH312" s="1"/>
    </row>
    <row r="313">
      <c r="D313" s="135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BD313" s="1"/>
      <c r="BE313" s="1"/>
      <c r="BF313" s="1"/>
      <c r="BG313" s="1"/>
      <c r="BH313" s="1"/>
      <c r="BI313" s="1"/>
      <c r="BJ313" s="1"/>
      <c r="CH313" s="1"/>
    </row>
    <row r="314">
      <c r="D314" s="135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BD314" s="1"/>
      <c r="BE314" s="1"/>
      <c r="BF314" s="1"/>
      <c r="BG314" s="1"/>
      <c r="BH314" s="1"/>
      <c r="BI314" s="1"/>
      <c r="BJ314" s="1"/>
      <c r="CH314" s="1"/>
    </row>
    <row r="315">
      <c r="D315" s="135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BD315" s="1"/>
      <c r="BE315" s="1"/>
      <c r="BF315" s="1"/>
      <c r="BG315" s="1"/>
      <c r="BH315" s="1"/>
      <c r="BI315" s="1"/>
      <c r="BJ315" s="1"/>
      <c r="CH315" s="1"/>
    </row>
    <row r="316">
      <c r="D316" s="135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BD316" s="1"/>
      <c r="BE316" s="1"/>
      <c r="BF316" s="1"/>
      <c r="BG316" s="1"/>
      <c r="BH316" s="1"/>
      <c r="BI316" s="1"/>
      <c r="BJ316" s="1"/>
      <c r="CH316" s="1"/>
    </row>
    <row r="317">
      <c r="D317" s="135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BD317" s="1"/>
      <c r="BE317" s="1"/>
      <c r="BF317" s="1"/>
      <c r="BG317" s="1"/>
      <c r="BH317" s="1"/>
      <c r="BI317" s="1"/>
      <c r="BJ317" s="1"/>
      <c r="CH317" s="1"/>
    </row>
    <row r="318">
      <c r="D318" s="135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BD318" s="1"/>
      <c r="BE318" s="1"/>
      <c r="BF318" s="1"/>
      <c r="BG318" s="1"/>
      <c r="BH318" s="1"/>
      <c r="BI318" s="1"/>
      <c r="BJ318" s="1"/>
      <c r="CH318" s="1"/>
    </row>
    <row r="319">
      <c r="D319" s="135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BD319" s="1"/>
      <c r="BE319" s="1"/>
      <c r="BF319" s="1"/>
      <c r="BG319" s="1"/>
      <c r="BH319" s="1"/>
      <c r="BI319" s="1"/>
      <c r="BJ319" s="1"/>
      <c r="CH319" s="1"/>
    </row>
    <row r="320">
      <c r="D320" s="135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BD320" s="1"/>
      <c r="BE320" s="1"/>
      <c r="BF320" s="1"/>
      <c r="BG320" s="1"/>
      <c r="BH320" s="1"/>
      <c r="BI320" s="1"/>
      <c r="BJ320" s="1"/>
      <c r="CH320" s="1"/>
    </row>
    <row r="321">
      <c r="D321" s="135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BD321" s="1"/>
      <c r="BE321" s="1"/>
      <c r="BF321" s="1"/>
      <c r="BG321" s="1"/>
      <c r="BH321" s="1"/>
      <c r="BI321" s="1"/>
      <c r="BJ321" s="1"/>
      <c r="CH321" s="1"/>
    </row>
    <row r="322">
      <c r="D322" s="135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BD322" s="1"/>
      <c r="BE322" s="1"/>
      <c r="BF322" s="1"/>
      <c r="BG322" s="1"/>
      <c r="BH322" s="1"/>
      <c r="BI322" s="1"/>
      <c r="BJ322" s="1"/>
      <c r="CH322" s="1"/>
    </row>
    <row r="323">
      <c r="D323" s="135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BD323" s="1"/>
      <c r="BE323" s="1"/>
      <c r="BF323" s="1"/>
      <c r="BG323" s="1"/>
      <c r="BH323" s="1"/>
      <c r="BI323" s="1"/>
      <c r="BJ323" s="1"/>
      <c r="CH323" s="1"/>
    </row>
    <row r="324">
      <c r="D324" s="135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BD324" s="1"/>
      <c r="BE324" s="1"/>
      <c r="BF324" s="1"/>
      <c r="BG324" s="1"/>
      <c r="BH324" s="1"/>
      <c r="BI324" s="1"/>
      <c r="BJ324" s="1"/>
      <c r="CH324" s="1"/>
    </row>
    <row r="325">
      <c r="D325" s="135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BD325" s="1"/>
      <c r="BE325" s="1"/>
      <c r="BF325" s="1"/>
      <c r="BG325" s="1"/>
      <c r="BH325" s="1"/>
      <c r="BI325" s="1"/>
      <c r="BJ325" s="1"/>
      <c r="CH325" s="1"/>
    </row>
    <row r="326">
      <c r="D326" s="135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BD326" s="1"/>
      <c r="BE326" s="1"/>
      <c r="BF326" s="1"/>
      <c r="BG326" s="1"/>
      <c r="BH326" s="1"/>
      <c r="BI326" s="1"/>
      <c r="BJ326" s="1"/>
      <c r="CH326" s="1"/>
    </row>
    <row r="327">
      <c r="D327" s="135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BD327" s="1"/>
      <c r="BE327" s="1"/>
      <c r="BF327" s="1"/>
      <c r="BG327" s="1"/>
      <c r="BH327" s="1"/>
      <c r="BI327" s="1"/>
      <c r="BJ327" s="1"/>
      <c r="CH327" s="1"/>
    </row>
    <row r="328">
      <c r="D328" s="135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BD328" s="1"/>
      <c r="BE328" s="1"/>
      <c r="BF328" s="1"/>
      <c r="BG328" s="1"/>
      <c r="BH328" s="1"/>
      <c r="BI328" s="1"/>
      <c r="BJ328" s="1"/>
      <c r="CH328" s="1"/>
    </row>
    <row r="329">
      <c r="D329" s="135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BD329" s="1"/>
      <c r="BE329" s="1"/>
      <c r="BF329" s="1"/>
      <c r="BG329" s="1"/>
      <c r="BH329" s="1"/>
      <c r="BI329" s="1"/>
      <c r="BJ329" s="1"/>
      <c r="CH329" s="1"/>
    </row>
    <row r="330">
      <c r="D330" s="135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BD330" s="1"/>
      <c r="BE330" s="1"/>
      <c r="BF330" s="1"/>
      <c r="BG330" s="1"/>
      <c r="BH330" s="1"/>
      <c r="BI330" s="1"/>
      <c r="BJ330" s="1"/>
      <c r="CH330" s="1"/>
    </row>
    <row r="331">
      <c r="D331" s="135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BD331" s="1"/>
      <c r="BE331" s="1"/>
      <c r="BF331" s="1"/>
      <c r="BG331" s="1"/>
      <c r="BH331" s="1"/>
      <c r="BI331" s="1"/>
      <c r="BJ331" s="1"/>
      <c r="CH331" s="1"/>
    </row>
    <row r="332">
      <c r="D332" s="135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BD332" s="1"/>
      <c r="BE332" s="1"/>
      <c r="BF332" s="1"/>
      <c r="BG332" s="1"/>
      <c r="BH332" s="1"/>
      <c r="BI332" s="1"/>
      <c r="BJ332" s="1"/>
      <c r="CH332" s="1"/>
    </row>
    <row r="333">
      <c r="D333" s="135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BD333" s="1"/>
      <c r="BE333" s="1"/>
      <c r="BF333" s="1"/>
      <c r="BG333" s="1"/>
      <c r="BH333" s="1"/>
      <c r="BI333" s="1"/>
      <c r="BJ333" s="1"/>
      <c r="CH333" s="1"/>
    </row>
    <row r="334">
      <c r="D334" s="135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BD334" s="1"/>
      <c r="BE334" s="1"/>
      <c r="BF334" s="1"/>
      <c r="BG334" s="1"/>
      <c r="BH334" s="1"/>
      <c r="BI334" s="1"/>
      <c r="BJ334" s="1"/>
      <c r="CH334" s="1"/>
    </row>
    <row r="335">
      <c r="D335" s="135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BD335" s="1"/>
      <c r="BE335" s="1"/>
      <c r="BF335" s="1"/>
      <c r="BG335" s="1"/>
      <c r="BH335" s="1"/>
      <c r="BI335" s="1"/>
      <c r="BJ335" s="1"/>
      <c r="CH335" s="1"/>
    </row>
    <row r="336">
      <c r="D336" s="135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BD336" s="1"/>
      <c r="BE336" s="1"/>
      <c r="BF336" s="1"/>
      <c r="BG336" s="1"/>
      <c r="BH336" s="1"/>
      <c r="BI336" s="1"/>
      <c r="BJ336" s="1"/>
      <c r="CH336" s="1"/>
    </row>
    <row r="337">
      <c r="D337" s="135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BD337" s="1"/>
      <c r="BE337" s="1"/>
      <c r="BF337" s="1"/>
      <c r="BG337" s="1"/>
      <c r="BH337" s="1"/>
      <c r="BI337" s="1"/>
      <c r="BJ337" s="1"/>
      <c r="CH337" s="1"/>
    </row>
    <row r="338">
      <c r="D338" s="135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BD338" s="1"/>
      <c r="BE338" s="1"/>
      <c r="BF338" s="1"/>
      <c r="BG338" s="1"/>
      <c r="BH338" s="1"/>
      <c r="BI338" s="1"/>
      <c r="BJ338" s="1"/>
      <c r="CH338" s="1"/>
    </row>
    <row r="339">
      <c r="D339" s="135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BD339" s="1"/>
      <c r="BE339" s="1"/>
      <c r="BF339" s="1"/>
      <c r="BG339" s="1"/>
      <c r="BH339" s="1"/>
      <c r="BI339" s="1"/>
      <c r="BJ339" s="1"/>
      <c r="CH339" s="1"/>
    </row>
    <row r="340">
      <c r="D340" s="135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BD340" s="1"/>
      <c r="BE340" s="1"/>
      <c r="BF340" s="1"/>
      <c r="BG340" s="1"/>
      <c r="BH340" s="1"/>
      <c r="BI340" s="1"/>
      <c r="BJ340" s="1"/>
      <c r="CH340" s="1"/>
    </row>
    <row r="341">
      <c r="D341" s="135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BD341" s="1"/>
      <c r="BE341" s="1"/>
      <c r="BF341" s="1"/>
      <c r="BG341" s="1"/>
      <c r="BH341" s="1"/>
      <c r="BI341" s="1"/>
      <c r="BJ341" s="1"/>
      <c r="CH341" s="1"/>
    </row>
    <row r="342">
      <c r="D342" s="135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BD342" s="1"/>
      <c r="BE342" s="1"/>
      <c r="BF342" s="1"/>
      <c r="BG342" s="1"/>
      <c r="BH342" s="1"/>
      <c r="BI342" s="1"/>
      <c r="BJ342" s="1"/>
      <c r="CH342" s="1"/>
    </row>
    <row r="343">
      <c r="D343" s="135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BD343" s="1"/>
      <c r="BE343" s="1"/>
      <c r="BF343" s="1"/>
      <c r="BG343" s="1"/>
      <c r="BH343" s="1"/>
      <c r="BI343" s="1"/>
      <c r="BJ343" s="1"/>
      <c r="CH343" s="1"/>
    </row>
    <row r="344">
      <c r="D344" s="135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BD344" s="1"/>
      <c r="BE344" s="1"/>
      <c r="BF344" s="1"/>
      <c r="BG344" s="1"/>
      <c r="BH344" s="1"/>
      <c r="BI344" s="1"/>
      <c r="BJ344" s="1"/>
      <c r="CH344" s="1"/>
    </row>
    <row r="345">
      <c r="D345" s="135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BD345" s="1"/>
      <c r="BE345" s="1"/>
      <c r="BF345" s="1"/>
      <c r="BG345" s="1"/>
      <c r="BH345" s="1"/>
      <c r="BI345" s="1"/>
      <c r="BJ345" s="1"/>
      <c r="CH345" s="1"/>
    </row>
    <row r="346">
      <c r="D346" s="135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BD346" s="1"/>
      <c r="BE346" s="1"/>
      <c r="BF346" s="1"/>
      <c r="BG346" s="1"/>
      <c r="BH346" s="1"/>
      <c r="BI346" s="1"/>
      <c r="BJ346" s="1"/>
      <c r="CH346" s="1"/>
    </row>
    <row r="347">
      <c r="D347" s="135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BD347" s="1"/>
      <c r="BE347" s="1"/>
      <c r="BF347" s="1"/>
      <c r="BG347" s="1"/>
      <c r="BH347" s="1"/>
      <c r="BI347" s="1"/>
      <c r="BJ347" s="1"/>
      <c r="CH347" s="1"/>
    </row>
    <row r="348">
      <c r="D348" s="135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BD348" s="1"/>
      <c r="BE348" s="1"/>
      <c r="BF348" s="1"/>
      <c r="BG348" s="1"/>
      <c r="BH348" s="1"/>
      <c r="BI348" s="1"/>
      <c r="BJ348" s="1"/>
      <c r="CH348" s="1"/>
    </row>
    <row r="349">
      <c r="D349" s="135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BD349" s="1"/>
      <c r="BE349" s="1"/>
      <c r="BF349" s="1"/>
      <c r="BG349" s="1"/>
      <c r="BH349" s="1"/>
      <c r="BI349" s="1"/>
      <c r="BJ349" s="1"/>
      <c r="CH349" s="1"/>
    </row>
    <row r="350">
      <c r="D350" s="135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BD350" s="1"/>
      <c r="BE350" s="1"/>
      <c r="BF350" s="1"/>
      <c r="BG350" s="1"/>
      <c r="BH350" s="1"/>
      <c r="BI350" s="1"/>
      <c r="BJ350" s="1"/>
      <c r="CH350" s="1"/>
    </row>
    <row r="351">
      <c r="D351" s="135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BD351" s="1"/>
      <c r="BE351" s="1"/>
      <c r="BF351" s="1"/>
      <c r="BG351" s="1"/>
      <c r="BH351" s="1"/>
      <c r="BI351" s="1"/>
      <c r="BJ351" s="1"/>
      <c r="CH351" s="1"/>
    </row>
    <row r="352">
      <c r="D352" s="135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BD352" s="1"/>
      <c r="BE352" s="1"/>
      <c r="BF352" s="1"/>
      <c r="BG352" s="1"/>
      <c r="BH352" s="1"/>
      <c r="BI352" s="1"/>
      <c r="BJ352" s="1"/>
      <c r="CH352" s="1"/>
    </row>
    <row r="353">
      <c r="D353" s="135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BD353" s="1"/>
      <c r="BE353" s="1"/>
      <c r="BF353" s="1"/>
      <c r="BG353" s="1"/>
      <c r="BH353" s="1"/>
      <c r="BI353" s="1"/>
      <c r="BJ353" s="1"/>
      <c r="CH353" s="1"/>
    </row>
    <row r="354">
      <c r="D354" s="135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BD354" s="1"/>
      <c r="BE354" s="1"/>
      <c r="BF354" s="1"/>
      <c r="BG354" s="1"/>
      <c r="BH354" s="1"/>
      <c r="BI354" s="1"/>
      <c r="BJ354" s="1"/>
      <c r="CH354" s="1"/>
    </row>
    <row r="355">
      <c r="D355" s="135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BD355" s="1"/>
      <c r="BE355" s="1"/>
      <c r="BF355" s="1"/>
      <c r="BG355" s="1"/>
      <c r="BH355" s="1"/>
      <c r="BI355" s="1"/>
      <c r="BJ355" s="1"/>
      <c r="CH355" s="1"/>
    </row>
    <row r="356">
      <c r="D356" s="135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BD356" s="1"/>
      <c r="BE356" s="1"/>
      <c r="BF356" s="1"/>
      <c r="BG356" s="1"/>
      <c r="BH356" s="1"/>
      <c r="BI356" s="1"/>
      <c r="BJ356" s="1"/>
      <c r="CH356" s="1"/>
    </row>
    <row r="357">
      <c r="D357" s="135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BD357" s="1"/>
      <c r="BE357" s="1"/>
      <c r="BF357" s="1"/>
      <c r="BG357" s="1"/>
      <c r="BH357" s="1"/>
      <c r="BI357" s="1"/>
      <c r="BJ357" s="1"/>
      <c r="CH357" s="1"/>
    </row>
    <row r="358">
      <c r="D358" s="135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BD358" s="1"/>
      <c r="BE358" s="1"/>
      <c r="BF358" s="1"/>
      <c r="BG358" s="1"/>
      <c r="BH358" s="1"/>
      <c r="BI358" s="1"/>
      <c r="BJ358" s="1"/>
      <c r="CH358" s="1"/>
    </row>
    <row r="359">
      <c r="D359" s="135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BD359" s="1"/>
      <c r="BE359" s="1"/>
      <c r="BF359" s="1"/>
      <c r="BG359" s="1"/>
      <c r="BH359" s="1"/>
      <c r="BI359" s="1"/>
      <c r="BJ359" s="1"/>
      <c r="CH359" s="1"/>
    </row>
    <row r="360">
      <c r="D360" s="135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BD360" s="1"/>
      <c r="BE360" s="1"/>
      <c r="BF360" s="1"/>
      <c r="BG360" s="1"/>
      <c r="BH360" s="1"/>
      <c r="BI360" s="1"/>
      <c r="BJ360" s="1"/>
      <c r="CH360" s="1"/>
    </row>
    <row r="361">
      <c r="D361" s="135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BD361" s="1"/>
      <c r="BE361" s="1"/>
      <c r="BF361" s="1"/>
      <c r="BG361" s="1"/>
      <c r="BH361" s="1"/>
      <c r="BI361" s="1"/>
      <c r="BJ361" s="1"/>
      <c r="CH361" s="1"/>
    </row>
    <row r="362">
      <c r="D362" s="135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BD362" s="1"/>
      <c r="BE362" s="1"/>
      <c r="BF362" s="1"/>
      <c r="BG362" s="1"/>
      <c r="BH362" s="1"/>
      <c r="BI362" s="1"/>
      <c r="BJ362" s="1"/>
      <c r="CH362" s="1"/>
    </row>
    <row r="363">
      <c r="D363" s="135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BD363" s="1"/>
      <c r="BE363" s="1"/>
      <c r="BF363" s="1"/>
      <c r="BG363" s="1"/>
      <c r="BH363" s="1"/>
      <c r="BI363" s="1"/>
      <c r="BJ363" s="1"/>
      <c r="CH363" s="1"/>
    </row>
    <row r="364">
      <c r="D364" s="135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BD364" s="1"/>
      <c r="BE364" s="1"/>
      <c r="BF364" s="1"/>
      <c r="BG364" s="1"/>
      <c r="BH364" s="1"/>
      <c r="BI364" s="1"/>
      <c r="BJ364" s="1"/>
      <c r="CH364" s="1"/>
    </row>
    <row r="365">
      <c r="D365" s="135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BD365" s="1"/>
      <c r="BE365" s="1"/>
      <c r="BF365" s="1"/>
      <c r="BG365" s="1"/>
      <c r="BH365" s="1"/>
      <c r="BI365" s="1"/>
      <c r="BJ365" s="1"/>
      <c r="CH365" s="1"/>
    </row>
    <row r="366">
      <c r="D366" s="135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BD366" s="1"/>
      <c r="BE366" s="1"/>
      <c r="BF366" s="1"/>
      <c r="BG366" s="1"/>
      <c r="BH366" s="1"/>
      <c r="BI366" s="1"/>
      <c r="BJ366" s="1"/>
      <c r="CH366" s="1"/>
    </row>
    <row r="367">
      <c r="D367" s="135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BD367" s="1"/>
      <c r="BE367" s="1"/>
      <c r="BF367" s="1"/>
      <c r="BG367" s="1"/>
      <c r="BH367" s="1"/>
      <c r="BI367" s="1"/>
      <c r="BJ367" s="1"/>
      <c r="CH367" s="1"/>
    </row>
    <row r="368">
      <c r="D368" s="135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BD368" s="1"/>
      <c r="BE368" s="1"/>
      <c r="BF368" s="1"/>
      <c r="BG368" s="1"/>
      <c r="BH368" s="1"/>
      <c r="BI368" s="1"/>
      <c r="BJ368" s="1"/>
      <c r="CH368" s="1"/>
    </row>
    <row r="369">
      <c r="D369" s="135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BD369" s="1"/>
      <c r="BE369" s="1"/>
      <c r="BF369" s="1"/>
      <c r="BG369" s="1"/>
      <c r="BH369" s="1"/>
      <c r="BI369" s="1"/>
      <c r="BJ369" s="1"/>
      <c r="CH369" s="1"/>
    </row>
    <row r="370">
      <c r="D370" s="135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BD370" s="1"/>
      <c r="BE370" s="1"/>
      <c r="BF370" s="1"/>
      <c r="BG370" s="1"/>
      <c r="BH370" s="1"/>
      <c r="BI370" s="1"/>
      <c r="BJ370" s="1"/>
      <c r="CH370" s="1"/>
    </row>
    <row r="371">
      <c r="D371" s="135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BD371" s="1"/>
      <c r="BE371" s="1"/>
      <c r="BF371" s="1"/>
      <c r="BG371" s="1"/>
      <c r="BH371" s="1"/>
      <c r="BI371" s="1"/>
      <c r="BJ371" s="1"/>
      <c r="CH371" s="1"/>
    </row>
    <row r="372">
      <c r="D372" s="135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BD372" s="1"/>
      <c r="BE372" s="1"/>
      <c r="BF372" s="1"/>
      <c r="BG372" s="1"/>
      <c r="BH372" s="1"/>
      <c r="BI372" s="1"/>
      <c r="BJ372" s="1"/>
      <c r="CH372" s="1"/>
    </row>
    <row r="373">
      <c r="D373" s="135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BD373" s="1"/>
      <c r="BE373" s="1"/>
      <c r="BF373" s="1"/>
      <c r="BG373" s="1"/>
      <c r="BH373" s="1"/>
      <c r="BI373" s="1"/>
      <c r="BJ373" s="1"/>
      <c r="CH373" s="1"/>
    </row>
    <row r="374">
      <c r="D374" s="135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BD374" s="1"/>
      <c r="BE374" s="1"/>
      <c r="BF374" s="1"/>
      <c r="BG374" s="1"/>
      <c r="BH374" s="1"/>
      <c r="BI374" s="1"/>
      <c r="BJ374" s="1"/>
      <c r="CH374" s="1"/>
    </row>
    <row r="375">
      <c r="D375" s="135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BD375" s="1"/>
      <c r="BE375" s="1"/>
      <c r="BF375" s="1"/>
      <c r="BG375" s="1"/>
      <c r="BH375" s="1"/>
      <c r="BI375" s="1"/>
      <c r="BJ375" s="1"/>
      <c r="CH375" s="1"/>
    </row>
    <row r="376">
      <c r="D376" s="135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BD376" s="1"/>
      <c r="BE376" s="1"/>
      <c r="BF376" s="1"/>
      <c r="BG376" s="1"/>
      <c r="BH376" s="1"/>
      <c r="BI376" s="1"/>
      <c r="BJ376" s="1"/>
      <c r="CH376" s="1"/>
    </row>
    <row r="377">
      <c r="D377" s="135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BD377" s="1"/>
      <c r="BE377" s="1"/>
      <c r="BF377" s="1"/>
      <c r="BG377" s="1"/>
      <c r="BH377" s="1"/>
      <c r="BI377" s="1"/>
      <c r="BJ377" s="1"/>
      <c r="CH377" s="1"/>
    </row>
    <row r="378">
      <c r="D378" s="135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BD378" s="1"/>
      <c r="BE378" s="1"/>
      <c r="BF378" s="1"/>
      <c r="BG378" s="1"/>
      <c r="BH378" s="1"/>
      <c r="BI378" s="1"/>
      <c r="BJ378" s="1"/>
      <c r="CH378" s="1"/>
    </row>
    <row r="379">
      <c r="D379" s="135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BD379" s="1"/>
      <c r="BE379" s="1"/>
      <c r="BF379" s="1"/>
      <c r="BG379" s="1"/>
      <c r="BH379" s="1"/>
      <c r="BI379" s="1"/>
      <c r="BJ379" s="1"/>
      <c r="CH379" s="1"/>
    </row>
    <row r="380">
      <c r="D380" s="135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BD380" s="1"/>
      <c r="BE380" s="1"/>
      <c r="BF380" s="1"/>
      <c r="BG380" s="1"/>
      <c r="BH380" s="1"/>
      <c r="BI380" s="1"/>
      <c r="BJ380" s="1"/>
      <c r="CH380" s="1"/>
    </row>
    <row r="381">
      <c r="D381" s="135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BD381" s="1"/>
      <c r="BE381" s="1"/>
      <c r="BF381" s="1"/>
      <c r="BG381" s="1"/>
      <c r="BH381" s="1"/>
      <c r="BI381" s="1"/>
      <c r="BJ381" s="1"/>
      <c r="CH381" s="1"/>
    </row>
    <row r="382">
      <c r="D382" s="135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BD382" s="1"/>
      <c r="BE382" s="1"/>
      <c r="BF382" s="1"/>
      <c r="BG382" s="1"/>
      <c r="BH382" s="1"/>
      <c r="BI382" s="1"/>
      <c r="BJ382" s="1"/>
      <c r="CH382" s="1"/>
    </row>
    <row r="383">
      <c r="D383" s="135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BD383" s="1"/>
      <c r="BE383" s="1"/>
      <c r="BF383" s="1"/>
      <c r="BG383" s="1"/>
      <c r="BH383" s="1"/>
      <c r="BI383" s="1"/>
      <c r="BJ383" s="1"/>
      <c r="CH383" s="1"/>
    </row>
    <row r="384">
      <c r="D384" s="135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BD384" s="1"/>
      <c r="BE384" s="1"/>
      <c r="BF384" s="1"/>
      <c r="BG384" s="1"/>
      <c r="BH384" s="1"/>
      <c r="BI384" s="1"/>
      <c r="BJ384" s="1"/>
      <c r="CH384" s="1"/>
    </row>
    <row r="385">
      <c r="D385" s="135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BD385" s="1"/>
      <c r="BE385" s="1"/>
      <c r="BF385" s="1"/>
      <c r="BG385" s="1"/>
      <c r="BH385" s="1"/>
      <c r="BI385" s="1"/>
      <c r="BJ385" s="1"/>
      <c r="CH385" s="1"/>
    </row>
    <row r="386">
      <c r="D386" s="135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BD386" s="1"/>
      <c r="BE386" s="1"/>
      <c r="BF386" s="1"/>
      <c r="BG386" s="1"/>
      <c r="BH386" s="1"/>
      <c r="BI386" s="1"/>
      <c r="BJ386" s="1"/>
      <c r="CH386" s="1"/>
    </row>
    <row r="387">
      <c r="D387" s="135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BD387" s="1"/>
      <c r="BE387" s="1"/>
      <c r="BF387" s="1"/>
      <c r="BG387" s="1"/>
      <c r="BH387" s="1"/>
      <c r="BI387" s="1"/>
      <c r="BJ387" s="1"/>
      <c r="CH387" s="1"/>
    </row>
    <row r="388">
      <c r="D388" s="135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BD388" s="1"/>
      <c r="BE388" s="1"/>
      <c r="BF388" s="1"/>
      <c r="BG388" s="1"/>
      <c r="BH388" s="1"/>
      <c r="BI388" s="1"/>
      <c r="BJ388" s="1"/>
      <c r="CH388" s="1"/>
    </row>
    <row r="389">
      <c r="D389" s="135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BD389" s="1"/>
      <c r="BE389" s="1"/>
      <c r="BF389" s="1"/>
      <c r="BG389" s="1"/>
      <c r="BH389" s="1"/>
      <c r="BI389" s="1"/>
      <c r="BJ389" s="1"/>
      <c r="CH389" s="1"/>
    </row>
    <row r="390">
      <c r="D390" s="135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BD390" s="1"/>
      <c r="BE390" s="1"/>
      <c r="BF390" s="1"/>
      <c r="BG390" s="1"/>
      <c r="BH390" s="1"/>
      <c r="BI390" s="1"/>
      <c r="BJ390" s="1"/>
      <c r="CH390" s="1"/>
    </row>
    <row r="391">
      <c r="D391" s="135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BD391" s="1"/>
      <c r="BE391" s="1"/>
      <c r="BF391" s="1"/>
      <c r="BG391" s="1"/>
      <c r="BH391" s="1"/>
      <c r="BI391" s="1"/>
      <c r="BJ391" s="1"/>
      <c r="CH391" s="1"/>
    </row>
    <row r="392">
      <c r="D392" s="135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BD392" s="1"/>
      <c r="BE392" s="1"/>
      <c r="BF392" s="1"/>
      <c r="BG392" s="1"/>
      <c r="BH392" s="1"/>
      <c r="BI392" s="1"/>
      <c r="BJ392" s="1"/>
      <c r="CH392" s="1"/>
    </row>
    <row r="393">
      <c r="D393" s="135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BD393" s="1"/>
      <c r="BE393" s="1"/>
      <c r="BF393" s="1"/>
      <c r="BG393" s="1"/>
      <c r="BH393" s="1"/>
      <c r="BI393" s="1"/>
      <c r="BJ393" s="1"/>
      <c r="CH393" s="1"/>
    </row>
    <row r="394">
      <c r="D394" s="135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BD394" s="1"/>
      <c r="BE394" s="1"/>
      <c r="BF394" s="1"/>
      <c r="BG394" s="1"/>
      <c r="BH394" s="1"/>
      <c r="BI394" s="1"/>
      <c r="BJ394" s="1"/>
      <c r="CH394" s="1"/>
    </row>
    <row r="395">
      <c r="D395" s="135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BD395" s="1"/>
      <c r="BE395" s="1"/>
      <c r="BF395" s="1"/>
      <c r="BG395" s="1"/>
      <c r="BH395" s="1"/>
      <c r="BI395" s="1"/>
      <c r="BJ395" s="1"/>
      <c r="CH395" s="1"/>
    </row>
    <row r="396">
      <c r="D396" s="135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BD396" s="1"/>
      <c r="BE396" s="1"/>
      <c r="BF396" s="1"/>
      <c r="BG396" s="1"/>
      <c r="BH396" s="1"/>
      <c r="BI396" s="1"/>
      <c r="BJ396" s="1"/>
      <c r="CH396" s="1"/>
    </row>
    <row r="397">
      <c r="D397" s="135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BD397" s="1"/>
      <c r="BE397" s="1"/>
      <c r="BF397" s="1"/>
      <c r="BG397" s="1"/>
      <c r="BH397" s="1"/>
      <c r="BI397" s="1"/>
      <c r="BJ397" s="1"/>
      <c r="CH397" s="1"/>
    </row>
    <row r="398">
      <c r="D398" s="135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BD398" s="1"/>
      <c r="BE398" s="1"/>
      <c r="BF398" s="1"/>
      <c r="BG398" s="1"/>
      <c r="BH398" s="1"/>
      <c r="BI398" s="1"/>
      <c r="BJ398" s="1"/>
      <c r="CH398" s="1"/>
    </row>
    <row r="399">
      <c r="D399" s="135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BD399" s="1"/>
      <c r="BE399" s="1"/>
      <c r="BF399" s="1"/>
      <c r="BG399" s="1"/>
      <c r="BH399" s="1"/>
      <c r="BI399" s="1"/>
      <c r="BJ399" s="1"/>
      <c r="CH399" s="1"/>
    </row>
    <row r="400">
      <c r="D400" s="135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BD400" s="1"/>
      <c r="BE400" s="1"/>
      <c r="BF400" s="1"/>
      <c r="BG400" s="1"/>
      <c r="BH400" s="1"/>
      <c r="BI400" s="1"/>
      <c r="BJ400" s="1"/>
      <c r="CH400" s="1"/>
    </row>
    <row r="401">
      <c r="D401" s="135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BD401" s="1"/>
      <c r="BE401" s="1"/>
      <c r="BF401" s="1"/>
      <c r="BG401" s="1"/>
      <c r="BH401" s="1"/>
      <c r="BI401" s="1"/>
      <c r="BJ401" s="1"/>
      <c r="CH401" s="1"/>
    </row>
    <row r="402">
      <c r="D402" s="135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BD402" s="1"/>
      <c r="BE402" s="1"/>
      <c r="BF402" s="1"/>
      <c r="BG402" s="1"/>
      <c r="BH402" s="1"/>
      <c r="BI402" s="1"/>
      <c r="BJ402" s="1"/>
      <c r="CH402" s="1"/>
    </row>
    <row r="403">
      <c r="D403" s="135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BD403" s="1"/>
      <c r="BE403" s="1"/>
      <c r="BF403" s="1"/>
      <c r="BG403" s="1"/>
      <c r="BH403" s="1"/>
      <c r="BI403" s="1"/>
      <c r="BJ403" s="1"/>
      <c r="CH403" s="1"/>
    </row>
    <row r="404">
      <c r="D404" s="135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BD404" s="1"/>
      <c r="BE404" s="1"/>
      <c r="BF404" s="1"/>
      <c r="BG404" s="1"/>
      <c r="BH404" s="1"/>
      <c r="BI404" s="1"/>
      <c r="BJ404" s="1"/>
      <c r="CH404" s="1"/>
    </row>
    <row r="405">
      <c r="D405" s="135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BD405" s="1"/>
      <c r="BE405" s="1"/>
      <c r="BF405" s="1"/>
      <c r="BG405" s="1"/>
      <c r="BH405" s="1"/>
      <c r="BI405" s="1"/>
      <c r="BJ405" s="1"/>
      <c r="CH405" s="1"/>
    </row>
    <row r="406">
      <c r="D406" s="135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BD406" s="1"/>
      <c r="BE406" s="1"/>
      <c r="BF406" s="1"/>
      <c r="BG406" s="1"/>
      <c r="BH406" s="1"/>
      <c r="BI406" s="1"/>
      <c r="BJ406" s="1"/>
      <c r="CH406" s="1"/>
    </row>
    <row r="407">
      <c r="D407" s="135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BD407" s="1"/>
      <c r="BE407" s="1"/>
      <c r="BF407" s="1"/>
      <c r="BG407" s="1"/>
      <c r="BH407" s="1"/>
      <c r="BI407" s="1"/>
      <c r="BJ407" s="1"/>
      <c r="CH407" s="1"/>
    </row>
    <row r="408">
      <c r="D408" s="135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BD408" s="1"/>
      <c r="BE408" s="1"/>
      <c r="BF408" s="1"/>
      <c r="BG408" s="1"/>
      <c r="BH408" s="1"/>
      <c r="BI408" s="1"/>
      <c r="BJ408" s="1"/>
      <c r="CH408" s="1"/>
    </row>
    <row r="409">
      <c r="D409" s="135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BD409" s="1"/>
      <c r="BE409" s="1"/>
      <c r="BF409" s="1"/>
      <c r="BG409" s="1"/>
      <c r="BH409" s="1"/>
      <c r="BI409" s="1"/>
      <c r="BJ409" s="1"/>
      <c r="CH409" s="1"/>
    </row>
    <row r="410">
      <c r="D410" s="135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BD410" s="1"/>
      <c r="BE410" s="1"/>
      <c r="BF410" s="1"/>
      <c r="BG410" s="1"/>
      <c r="BH410" s="1"/>
      <c r="BI410" s="1"/>
      <c r="BJ410" s="1"/>
      <c r="CH410" s="1"/>
    </row>
    <row r="411">
      <c r="D411" s="135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BD411" s="1"/>
      <c r="BE411" s="1"/>
      <c r="BF411" s="1"/>
      <c r="BG411" s="1"/>
      <c r="BH411" s="1"/>
      <c r="BI411" s="1"/>
      <c r="BJ411" s="1"/>
      <c r="CH411" s="1"/>
    </row>
    <row r="412">
      <c r="D412" s="135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BD412" s="1"/>
      <c r="BE412" s="1"/>
      <c r="BF412" s="1"/>
      <c r="BG412" s="1"/>
      <c r="BH412" s="1"/>
      <c r="BI412" s="1"/>
      <c r="BJ412" s="1"/>
      <c r="CH412" s="1"/>
    </row>
    <row r="413">
      <c r="D413" s="135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BD413" s="1"/>
      <c r="BE413" s="1"/>
      <c r="BF413" s="1"/>
      <c r="BG413" s="1"/>
      <c r="BH413" s="1"/>
      <c r="BI413" s="1"/>
      <c r="BJ413" s="1"/>
      <c r="CH413" s="1"/>
    </row>
    <row r="414">
      <c r="D414" s="135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BD414" s="1"/>
      <c r="BE414" s="1"/>
      <c r="BF414" s="1"/>
      <c r="BG414" s="1"/>
      <c r="BH414" s="1"/>
      <c r="BI414" s="1"/>
      <c r="BJ414" s="1"/>
      <c r="CH414" s="1"/>
    </row>
    <row r="415">
      <c r="D415" s="135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BD415" s="1"/>
      <c r="BE415" s="1"/>
      <c r="BF415" s="1"/>
      <c r="BG415" s="1"/>
      <c r="BH415" s="1"/>
      <c r="BI415" s="1"/>
      <c r="BJ415" s="1"/>
      <c r="CH415" s="1"/>
    </row>
    <row r="416">
      <c r="D416" s="135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BD416" s="1"/>
      <c r="BE416" s="1"/>
      <c r="BF416" s="1"/>
      <c r="BG416" s="1"/>
      <c r="BH416" s="1"/>
      <c r="BI416" s="1"/>
      <c r="BJ416" s="1"/>
      <c r="CH416" s="1"/>
    </row>
    <row r="417">
      <c r="D417" s="135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BD417" s="1"/>
      <c r="BE417" s="1"/>
      <c r="BF417" s="1"/>
      <c r="BG417" s="1"/>
      <c r="BH417" s="1"/>
      <c r="BI417" s="1"/>
      <c r="BJ417" s="1"/>
      <c r="CH417" s="1"/>
    </row>
    <row r="418">
      <c r="D418" s="135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BD418" s="1"/>
      <c r="BE418" s="1"/>
      <c r="BF418" s="1"/>
      <c r="BG418" s="1"/>
      <c r="BH418" s="1"/>
      <c r="BI418" s="1"/>
      <c r="BJ418" s="1"/>
      <c r="CH418" s="1"/>
    </row>
    <row r="419">
      <c r="D419" s="135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BD419" s="1"/>
      <c r="BE419" s="1"/>
      <c r="BF419" s="1"/>
      <c r="BG419" s="1"/>
      <c r="BH419" s="1"/>
      <c r="BI419" s="1"/>
      <c r="BJ419" s="1"/>
      <c r="CH419" s="1"/>
    </row>
    <row r="420">
      <c r="D420" s="135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BD420" s="1"/>
      <c r="BE420" s="1"/>
      <c r="BF420" s="1"/>
      <c r="BG420" s="1"/>
      <c r="BH420" s="1"/>
      <c r="BI420" s="1"/>
      <c r="BJ420" s="1"/>
      <c r="CH420" s="1"/>
    </row>
    <row r="421">
      <c r="D421" s="135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BD421" s="1"/>
      <c r="BE421" s="1"/>
      <c r="BF421" s="1"/>
      <c r="BG421" s="1"/>
      <c r="BH421" s="1"/>
      <c r="BI421" s="1"/>
      <c r="BJ421" s="1"/>
      <c r="CH421" s="1"/>
    </row>
    <row r="422">
      <c r="D422" s="135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BD422" s="1"/>
      <c r="BE422" s="1"/>
      <c r="BF422" s="1"/>
      <c r="BG422" s="1"/>
      <c r="BH422" s="1"/>
      <c r="BI422" s="1"/>
      <c r="BJ422" s="1"/>
      <c r="CH422" s="1"/>
    </row>
    <row r="423">
      <c r="D423" s="135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BD423" s="1"/>
      <c r="BE423" s="1"/>
      <c r="BF423" s="1"/>
      <c r="BG423" s="1"/>
      <c r="BH423" s="1"/>
      <c r="BI423" s="1"/>
      <c r="BJ423" s="1"/>
      <c r="CH423" s="1"/>
    </row>
    <row r="424">
      <c r="D424" s="135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BD424" s="1"/>
      <c r="BE424" s="1"/>
      <c r="BF424" s="1"/>
      <c r="BG424" s="1"/>
      <c r="BH424" s="1"/>
      <c r="BI424" s="1"/>
      <c r="BJ424" s="1"/>
      <c r="CH424" s="1"/>
    </row>
    <row r="425">
      <c r="D425" s="135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BD425" s="1"/>
      <c r="BE425" s="1"/>
      <c r="BF425" s="1"/>
      <c r="BG425" s="1"/>
      <c r="BH425" s="1"/>
      <c r="BI425" s="1"/>
      <c r="BJ425" s="1"/>
      <c r="CH425" s="1"/>
    </row>
    <row r="426">
      <c r="D426" s="135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BD426" s="1"/>
      <c r="BE426" s="1"/>
      <c r="BF426" s="1"/>
      <c r="BG426" s="1"/>
      <c r="BH426" s="1"/>
      <c r="BI426" s="1"/>
      <c r="BJ426" s="1"/>
      <c r="CH426" s="1"/>
    </row>
    <row r="427">
      <c r="D427" s="135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BD427" s="1"/>
      <c r="BE427" s="1"/>
      <c r="BF427" s="1"/>
      <c r="BG427" s="1"/>
      <c r="BH427" s="1"/>
      <c r="BI427" s="1"/>
      <c r="BJ427" s="1"/>
      <c r="CH427" s="1"/>
    </row>
    <row r="428">
      <c r="D428" s="135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BD428" s="1"/>
      <c r="BE428" s="1"/>
      <c r="BF428" s="1"/>
      <c r="BG428" s="1"/>
      <c r="BH428" s="1"/>
      <c r="BI428" s="1"/>
      <c r="BJ428" s="1"/>
      <c r="CH428" s="1"/>
    </row>
    <row r="429">
      <c r="D429" s="135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BD429" s="1"/>
      <c r="BE429" s="1"/>
      <c r="BF429" s="1"/>
      <c r="BG429" s="1"/>
      <c r="BH429" s="1"/>
      <c r="BI429" s="1"/>
      <c r="BJ429" s="1"/>
      <c r="CH429" s="1"/>
    </row>
    <row r="430">
      <c r="D430" s="135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BD430" s="1"/>
      <c r="BE430" s="1"/>
      <c r="BF430" s="1"/>
      <c r="BG430" s="1"/>
      <c r="BH430" s="1"/>
      <c r="BI430" s="1"/>
      <c r="BJ430" s="1"/>
      <c r="CH430" s="1"/>
    </row>
    <row r="431">
      <c r="D431" s="135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BD431" s="1"/>
      <c r="BE431" s="1"/>
      <c r="BF431" s="1"/>
      <c r="BG431" s="1"/>
      <c r="BH431" s="1"/>
      <c r="BI431" s="1"/>
      <c r="BJ431" s="1"/>
      <c r="CH431" s="1"/>
    </row>
    <row r="432">
      <c r="D432" s="135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BD432" s="1"/>
      <c r="BE432" s="1"/>
      <c r="BF432" s="1"/>
      <c r="BG432" s="1"/>
      <c r="BH432" s="1"/>
      <c r="BI432" s="1"/>
      <c r="BJ432" s="1"/>
      <c r="CH432" s="1"/>
    </row>
    <row r="433">
      <c r="D433" s="135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BD433" s="1"/>
      <c r="BE433" s="1"/>
      <c r="BF433" s="1"/>
      <c r="BG433" s="1"/>
      <c r="BH433" s="1"/>
      <c r="BI433" s="1"/>
      <c r="BJ433" s="1"/>
      <c r="CH433" s="1"/>
    </row>
    <row r="434">
      <c r="D434" s="135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BD434" s="1"/>
      <c r="BE434" s="1"/>
      <c r="BF434" s="1"/>
      <c r="BG434" s="1"/>
      <c r="BH434" s="1"/>
      <c r="BI434" s="1"/>
      <c r="BJ434" s="1"/>
      <c r="CH434" s="1"/>
    </row>
    <row r="435">
      <c r="D435" s="135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BD435" s="1"/>
      <c r="BE435" s="1"/>
      <c r="BF435" s="1"/>
      <c r="BG435" s="1"/>
      <c r="BH435" s="1"/>
      <c r="BI435" s="1"/>
      <c r="BJ435" s="1"/>
      <c r="CH435" s="1"/>
    </row>
    <row r="436">
      <c r="D436" s="135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BD436" s="1"/>
      <c r="BE436" s="1"/>
      <c r="BF436" s="1"/>
      <c r="BG436" s="1"/>
      <c r="BH436" s="1"/>
      <c r="BI436" s="1"/>
      <c r="BJ436" s="1"/>
      <c r="CH436" s="1"/>
    </row>
    <row r="437">
      <c r="D437" s="135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BD437" s="1"/>
      <c r="BE437" s="1"/>
      <c r="BF437" s="1"/>
      <c r="BG437" s="1"/>
      <c r="BH437" s="1"/>
      <c r="BI437" s="1"/>
      <c r="BJ437" s="1"/>
      <c r="CH437" s="1"/>
    </row>
    <row r="438">
      <c r="D438" s="135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BD438" s="1"/>
      <c r="BE438" s="1"/>
      <c r="BF438" s="1"/>
      <c r="BG438" s="1"/>
      <c r="BH438" s="1"/>
      <c r="BI438" s="1"/>
      <c r="BJ438" s="1"/>
      <c r="CH438" s="1"/>
    </row>
    <row r="439">
      <c r="D439" s="135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BD439" s="1"/>
      <c r="BE439" s="1"/>
      <c r="BF439" s="1"/>
      <c r="BG439" s="1"/>
      <c r="BH439" s="1"/>
      <c r="BI439" s="1"/>
      <c r="BJ439" s="1"/>
      <c r="CH439" s="1"/>
    </row>
    <row r="440">
      <c r="D440" s="135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BD440" s="1"/>
      <c r="BE440" s="1"/>
      <c r="BF440" s="1"/>
      <c r="BG440" s="1"/>
      <c r="BH440" s="1"/>
      <c r="BI440" s="1"/>
      <c r="BJ440" s="1"/>
      <c r="CH440" s="1"/>
    </row>
    <row r="441">
      <c r="D441" s="135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BD441" s="1"/>
      <c r="BE441" s="1"/>
      <c r="BF441" s="1"/>
      <c r="BG441" s="1"/>
      <c r="BH441" s="1"/>
      <c r="BI441" s="1"/>
      <c r="BJ441" s="1"/>
      <c r="CH441" s="1"/>
    </row>
    <row r="442">
      <c r="D442" s="135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BD442" s="1"/>
      <c r="BE442" s="1"/>
      <c r="BF442" s="1"/>
      <c r="BG442" s="1"/>
      <c r="BH442" s="1"/>
      <c r="BI442" s="1"/>
      <c r="BJ442" s="1"/>
      <c r="CH442" s="1"/>
    </row>
    <row r="443">
      <c r="D443" s="135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BD443" s="1"/>
      <c r="BE443" s="1"/>
      <c r="BF443" s="1"/>
      <c r="BG443" s="1"/>
      <c r="BH443" s="1"/>
      <c r="BI443" s="1"/>
      <c r="BJ443" s="1"/>
      <c r="CH443" s="1"/>
    </row>
    <row r="444">
      <c r="D444" s="135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BD444" s="1"/>
      <c r="BE444" s="1"/>
      <c r="BF444" s="1"/>
      <c r="BG444" s="1"/>
      <c r="BH444" s="1"/>
      <c r="BI444" s="1"/>
      <c r="BJ444" s="1"/>
      <c r="CH444" s="1"/>
    </row>
    <row r="445">
      <c r="D445" s="135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BD445" s="1"/>
      <c r="BE445" s="1"/>
      <c r="BF445" s="1"/>
      <c r="BG445" s="1"/>
      <c r="BH445" s="1"/>
      <c r="BI445" s="1"/>
      <c r="BJ445" s="1"/>
      <c r="CH445" s="1"/>
    </row>
    <row r="446">
      <c r="D446" s="135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BD446" s="1"/>
      <c r="BE446" s="1"/>
      <c r="BF446" s="1"/>
      <c r="BG446" s="1"/>
      <c r="BH446" s="1"/>
      <c r="BI446" s="1"/>
      <c r="BJ446" s="1"/>
      <c r="CH446" s="1"/>
    </row>
    <row r="447">
      <c r="D447" s="135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BD447" s="1"/>
      <c r="BE447" s="1"/>
      <c r="BF447" s="1"/>
      <c r="BG447" s="1"/>
      <c r="BH447" s="1"/>
      <c r="BI447" s="1"/>
      <c r="BJ447" s="1"/>
      <c r="CH447" s="1"/>
    </row>
    <row r="448">
      <c r="D448" s="135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BD448" s="1"/>
      <c r="BE448" s="1"/>
      <c r="BF448" s="1"/>
      <c r="BG448" s="1"/>
      <c r="BH448" s="1"/>
      <c r="BI448" s="1"/>
      <c r="BJ448" s="1"/>
      <c r="CH448" s="1"/>
    </row>
    <row r="449">
      <c r="D449" s="135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BD449" s="1"/>
      <c r="BE449" s="1"/>
      <c r="BF449" s="1"/>
      <c r="BG449" s="1"/>
      <c r="BH449" s="1"/>
      <c r="BI449" s="1"/>
      <c r="BJ449" s="1"/>
      <c r="CH449" s="1"/>
    </row>
    <row r="450">
      <c r="D450" s="135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BD450" s="1"/>
      <c r="BE450" s="1"/>
      <c r="BF450" s="1"/>
      <c r="BG450" s="1"/>
      <c r="BH450" s="1"/>
      <c r="BI450" s="1"/>
      <c r="BJ450" s="1"/>
      <c r="CH450" s="1"/>
    </row>
    <row r="451">
      <c r="D451" s="135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BD451" s="1"/>
      <c r="BE451" s="1"/>
      <c r="BF451" s="1"/>
      <c r="BG451" s="1"/>
      <c r="BH451" s="1"/>
      <c r="BI451" s="1"/>
      <c r="BJ451" s="1"/>
      <c r="CH451" s="1"/>
    </row>
    <row r="452">
      <c r="D452" s="135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BD452" s="1"/>
      <c r="BE452" s="1"/>
      <c r="BF452" s="1"/>
      <c r="BG452" s="1"/>
      <c r="BH452" s="1"/>
      <c r="BI452" s="1"/>
      <c r="BJ452" s="1"/>
      <c r="CH452" s="1"/>
    </row>
    <row r="453">
      <c r="D453" s="135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BD453" s="1"/>
      <c r="BE453" s="1"/>
      <c r="BF453" s="1"/>
      <c r="BG453" s="1"/>
      <c r="BH453" s="1"/>
      <c r="BI453" s="1"/>
      <c r="BJ453" s="1"/>
      <c r="CH453" s="1"/>
    </row>
    <row r="454">
      <c r="D454" s="135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BD454" s="1"/>
      <c r="BE454" s="1"/>
      <c r="BF454" s="1"/>
      <c r="BG454" s="1"/>
      <c r="BH454" s="1"/>
      <c r="BI454" s="1"/>
      <c r="BJ454" s="1"/>
      <c r="CH454" s="1"/>
    </row>
    <row r="455">
      <c r="D455" s="135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BD455" s="1"/>
      <c r="BE455" s="1"/>
      <c r="BF455" s="1"/>
      <c r="BG455" s="1"/>
      <c r="BH455" s="1"/>
      <c r="BI455" s="1"/>
      <c r="BJ455" s="1"/>
      <c r="CH455" s="1"/>
    </row>
    <row r="456">
      <c r="D456" s="135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BD456" s="1"/>
      <c r="BE456" s="1"/>
      <c r="BF456" s="1"/>
      <c r="BG456" s="1"/>
      <c r="BH456" s="1"/>
      <c r="BI456" s="1"/>
      <c r="BJ456" s="1"/>
      <c r="CH456" s="1"/>
    </row>
    <row r="457">
      <c r="D457" s="135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BD457" s="1"/>
      <c r="BE457" s="1"/>
      <c r="BF457" s="1"/>
      <c r="BG457" s="1"/>
      <c r="BH457" s="1"/>
      <c r="BI457" s="1"/>
      <c r="BJ457" s="1"/>
      <c r="CH457" s="1"/>
    </row>
    <row r="458">
      <c r="D458" s="135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BD458" s="1"/>
      <c r="BE458" s="1"/>
      <c r="BF458" s="1"/>
      <c r="BG458" s="1"/>
      <c r="BH458" s="1"/>
      <c r="BI458" s="1"/>
      <c r="BJ458" s="1"/>
      <c r="CH458" s="1"/>
    </row>
    <row r="459">
      <c r="D459" s="135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BD459" s="1"/>
      <c r="BE459" s="1"/>
      <c r="BF459" s="1"/>
      <c r="BG459" s="1"/>
      <c r="BH459" s="1"/>
      <c r="BI459" s="1"/>
      <c r="BJ459" s="1"/>
      <c r="CH459" s="1"/>
    </row>
    <row r="460">
      <c r="D460" s="135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BD460" s="1"/>
      <c r="BE460" s="1"/>
      <c r="BF460" s="1"/>
      <c r="BG460" s="1"/>
      <c r="BH460" s="1"/>
      <c r="BI460" s="1"/>
      <c r="BJ460" s="1"/>
      <c r="CH460" s="1"/>
    </row>
    <row r="461">
      <c r="D461" s="135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BD461" s="1"/>
      <c r="BE461" s="1"/>
      <c r="BF461" s="1"/>
      <c r="BG461" s="1"/>
      <c r="BH461" s="1"/>
      <c r="BI461" s="1"/>
      <c r="BJ461" s="1"/>
      <c r="CH461" s="1"/>
    </row>
    <row r="462">
      <c r="D462" s="135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BD462" s="1"/>
      <c r="BE462" s="1"/>
      <c r="BF462" s="1"/>
      <c r="BG462" s="1"/>
      <c r="BH462" s="1"/>
      <c r="BI462" s="1"/>
      <c r="BJ462" s="1"/>
      <c r="CH462" s="1"/>
    </row>
    <row r="463">
      <c r="D463" s="135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BD463" s="1"/>
      <c r="BE463" s="1"/>
      <c r="BF463" s="1"/>
      <c r="BG463" s="1"/>
      <c r="BH463" s="1"/>
      <c r="BI463" s="1"/>
      <c r="BJ463" s="1"/>
      <c r="CH463" s="1"/>
    </row>
    <row r="464">
      <c r="D464" s="135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BD464" s="1"/>
      <c r="BE464" s="1"/>
      <c r="BF464" s="1"/>
      <c r="BG464" s="1"/>
      <c r="BH464" s="1"/>
      <c r="BI464" s="1"/>
      <c r="BJ464" s="1"/>
      <c r="CH464" s="1"/>
    </row>
    <row r="465">
      <c r="D465" s="135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BD465" s="1"/>
      <c r="BE465" s="1"/>
      <c r="BF465" s="1"/>
      <c r="BG465" s="1"/>
      <c r="BH465" s="1"/>
      <c r="BI465" s="1"/>
      <c r="BJ465" s="1"/>
      <c r="CH465" s="1"/>
    </row>
    <row r="466">
      <c r="D466" s="135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BD466" s="1"/>
      <c r="BE466" s="1"/>
      <c r="BF466" s="1"/>
      <c r="BG466" s="1"/>
      <c r="BH466" s="1"/>
      <c r="BI466" s="1"/>
      <c r="BJ466" s="1"/>
      <c r="CH466" s="1"/>
    </row>
    <row r="467">
      <c r="D467" s="135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BD467" s="1"/>
      <c r="BE467" s="1"/>
      <c r="BF467" s="1"/>
      <c r="BG467" s="1"/>
      <c r="BH467" s="1"/>
      <c r="BI467" s="1"/>
      <c r="BJ467" s="1"/>
      <c r="CH467" s="1"/>
    </row>
    <row r="468">
      <c r="D468" s="135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BD468" s="1"/>
      <c r="BE468" s="1"/>
      <c r="BF468" s="1"/>
      <c r="BG468" s="1"/>
      <c r="BH468" s="1"/>
      <c r="BI468" s="1"/>
      <c r="BJ468" s="1"/>
      <c r="CH468" s="1"/>
    </row>
    <row r="469">
      <c r="D469" s="135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BD469" s="1"/>
      <c r="BE469" s="1"/>
      <c r="BF469" s="1"/>
      <c r="BG469" s="1"/>
      <c r="BH469" s="1"/>
      <c r="BI469" s="1"/>
      <c r="BJ469" s="1"/>
      <c r="CH469" s="1"/>
    </row>
    <row r="470">
      <c r="D470" s="135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BD470" s="1"/>
      <c r="BE470" s="1"/>
      <c r="BF470" s="1"/>
      <c r="BG470" s="1"/>
      <c r="BH470" s="1"/>
      <c r="BI470" s="1"/>
      <c r="BJ470" s="1"/>
      <c r="CH470" s="1"/>
    </row>
    <row r="471">
      <c r="D471" s="135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BD471" s="1"/>
      <c r="BE471" s="1"/>
      <c r="BF471" s="1"/>
      <c r="BG471" s="1"/>
      <c r="BH471" s="1"/>
      <c r="BI471" s="1"/>
      <c r="BJ471" s="1"/>
      <c r="CH471" s="1"/>
    </row>
    <row r="472">
      <c r="D472" s="135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BD472" s="1"/>
      <c r="BE472" s="1"/>
      <c r="BF472" s="1"/>
      <c r="BG472" s="1"/>
      <c r="BH472" s="1"/>
      <c r="BI472" s="1"/>
      <c r="BJ472" s="1"/>
      <c r="CH472" s="1"/>
    </row>
    <row r="473">
      <c r="D473" s="135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BD473" s="1"/>
      <c r="BE473" s="1"/>
      <c r="BF473" s="1"/>
      <c r="BG473" s="1"/>
      <c r="BH473" s="1"/>
      <c r="BI473" s="1"/>
      <c r="BJ473" s="1"/>
      <c r="CH473" s="1"/>
    </row>
    <row r="474">
      <c r="D474" s="135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BD474" s="1"/>
      <c r="BE474" s="1"/>
      <c r="BF474" s="1"/>
      <c r="BG474" s="1"/>
      <c r="BH474" s="1"/>
      <c r="BI474" s="1"/>
      <c r="BJ474" s="1"/>
      <c r="CH474" s="1"/>
    </row>
    <row r="475">
      <c r="D475" s="135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BD475" s="1"/>
      <c r="BE475" s="1"/>
      <c r="BF475" s="1"/>
      <c r="BG475" s="1"/>
      <c r="BH475" s="1"/>
      <c r="BI475" s="1"/>
      <c r="BJ475" s="1"/>
      <c r="CH475" s="1"/>
    </row>
    <row r="476">
      <c r="D476" s="135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BD476" s="1"/>
      <c r="BE476" s="1"/>
      <c r="BF476" s="1"/>
      <c r="BG476" s="1"/>
      <c r="BH476" s="1"/>
      <c r="BI476" s="1"/>
      <c r="BJ476" s="1"/>
      <c r="CH476" s="1"/>
    </row>
    <row r="477">
      <c r="D477" s="135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BD477" s="1"/>
      <c r="BE477" s="1"/>
      <c r="BF477" s="1"/>
      <c r="BG477" s="1"/>
      <c r="BH477" s="1"/>
      <c r="BI477" s="1"/>
      <c r="BJ477" s="1"/>
      <c r="CH477" s="1"/>
    </row>
    <row r="478">
      <c r="D478" s="135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BD478" s="1"/>
      <c r="BE478" s="1"/>
      <c r="BF478" s="1"/>
      <c r="BG478" s="1"/>
      <c r="BH478" s="1"/>
      <c r="BI478" s="1"/>
      <c r="BJ478" s="1"/>
      <c r="CH478" s="1"/>
    </row>
    <row r="479">
      <c r="D479" s="135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BD479" s="1"/>
      <c r="BE479" s="1"/>
      <c r="BF479" s="1"/>
      <c r="BG479" s="1"/>
      <c r="BH479" s="1"/>
      <c r="BI479" s="1"/>
      <c r="BJ479" s="1"/>
      <c r="CH479" s="1"/>
    </row>
    <row r="480">
      <c r="D480" s="135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BD480" s="1"/>
      <c r="BE480" s="1"/>
      <c r="BF480" s="1"/>
      <c r="BG480" s="1"/>
      <c r="BH480" s="1"/>
      <c r="BI480" s="1"/>
      <c r="BJ480" s="1"/>
      <c r="CH480" s="1"/>
    </row>
    <row r="481">
      <c r="D481" s="135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BD481" s="1"/>
      <c r="BE481" s="1"/>
      <c r="BF481" s="1"/>
      <c r="BG481" s="1"/>
      <c r="BH481" s="1"/>
      <c r="BI481" s="1"/>
      <c r="BJ481" s="1"/>
      <c r="CH481" s="1"/>
    </row>
    <row r="482">
      <c r="D482" s="135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BD482" s="1"/>
      <c r="BE482" s="1"/>
      <c r="BF482" s="1"/>
      <c r="BG482" s="1"/>
      <c r="BH482" s="1"/>
      <c r="BI482" s="1"/>
      <c r="BJ482" s="1"/>
      <c r="CH482" s="1"/>
    </row>
    <row r="483">
      <c r="D483" s="135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BD483" s="1"/>
      <c r="BE483" s="1"/>
      <c r="BF483" s="1"/>
      <c r="BG483" s="1"/>
      <c r="BH483" s="1"/>
      <c r="BI483" s="1"/>
      <c r="BJ483" s="1"/>
      <c r="CH483" s="1"/>
    </row>
    <row r="484">
      <c r="D484" s="135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BD484" s="1"/>
      <c r="BE484" s="1"/>
      <c r="BF484" s="1"/>
      <c r="BG484" s="1"/>
      <c r="BH484" s="1"/>
      <c r="BI484" s="1"/>
      <c r="BJ484" s="1"/>
      <c r="CH484" s="1"/>
    </row>
    <row r="485">
      <c r="D485" s="135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BD485" s="1"/>
      <c r="BE485" s="1"/>
      <c r="BF485" s="1"/>
      <c r="BG485" s="1"/>
      <c r="BH485" s="1"/>
      <c r="BI485" s="1"/>
      <c r="BJ485" s="1"/>
      <c r="CH485" s="1"/>
    </row>
    <row r="486">
      <c r="D486" s="135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BD486" s="1"/>
      <c r="BE486" s="1"/>
      <c r="BF486" s="1"/>
      <c r="BG486" s="1"/>
      <c r="BH486" s="1"/>
      <c r="BI486" s="1"/>
      <c r="BJ486" s="1"/>
      <c r="CH486" s="1"/>
    </row>
    <row r="487">
      <c r="D487" s="135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BD487" s="1"/>
      <c r="BE487" s="1"/>
      <c r="BF487" s="1"/>
      <c r="BG487" s="1"/>
      <c r="BH487" s="1"/>
      <c r="BI487" s="1"/>
      <c r="BJ487" s="1"/>
      <c r="CH487" s="1"/>
    </row>
    <row r="488">
      <c r="D488" s="135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BD488" s="1"/>
      <c r="BE488" s="1"/>
      <c r="BF488" s="1"/>
      <c r="BG488" s="1"/>
      <c r="BH488" s="1"/>
      <c r="BI488" s="1"/>
      <c r="BJ488" s="1"/>
      <c r="CH488" s="1"/>
    </row>
    <row r="489">
      <c r="D489" s="135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BD489" s="1"/>
      <c r="BE489" s="1"/>
      <c r="BF489" s="1"/>
      <c r="BG489" s="1"/>
      <c r="BH489" s="1"/>
      <c r="BI489" s="1"/>
      <c r="BJ489" s="1"/>
      <c r="CH489" s="1"/>
    </row>
    <row r="490">
      <c r="D490" s="135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BD490" s="1"/>
      <c r="BE490" s="1"/>
      <c r="BF490" s="1"/>
      <c r="BG490" s="1"/>
      <c r="BH490" s="1"/>
      <c r="BI490" s="1"/>
      <c r="BJ490" s="1"/>
      <c r="CH490" s="1"/>
    </row>
    <row r="491">
      <c r="D491" s="135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BD491" s="1"/>
      <c r="BE491" s="1"/>
      <c r="BF491" s="1"/>
      <c r="BG491" s="1"/>
      <c r="BH491" s="1"/>
      <c r="BI491" s="1"/>
      <c r="BJ491" s="1"/>
      <c r="CH491" s="1"/>
    </row>
    <row r="492">
      <c r="D492" s="135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BD492" s="1"/>
      <c r="BE492" s="1"/>
      <c r="BF492" s="1"/>
      <c r="BG492" s="1"/>
      <c r="BH492" s="1"/>
      <c r="BI492" s="1"/>
      <c r="BJ492" s="1"/>
      <c r="CH492" s="1"/>
    </row>
    <row r="493">
      <c r="D493" s="135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BD493" s="1"/>
      <c r="BE493" s="1"/>
      <c r="BF493" s="1"/>
      <c r="BG493" s="1"/>
      <c r="BH493" s="1"/>
      <c r="BI493" s="1"/>
      <c r="BJ493" s="1"/>
      <c r="CH493" s="1"/>
    </row>
    <row r="494">
      <c r="D494" s="135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BD494" s="1"/>
      <c r="BE494" s="1"/>
      <c r="BF494" s="1"/>
      <c r="BG494" s="1"/>
      <c r="BH494" s="1"/>
      <c r="BI494" s="1"/>
      <c r="BJ494" s="1"/>
      <c r="CH494" s="1"/>
    </row>
    <row r="495">
      <c r="D495" s="135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BD495" s="1"/>
      <c r="BE495" s="1"/>
      <c r="BF495" s="1"/>
      <c r="BG495" s="1"/>
      <c r="BH495" s="1"/>
      <c r="BI495" s="1"/>
      <c r="BJ495" s="1"/>
      <c r="CH495" s="1"/>
    </row>
    <row r="496">
      <c r="D496" s="135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BD496" s="1"/>
      <c r="BE496" s="1"/>
      <c r="BF496" s="1"/>
      <c r="BG496" s="1"/>
      <c r="BH496" s="1"/>
      <c r="BI496" s="1"/>
      <c r="BJ496" s="1"/>
      <c r="CH496" s="1"/>
    </row>
    <row r="497">
      <c r="D497" s="135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BD497" s="1"/>
      <c r="BE497" s="1"/>
      <c r="BF497" s="1"/>
      <c r="BG497" s="1"/>
      <c r="BH497" s="1"/>
      <c r="BI497" s="1"/>
      <c r="BJ497" s="1"/>
      <c r="CH497" s="1"/>
    </row>
    <row r="498">
      <c r="D498" s="135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BD498" s="1"/>
      <c r="BE498" s="1"/>
      <c r="BF498" s="1"/>
      <c r="BG498" s="1"/>
      <c r="BH498" s="1"/>
      <c r="BI498" s="1"/>
      <c r="BJ498" s="1"/>
      <c r="CH498" s="1"/>
    </row>
    <row r="499">
      <c r="D499" s="135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BD499" s="1"/>
      <c r="BE499" s="1"/>
      <c r="BF499" s="1"/>
      <c r="BG499" s="1"/>
      <c r="BH499" s="1"/>
      <c r="BI499" s="1"/>
      <c r="BJ499" s="1"/>
      <c r="CH499" s="1"/>
    </row>
    <row r="500">
      <c r="D500" s="135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BD500" s="1"/>
      <c r="BE500" s="1"/>
      <c r="BF500" s="1"/>
      <c r="BG500" s="1"/>
      <c r="BH500" s="1"/>
      <c r="BI500" s="1"/>
      <c r="BJ500" s="1"/>
      <c r="CH500" s="1"/>
    </row>
    <row r="501">
      <c r="D501" s="135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BD501" s="1"/>
      <c r="BE501" s="1"/>
      <c r="BF501" s="1"/>
      <c r="BG501" s="1"/>
      <c r="BH501" s="1"/>
      <c r="BI501" s="1"/>
      <c r="BJ501" s="1"/>
      <c r="CH501" s="1"/>
    </row>
    <row r="502">
      <c r="D502" s="135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BD502" s="1"/>
      <c r="BE502" s="1"/>
      <c r="BF502" s="1"/>
      <c r="BG502" s="1"/>
      <c r="BH502" s="1"/>
      <c r="BI502" s="1"/>
      <c r="BJ502" s="1"/>
      <c r="CH502" s="1"/>
    </row>
    <row r="503">
      <c r="D503" s="135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BD503" s="1"/>
      <c r="BE503" s="1"/>
      <c r="BF503" s="1"/>
      <c r="BG503" s="1"/>
      <c r="BH503" s="1"/>
      <c r="BI503" s="1"/>
      <c r="BJ503" s="1"/>
      <c r="CH503" s="1"/>
    </row>
    <row r="504">
      <c r="D504" s="135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BD504" s="1"/>
      <c r="BE504" s="1"/>
      <c r="BF504" s="1"/>
      <c r="BG504" s="1"/>
      <c r="BH504" s="1"/>
      <c r="BI504" s="1"/>
      <c r="BJ504" s="1"/>
      <c r="CH504" s="1"/>
    </row>
    <row r="505">
      <c r="D505" s="135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BD505" s="1"/>
      <c r="BE505" s="1"/>
      <c r="BF505" s="1"/>
      <c r="BG505" s="1"/>
      <c r="BH505" s="1"/>
      <c r="BI505" s="1"/>
      <c r="BJ505" s="1"/>
      <c r="CH505" s="1"/>
    </row>
    <row r="506">
      <c r="D506" s="135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BD506" s="1"/>
      <c r="BE506" s="1"/>
      <c r="BF506" s="1"/>
      <c r="BG506" s="1"/>
      <c r="BH506" s="1"/>
      <c r="BI506" s="1"/>
      <c r="BJ506" s="1"/>
      <c r="CH506" s="1"/>
    </row>
    <row r="507">
      <c r="D507" s="135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BD507" s="1"/>
      <c r="BE507" s="1"/>
      <c r="BF507" s="1"/>
      <c r="BG507" s="1"/>
      <c r="BH507" s="1"/>
      <c r="BI507" s="1"/>
      <c r="BJ507" s="1"/>
      <c r="CH507" s="1"/>
    </row>
    <row r="508">
      <c r="D508" s="135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BD508" s="1"/>
      <c r="BE508" s="1"/>
      <c r="BF508" s="1"/>
      <c r="BG508" s="1"/>
      <c r="BH508" s="1"/>
      <c r="BI508" s="1"/>
      <c r="BJ508" s="1"/>
      <c r="CH508" s="1"/>
    </row>
    <row r="509">
      <c r="D509" s="135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BD509" s="1"/>
      <c r="BE509" s="1"/>
      <c r="BF509" s="1"/>
      <c r="BG509" s="1"/>
      <c r="BH509" s="1"/>
      <c r="BI509" s="1"/>
      <c r="BJ509" s="1"/>
      <c r="CH509" s="1"/>
    </row>
    <row r="510">
      <c r="D510" s="135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BD510" s="1"/>
      <c r="BE510" s="1"/>
      <c r="BF510" s="1"/>
      <c r="BG510" s="1"/>
      <c r="BH510" s="1"/>
      <c r="BI510" s="1"/>
      <c r="BJ510" s="1"/>
      <c r="CH510" s="1"/>
    </row>
    <row r="511">
      <c r="D511" s="135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BD511" s="1"/>
      <c r="BE511" s="1"/>
      <c r="BF511" s="1"/>
      <c r="BG511" s="1"/>
      <c r="BH511" s="1"/>
      <c r="BI511" s="1"/>
      <c r="BJ511" s="1"/>
      <c r="CH511" s="1"/>
    </row>
    <row r="512">
      <c r="D512" s="135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BD512" s="1"/>
      <c r="BE512" s="1"/>
      <c r="BF512" s="1"/>
      <c r="BG512" s="1"/>
      <c r="BH512" s="1"/>
      <c r="BI512" s="1"/>
      <c r="BJ512" s="1"/>
      <c r="CH512" s="1"/>
    </row>
    <row r="513">
      <c r="D513" s="135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BD513" s="1"/>
      <c r="BE513" s="1"/>
      <c r="BF513" s="1"/>
      <c r="BG513" s="1"/>
      <c r="BH513" s="1"/>
      <c r="BI513" s="1"/>
      <c r="BJ513" s="1"/>
      <c r="CH513" s="1"/>
    </row>
    <row r="514">
      <c r="D514" s="135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BD514" s="1"/>
      <c r="BE514" s="1"/>
      <c r="BF514" s="1"/>
      <c r="BG514" s="1"/>
      <c r="BH514" s="1"/>
      <c r="BI514" s="1"/>
      <c r="BJ514" s="1"/>
      <c r="CH514" s="1"/>
    </row>
    <row r="515">
      <c r="D515" s="135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BD515" s="1"/>
      <c r="BE515" s="1"/>
      <c r="BF515" s="1"/>
      <c r="BG515" s="1"/>
      <c r="BH515" s="1"/>
      <c r="BI515" s="1"/>
      <c r="BJ515" s="1"/>
      <c r="CH515" s="1"/>
    </row>
    <row r="516">
      <c r="D516" s="135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BD516" s="1"/>
      <c r="BE516" s="1"/>
      <c r="BF516" s="1"/>
      <c r="BG516" s="1"/>
      <c r="BH516" s="1"/>
      <c r="BI516" s="1"/>
      <c r="BJ516" s="1"/>
      <c r="CH516" s="1"/>
    </row>
    <row r="517">
      <c r="D517" s="135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BD517" s="1"/>
      <c r="BE517" s="1"/>
      <c r="BF517" s="1"/>
      <c r="BG517" s="1"/>
      <c r="BH517" s="1"/>
      <c r="BI517" s="1"/>
      <c r="BJ517" s="1"/>
      <c r="CH517" s="1"/>
    </row>
    <row r="518">
      <c r="D518" s="135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BD518" s="1"/>
      <c r="BE518" s="1"/>
      <c r="BF518" s="1"/>
      <c r="BG518" s="1"/>
      <c r="BH518" s="1"/>
      <c r="BI518" s="1"/>
      <c r="BJ518" s="1"/>
      <c r="CH518" s="1"/>
    </row>
    <row r="519">
      <c r="D519" s="135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BD519" s="1"/>
      <c r="BE519" s="1"/>
      <c r="BF519" s="1"/>
      <c r="BG519" s="1"/>
      <c r="BH519" s="1"/>
      <c r="BI519" s="1"/>
      <c r="BJ519" s="1"/>
      <c r="CH519" s="1"/>
    </row>
    <row r="520">
      <c r="D520" s="135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BD520" s="1"/>
      <c r="BE520" s="1"/>
      <c r="BF520" s="1"/>
      <c r="BG520" s="1"/>
      <c r="BH520" s="1"/>
      <c r="BI520" s="1"/>
      <c r="BJ520" s="1"/>
      <c r="CH520" s="1"/>
    </row>
    <row r="521">
      <c r="D521" s="135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BD521" s="1"/>
      <c r="BE521" s="1"/>
      <c r="BF521" s="1"/>
      <c r="BG521" s="1"/>
      <c r="BH521" s="1"/>
      <c r="BI521" s="1"/>
      <c r="BJ521" s="1"/>
      <c r="CH521" s="1"/>
    </row>
    <row r="522">
      <c r="D522" s="135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BD522" s="1"/>
      <c r="BE522" s="1"/>
      <c r="BF522" s="1"/>
      <c r="BG522" s="1"/>
      <c r="BH522" s="1"/>
      <c r="BI522" s="1"/>
      <c r="BJ522" s="1"/>
      <c r="CH522" s="1"/>
    </row>
    <row r="523">
      <c r="D523" s="135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BD523" s="1"/>
      <c r="BE523" s="1"/>
      <c r="BF523" s="1"/>
      <c r="BG523" s="1"/>
      <c r="BH523" s="1"/>
      <c r="BI523" s="1"/>
      <c r="BJ523" s="1"/>
      <c r="CH523" s="1"/>
    </row>
    <row r="524">
      <c r="D524" s="135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BD524" s="1"/>
      <c r="BE524" s="1"/>
      <c r="BF524" s="1"/>
      <c r="BG524" s="1"/>
      <c r="BH524" s="1"/>
      <c r="BI524" s="1"/>
      <c r="BJ524" s="1"/>
      <c r="CH524" s="1"/>
    </row>
    <row r="525">
      <c r="D525" s="135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BD525" s="1"/>
      <c r="BE525" s="1"/>
      <c r="BF525" s="1"/>
      <c r="BG525" s="1"/>
      <c r="BH525" s="1"/>
      <c r="BI525" s="1"/>
      <c r="BJ525" s="1"/>
      <c r="CH525" s="1"/>
    </row>
    <row r="526">
      <c r="D526" s="135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BD526" s="1"/>
      <c r="BE526" s="1"/>
      <c r="BF526" s="1"/>
      <c r="BG526" s="1"/>
      <c r="BH526" s="1"/>
      <c r="BI526" s="1"/>
      <c r="BJ526" s="1"/>
      <c r="CH526" s="1"/>
    </row>
    <row r="527">
      <c r="D527" s="135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BD527" s="1"/>
      <c r="BE527" s="1"/>
      <c r="BF527" s="1"/>
      <c r="BG527" s="1"/>
      <c r="BH527" s="1"/>
      <c r="BI527" s="1"/>
      <c r="BJ527" s="1"/>
      <c r="CH527" s="1"/>
    </row>
    <row r="528">
      <c r="D528" s="135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BD528" s="1"/>
      <c r="BE528" s="1"/>
      <c r="BF528" s="1"/>
      <c r="BG528" s="1"/>
      <c r="BH528" s="1"/>
      <c r="BI528" s="1"/>
      <c r="BJ528" s="1"/>
      <c r="CH528" s="1"/>
    </row>
    <row r="529">
      <c r="D529" s="135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BD529" s="1"/>
      <c r="BE529" s="1"/>
      <c r="BF529" s="1"/>
      <c r="BG529" s="1"/>
      <c r="BH529" s="1"/>
      <c r="BI529" s="1"/>
      <c r="BJ529" s="1"/>
      <c r="CH529" s="1"/>
    </row>
    <row r="530">
      <c r="D530" s="135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BD530" s="1"/>
      <c r="BE530" s="1"/>
      <c r="BF530" s="1"/>
      <c r="BG530" s="1"/>
      <c r="BH530" s="1"/>
      <c r="BI530" s="1"/>
      <c r="BJ530" s="1"/>
      <c r="CH530" s="1"/>
    </row>
    <row r="531">
      <c r="D531" s="135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BD531" s="1"/>
      <c r="BE531" s="1"/>
      <c r="BF531" s="1"/>
      <c r="BG531" s="1"/>
      <c r="BH531" s="1"/>
      <c r="BI531" s="1"/>
      <c r="BJ531" s="1"/>
      <c r="CH531" s="1"/>
    </row>
    <row r="532">
      <c r="D532" s="135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BD532" s="1"/>
      <c r="BE532" s="1"/>
      <c r="BF532" s="1"/>
      <c r="BG532" s="1"/>
      <c r="BH532" s="1"/>
      <c r="BI532" s="1"/>
      <c r="BJ532" s="1"/>
      <c r="CH532" s="1"/>
    </row>
    <row r="533">
      <c r="D533" s="135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BD533" s="1"/>
      <c r="BE533" s="1"/>
      <c r="BF533" s="1"/>
      <c r="BG533" s="1"/>
      <c r="BH533" s="1"/>
      <c r="BI533" s="1"/>
      <c r="BJ533" s="1"/>
      <c r="CH533" s="1"/>
    </row>
    <row r="534">
      <c r="D534" s="135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BD534" s="1"/>
      <c r="BE534" s="1"/>
      <c r="BF534" s="1"/>
      <c r="BG534" s="1"/>
      <c r="BH534" s="1"/>
      <c r="BI534" s="1"/>
      <c r="BJ534" s="1"/>
      <c r="CH534" s="1"/>
    </row>
    <row r="535">
      <c r="D535" s="135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BD535" s="1"/>
      <c r="BE535" s="1"/>
      <c r="BF535" s="1"/>
      <c r="BG535" s="1"/>
      <c r="BH535" s="1"/>
      <c r="BI535" s="1"/>
      <c r="BJ535" s="1"/>
      <c r="CH535" s="1"/>
    </row>
    <row r="536">
      <c r="D536" s="135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BD536" s="1"/>
      <c r="BE536" s="1"/>
      <c r="BF536" s="1"/>
      <c r="BG536" s="1"/>
      <c r="BH536" s="1"/>
      <c r="BI536" s="1"/>
      <c r="BJ536" s="1"/>
      <c r="CH536" s="1"/>
    </row>
    <row r="537">
      <c r="D537" s="135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BD537" s="1"/>
      <c r="BE537" s="1"/>
      <c r="BF537" s="1"/>
      <c r="BG537" s="1"/>
      <c r="BH537" s="1"/>
      <c r="BI537" s="1"/>
      <c r="BJ537" s="1"/>
      <c r="CH537" s="1"/>
    </row>
    <row r="538">
      <c r="D538" s="135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BD538" s="1"/>
      <c r="BE538" s="1"/>
      <c r="BF538" s="1"/>
      <c r="BG538" s="1"/>
      <c r="BH538" s="1"/>
      <c r="BI538" s="1"/>
      <c r="BJ538" s="1"/>
      <c r="CH538" s="1"/>
    </row>
    <row r="539">
      <c r="D539" s="135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BD539" s="1"/>
      <c r="BE539" s="1"/>
      <c r="BF539" s="1"/>
      <c r="BG539" s="1"/>
      <c r="BH539" s="1"/>
      <c r="BI539" s="1"/>
      <c r="BJ539" s="1"/>
      <c r="CH539" s="1"/>
    </row>
    <row r="540">
      <c r="D540" s="135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BD540" s="1"/>
      <c r="BE540" s="1"/>
      <c r="BF540" s="1"/>
      <c r="BG540" s="1"/>
      <c r="BH540" s="1"/>
      <c r="BI540" s="1"/>
      <c r="BJ540" s="1"/>
      <c r="CH540" s="1"/>
    </row>
    <row r="541">
      <c r="D541" s="135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BD541" s="1"/>
      <c r="BE541" s="1"/>
      <c r="BF541" s="1"/>
      <c r="BG541" s="1"/>
      <c r="BH541" s="1"/>
      <c r="BI541" s="1"/>
      <c r="BJ541" s="1"/>
      <c r="CH541" s="1"/>
    </row>
    <row r="542">
      <c r="D542" s="135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BD542" s="1"/>
      <c r="BE542" s="1"/>
      <c r="BF542" s="1"/>
      <c r="BG542" s="1"/>
      <c r="BH542" s="1"/>
      <c r="BI542" s="1"/>
      <c r="BJ542" s="1"/>
      <c r="CH542" s="1"/>
    </row>
    <row r="543">
      <c r="D543" s="135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BD543" s="1"/>
      <c r="BE543" s="1"/>
      <c r="BF543" s="1"/>
      <c r="BG543" s="1"/>
      <c r="BH543" s="1"/>
      <c r="BI543" s="1"/>
      <c r="BJ543" s="1"/>
      <c r="CH543" s="1"/>
    </row>
    <row r="544">
      <c r="D544" s="135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BD544" s="1"/>
      <c r="BE544" s="1"/>
      <c r="BF544" s="1"/>
      <c r="BG544" s="1"/>
      <c r="BH544" s="1"/>
      <c r="BI544" s="1"/>
      <c r="BJ544" s="1"/>
      <c r="CH544" s="1"/>
    </row>
    <row r="545">
      <c r="D545" s="135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BD545" s="1"/>
      <c r="BE545" s="1"/>
      <c r="BF545" s="1"/>
      <c r="BG545" s="1"/>
      <c r="BH545" s="1"/>
      <c r="BI545" s="1"/>
      <c r="BJ545" s="1"/>
      <c r="CH545" s="1"/>
    </row>
    <row r="546">
      <c r="D546" s="135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BD546" s="1"/>
      <c r="BE546" s="1"/>
      <c r="BF546" s="1"/>
      <c r="BG546" s="1"/>
      <c r="BH546" s="1"/>
      <c r="BI546" s="1"/>
      <c r="BJ546" s="1"/>
      <c r="CH546" s="1"/>
    </row>
    <row r="547">
      <c r="D547" s="135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BD547" s="1"/>
      <c r="BE547" s="1"/>
      <c r="BF547" s="1"/>
      <c r="BG547" s="1"/>
      <c r="BH547" s="1"/>
      <c r="BI547" s="1"/>
      <c r="BJ547" s="1"/>
      <c r="CH547" s="1"/>
    </row>
    <row r="548">
      <c r="D548" s="135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BD548" s="1"/>
      <c r="BE548" s="1"/>
      <c r="BF548" s="1"/>
      <c r="BG548" s="1"/>
      <c r="BH548" s="1"/>
      <c r="BI548" s="1"/>
      <c r="BJ548" s="1"/>
      <c r="CH548" s="1"/>
    </row>
    <row r="549">
      <c r="D549" s="135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BD549" s="1"/>
      <c r="BE549" s="1"/>
      <c r="BF549" s="1"/>
      <c r="BG549" s="1"/>
      <c r="BH549" s="1"/>
      <c r="BI549" s="1"/>
      <c r="BJ549" s="1"/>
      <c r="CH549" s="1"/>
    </row>
    <row r="550">
      <c r="D550" s="135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BD550" s="1"/>
      <c r="BE550" s="1"/>
      <c r="BF550" s="1"/>
      <c r="BG550" s="1"/>
      <c r="BH550" s="1"/>
      <c r="BI550" s="1"/>
      <c r="BJ550" s="1"/>
      <c r="CH550" s="1"/>
    </row>
    <row r="551">
      <c r="D551" s="135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BD551" s="1"/>
      <c r="BE551" s="1"/>
      <c r="BF551" s="1"/>
      <c r="BG551" s="1"/>
      <c r="BH551" s="1"/>
      <c r="BI551" s="1"/>
      <c r="BJ551" s="1"/>
      <c r="CH551" s="1"/>
    </row>
    <row r="552">
      <c r="D552" s="135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BD552" s="1"/>
      <c r="BE552" s="1"/>
      <c r="BF552" s="1"/>
      <c r="BG552" s="1"/>
      <c r="BH552" s="1"/>
      <c r="BI552" s="1"/>
      <c r="BJ552" s="1"/>
      <c r="CH552" s="1"/>
    </row>
    <row r="553">
      <c r="D553" s="135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BD553" s="1"/>
      <c r="BE553" s="1"/>
      <c r="BF553" s="1"/>
      <c r="BG553" s="1"/>
      <c r="BH553" s="1"/>
      <c r="BI553" s="1"/>
      <c r="BJ553" s="1"/>
      <c r="CH553" s="1"/>
    </row>
    <row r="554">
      <c r="D554" s="135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BD554" s="1"/>
      <c r="BE554" s="1"/>
      <c r="BF554" s="1"/>
      <c r="BG554" s="1"/>
      <c r="BH554" s="1"/>
      <c r="BI554" s="1"/>
      <c r="BJ554" s="1"/>
      <c r="CH554" s="1"/>
    </row>
    <row r="555">
      <c r="D555" s="135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BD555" s="1"/>
      <c r="BE555" s="1"/>
      <c r="BF555" s="1"/>
      <c r="BG555" s="1"/>
      <c r="BH555" s="1"/>
      <c r="BI555" s="1"/>
      <c r="BJ555" s="1"/>
      <c r="CH555" s="1"/>
    </row>
    <row r="556">
      <c r="D556" s="135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BD556" s="1"/>
      <c r="BE556" s="1"/>
      <c r="BF556" s="1"/>
      <c r="BG556" s="1"/>
      <c r="BH556" s="1"/>
      <c r="BI556" s="1"/>
      <c r="BJ556" s="1"/>
      <c r="CH556" s="1"/>
    </row>
    <row r="557">
      <c r="D557" s="135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BD557" s="1"/>
      <c r="BE557" s="1"/>
      <c r="BF557" s="1"/>
      <c r="BG557" s="1"/>
      <c r="BH557" s="1"/>
      <c r="BI557" s="1"/>
      <c r="BJ557" s="1"/>
      <c r="CH557" s="1"/>
    </row>
    <row r="558">
      <c r="D558" s="135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BD558" s="1"/>
      <c r="BE558" s="1"/>
      <c r="BF558" s="1"/>
      <c r="BG558" s="1"/>
      <c r="BH558" s="1"/>
      <c r="BI558" s="1"/>
      <c r="BJ558" s="1"/>
      <c r="CH558" s="1"/>
    </row>
    <row r="559">
      <c r="D559" s="135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BD559" s="1"/>
      <c r="BE559" s="1"/>
      <c r="BF559" s="1"/>
      <c r="BG559" s="1"/>
      <c r="BH559" s="1"/>
      <c r="BI559" s="1"/>
      <c r="BJ559" s="1"/>
      <c r="CH559" s="1"/>
    </row>
    <row r="560">
      <c r="D560" s="135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BD560" s="1"/>
      <c r="BE560" s="1"/>
      <c r="BF560" s="1"/>
      <c r="BG560" s="1"/>
      <c r="BH560" s="1"/>
      <c r="BI560" s="1"/>
      <c r="BJ560" s="1"/>
      <c r="CH560" s="1"/>
    </row>
    <row r="561">
      <c r="D561" s="135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BD561" s="1"/>
      <c r="BE561" s="1"/>
      <c r="BF561" s="1"/>
      <c r="BG561" s="1"/>
      <c r="BH561" s="1"/>
      <c r="BI561" s="1"/>
      <c r="BJ561" s="1"/>
      <c r="CH561" s="1"/>
    </row>
    <row r="562">
      <c r="D562" s="135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BD562" s="1"/>
      <c r="BE562" s="1"/>
      <c r="BF562" s="1"/>
      <c r="BG562" s="1"/>
      <c r="BH562" s="1"/>
      <c r="BI562" s="1"/>
      <c r="BJ562" s="1"/>
      <c r="CH562" s="1"/>
    </row>
    <row r="563">
      <c r="D563" s="135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BD563" s="1"/>
      <c r="BE563" s="1"/>
      <c r="BF563" s="1"/>
      <c r="BG563" s="1"/>
      <c r="BH563" s="1"/>
      <c r="BI563" s="1"/>
      <c r="BJ563" s="1"/>
      <c r="CH563" s="1"/>
    </row>
    <row r="564">
      <c r="D564" s="135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BD564" s="1"/>
      <c r="BE564" s="1"/>
      <c r="BF564" s="1"/>
      <c r="BG564" s="1"/>
      <c r="BH564" s="1"/>
      <c r="BI564" s="1"/>
      <c r="BJ564" s="1"/>
      <c r="CH564" s="1"/>
    </row>
    <row r="565">
      <c r="D565" s="135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BD565" s="1"/>
      <c r="BE565" s="1"/>
      <c r="BF565" s="1"/>
      <c r="BG565" s="1"/>
      <c r="BH565" s="1"/>
      <c r="BI565" s="1"/>
      <c r="BJ565" s="1"/>
      <c r="CH565" s="1"/>
    </row>
    <row r="566">
      <c r="D566" s="135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BD566" s="1"/>
      <c r="BE566" s="1"/>
      <c r="BF566" s="1"/>
      <c r="BG566" s="1"/>
      <c r="BH566" s="1"/>
      <c r="BI566" s="1"/>
      <c r="BJ566" s="1"/>
      <c r="CH566" s="1"/>
    </row>
    <row r="567">
      <c r="D567" s="135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BD567" s="1"/>
      <c r="BE567" s="1"/>
      <c r="BF567" s="1"/>
      <c r="BG567" s="1"/>
      <c r="BH567" s="1"/>
      <c r="BI567" s="1"/>
      <c r="BJ567" s="1"/>
      <c r="CH567" s="1"/>
    </row>
    <row r="568">
      <c r="D568" s="135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BD568" s="1"/>
      <c r="BE568" s="1"/>
      <c r="BF568" s="1"/>
      <c r="BG568" s="1"/>
      <c r="BH568" s="1"/>
      <c r="BI568" s="1"/>
      <c r="BJ568" s="1"/>
      <c r="CH568" s="1"/>
    </row>
    <row r="569">
      <c r="D569" s="135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BD569" s="1"/>
      <c r="BE569" s="1"/>
      <c r="BF569" s="1"/>
      <c r="BG569" s="1"/>
      <c r="BH569" s="1"/>
      <c r="BI569" s="1"/>
      <c r="BJ569" s="1"/>
      <c r="CH569" s="1"/>
    </row>
    <row r="570">
      <c r="D570" s="135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BD570" s="1"/>
      <c r="BE570" s="1"/>
      <c r="BF570" s="1"/>
      <c r="BG570" s="1"/>
      <c r="BH570" s="1"/>
      <c r="BI570" s="1"/>
      <c r="BJ570" s="1"/>
      <c r="CH570" s="1"/>
    </row>
    <row r="571">
      <c r="D571" s="135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BD571" s="1"/>
      <c r="BE571" s="1"/>
      <c r="BF571" s="1"/>
      <c r="BG571" s="1"/>
      <c r="BH571" s="1"/>
      <c r="BI571" s="1"/>
      <c r="BJ571" s="1"/>
      <c r="CH571" s="1"/>
    </row>
    <row r="572">
      <c r="D572" s="135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BD572" s="1"/>
      <c r="BE572" s="1"/>
      <c r="BF572" s="1"/>
      <c r="BG572" s="1"/>
      <c r="BH572" s="1"/>
      <c r="BI572" s="1"/>
      <c r="BJ572" s="1"/>
      <c r="CH572" s="1"/>
    </row>
    <row r="573">
      <c r="D573" s="135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BD573" s="1"/>
      <c r="BE573" s="1"/>
      <c r="BF573" s="1"/>
      <c r="BG573" s="1"/>
      <c r="BH573" s="1"/>
      <c r="BI573" s="1"/>
      <c r="BJ573" s="1"/>
      <c r="CH573" s="1"/>
    </row>
    <row r="574">
      <c r="D574" s="135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BD574" s="1"/>
      <c r="BE574" s="1"/>
      <c r="BF574" s="1"/>
      <c r="BG574" s="1"/>
      <c r="BH574" s="1"/>
      <c r="BI574" s="1"/>
      <c r="BJ574" s="1"/>
      <c r="CH574" s="1"/>
    </row>
    <row r="575">
      <c r="D575" s="135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BD575" s="1"/>
      <c r="BE575" s="1"/>
      <c r="BF575" s="1"/>
      <c r="BG575" s="1"/>
      <c r="BH575" s="1"/>
      <c r="BI575" s="1"/>
      <c r="BJ575" s="1"/>
      <c r="CH575" s="1"/>
    </row>
    <row r="576">
      <c r="D576" s="135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BD576" s="1"/>
      <c r="BE576" s="1"/>
      <c r="BF576" s="1"/>
      <c r="BG576" s="1"/>
      <c r="BH576" s="1"/>
      <c r="BI576" s="1"/>
      <c r="BJ576" s="1"/>
      <c r="CH576" s="1"/>
    </row>
    <row r="577">
      <c r="D577" s="135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BD577" s="1"/>
      <c r="BE577" s="1"/>
      <c r="BF577" s="1"/>
      <c r="BG577" s="1"/>
      <c r="BH577" s="1"/>
      <c r="BI577" s="1"/>
      <c r="BJ577" s="1"/>
      <c r="CH577" s="1"/>
    </row>
    <row r="578">
      <c r="D578" s="135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BD578" s="1"/>
      <c r="BE578" s="1"/>
      <c r="BF578" s="1"/>
      <c r="BG578" s="1"/>
      <c r="BH578" s="1"/>
      <c r="BI578" s="1"/>
      <c r="BJ578" s="1"/>
      <c r="CH578" s="1"/>
    </row>
    <row r="579">
      <c r="D579" s="135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BD579" s="1"/>
      <c r="BE579" s="1"/>
      <c r="BF579" s="1"/>
      <c r="BG579" s="1"/>
      <c r="BH579" s="1"/>
      <c r="BI579" s="1"/>
      <c r="BJ579" s="1"/>
      <c r="CH579" s="1"/>
    </row>
    <row r="580">
      <c r="D580" s="135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BD580" s="1"/>
      <c r="BE580" s="1"/>
      <c r="BF580" s="1"/>
      <c r="BG580" s="1"/>
      <c r="BH580" s="1"/>
      <c r="BI580" s="1"/>
      <c r="BJ580" s="1"/>
      <c r="CH580" s="1"/>
    </row>
    <row r="581">
      <c r="D581" s="135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BD581" s="1"/>
      <c r="BE581" s="1"/>
      <c r="BF581" s="1"/>
      <c r="BG581" s="1"/>
      <c r="BH581" s="1"/>
      <c r="BI581" s="1"/>
      <c r="BJ581" s="1"/>
      <c r="CH581" s="1"/>
    </row>
    <row r="582">
      <c r="D582" s="135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BD582" s="1"/>
      <c r="BE582" s="1"/>
      <c r="BF582" s="1"/>
      <c r="BG582" s="1"/>
      <c r="BH582" s="1"/>
      <c r="BI582" s="1"/>
      <c r="BJ582" s="1"/>
      <c r="CH582" s="1"/>
    </row>
    <row r="583">
      <c r="D583" s="135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BD583" s="1"/>
      <c r="BE583" s="1"/>
      <c r="BF583" s="1"/>
      <c r="BG583" s="1"/>
      <c r="BH583" s="1"/>
      <c r="BI583" s="1"/>
      <c r="BJ583" s="1"/>
      <c r="CH583" s="1"/>
    </row>
    <row r="584">
      <c r="D584" s="135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BD584" s="1"/>
      <c r="BE584" s="1"/>
      <c r="BF584" s="1"/>
      <c r="BG584" s="1"/>
      <c r="BH584" s="1"/>
      <c r="BI584" s="1"/>
      <c r="BJ584" s="1"/>
      <c r="CH584" s="1"/>
    </row>
    <row r="585">
      <c r="D585" s="135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BD585" s="1"/>
      <c r="BE585" s="1"/>
      <c r="BF585" s="1"/>
      <c r="BG585" s="1"/>
      <c r="BH585" s="1"/>
      <c r="BI585" s="1"/>
      <c r="BJ585" s="1"/>
      <c r="CH585" s="1"/>
    </row>
    <row r="586">
      <c r="D586" s="135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BD586" s="1"/>
      <c r="BE586" s="1"/>
      <c r="BF586" s="1"/>
      <c r="BG586" s="1"/>
      <c r="BH586" s="1"/>
      <c r="BI586" s="1"/>
      <c r="BJ586" s="1"/>
      <c r="CH586" s="1"/>
    </row>
    <row r="587">
      <c r="D587" s="135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BD587" s="1"/>
      <c r="BE587" s="1"/>
      <c r="BF587" s="1"/>
      <c r="BG587" s="1"/>
      <c r="BH587" s="1"/>
      <c r="BI587" s="1"/>
      <c r="BJ587" s="1"/>
      <c r="CH587" s="1"/>
    </row>
    <row r="588">
      <c r="D588" s="135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BD588" s="1"/>
      <c r="BE588" s="1"/>
      <c r="BF588" s="1"/>
      <c r="BG588" s="1"/>
      <c r="BH588" s="1"/>
      <c r="BI588" s="1"/>
      <c r="BJ588" s="1"/>
      <c r="CH588" s="1"/>
    </row>
    <row r="589">
      <c r="D589" s="135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BD589" s="1"/>
      <c r="BE589" s="1"/>
      <c r="BF589" s="1"/>
      <c r="BG589" s="1"/>
      <c r="BH589" s="1"/>
      <c r="BI589" s="1"/>
      <c r="BJ589" s="1"/>
      <c r="CH589" s="1"/>
    </row>
    <row r="590">
      <c r="D590" s="135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BD590" s="1"/>
      <c r="BE590" s="1"/>
      <c r="BF590" s="1"/>
      <c r="BG590" s="1"/>
      <c r="BH590" s="1"/>
      <c r="BI590" s="1"/>
      <c r="BJ590" s="1"/>
      <c r="CH590" s="1"/>
    </row>
    <row r="591">
      <c r="D591" s="135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BD591" s="1"/>
      <c r="BE591" s="1"/>
      <c r="BF591" s="1"/>
      <c r="BG591" s="1"/>
      <c r="BH591" s="1"/>
      <c r="BI591" s="1"/>
      <c r="BJ591" s="1"/>
      <c r="CH591" s="1"/>
    </row>
    <row r="592">
      <c r="D592" s="135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BD592" s="1"/>
      <c r="BE592" s="1"/>
      <c r="BF592" s="1"/>
      <c r="BG592" s="1"/>
      <c r="BH592" s="1"/>
      <c r="BI592" s="1"/>
      <c r="BJ592" s="1"/>
      <c r="CH592" s="1"/>
    </row>
    <row r="593">
      <c r="D593" s="135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BD593" s="1"/>
      <c r="BE593" s="1"/>
      <c r="BF593" s="1"/>
      <c r="BG593" s="1"/>
      <c r="BH593" s="1"/>
      <c r="BI593" s="1"/>
      <c r="BJ593" s="1"/>
      <c r="CH593" s="1"/>
    </row>
    <row r="594">
      <c r="D594" s="135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BD594" s="1"/>
      <c r="BE594" s="1"/>
      <c r="BF594" s="1"/>
      <c r="BG594" s="1"/>
      <c r="BH594" s="1"/>
      <c r="BI594" s="1"/>
      <c r="BJ594" s="1"/>
      <c r="CH594" s="1"/>
    </row>
    <row r="595">
      <c r="D595" s="135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BD595" s="1"/>
      <c r="BE595" s="1"/>
      <c r="BF595" s="1"/>
      <c r="BG595" s="1"/>
      <c r="BH595" s="1"/>
      <c r="BI595" s="1"/>
      <c r="BJ595" s="1"/>
      <c r="CH595" s="1"/>
    </row>
    <row r="596">
      <c r="D596" s="135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BD596" s="1"/>
      <c r="BE596" s="1"/>
      <c r="BF596" s="1"/>
      <c r="BG596" s="1"/>
      <c r="BH596" s="1"/>
      <c r="BI596" s="1"/>
      <c r="BJ596" s="1"/>
      <c r="CH596" s="1"/>
    </row>
    <row r="597">
      <c r="D597" s="135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BD597" s="1"/>
      <c r="BE597" s="1"/>
      <c r="BF597" s="1"/>
      <c r="BG597" s="1"/>
      <c r="BH597" s="1"/>
      <c r="BI597" s="1"/>
      <c r="BJ597" s="1"/>
      <c r="CH597" s="1"/>
    </row>
    <row r="598">
      <c r="D598" s="135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BD598" s="1"/>
      <c r="BE598" s="1"/>
      <c r="BF598" s="1"/>
      <c r="BG598" s="1"/>
      <c r="BH598" s="1"/>
      <c r="BI598" s="1"/>
      <c r="BJ598" s="1"/>
      <c r="CH598" s="1"/>
    </row>
    <row r="599">
      <c r="D599" s="135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BD599" s="1"/>
      <c r="BE599" s="1"/>
      <c r="BF599" s="1"/>
      <c r="BG599" s="1"/>
      <c r="BH599" s="1"/>
      <c r="BI599" s="1"/>
      <c r="BJ599" s="1"/>
      <c r="CH599" s="1"/>
    </row>
    <row r="600">
      <c r="D600" s="135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BD600" s="1"/>
      <c r="BE600" s="1"/>
      <c r="BF600" s="1"/>
      <c r="BG600" s="1"/>
      <c r="BH600" s="1"/>
      <c r="BI600" s="1"/>
      <c r="BJ600" s="1"/>
      <c r="CH600" s="1"/>
    </row>
    <row r="601">
      <c r="D601" s="135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BD601" s="1"/>
      <c r="BE601" s="1"/>
      <c r="BF601" s="1"/>
      <c r="BG601" s="1"/>
      <c r="BH601" s="1"/>
      <c r="BI601" s="1"/>
      <c r="BJ601" s="1"/>
      <c r="CH601" s="1"/>
    </row>
    <row r="602">
      <c r="D602" s="135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BD602" s="1"/>
      <c r="BE602" s="1"/>
      <c r="BF602" s="1"/>
      <c r="BG602" s="1"/>
      <c r="BH602" s="1"/>
      <c r="BI602" s="1"/>
      <c r="BJ602" s="1"/>
      <c r="CH602" s="1"/>
    </row>
    <row r="603">
      <c r="D603" s="135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BD603" s="1"/>
      <c r="BE603" s="1"/>
      <c r="BF603" s="1"/>
      <c r="BG603" s="1"/>
      <c r="BH603" s="1"/>
      <c r="BI603" s="1"/>
      <c r="BJ603" s="1"/>
      <c r="CH603" s="1"/>
    </row>
    <row r="604">
      <c r="D604" s="135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BD604" s="1"/>
      <c r="BE604" s="1"/>
      <c r="BF604" s="1"/>
      <c r="BG604" s="1"/>
      <c r="BH604" s="1"/>
      <c r="BI604" s="1"/>
      <c r="BJ604" s="1"/>
      <c r="CH604" s="1"/>
    </row>
    <row r="605">
      <c r="D605" s="135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BD605" s="1"/>
      <c r="BE605" s="1"/>
      <c r="BF605" s="1"/>
      <c r="BG605" s="1"/>
      <c r="BH605" s="1"/>
      <c r="BI605" s="1"/>
      <c r="BJ605" s="1"/>
      <c r="CH605" s="1"/>
    </row>
    <row r="606">
      <c r="D606" s="135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BD606" s="1"/>
      <c r="BE606" s="1"/>
      <c r="BF606" s="1"/>
      <c r="BG606" s="1"/>
      <c r="BH606" s="1"/>
      <c r="BI606" s="1"/>
      <c r="BJ606" s="1"/>
      <c r="CH606" s="1"/>
    </row>
    <row r="607">
      <c r="D607" s="135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BD607" s="1"/>
      <c r="BE607" s="1"/>
      <c r="BF607" s="1"/>
      <c r="BG607" s="1"/>
      <c r="BH607" s="1"/>
      <c r="BI607" s="1"/>
      <c r="BJ607" s="1"/>
      <c r="CH607" s="1"/>
    </row>
    <row r="608">
      <c r="D608" s="135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BD608" s="1"/>
      <c r="BE608" s="1"/>
      <c r="BF608" s="1"/>
      <c r="BG608" s="1"/>
      <c r="BH608" s="1"/>
      <c r="BI608" s="1"/>
      <c r="BJ608" s="1"/>
      <c r="CH608" s="1"/>
    </row>
    <row r="609">
      <c r="D609" s="135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BD609" s="1"/>
      <c r="BE609" s="1"/>
      <c r="BF609" s="1"/>
      <c r="BG609" s="1"/>
      <c r="BH609" s="1"/>
      <c r="BI609" s="1"/>
      <c r="BJ609" s="1"/>
      <c r="CH609" s="1"/>
    </row>
    <row r="610">
      <c r="D610" s="135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BD610" s="1"/>
      <c r="BE610" s="1"/>
      <c r="BF610" s="1"/>
      <c r="BG610" s="1"/>
      <c r="BH610" s="1"/>
      <c r="BI610" s="1"/>
      <c r="BJ610" s="1"/>
      <c r="CH610" s="1"/>
    </row>
    <row r="611">
      <c r="D611" s="135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BD611" s="1"/>
      <c r="BE611" s="1"/>
      <c r="BF611" s="1"/>
      <c r="BG611" s="1"/>
      <c r="BH611" s="1"/>
      <c r="BI611" s="1"/>
      <c r="BJ611" s="1"/>
      <c r="CH611" s="1"/>
    </row>
    <row r="612">
      <c r="D612" s="135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BD612" s="1"/>
      <c r="BE612" s="1"/>
      <c r="BF612" s="1"/>
      <c r="BG612" s="1"/>
      <c r="BH612" s="1"/>
      <c r="BI612" s="1"/>
      <c r="BJ612" s="1"/>
      <c r="CH612" s="1"/>
    </row>
    <row r="613">
      <c r="D613" s="135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BD613" s="1"/>
      <c r="BE613" s="1"/>
      <c r="BF613" s="1"/>
      <c r="BG613" s="1"/>
      <c r="BH613" s="1"/>
      <c r="BI613" s="1"/>
      <c r="BJ613" s="1"/>
      <c r="CH613" s="1"/>
    </row>
    <row r="614">
      <c r="D614" s="135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BD614" s="1"/>
      <c r="BE614" s="1"/>
      <c r="BF614" s="1"/>
      <c r="BG614" s="1"/>
      <c r="BH614" s="1"/>
      <c r="BI614" s="1"/>
      <c r="BJ614" s="1"/>
      <c r="CH614" s="1"/>
    </row>
    <row r="615">
      <c r="D615" s="135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BD615" s="1"/>
      <c r="BE615" s="1"/>
      <c r="BF615" s="1"/>
      <c r="BG615" s="1"/>
      <c r="BH615" s="1"/>
      <c r="BI615" s="1"/>
      <c r="BJ615" s="1"/>
      <c r="CH615" s="1"/>
    </row>
    <row r="616">
      <c r="D616" s="135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BD616" s="1"/>
      <c r="BE616" s="1"/>
      <c r="BF616" s="1"/>
      <c r="BG616" s="1"/>
      <c r="BH616" s="1"/>
      <c r="BI616" s="1"/>
      <c r="BJ616" s="1"/>
      <c r="CH616" s="1"/>
    </row>
    <row r="617">
      <c r="D617" s="135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BD617" s="1"/>
      <c r="BE617" s="1"/>
      <c r="BF617" s="1"/>
      <c r="BG617" s="1"/>
      <c r="BH617" s="1"/>
      <c r="BI617" s="1"/>
      <c r="BJ617" s="1"/>
      <c r="CH617" s="1"/>
    </row>
    <row r="618">
      <c r="D618" s="135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BD618" s="1"/>
      <c r="BE618" s="1"/>
      <c r="BF618" s="1"/>
      <c r="BG618" s="1"/>
      <c r="BH618" s="1"/>
      <c r="BI618" s="1"/>
      <c r="BJ618" s="1"/>
      <c r="CH618" s="1"/>
    </row>
    <row r="619">
      <c r="D619" s="135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BD619" s="1"/>
      <c r="BE619" s="1"/>
      <c r="BF619" s="1"/>
      <c r="BG619" s="1"/>
      <c r="BH619" s="1"/>
      <c r="BI619" s="1"/>
      <c r="BJ619" s="1"/>
      <c r="CH619" s="1"/>
    </row>
    <row r="620">
      <c r="D620" s="135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BD620" s="1"/>
      <c r="BE620" s="1"/>
      <c r="BF620" s="1"/>
      <c r="BG620" s="1"/>
      <c r="BH620" s="1"/>
      <c r="BI620" s="1"/>
      <c r="BJ620" s="1"/>
      <c r="CH620" s="1"/>
    </row>
    <row r="621">
      <c r="D621" s="135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BD621" s="1"/>
      <c r="BE621" s="1"/>
      <c r="BF621" s="1"/>
      <c r="BG621" s="1"/>
      <c r="BH621" s="1"/>
      <c r="BI621" s="1"/>
      <c r="BJ621" s="1"/>
      <c r="CH621" s="1"/>
    </row>
    <row r="622">
      <c r="D622" s="135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BD622" s="1"/>
      <c r="BE622" s="1"/>
      <c r="BF622" s="1"/>
      <c r="BG622" s="1"/>
      <c r="BH622" s="1"/>
      <c r="BI622" s="1"/>
      <c r="BJ622" s="1"/>
      <c r="CH622" s="1"/>
    </row>
    <row r="623">
      <c r="D623" s="135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BD623" s="1"/>
      <c r="BE623" s="1"/>
      <c r="BF623" s="1"/>
      <c r="BG623" s="1"/>
      <c r="BH623" s="1"/>
      <c r="BI623" s="1"/>
      <c r="BJ623" s="1"/>
      <c r="CH623" s="1"/>
    </row>
    <row r="624">
      <c r="D624" s="135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BD624" s="1"/>
      <c r="BE624" s="1"/>
      <c r="BF624" s="1"/>
      <c r="BG624" s="1"/>
      <c r="BH624" s="1"/>
      <c r="BI624" s="1"/>
      <c r="BJ624" s="1"/>
      <c r="CH624" s="1"/>
    </row>
    <row r="625">
      <c r="D625" s="135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BD625" s="1"/>
      <c r="BE625" s="1"/>
      <c r="BF625" s="1"/>
      <c r="BG625" s="1"/>
      <c r="BH625" s="1"/>
      <c r="BI625" s="1"/>
      <c r="BJ625" s="1"/>
      <c r="CH625" s="1"/>
    </row>
    <row r="626">
      <c r="D626" s="135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BD626" s="1"/>
      <c r="BE626" s="1"/>
      <c r="BF626" s="1"/>
      <c r="BG626" s="1"/>
      <c r="BH626" s="1"/>
      <c r="BI626" s="1"/>
      <c r="BJ626" s="1"/>
      <c r="CH626" s="1"/>
    </row>
    <row r="627">
      <c r="D627" s="135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BD627" s="1"/>
      <c r="BE627" s="1"/>
      <c r="BF627" s="1"/>
      <c r="BG627" s="1"/>
      <c r="BH627" s="1"/>
      <c r="BI627" s="1"/>
      <c r="BJ627" s="1"/>
      <c r="CH627" s="1"/>
    </row>
    <row r="628">
      <c r="D628" s="135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BD628" s="1"/>
      <c r="BE628" s="1"/>
      <c r="BF628" s="1"/>
      <c r="BG628" s="1"/>
      <c r="BH628" s="1"/>
      <c r="BI628" s="1"/>
      <c r="BJ628" s="1"/>
      <c r="CH628" s="1"/>
    </row>
    <row r="629">
      <c r="D629" s="135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BD629" s="1"/>
      <c r="BE629" s="1"/>
      <c r="BF629" s="1"/>
      <c r="BG629" s="1"/>
      <c r="BH629" s="1"/>
      <c r="BI629" s="1"/>
      <c r="BJ629" s="1"/>
      <c r="CH629" s="1"/>
    </row>
    <row r="630">
      <c r="D630" s="135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BD630" s="1"/>
      <c r="BE630" s="1"/>
      <c r="BF630" s="1"/>
      <c r="BG630" s="1"/>
      <c r="BH630" s="1"/>
      <c r="BI630" s="1"/>
      <c r="BJ630" s="1"/>
      <c r="CH630" s="1"/>
    </row>
    <row r="631">
      <c r="D631" s="135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BD631" s="1"/>
      <c r="BE631" s="1"/>
      <c r="BF631" s="1"/>
      <c r="BG631" s="1"/>
      <c r="BH631" s="1"/>
      <c r="BI631" s="1"/>
      <c r="BJ631" s="1"/>
      <c r="CH631" s="1"/>
    </row>
    <row r="632">
      <c r="D632" s="135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BD632" s="1"/>
      <c r="BE632" s="1"/>
      <c r="BF632" s="1"/>
      <c r="BG632" s="1"/>
      <c r="BH632" s="1"/>
      <c r="BI632" s="1"/>
      <c r="BJ632" s="1"/>
      <c r="CH632" s="1"/>
    </row>
    <row r="633">
      <c r="D633" s="135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BD633" s="1"/>
      <c r="BE633" s="1"/>
      <c r="BF633" s="1"/>
      <c r="BG633" s="1"/>
      <c r="BH633" s="1"/>
      <c r="BI633" s="1"/>
      <c r="BJ633" s="1"/>
      <c r="CH633" s="1"/>
    </row>
    <row r="634">
      <c r="D634" s="135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BD634" s="1"/>
      <c r="BE634" s="1"/>
      <c r="BF634" s="1"/>
      <c r="BG634" s="1"/>
      <c r="BH634" s="1"/>
      <c r="BI634" s="1"/>
      <c r="BJ634" s="1"/>
      <c r="CH634" s="1"/>
    </row>
    <row r="635">
      <c r="D635" s="135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BD635" s="1"/>
      <c r="BE635" s="1"/>
      <c r="BF635" s="1"/>
      <c r="BG635" s="1"/>
      <c r="BH635" s="1"/>
      <c r="BI635" s="1"/>
      <c r="BJ635" s="1"/>
      <c r="CH635" s="1"/>
    </row>
    <row r="636">
      <c r="D636" s="135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BD636" s="1"/>
      <c r="BE636" s="1"/>
      <c r="BF636" s="1"/>
      <c r="BG636" s="1"/>
      <c r="BH636" s="1"/>
      <c r="BI636" s="1"/>
      <c r="BJ636" s="1"/>
      <c r="CH636" s="1"/>
    </row>
    <row r="637">
      <c r="D637" s="135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BD637" s="1"/>
      <c r="BE637" s="1"/>
      <c r="BF637" s="1"/>
      <c r="BG637" s="1"/>
      <c r="BH637" s="1"/>
      <c r="BI637" s="1"/>
      <c r="BJ637" s="1"/>
      <c r="CH637" s="1"/>
    </row>
    <row r="638">
      <c r="D638" s="135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BD638" s="1"/>
      <c r="BE638" s="1"/>
      <c r="BF638" s="1"/>
      <c r="BG638" s="1"/>
      <c r="BH638" s="1"/>
      <c r="BI638" s="1"/>
      <c r="BJ638" s="1"/>
      <c r="CH638" s="1"/>
    </row>
    <row r="639">
      <c r="D639" s="135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BD639" s="1"/>
      <c r="BE639" s="1"/>
      <c r="BF639" s="1"/>
      <c r="BG639" s="1"/>
      <c r="BH639" s="1"/>
      <c r="BI639" s="1"/>
      <c r="BJ639" s="1"/>
      <c r="CH639" s="1"/>
    </row>
    <row r="640">
      <c r="D640" s="135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BD640" s="1"/>
      <c r="BE640" s="1"/>
      <c r="BF640" s="1"/>
      <c r="BG640" s="1"/>
      <c r="BH640" s="1"/>
      <c r="BI640" s="1"/>
      <c r="BJ640" s="1"/>
      <c r="CH640" s="1"/>
    </row>
    <row r="641">
      <c r="D641" s="135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BD641" s="1"/>
      <c r="BE641" s="1"/>
      <c r="BF641" s="1"/>
      <c r="BG641" s="1"/>
      <c r="BH641" s="1"/>
      <c r="BI641" s="1"/>
      <c r="BJ641" s="1"/>
      <c r="CH641" s="1"/>
    </row>
    <row r="642">
      <c r="D642" s="135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BD642" s="1"/>
      <c r="BE642" s="1"/>
      <c r="BF642" s="1"/>
      <c r="BG642" s="1"/>
      <c r="BH642" s="1"/>
      <c r="BI642" s="1"/>
      <c r="BJ642" s="1"/>
      <c r="CH642" s="1"/>
    </row>
    <row r="643">
      <c r="D643" s="135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BD643" s="1"/>
      <c r="BE643" s="1"/>
      <c r="BF643" s="1"/>
      <c r="BG643" s="1"/>
      <c r="BH643" s="1"/>
      <c r="BI643" s="1"/>
      <c r="BJ643" s="1"/>
      <c r="CH643" s="1"/>
    </row>
    <row r="644">
      <c r="D644" s="135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BD644" s="1"/>
      <c r="BE644" s="1"/>
      <c r="BF644" s="1"/>
      <c r="BG644" s="1"/>
      <c r="BH644" s="1"/>
      <c r="BI644" s="1"/>
      <c r="BJ644" s="1"/>
      <c r="CH644" s="1"/>
    </row>
    <row r="645">
      <c r="D645" s="135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BD645" s="1"/>
      <c r="BE645" s="1"/>
      <c r="BF645" s="1"/>
      <c r="BG645" s="1"/>
      <c r="BH645" s="1"/>
      <c r="BI645" s="1"/>
      <c r="BJ645" s="1"/>
      <c r="CH645" s="1"/>
    </row>
    <row r="646">
      <c r="D646" s="135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BD646" s="1"/>
      <c r="BE646" s="1"/>
      <c r="BF646" s="1"/>
      <c r="BG646" s="1"/>
      <c r="BH646" s="1"/>
      <c r="BI646" s="1"/>
      <c r="BJ646" s="1"/>
      <c r="CH646" s="1"/>
    </row>
    <row r="647">
      <c r="D647" s="135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BD647" s="1"/>
      <c r="BE647" s="1"/>
      <c r="BF647" s="1"/>
      <c r="BG647" s="1"/>
      <c r="BH647" s="1"/>
      <c r="BI647" s="1"/>
      <c r="BJ647" s="1"/>
      <c r="CH647" s="1"/>
    </row>
    <row r="648">
      <c r="D648" s="135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BD648" s="1"/>
      <c r="BE648" s="1"/>
      <c r="BF648" s="1"/>
      <c r="BG648" s="1"/>
      <c r="BH648" s="1"/>
      <c r="BI648" s="1"/>
      <c r="BJ648" s="1"/>
      <c r="CH648" s="1"/>
    </row>
    <row r="649">
      <c r="D649" s="135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BD649" s="1"/>
      <c r="BE649" s="1"/>
      <c r="BF649" s="1"/>
      <c r="BG649" s="1"/>
      <c r="BH649" s="1"/>
      <c r="BI649" s="1"/>
      <c r="BJ649" s="1"/>
      <c r="CH649" s="1"/>
    </row>
    <row r="650">
      <c r="D650" s="135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BD650" s="1"/>
      <c r="BE650" s="1"/>
      <c r="BF650" s="1"/>
      <c r="BG650" s="1"/>
      <c r="BH650" s="1"/>
      <c r="BI650" s="1"/>
      <c r="BJ650" s="1"/>
      <c r="CH650" s="1"/>
    </row>
    <row r="651">
      <c r="D651" s="135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BD651" s="1"/>
      <c r="BE651" s="1"/>
      <c r="BF651" s="1"/>
      <c r="BG651" s="1"/>
      <c r="BH651" s="1"/>
      <c r="BI651" s="1"/>
      <c r="BJ651" s="1"/>
      <c r="CH651" s="1"/>
    </row>
    <row r="652">
      <c r="D652" s="135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BD652" s="1"/>
      <c r="BE652" s="1"/>
      <c r="BF652" s="1"/>
      <c r="BG652" s="1"/>
      <c r="BH652" s="1"/>
      <c r="BI652" s="1"/>
      <c r="BJ652" s="1"/>
      <c r="CH652" s="1"/>
    </row>
    <row r="653">
      <c r="D653" s="135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BD653" s="1"/>
      <c r="BE653" s="1"/>
      <c r="BF653" s="1"/>
      <c r="BG653" s="1"/>
      <c r="BH653" s="1"/>
      <c r="BI653" s="1"/>
      <c r="BJ653" s="1"/>
      <c r="CH653" s="1"/>
    </row>
    <row r="654">
      <c r="D654" s="135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BD654" s="1"/>
      <c r="BE654" s="1"/>
      <c r="BF654" s="1"/>
      <c r="BG654" s="1"/>
      <c r="BH654" s="1"/>
      <c r="BI654" s="1"/>
      <c r="BJ654" s="1"/>
      <c r="CH654" s="1"/>
    </row>
    <row r="655">
      <c r="D655" s="135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BD655" s="1"/>
      <c r="BE655" s="1"/>
      <c r="BF655" s="1"/>
      <c r="BG655" s="1"/>
      <c r="BH655" s="1"/>
      <c r="BI655" s="1"/>
      <c r="BJ655" s="1"/>
      <c r="CH655" s="1"/>
    </row>
    <row r="656">
      <c r="D656" s="135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BD656" s="1"/>
      <c r="BE656" s="1"/>
      <c r="BF656" s="1"/>
      <c r="BG656" s="1"/>
      <c r="BH656" s="1"/>
      <c r="BI656" s="1"/>
      <c r="BJ656" s="1"/>
      <c r="CH656" s="1"/>
    </row>
    <row r="657">
      <c r="D657" s="135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BD657" s="1"/>
      <c r="BE657" s="1"/>
      <c r="BF657" s="1"/>
      <c r="BG657" s="1"/>
      <c r="BH657" s="1"/>
      <c r="BI657" s="1"/>
      <c r="BJ657" s="1"/>
      <c r="CH657" s="1"/>
    </row>
    <row r="658">
      <c r="D658" s="135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BD658" s="1"/>
      <c r="BE658" s="1"/>
      <c r="BF658" s="1"/>
      <c r="BG658" s="1"/>
      <c r="BH658" s="1"/>
      <c r="BI658" s="1"/>
      <c r="BJ658" s="1"/>
      <c r="CH658" s="1"/>
    </row>
    <row r="659">
      <c r="D659" s="135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BD659" s="1"/>
      <c r="BE659" s="1"/>
      <c r="BF659" s="1"/>
      <c r="BG659" s="1"/>
      <c r="BH659" s="1"/>
      <c r="BI659" s="1"/>
      <c r="BJ659" s="1"/>
      <c r="CH659" s="1"/>
    </row>
    <row r="660">
      <c r="D660" s="135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BD660" s="1"/>
      <c r="BE660" s="1"/>
      <c r="BF660" s="1"/>
      <c r="BG660" s="1"/>
      <c r="BH660" s="1"/>
      <c r="BI660" s="1"/>
      <c r="BJ660" s="1"/>
      <c r="CH660" s="1"/>
    </row>
    <row r="661">
      <c r="D661" s="135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BD661" s="1"/>
      <c r="BE661" s="1"/>
      <c r="BF661" s="1"/>
      <c r="BG661" s="1"/>
      <c r="BH661" s="1"/>
      <c r="BI661" s="1"/>
      <c r="BJ661" s="1"/>
      <c r="CH661" s="1"/>
    </row>
    <row r="662">
      <c r="D662" s="135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BD662" s="1"/>
      <c r="BE662" s="1"/>
      <c r="BF662" s="1"/>
      <c r="BG662" s="1"/>
      <c r="BH662" s="1"/>
      <c r="BI662" s="1"/>
      <c r="BJ662" s="1"/>
      <c r="CH662" s="1"/>
    </row>
    <row r="663">
      <c r="D663" s="135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BD663" s="1"/>
      <c r="BE663" s="1"/>
      <c r="BF663" s="1"/>
      <c r="BG663" s="1"/>
      <c r="BH663" s="1"/>
      <c r="BI663" s="1"/>
      <c r="BJ663" s="1"/>
      <c r="CH663" s="1"/>
    </row>
    <row r="664">
      <c r="D664" s="135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BD664" s="1"/>
      <c r="BE664" s="1"/>
      <c r="BF664" s="1"/>
      <c r="BG664" s="1"/>
      <c r="BH664" s="1"/>
      <c r="BI664" s="1"/>
      <c r="BJ664" s="1"/>
      <c r="CH664" s="1"/>
    </row>
    <row r="665">
      <c r="D665" s="135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BD665" s="1"/>
      <c r="BE665" s="1"/>
      <c r="BF665" s="1"/>
      <c r="BG665" s="1"/>
      <c r="BH665" s="1"/>
      <c r="BI665" s="1"/>
      <c r="BJ665" s="1"/>
      <c r="CH665" s="1"/>
    </row>
    <row r="666">
      <c r="D666" s="135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BD666" s="1"/>
      <c r="BE666" s="1"/>
      <c r="BF666" s="1"/>
      <c r="BG666" s="1"/>
      <c r="BH666" s="1"/>
      <c r="BI666" s="1"/>
      <c r="BJ666" s="1"/>
      <c r="CH666" s="1"/>
    </row>
    <row r="667">
      <c r="D667" s="135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BD667" s="1"/>
      <c r="BE667" s="1"/>
      <c r="BF667" s="1"/>
      <c r="BG667" s="1"/>
      <c r="BH667" s="1"/>
      <c r="BI667" s="1"/>
      <c r="BJ667" s="1"/>
      <c r="CH667" s="1"/>
    </row>
    <row r="668">
      <c r="D668" s="135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BD668" s="1"/>
      <c r="BE668" s="1"/>
      <c r="BF668" s="1"/>
      <c r="BG668" s="1"/>
      <c r="BH668" s="1"/>
      <c r="BI668" s="1"/>
      <c r="BJ668" s="1"/>
      <c r="CH668" s="1"/>
    </row>
    <row r="669">
      <c r="D669" s="135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BD669" s="1"/>
      <c r="BE669" s="1"/>
      <c r="BF669" s="1"/>
      <c r="BG669" s="1"/>
      <c r="BH669" s="1"/>
      <c r="BI669" s="1"/>
      <c r="BJ669" s="1"/>
      <c r="CH669" s="1"/>
    </row>
    <row r="670">
      <c r="D670" s="135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BD670" s="1"/>
      <c r="BE670" s="1"/>
      <c r="BF670" s="1"/>
      <c r="BG670" s="1"/>
      <c r="BH670" s="1"/>
      <c r="BI670" s="1"/>
      <c r="BJ670" s="1"/>
      <c r="CH670" s="1"/>
    </row>
    <row r="671">
      <c r="D671" s="135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BD671" s="1"/>
      <c r="BE671" s="1"/>
      <c r="BF671" s="1"/>
      <c r="BG671" s="1"/>
      <c r="BH671" s="1"/>
      <c r="BI671" s="1"/>
      <c r="BJ671" s="1"/>
      <c r="CH671" s="1"/>
    </row>
    <row r="672">
      <c r="D672" s="135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BD672" s="1"/>
      <c r="BE672" s="1"/>
      <c r="BF672" s="1"/>
      <c r="BG672" s="1"/>
      <c r="BH672" s="1"/>
      <c r="BI672" s="1"/>
      <c r="BJ672" s="1"/>
      <c r="CH672" s="1"/>
    </row>
    <row r="673">
      <c r="D673" s="135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BD673" s="1"/>
      <c r="BE673" s="1"/>
      <c r="BF673" s="1"/>
      <c r="BG673" s="1"/>
      <c r="BH673" s="1"/>
      <c r="BI673" s="1"/>
      <c r="BJ673" s="1"/>
      <c r="CH673" s="1"/>
    </row>
    <row r="674">
      <c r="D674" s="135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BD674" s="1"/>
      <c r="BE674" s="1"/>
      <c r="BF674" s="1"/>
      <c r="BG674" s="1"/>
      <c r="BH674" s="1"/>
      <c r="BI674" s="1"/>
      <c r="BJ674" s="1"/>
      <c r="CH674" s="1"/>
    </row>
    <row r="675">
      <c r="D675" s="135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BD675" s="1"/>
      <c r="BE675" s="1"/>
      <c r="BF675" s="1"/>
      <c r="BG675" s="1"/>
      <c r="BH675" s="1"/>
      <c r="BI675" s="1"/>
      <c r="BJ675" s="1"/>
      <c r="CH675" s="1"/>
    </row>
    <row r="676">
      <c r="D676" s="135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BD676" s="1"/>
      <c r="BE676" s="1"/>
      <c r="BF676" s="1"/>
      <c r="BG676" s="1"/>
      <c r="BH676" s="1"/>
      <c r="BI676" s="1"/>
      <c r="BJ676" s="1"/>
      <c r="CH676" s="1"/>
    </row>
    <row r="677">
      <c r="D677" s="135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BD677" s="1"/>
      <c r="BE677" s="1"/>
      <c r="BF677" s="1"/>
      <c r="BG677" s="1"/>
      <c r="BH677" s="1"/>
      <c r="BI677" s="1"/>
      <c r="BJ677" s="1"/>
      <c r="CH677" s="1"/>
    </row>
    <row r="678">
      <c r="D678" s="135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BD678" s="1"/>
      <c r="BE678" s="1"/>
      <c r="BF678" s="1"/>
      <c r="BG678" s="1"/>
      <c r="BH678" s="1"/>
      <c r="BI678" s="1"/>
      <c r="BJ678" s="1"/>
      <c r="CH678" s="1"/>
    </row>
    <row r="679">
      <c r="D679" s="135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BD679" s="1"/>
      <c r="BE679" s="1"/>
      <c r="BF679" s="1"/>
      <c r="BG679" s="1"/>
      <c r="BH679" s="1"/>
      <c r="BI679" s="1"/>
      <c r="BJ679" s="1"/>
      <c r="CH679" s="1"/>
    </row>
    <row r="680">
      <c r="D680" s="135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BD680" s="1"/>
      <c r="BE680" s="1"/>
      <c r="BF680" s="1"/>
      <c r="BG680" s="1"/>
      <c r="BH680" s="1"/>
      <c r="BI680" s="1"/>
      <c r="BJ680" s="1"/>
      <c r="CH680" s="1"/>
    </row>
    <row r="681">
      <c r="D681" s="135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BD681" s="1"/>
      <c r="BE681" s="1"/>
      <c r="BF681" s="1"/>
      <c r="BG681" s="1"/>
      <c r="BH681" s="1"/>
      <c r="BI681" s="1"/>
      <c r="BJ681" s="1"/>
      <c r="CH681" s="1"/>
    </row>
    <row r="682">
      <c r="D682" s="135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BD682" s="1"/>
      <c r="BE682" s="1"/>
      <c r="BF682" s="1"/>
      <c r="BG682" s="1"/>
      <c r="BH682" s="1"/>
      <c r="BI682" s="1"/>
      <c r="BJ682" s="1"/>
      <c r="CH682" s="1"/>
    </row>
    <row r="683">
      <c r="D683" s="135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BD683" s="1"/>
      <c r="BE683" s="1"/>
      <c r="BF683" s="1"/>
      <c r="BG683" s="1"/>
      <c r="BH683" s="1"/>
      <c r="BI683" s="1"/>
      <c r="BJ683" s="1"/>
      <c r="CH683" s="1"/>
    </row>
    <row r="684">
      <c r="D684" s="135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BD684" s="1"/>
      <c r="BE684" s="1"/>
      <c r="BF684" s="1"/>
      <c r="BG684" s="1"/>
      <c r="BH684" s="1"/>
      <c r="BI684" s="1"/>
      <c r="BJ684" s="1"/>
      <c r="CH684" s="1"/>
    </row>
    <row r="685">
      <c r="D685" s="135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BD685" s="1"/>
      <c r="BE685" s="1"/>
      <c r="BF685" s="1"/>
      <c r="BG685" s="1"/>
      <c r="BH685" s="1"/>
      <c r="BI685" s="1"/>
      <c r="BJ685" s="1"/>
      <c r="CH685" s="1"/>
    </row>
    <row r="686">
      <c r="D686" s="135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BD686" s="1"/>
      <c r="BE686" s="1"/>
      <c r="BF686" s="1"/>
      <c r="BG686" s="1"/>
      <c r="BH686" s="1"/>
      <c r="BI686" s="1"/>
      <c r="BJ686" s="1"/>
      <c r="CH686" s="1"/>
    </row>
    <row r="687">
      <c r="D687" s="135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BD687" s="1"/>
      <c r="BE687" s="1"/>
      <c r="BF687" s="1"/>
      <c r="BG687" s="1"/>
      <c r="BH687" s="1"/>
      <c r="BI687" s="1"/>
      <c r="BJ687" s="1"/>
      <c r="CH687" s="1"/>
    </row>
    <row r="688">
      <c r="D688" s="135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BD688" s="1"/>
      <c r="BE688" s="1"/>
      <c r="BF688" s="1"/>
      <c r="BG688" s="1"/>
      <c r="BH688" s="1"/>
      <c r="BI688" s="1"/>
      <c r="BJ688" s="1"/>
      <c r="CH688" s="1"/>
    </row>
    <row r="689">
      <c r="D689" s="135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BD689" s="1"/>
      <c r="BE689" s="1"/>
      <c r="BF689" s="1"/>
      <c r="BG689" s="1"/>
      <c r="BH689" s="1"/>
      <c r="BI689" s="1"/>
      <c r="BJ689" s="1"/>
      <c r="CH689" s="1"/>
    </row>
    <row r="690">
      <c r="D690" s="135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BD690" s="1"/>
      <c r="BE690" s="1"/>
      <c r="BF690" s="1"/>
      <c r="BG690" s="1"/>
      <c r="BH690" s="1"/>
      <c r="BI690" s="1"/>
      <c r="BJ690" s="1"/>
      <c r="CH690" s="1"/>
    </row>
    <row r="691">
      <c r="D691" s="135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BD691" s="1"/>
      <c r="BE691" s="1"/>
      <c r="BF691" s="1"/>
      <c r="BG691" s="1"/>
      <c r="BH691" s="1"/>
      <c r="BI691" s="1"/>
      <c r="BJ691" s="1"/>
      <c r="CH691" s="1"/>
    </row>
    <row r="692">
      <c r="D692" s="135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BD692" s="1"/>
      <c r="BE692" s="1"/>
      <c r="BF692" s="1"/>
      <c r="BG692" s="1"/>
      <c r="BH692" s="1"/>
      <c r="BI692" s="1"/>
      <c r="BJ692" s="1"/>
      <c r="CH692" s="1"/>
    </row>
    <row r="693">
      <c r="D693" s="135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BD693" s="1"/>
      <c r="BE693" s="1"/>
      <c r="BF693" s="1"/>
      <c r="BG693" s="1"/>
      <c r="BH693" s="1"/>
      <c r="BI693" s="1"/>
      <c r="BJ693" s="1"/>
      <c r="CH693" s="1"/>
    </row>
    <row r="694">
      <c r="D694" s="135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BD694" s="1"/>
      <c r="BE694" s="1"/>
      <c r="BF694" s="1"/>
      <c r="BG694" s="1"/>
      <c r="BH694" s="1"/>
      <c r="BI694" s="1"/>
      <c r="BJ694" s="1"/>
      <c r="CH694" s="1"/>
    </row>
    <row r="695">
      <c r="D695" s="135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BD695" s="1"/>
      <c r="BE695" s="1"/>
      <c r="BF695" s="1"/>
      <c r="BG695" s="1"/>
      <c r="BH695" s="1"/>
      <c r="BI695" s="1"/>
      <c r="BJ695" s="1"/>
      <c r="CH695" s="1"/>
    </row>
    <row r="696">
      <c r="D696" s="135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BD696" s="1"/>
      <c r="BE696" s="1"/>
      <c r="BF696" s="1"/>
      <c r="BG696" s="1"/>
      <c r="BH696" s="1"/>
      <c r="BI696" s="1"/>
      <c r="BJ696" s="1"/>
      <c r="CH696" s="1"/>
    </row>
    <row r="697">
      <c r="D697" s="135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BD697" s="1"/>
      <c r="BE697" s="1"/>
      <c r="BF697" s="1"/>
      <c r="BG697" s="1"/>
      <c r="BH697" s="1"/>
      <c r="BI697" s="1"/>
      <c r="BJ697" s="1"/>
      <c r="CH697" s="1"/>
    </row>
    <row r="698">
      <c r="D698" s="135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BD698" s="1"/>
      <c r="BE698" s="1"/>
      <c r="BF698" s="1"/>
      <c r="BG698" s="1"/>
      <c r="BH698" s="1"/>
      <c r="BI698" s="1"/>
      <c r="BJ698" s="1"/>
      <c r="CH698" s="1"/>
    </row>
    <row r="699">
      <c r="D699" s="135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BD699" s="1"/>
      <c r="BE699" s="1"/>
      <c r="BF699" s="1"/>
      <c r="BG699" s="1"/>
      <c r="BH699" s="1"/>
      <c r="BI699" s="1"/>
      <c r="BJ699" s="1"/>
      <c r="CH699" s="1"/>
    </row>
    <row r="700">
      <c r="D700" s="135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BD700" s="1"/>
      <c r="BE700" s="1"/>
      <c r="BF700" s="1"/>
      <c r="BG700" s="1"/>
      <c r="BH700" s="1"/>
      <c r="BI700" s="1"/>
      <c r="BJ700" s="1"/>
      <c r="CH700" s="1"/>
    </row>
    <row r="701">
      <c r="D701" s="135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BD701" s="1"/>
      <c r="BE701" s="1"/>
      <c r="BF701" s="1"/>
      <c r="BG701" s="1"/>
      <c r="BH701" s="1"/>
      <c r="BI701" s="1"/>
      <c r="BJ701" s="1"/>
      <c r="CH701" s="1"/>
    </row>
    <row r="702">
      <c r="D702" s="135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BD702" s="1"/>
      <c r="BE702" s="1"/>
      <c r="BF702" s="1"/>
      <c r="BG702" s="1"/>
      <c r="BH702" s="1"/>
      <c r="BI702" s="1"/>
      <c r="BJ702" s="1"/>
      <c r="CH702" s="1"/>
    </row>
    <row r="703">
      <c r="D703" s="135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BD703" s="1"/>
      <c r="BE703" s="1"/>
      <c r="BF703" s="1"/>
      <c r="BG703" s="1"/>
      <c r="BH703" s="1"/>
      <c r="BI703" s="1"/>
      <c r="BJ703" s="1"/>
      <c r="CH703" s="1"/>
    </row>
    <row r="704">
      <c r="D704" s="135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BD704" s="1"/>
      <c r="BE704" s="1"/>
      <c r="BF704" s="1"/>
      <c r="BG704" s="1"/>
      <c r="BH704" s="1"/>
      <c r="BI704" s="1"/>
      <c r="BJ704" s="1"/>
      <c r="CH704" s="1"/>
    </row>
    <row r="705">
      <c r="D705" s="135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BD705" s="1"/>
      <c r="BE705" s="1"/>
      <c r="BF705" s="1"/>
      <c r="BG705" s="1"/>
      <c r="BH705" s="1"/>
      <c r="BI705" s="1"/>
      <c r="BJ705" s="1"/>
      <c r="CH705" s="1"/>
    </row>
    <row r="706">
      <c r="D706" s="135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BD706" s="1"/>
      <c r="BE706" s="1"/>
      <c r="BF706" s="1"/>
      <c r="BG706" s="1"/>
      <c r="BH706" s="1"/>
      <c r="BI706" s="1"/>
      <c r="BJ706" s="1"/>
      <c r="CH706" s="1"/>
    </row>
    <row r="707">
      <c r="D707" s="135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BD707" s="1"/>
      <c r="BE707" s="1"/>
      <c r="BF707" s="1"/>
      <c r="BG707" s="1"/>
      <c r="BH707" s="1"/>
      <c r="BI707" s="1"/>
      <c r="BJ707" s="1"/>
      <c r="CH707" s="1"/>
    </row>
    <row r="708">
      <c r="D708" s="135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BD708" s="1"/>
      <c r="BE708" s="1"/>
      <c r="BF708" s="1"/>
      <c r="BG708" s="1"/>
      <c r="BH708" s="1"/>
      <c r="BI708" s="1"/>
      <c r="BJ708" s="1"/>
      <c r="CH708" s="1"/>
    </row>
    <row r="709">
      <c r="D709" s="135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BD709" s="1"/>
      <c r="BE709" s="1"/>
      <c r="BF709" s="1"/>
      <c r="BG709" s="1"/>
      <c r="BH709" s="1"/>
      <c r="BI709" s="1"/>
      <c r="BJ709" s="1"/>
      <c r="CH709" s="1"/>
    </row>
    <row r="710">
      <c r="D710" s="135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BD710" s="1"/>
      <c r="BE710" s="1"/>
      <c r="BF710" s="1"/>
      <c r="BG710" s="1"/>
      <c r="BH710" s="1"/>
      <c r="BI710" s="1"/>
      <c r="BJ710" s="1"/>
      <c r="CH710" s="1"/>
    </row>
    <row r="711">
      <c r="D711" s="135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BD711" s="1"/>
      <c r="BE711" s="1"/>
      <c r="BF711" s="1"/>
      <c r="BG711" s="1"/>
      <c r="BH711" s="1"/>
      <c r="BI711" s="1"/>
      <c r="BJ711" s="1"/>
      <c r="CH711" s="1"/>
    </row>
    <row r="712">
      <c r="D712" s="135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BD712" s="1"/>
      <c r="BE712" s="1"/>
      <c r="BF712" s="1"/>
      <c r="BG712" s="1"/>
      <c r="BH712" s="1"/>
      <c r="BI712" s="1"/>
      <c r="BJ712" s="1"/>
      <c r="CH712" s="1"/>
    </row>
    <row r="713">
      <c r="D713" s="135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BD713" s="1"/>
      <c r="BE713" s="1"/>
      <c r="BF713" s="1"/>
      <c r="BG713" s="1"/>
      <c r="BH713" s="1"/>
      <c r="BI713" s="1"/>
      <c r="BJ713" s="1"/>
      <c r="CH713" s="1"/>
    </row>
    <row r="714">
      <c r="D714" s="135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BD714" s="1"/>
      <c r="BE714" s="1"/>
      <c r="BF714" s="1"/>
      <c r="BG714" s="1"/>
      <c r="BH714" s="1"/>
      <c r="BI714" s="1"/>
      <c r="BJ714" s="1"/>
      <c r="CH714" s="1"/>
    </row>
    <row r="715">
      <c r="D715" s="135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BD715" s="1"/>
      <c r="BE715" s="1"/>
      <c r="BF715" s="1"/>
      <c r="BG715" s="1"/>
      <c r="BH715" s="1"/>
      <c r="BI715" s="1"/>
      <c r="BJ715" s="1"/>
      <c r="CH715" s="1"/>
    </row>
    <row r="716">
      <c r="D716" s="135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BD716" s="1"/>
      <c r="BE716" s="1"/>
      <c r="BF716" s="1"/>
      <c r="BG716" s="1"/>
      <c r="BH716" s="1"/>
      <c r="BI716" s="1"/>
      <c r="BJ716" s="1"/>
      <c r="CH716" s="1"/>
    </row>
    <row r="717">
      <c r="D717" s="135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BD717" s="1"/>
      <c r="BE717" s="1"/>
      <c r="BF717" s="1"/>
      <c r="BG717" s="1"/>
      <c r="BH717" s="1"/>
      <c r="BI717" s="1"/>
      <c r="BJ717" s="1"/>
      <c r="CH717" s="1"/>
    </row>
    <row r="718">
      <c r="D718" s="135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BD718" s="1"/>
      <c r="BE718" s="1"/>
      <c r="BF718" s="1"/>
      <c r="BG718" s="1"/>
      <c r="BH718" s="1"/>
      <c r="BI718" s="1"/>
      <c r="BJ718" s="1"/>
      <c r="CH718" s="1"/>
    </row>
    <row r="719">
      <c r="D719" s="135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BD719" s="1"/>
      <c r="BE719" s="1"/>
      <c r="BF719" s="1"/>
      <c r="BG719" s="1"/>
      <c r="BH719" s="1"/>
      <c r="BI719" s="1"/>
      <c r="BJ719" s="1"/>
      <c r="CH719" s="1"/>
    </row>
    <row r="720">
      <c r="D720" s="135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BD720" s="1"/>
      <c r="BE720" s="1"/>
      <c r="BF720" s="1"/>
      <c r="BG720" s="1"/>
      <c r="BH720" s="1"/>
      <c r="BI720" s="1"/>
      <c r="BJ720" s="1"/>
      <c r="CH720" s="1"/>
    </row>
    <row r="721">
      <c r="D721" s="135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BD721" s="1"/>
      <c r="BE721" s="1"/>
      <c r="BF721" s="1"/>
      <c r="BG721" s="1"/>
      <c r="BH721" s="1"/>
      <c r="BI721" s="1"/>
      <c r="BJ721" s="1"/>
      <c r="CH721" s="1"/>
    </row>
    <row r="722">
      <c r="D722" s="135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BD722" s="1"/>
      <c r="BE722" s="1"/>
      <c r="BF722" s="1"/>
      <c r="BG722" s="1"/>
      <c r="BH722" s="1"/>
      <c r="BI722" s="1"/>
      <c r="BJ722" s="1"/>
      <c r="CH722" s="1"/>
    </row>
    <row r="723">
      <c r="D723" s="135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BD723" s="1"/>
      <c r="BE723" s="1"/>
      <c r="BF723" s="1"/>
      <c r="BG723" s="1"/>
      <c r="BH723" s="1"/>
      <c r="BI723" s="1"/>
      <c r="BJ723" s="1"/>
      <c r="CH723" s="1"/>
    </row>
    <row r="724">
      <c r="D724" s="135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BD724" s="1"/>
      <c r="BE724" s="1"/>
      <c r="BF724" s="1"/>
      <c r="BG724" s="1"/>
      <c r="BH724" s="1"/>
      <c r="BI724" s="1"/>
      <c r="BJ724" s="1"/>
      <c r="CH724" s="1"/>
    </row>
    <row r="725">
      <c r="D725" s="135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BD725" s="1"/>
      <c r="BE725" s="1"/>
      <c r="BF725" s="1"/>
      <c r="BG725" s="1"/>
      <c r="BH725" s="1"/>
      <c r="BI725" s="1"/>
      <c r="BJ725" s="1"/>
      <c r="CH725" s="1"/>
    </row>
    <row r="726">
      <c r="D726" s="135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BD726" s="1"/>
      <c r="BE726" s="1"/>
      <c r="BF726" s="1"/>
      <c r="BG726" s="1"/>
      <c r="BH726" s="1"/>
      <c r="BI726" s="1"/>
      <c r="BJ726" s="1"/>
      <c r="CH726" s="1"/>
    </row>
    <row r="727">
      <c r="D727" s="135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BD727" s="1"/>
      <c r="BE727" s="1"/>
      <c r="BF727" s="1"/>
      <c r="BG727" s="1"/>
      <c r="BH727" s="1"/>
      <c r="BI727" s="1"/>
      <c r="BJ727" s="1"/>
      <c r="CH727" s="1"/>
    </row>
    <row r="728">
      <c r="D728" s="135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BD728" s="1"/>
      <c r="BE728" s="1"/>
      <c r="BF728" s="1"/>
      <c r="BG728" s="1"/>
      <c r="BH728" s="1"/>
      <c r="BI728" s="1"/>
      <c r="BJ728" s="1"/>
      <c r="CH728" s="1"/>
    </row>
    <row r="729">
      <c r="D729" s="135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BD729" s="1"/>
      <c r="BE729" s="1"/>
      <c r="BF729" s="1"/>
      <c r="BG729" s="1"/>
      <c r="BH729" s="1"/>
      <c r="BI729" s="1"/>
      <c r="BJ729" s="1"/>
      <c r="CH729" s="1"/>
    </row>
    <row r="730">
      <c r="D730" s="135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BD730" s="1"/>
      <c r="BE730" s="1"/>
      <c r="BF730" s="1"/>
      <c r="BG730" s="1"/>
      <c r="BH730" s="1"/>
      <c r="BI730" s="1"/>
      <c r="BJ730" s="1"/>
      <c r="CH730" s="1"/>
    </row>
    <row r="731">
      <c r="D731" s="135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BD731" s="1"/>
      <c r="BE731" s="1"/>
      <c r="BF731" s="1"/>
      <c r="BG731" s="1"/>
      <c r="BH731" s="1"/>
      <c r="BI731" s="1"/>
      <c r="BJ731" s="1"/>
      <c r="CH731" s="1"/>
    </row>
    <row r="732">
      <c r="D732" s="135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BD732" s="1"/>
      <c r="BE732" s="1"/>
      <c r="BF732" s="1"/>
      <c r="BG732" s="1"/>
      <c r="BH732" s="1"/>
      <c r="BI732" s="1"/>
      <c r="BJ732" s="1"/>
      <c r="CH732" s="1"/>
    </row>
    <row r="733">
      <c r="D733" s="135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BD733" s="1"/>
      <c r="BE733" s="1"/>
      <c r="BF733" s="1"/>
      <c r="BG733" s="1"/>
      <c r="BH733" s="1"/>
      <c r="BI733" s="1"/>
      <c r="BJ733" s="1"/>
      <c r="CH733" s="1"/>
    </row>
    <row r="734">
      <c r="D734" s="135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BD734" s="1"/>
      <c r="BE734" s="1"/>
      <c r="BF734" s="1"/>
      <c r="BG734" s="1"/>
      <c r="BH734" s="1"/>
      <c r="BI734" s="1"/>
      <c r="BJ734" s="1"/>
      <c r="CH734" s="1"/>
    </row>
    <row r="735">
      <c r="D735" s="135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BD735" s="1"/>
      <c r="BE735" s="1"/>
      <c r="BF735" s="1"/>
      <c r="BG735" s="1"/>
      <c r="BH735" s="1"/>
      <c r="BI735" s="1"/>
      <c r="BJ735" s="1"/>
      <c r="CH735" s="1"/>
    </row>
    <row r="736">
      <c r="D736" s="135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BD736" s="1"/>
      <c r="BE736" s="1"/>
      <c r="BF736" s="1"/>
      <c r="BG736" s="1"/>
      <c r="BH736" s="1"/>
      <c r="BI736" s="1"/>
      <c r="BJ736" s="1"/>
      <c r="CH736" s="1"/>
    </row>
    <row r="737">
      <c r="D737" s="135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BD737" s="1"/>
      <c r="BE737" s="1"/>
      <c r="BF737" s="1"/>
      <c r="BG737" s="1"/>
      <c r="BH737" s="1"/>
      <c r="BI737" s="1"/>
      <c r="BJ737" s="1"/>
      <c r="CH737" s="1"/>
    </row>
    <row r="738">
      <c r="D738" s="135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BD738" s="1"/>
      <c r="BE738" s="1"/>
      <c r="BF738" s="1"/>
      <c r="BG738" s="1"/>
      <c r="BH738" s="1"/>
      <c r="BI738" s="1"/>
      <c r="BJ738" s="1"/>
      <c r="CH738" s="1"/>
    </row>
    <row r="739">
      <c r="D739" s="135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BD739" s="1"/>
      <c r="BE739" s="1"/>
      <c r="BF739" s="1"/>
      <c r="BG739" s="1"/>
      <c r="BH739" s="1"/>
      <c r="BI739" s="1"/>
      <c r="BJ739" s="1"/>
      <c r="CH739" s="1"/>
    </row>
    <row r="740">
      <c r="D740" s="135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BD740" s="1"/>
      <c r="BE740" s="1"/>
      <c r="BF740" s="1"/>
      <c r="BG740" s="1"/>
      <c r="BH740" s="1"/>
      <c r="BI740" s="1"/>
      <c r="BJ740" s="1"/>
      <c r="CH740" s="1"/>
    </row>
    <row r="741">
      <c r="D741" s="135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BD741" s="1"/>
      <c r="BE741" s="1"/>
      <c r="BF741" s="1"/>
      <c r="BG741" s="1"/>
      <c r="BH741" s="1"/>
      <c r="BI741" s="1"/>
      <c r="BJ741" s="1"/>
      <c r="CH741" s="1"/>
    </row>
    <row r="742">
      <c r="D742" s="135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BD742" s="1"/>
      <c r="BE742" s="1"/>
      <c r="BF742" s="1"/>
      <c r="BG742" s="1"/>
      <c r="BH742" s="1"/>
      <c r="BI742" s="1"/>
      <c r="BJ742" s="1"/>
      <c r="CH742" s="1"/>
    </row>
    <row r="743">
      <c r="D743" s="135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BD743" s="1"/>
      <c r="BE743" s="1"/>
      <c r="BF743" s="1"/>
      <c r="BG743" s="1"/>
      <c r="BH743" s="1"/>
      <c r="BI743" s="1"/>
      <c r="BJ743" s="1"/>
      <c r="CH743" s="1"/>
    </row>
    <row r="744">
      <c r="D744" s="135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BD744" s="1"/>
      <c r="BE744" s="1"/>
      <c r="BF744" s="1"/>
      <c r="BG744" s="1"/>
      <c r="BH744" s="1"/>
      <c r="BI744" s="1"/>
      <c r="BJ744" s="1"/>
      <c r="CH744" s="1"/>
    </row>
    <row r="745">
      <c r="D745" s="135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BD745" s="1"/>
      <c r="BE745" s="1"/>
      <c r="BF745" s="1"/>
      <c r="BG745" s="1"/>
      <c r="BH745" s="1"/>
      <c r="BI745" s="1"/>
      <c r="BJ745" s="1"/>
      <c r="CH745" s="1"/>
    </row>
    <row r="746">
      <c r="D746" s="135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BD746" s="1"/>
      <c r="BE746" s="1"/>
      <c r="BF746" s="1"/>
      <c r="BG746" s="1"/>
      <c r="BH746" s="1"/>
      <c r="BI746" s="1"/>
      <c r="BJ746" s="1"/>
      <c r="CH746" s="1"/>
    </row>
    <row r="747">
      <c r="D747" s="135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BD747" s="1"/>
      <c r="BE747" s="1"/>
      <c r="BF747" s="1"/>
      <c r="BG747" s="1"/>
      <c r="BH747" s="1"/>
      <c r="BI747" s="1"/>
      <c r="BJ747" s="1"/>
      <c r="CH747" s="1"/>
    </row>
    <row r="748">
      <c r="D748" s="135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BD748" s="1"/>
      <c r="BE748" s="1"/>
      <c r="BF748" s="1"/>
      <c r="BG748" s="1"/>
      <c r="BH748" s="1"/>
      <c r="BI748" s="1"/>
      <c r="BJ748" s="1"/>
      <c r="CH748" s="1"/>
    </row>
    <row r="749">
      <c r="D749" s="135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BD749" s="1"/>
      <c r="BE749" s="1"/>
      <c r="BF749" s="1"/>
      <c r="BG749" s="1"/>
      <c r="BH749" s="1"/>
      <c r="BI749" s="1"/>
      <c r="BJ749" s="1"/>
      <c r="CH749" s="1"/>
    </row>
    <row r="750">
      <c r="D750" s="135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BD750" s="1"/>
      <c r="BE750" s="1"/>
      <c r="BF750" s="1"/>
      <c r="BG750" s="1"/>
      <c r="BH750" s="1"/>
      <c r="BI750" s="1"/>
      <c r="BJ750" s="1"/>
      <c r="CH750" s="1"/>
    </row>
    <row r="751">
      <c r="D751" s="135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BD751" s="1"/>
      <c r="BE751" s="1"/>
      <c r="BF751" s="1"/>
      <c r="BG751" s="1"/>
      <c r="BH751" s="1"/>
      <c r="BI751" s="1"/>
      <c r="BJ751" s="1"/>
      <c r="CH751" s="1"/>
    </row>
    <row r="752">
      <c r="D752" s="135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BD752" s="1"/>
      <c r="BE752" s="1"/>
      <c r="BF752" s="1"/>
      <c r="BG752" s="1"/>
      <c r="BH752" s="1"/>
      <c r="BI752" s="1"/>
      <c r="BJ752" s="1"/>
      <c r="CH752" s="1"/>
    </row>
    <row r="753">
      <c r="D753" s="135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BD753" s="1"/>
      <c r="BE753" s="1"/>
      <c r="BF753" s="1"/>
      <c r="BG753" s="1"/>
      <c r="BH753" s="1"/>
      <c r="BI753" s="1"/>
      <c r="BJ753" s="1"/>
      <c r="CH753" s="1"/>
    </row>
    <row r="754">
      <c r="D754" s="135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BD754" s="1"/>
      <c r="BE754" s="1"/>
      <c r="BF754" s="1"/>
      <c r="BG754" s="1"/>
      <c r="BH754" s="1"/>
      <c r="BI754" s="1"/>
      <c r="BJ754" s="1"/>
      <c r="CH754" s="1"/>
    </row>
    <row r="755">
      <c r="D755" s="135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BD755" s="1"/>
      <c r="BE755" s="1"/>
      <c r="BF755" s="1"/>
      <c r="BG755" s="1"/>
      <c r="BH755" s="1"/>
      <c r="BI755" s="1"/>
      <c r="BJ755" s="1"/>
      <c r="CH755" s="1"/>
    </row>
    <row r="756">
      <c r="D756" s="135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BD756" s="1"/>
      <c r="BE756" s="1"/>
      <c r="BF756" s="1"/>
      <c r="BG756" s="1"/>
      <c r="BH756" s="1"/>
      <c r="BI756" s="1"/>
      <c r="BJ756" s="1"/>
      <c r="CH756" s="1"/>
    </row>
    <row r="757">
      <c r="D757" s="135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BD757" s="1"/>
      <c r="BE757" s="1"/>
      <c r="BF757" s="1"/>
      <c r="BG757" s="1"/>
      <c r="BH757" s="1"/>
      <c r="BI757" s="1"/>
      <c r="BJ757" s="1"/>
      <c r="CH757" s="1"/>
    </row>
    <row r="758">
      <c r="D758" s="135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BD758" s="1"/>
      <c r="BE758" s="1"/>
      <c r="BF758" s="1"/>
      <c r="BG758" s="1"/>
      <c r="BH758" s="1"/>
      <c r="BI758" s="1"/>
      <c r="BJ758" s="1"/>
      <c r="CH758" s="1"/>
    </row>
    <row r="759">
      <c r="D759" s="135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BD759" s="1"/>
      <c r="BE759" s="1"/>
      <c r="BF759" s="1"/>
      <c r="BG759" s="1"/>
      <c r="BH759" s="1"/>
      <c r="BI759" s="1"/>
      <c r="BJ759" s="1"/>
      <c r="CH759" s="1"/>
    </row>
    <row r="760">
      <c r="D760" s="135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BD760" s="1"/>
      <c r="BE760" s="1"/>
      <c r="BF760" s="1"/>
      <c r="BG760" s="1"/>
      <c r="BH760" s="1"/>
      <c r="BI760" s="1"/>
      <c r="BJ760" s="1"/>
      <c r="CH760" s="1"/>
    </row>
    <row r="761">
      <c r="D761" s="135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BD761" s="1"/>
      <c r="BE761" s="1"/>
      <c r="BF761" s="1"/>
      <c r="BG761" s="1"/>
      <c r="BH761" s="1"/>
      <c r="BI761" s="1"/>
      <c r="BJ761" s="1"/>
      <c r="CH761" s="1"/>
    </row>
    <row r="762">
      <c r="D762" s="135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BD762" s="1"/>
      <c r="BE762" s="1"/>
      <c r="BF762" s="1"/>
      <c r="BG762" s="1"/>
      <c r="BH762" s="1"/>
      <c r="BI762" s="1"/>
      <c r="BJ762" s="1"/>
      <c r="CH762" s="1"/>
    </row>
    <row r="763">
      <c r="D763" s="135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BD763" s="1"/>
      <c r="BE763" s="1"/>
      <c r="BF763" s="1"/>
      <c r="BG763" s="1"/>
      <c r="BH763" s="1"/>
      <c r="BI763" s="1"/>
      <c r="BJ763" s="1"/>
      <c r="CH763" s="1"/>
    </row>
    <row r="764">
      <c r="D764" s="135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BD764" s="1"/>
      <c r="BE764" s="1"/>
      <c r="BF764" s="1"/>
      <c r="BG764" s="1"/>
      <c r="BH764" s="1"/>
      <c r="BI764" s="1"/>
      <c r="BJ764" s="1"/>
      <c r="CH764" s="1"/>
    </row>
    <row r="765">
      <c r="D765" s="135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BD765" s="1"/>
      <c r="BE765" s="1"/>
      <c r="BF765" s="1"/>
      <c r="BG765" s="1"/>
      <c r="BH765" s="1"/>
      <c r="BI765" s="1"/>
      <c r="BJ765" s="1"/>
      <c r="CH765" s="1"/>
    </row>
    <row r="766">
      <c r="D766" s="135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BD766" s="1"/>
      <c r="BE766" s="1"/>
      <c r="BF766" s="1"/>
      <c r="BG766" s="1"/>
      <c r="BH766" s="1"/>
      <c r="BI766" s="1"/>
      <c r="BJ766" s="1"/>
      <c r="CH766" s="1"/>
    </row>
    <row r="767">
      <c r="D767" s="135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BD767" s="1"/>
      <c r="BE767" s="1"/>
      <c r="BF767" s="1"/>
      <c r="BG767" s="1"/>
      <c r="BH767" s="1"/>
      <c r="BI767" s="1"/>
      <c r="BJ767" s="1"/>
      <c r="CH767" s="1"/>
    </row>
    <row r="768">
      <c r="D768" s="135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BD768" s="1"/>
      <c r="BE768" s="1"/>
      <c r="BF768" s="1"/>
      <c r="BG768" s="1"/>
      <c r="BH768" s="1"/>
      <c r="BI768" s="1"/>
      <c r="BJ768" s="1"/>
      <c r="CH768" s="1"/>
    </row>
    <row r="769">
      <c r="D769" s="135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BD769" s="1"/>
      <c r="BE769" s="1"/>
      <c r="BF769" s="1"/>
      <c r="BG769" s="1"/>
      <c r="BH769" s="1"/>
      <c r="BI769" s="1"/>
      <c r="BJ769" s="1"/>
      <c r="CH769" s="1"/>
    </row>
    <row r="770">
      <c r="D770" s="135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BD770" s="1"/>
      <c r="BE770" s="1"/>
      <c r="BF770" s="1"/>
      <c r="BG770" s="1"/>
      <c r="BH770" s="1"/>
      <c r="BI770" s="1"/>
      <c r="BJ770" s="1"/>
      <c r="CH770" s="1"/>
    </row>
    <row r="771">
      <c r="D771" s="135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BD771" s="1"/>
      <c r="BE771" s="1"/>
      <c r="BF771" s="1"/>
      <c r="BG771" s="1"/>
      <c r="BH771" s="1"/>
      <c r="BI771" s="1"/>
      <c r="BJ771" s="1"/>
      <c r="CH771" s="1"/>
    </row>
    <row r="772">
      <c r="D772" s="135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BD772" s="1"/>
      <c r="BE772" s="1"/>
      <c r="BF772" s="1"/>
      <c r="BG772" s="1"/>
      <c r="BH772" s="1"/>
      <c r="BI772" s="1"/>
      <c r="BJ772" s="1"/>
      <c r="CH772" s="1"/>
    </row>
    <row r="773">
      <c r="D773" s="135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BD773" s="1"/>
      <c r="BE773" s="1"/>
      <c r="BF773" s="1"/>
      <c r="BG773" s="1"/>
      <c r="BH773" s="1"/>
      <c r="BI773" s="1"/>
      <c r="BJ773" s="1"/>
      <c r="CH773" s="1"/>
    </row>
    <row r="774">
      <c r="D774" s="135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BD774" s="1"/>
      <c r="BE774" s="1"/>
      <c r="BF774" s="1"/>
      <c r="BG774" s="1"/>
      <c r="BH774" s="1"/>
      <c r="BI774" s="1"/>
      <c r="BJ774" s="1"/>
      <c r="CH774" s="1"/>
    </row>
    <row r="775">
      <c r="D775" s="135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BD775" s="1"/>
      <c r="BE775" s="1"/>
      <c r="BF775" s="1"/>
      <c r="BG775" s="1"/>
      <c r="BH775" s="1"/>
      <c r="BI775" s="1"/>
      <c r="BJ775" s="1"/>
      <c r="CH775" s="1"/>
    </row>
    <row r="776">
      <c r="D776" s="135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BD776" s="1"/>
      <c r="BE776" s="1"/>
      <c r="BF776" s="1"/>
      <c r="BG776" s="1"/>
      <c r="BH776" s="1"/>
      <c r="BI776" s="1"/>
      <c r="BJ776" s="1"/>
      <c r="CH776" s="1"/>
    </row>
    <row r="777">
      <c r="D777" s="135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BD777" s="1"/>
      <c r="BE777" s="1"/>
      <c r="BF777" s="1"/>
      <c r="BG777" s="1"/>
      <c r="BH777" s="1"/>
      <c r="BI777" s="1"/>
      <c r="BJ777" s="1"/>
      <c r="CH777" s="1"/>
    </row>
    <row r="778">
      <c r="D778" s="135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BD778" s="1"/>
      <c r="BE778" s="1"/>
      <c r="BF778" s="1"/>
      <c r="BG778" s="1"/>
      <c r="BH778" s="1"/>
      <c r="BI778" s="1"/>
      <c r="BJ778" s="1"/>
      <c r="CH778" s="1"/>
    </row>
    <row r="779">
      <c r="D779" s="135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BD779" s="1"/>
      <c r="BE779" s="1"/>
      <c r="BF779" s="1"/>
      <c r="BG779" s="1"/>
      <c r="BH779" s="1"/>
      <c r="BI779" s="1"/>
      <c r="BJ779" s="1"/>
      <c r="CH779" s="1"/>
    </row>
    <row r="780">
      <c r="D780" s="135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BD780" s="1"/>
      <c r="BE780" s="1"/>
      <c r="BF780" s="1"/>
      <c r="BG780" s="1"/>
      <c r="BH780" s="1"/>
      <c r="BI780" s="1"/>
      <c r="BJ780" s="1"/>
      <c r="CH780" s="1"/>
    </row>
    <row r="781">
      <c r="D781" s="135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BD781" s="1"/>
      <c r="BE781" s="1"/>
      <c r="BF781" s="1"/>
      <c r="BG781" s="1"/>
      <c r="BH781" s="1"/>
      <c r="BI781" s="1"/>
      <c r="BJ781" s="1"/>
      <c r="CH781" s="1"/>
    </row>
    <row r="782">
      <c r="D782" s="135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BD782" s="1"/>
      <c r="BE782" s="1"/>
      <c r="BF782" s="1"/>
      <c r="BG782" s="1"/>
      <c r="BH782" s="1"/>
      <c r="BI782" s="1"/>
      <c r="BJ782" s="1"/>
      <c r="CH782" s="1"/>
    </row>
    <row r="783">
      <c r="D783" s="135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BD783" s="1"/>
      <c r="BE783" s="1"/>
      <c r="BF783" s="1"/>
      <c r="BG783" s="1"/>
      <c r="BH783" s="1"/>
      <c r="BI783" s="1"/>
      <c r="BJ783" s="1"/>
      <c r="CH783" s="1"/>
    </row>
    <row r="784">
      <c r="D784" s="135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BD784" s="1"/>
      <c r="BE784" s="1"/>
      <c r="BF784" s="1"/>
      <c r="BG784" s="1"/>
      <c r="BH784" s="1"/>
      <c r="BI784" s="1"/>
      <c r="BJ784" s="1"/>
      <c r="CH784" s="1"/>
    </row>
    <row r="785">
      <c r="D785" s="135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BD785" s="1"/>
      <c r="BE785" s="1"/>
      <c r="BF785" s="1"/>
      <c r="BG785" s="1"/>
      <c r="BH785" s="1"/>
      <c r="BI785" s="1"/>
      <c r="BJ785" s="1"/>
      <c r="CH785" s="1"/>
    </row>
    <row r="786">
      <c r="D786" s="135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BD786" s="1"/>
      <c r="BE786" s="1"/>
      <c r="BF786" s="1"/>
      <c r="BG786" s="1"/>
      <c r="BH786" s="1"/>
      <c r="BI786" s="1"/>
      <c r="BJ786" s="1"/>
      <c r="CH786" s="1"/>
    </row>
    <row r="787">
      <c r="D787" s="135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BD787" s="1"/>
      <c r="BE787" s="1"/>
      <c r="BF787" s="1"/>
      <c r="BG787" s="1"/>
      <c r="BH787" s="1"/>
      <c r="BI787" s="1"/>
      <c r="BJ787" s="1"/>
      <c r="CH787" s="1"/>
    </row>
    <row r="788">
      <c r="D788" s="135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BD788" s="1"/>
      <c r="BE788" s="1"/>
      <c r="BF788" s="1"/>
      <c r="BG788" s="1"/>
      <c r="BH788" s="1"/>
      <c r="BI788" s="1"/>
      <c r="BJ788" s="1"/>
      <c r="CH788" s="1"/>
    </row>
    <row r="789">
      <c r="D789" s="135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BD789" s="1"/>
      <c r="BE789" s="1"/>
      <c r="BF789" s="1"/>
      <c r="BG789" s="1"/>
      <c r="BH789" s="1"/>
      <c r="BI789" s="1"/>
      <c r="BJ789" s="1"/>
      <c r="CH789" s="1"/>
    </row>
    <row r="790">
      <c r="D790" s="135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BD790" s="1"/>
      <c r="BE790" s="1"/>
      <c r="BF790" s="1"/>
      <c r="BG790" s="1"/>
      <c r="BH790" s="1"/>
      <c r="BI790" s="1"/>
      <c r="BJ790" s="1"/>
      <c r="CH790" s="1"/>
    </row>
    <row r="791">
      <c r="D791" s="135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BD791" s="1"/>
      <c r="BE791" s="1"/>
      <c r="BF791" s="1"/>
      <c r="BG791" s="1"/>
      <c r="BH791" s="1"/>
      <c r="BI791" s="1"/>
      <c r="BJ791" s="1"/>
      <c r="CH791" s="1"/>
    </row>
    <row r="792">
      <c r="D792" s="135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BD792" s="1"/>
      <c r="BE792" s="1"/>
      <c r="BF792" s="1"/>
      <c r="BG792" s="1"/>
      <c r="BH792" s="1"/>
      <c r="BI792" s="1"/>
      <c r="BJ792" s="1"/>
      <c r="CH792" s="1"/>
    </row>
    <row r="793">
      <c r="D793" s="135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BD793" s="1"/>
      <c r="BE793" s="1"/>
      <c r="BF793" s="1"/>
      <c r="BG793" s="1"/>
      <c r="BH793" s="1"/>
      <c r="BI793" s="1"/>
      <c r="BJ793" s="1"/>
      <c r="CH793" s="1"/>
    </row>
    <row r="794">
      <c r="D794" s="135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BD794" s="1"/>
      <c r="BE794" s="1"/>
      <c r="BF794" s="1"/>
      <c r="BG794" s="1"/>
      <c r="BH794" s="1"/>
      <c r="BI794" s="1"/>
      <c r="BJ794" s="1"/>
      <c r="CH794" s="1"/>
    </row>
    <row r="795">
      <c r="D795" s="135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BD795" s="1"/>
      <c r="BE795" s="1"/>
      <c r="BF795" s="1"/>
      <c r="BG795" s="1"/>
      <c r="BH795" s="1"/>
      <c r="BI795" s="1"/>
      <c r="BJ795" s="1"/>
      <c r="CH795" s="1"/>
    </row>
    <row r="796">
      <c r="D796" s="135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BD796" s="1"/>
      <c r="BE796" s="1"/>
      <c r="BF796" s="1"/>
      <c r="BG796" s="1"/>
      <c r="BH796" s="1"/>
      <c r="BI796" s="1"/>
      <c r="BJ796" s="1"/>
      <c r="CH796" s="1"/>
    </row>
    <row r="797">
      <c r="D797" s="135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BD797" s="1"/>
      <c r="BE797" s="1"/>
      <c r="BF797" s="1"/>
      <c r="BG797" s="1"/>
      <c r="BH797" s="1"/>
      <c r="BI797" s="1"/>
      <c r="BJ797" s="1"/>
      <c r="CH797" s="1"/>
    </row>
    <row r="798">
      <c r="D798" s="135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BD798" s="1"/>
      <c r="BE798" s="1"/>
      <c r="BF798" s="1"/>
      <c r="BG798" s="1"/>
      <c r="BH798" s="1"/>
      <c r="BI798" s="1"/>
      <c r="BJ798" s="1"/>
      <c r="CH798" s="1"/>
    </row>
    <row r="799">
      <c r="D799" s="135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BD799" s="1"/>
      <c r="BE799" s="1"/>
      <c r="BF799" s="1"/>
      <c r="BG799" s="1"/>
      <c r="BH799" s="1"/>
      <c r="BI799" s="1"/>
      <c r="BJ799" s="1"/>
      <c r="CH799" s="1"/>
    </row>
    <row r="800">
      <c r="D800" s="135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BD800" s="1"/>
      <c r="BE800" s="1"/>
      <c r="BF800" s="1"/>
      <c r="BG800" s="1"/>
      <c r="BH800" s="1"/>
      <c r="BI800" s="1"/>
      <c r="BJ800" s="1"/>
      <c r="CH800" s="1"/>
    </row>
    <row r="801">
      <c r="D801" s="135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BD801" s="1"/>
      <c r="BE801" s="1"/>
      <c r="BF801" s="1"/>
      <c r="BG801" s="1"/>
      <c r="BH801" s="1"/>
      <c r="BI801" s="1"/>
      <c r="BJ801" s="1"/>
      <c r="CH801" s="1"/>
    </row>
    <row r="802">
      <c r="D802" s="135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BD802" s="1"/>
      <c r="BE802" s="1"/>
      <c r="BF802" s="1"/>
      <c r="BG802" s="1"/>
      <c r="BH802" s="1"/>
      <c r="BI802" s="1"/>
      <c r="BJ802" s="1"/>
      <c r="CH802" s="1"/>
    </row>
    <row r="803">
      <c r="D803" s="135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BD803" s="1"/>
      <c r="BE803" s="1"/>
      <c r="BF803" s="1"/>
      <c r="BG803" s="1"/>
      <c r="BH803" s="1"/>
      <c r="BI803" s="1"/>
      <c r="BJ803" s="1"/>
      <c r="CH803" s="1"/>
    </row>
    <row r="804">
      <c r="D804" s="135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BD804" s="1"/>
      <c r="BE804" s="1"/>
      <c r="BF804" s="1"/>
      <c r="BG804" s="1"/>
      <c r="BH804" s="1"/>
      <c r="BI804" s="1"/>
      <c r="BJ804" s="1"/>
      <c r="CH804" s="1"/>
    </row>
    <row r="805">
      <c r="D805" s="135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BD805" s="1"/>
      <c r="BE805" s="1"/>
      <c r="BF805" s="1"/>
      <c r="BG805" s="1"/>
      <c r="BH805" s="1"/>
      <c r="BI805" s="1"/>
      <c r="BJ805" s="1"/>
      <c r="CH805" s="1"/>
    </row>
    <row r="806">
      <c r="D806" s="135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BD806" s="1"/>
      <c r="BE806" s="1"/>
      <c r="BF806" s="1"/>
      <c r="BG806" s="1"/>
      <c r="BH806" s="1"/>
      <c r="BI806" s="1"/>
      <c r="BJ806" s="1"/>
      <c r="CH806" s="1"/>
    </row>
    <row r="807">
      <c r="D807" s="135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BD807" s="1"/>
      <c r="BE807" s="1"/>
      <c r="BF807" s="1"/>
      <c r="BG807" s="1"/>
      <c r="BH807" s="1"/>
      <c r="BI807" s="1"/>
      <c r="BJ807" s="1"/>
      <c r="CH807" s="1"/>
    </row>
    <row r="808">
      <c r="D808" s="135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BD808" s="1"/>
      <c r="BE808" s="1"/>
      <c r="BF808" s="1"/>
      <c r="BG808" s="1"/>
      <c r="BH808" s="1"/>
      <c r="BI808" s="1"/>
      <c r="BJ808" s="1"/>
      <c r="CH808" s="1"/>
    </row>
    <row r="809">
      <c r="D809" s="135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BD809" s="1"/>
      <c r="BE809" s="1"/>
      <c r="BF809" s="1"/>
      <c r="BG809" s="1"/>
      <c r="BH809" s="1"/>
      <c r="BI809" s="1"/>
      <c r="BJ809" s="1"/>
      <c r="CH809" s="1"/>
    </row>
    <row r="810">
      <c r="D810" s="135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BD810" s="1"/>
      <c r="BE810" s="1"/>
      <c r="BF810" s="1"/>
      <c r="BG810" s="1"/>
      <c r="BH810" s="1"/>
      <c r="BI810" s="1"/>
      <c r="BJ810" s="1"/>
      <c r="CH810" s="1"/>
    </row>
    <row r="811">
      <c r="D811" s="135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BD811" s="1"/>
      <c r="BE811" s="1"/>
      <c r="BF811" s="1"/>
      <c r="BG811" s="1"/>
      <c r="BH811" s="1"/>
      <c r="BI811" s="1"/>
      <c r="BJ811" s="1"/>
      <c r="CH811" s="1"/>
    </row>
    <row r="812">
      <c r="D812" s="135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BD812" s="1"/>
      <c r="BE812" s="1"/>
      <c r="BF812" s="1"/>
      <c r="BG812" s="1"/>
      <c r="BH812" s="1"/>
      <c r="BI812" s="1"/>
      <c r="BJ812" s="1"/>
      <c r="CH812" s="1"/>
    </row>
    <row r="813">
      <c r="D813" s="135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BD813" s="1"/>
      <c r="BE813" s="1"/>
      <c r="BF813" s="1"/>
      <c r="BG813" s="1"/>
      <c r="BH813" s="1"/>
      <c r="BI813" s="1"/>
      <c r="BJ813" s="1"/>
      <c r="CH813" s="1"/>
    </row>
    <row r="814">
      <c r="D814" s="135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BD814" s="1"/>
      <c r="BE814" s="1"/>
      <c r="BF814" s="1"/>
      <c r="BG814" s="1"/>
      <c r="BH814" s="1"/>
      <c r="BI814" s="1"/>
      <c r="BJ814" s="1"/>
      <c r="CH814" s="1"/>
    </row>
    <row r="815">
      <c r="D815" s="135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BD815" s="1"/>
      <c r="BE815" s="1"/>
      <c r="BF815" s="1"/>
      <c r="BG815" s="1"/>
      <c r="BH815" s="1"/>
      <c r="BI815" s="1"/>
      <c r="BJ815" s="1"/>
      <c r="CH815" s="1"/>
    </row>
    <row r="816">
      <c r="D816" s="135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BD816" s="1"/>
      <c r="BE816" s="1"/>
      <c r="BF816" s="1"/>
      <c r="BG816" s="1"/>
      <c r="BH816" s="1"/>
      <c r="BI816" s="1"/>
      <c r="BJ816" s="1"/>
      <c r="CH816" s="1"/>
    </row>
    <row r="817">
      <c r="D817" s="135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BD817" s="1"/>
      <c r="BE817" s="1"/>
      <c r="BF817" s="1"/>
      <c r="BG817" s="1"/>
      <c r="BH817" s="1"/>
      <c r="BI817" s="1"/>
      <c r="BJ817" s="1"/>
      <c r="CH817" s="1"/>
    </row>
    <row r="818">
      <c r="D818" s="135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BD818" s="1"/>
      <c r="BE818" s="1"/>
      <c r="BF818" s="1"/>
      <c r="BG818" s="1"/>
      <c r="BH818" s="1"/>
      <c r="BI818" s="1"/>
      <c r="BJ818" s="1"/>
      <c r="CH818" s="1"/>
    </row>
    <row r="819">
      <c r="D819" s="135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BD819" s="1"/>
      <c r="BE819" s="1"/>
      <c r="BF819" s="1"/>
      <c r="BG819" s="1"/>
      <c r="BH819" s="1"/>
      <c r="BI819" s="1"/>
      <c r="BJ819" s="1"/>
      <c r="CH819" s="1"/>
    </row>
    <row r="820">
      <c r="D820" s="135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BD820" s="1"/>
      <c r="BE820" s="1"/>
      <c r="BF820" s="1"/>
      <c r="BG820" s="1"/>
      <c r="BH820" s="1"/>
      <c r="BI820" s="1"/>
      <c r="BJ820" s="1"/>
      <c r="CH820" s="1"/>
    </row>
    <row r="821">
      <c r="D821" s="135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BD821" s="1"/>
      <c r="BE821" s="1"/>
      <c r="BF821" s="1"/>
      <c r="BG821" s="1"/>
      <c r="BH821" s="1"/>
      <c r="BI821" s="1"/>
      <c r="BJ821" s="1"/>
      <c r="CH821" s="1"/>
    </row>
    <row r="822">
      <c r="D822" s="135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BD822" s="1"/>
      <c r="BE822" s="1"/>
      <c r="BF822" s="1"/>
      <c r="BG822" s="1"/>
      <c r="BH822" s="1"/>
      <c r="BI822" s="1"/>
      <c r="BJ822" s="1"/>
      <c r="CH822" s="1"/>
    </row>
    <row r="823">
      <c r="D823" s="135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BD823" s="1"/>
      <c r="BE823" s="1"/>
      <c r="BF823" s="1"/>
      <c r="BG823" s="1"/>
      <c r="BH823" s="1"/>
      <c r="BI823" s="1"/>
      <c r="BJ823" s="1"/>
      <c r="CH823" s="1"/>
    </row>
    <row r="824">
      <c r="D824" s="135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BD824" s="1"/>
      <c r="BE824" s="1"/>
      <c r="BF824" s="1"/>
      <c r="BG824" s="1"/>
      <c r="BH824" s="1"/>
      <c r="BI824" s="1"/>
      <c r="BJ824" s="1"/>
      <c r="CH824" s="1"/>
    </row>
    <row r="825">
      <c r="D825" s="135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BD825" s="1"/>
      <c r="BE825" s="1"/>
      <c r="BF825" s="1"/>
      <c r="BG825" s="1"/>
      <c r="BH825" s="1"/>
      <c r="BI825" s="1"/>
      <c r="BJ825" s="1"/>
      <c r="CH825" s="1"/>
    </row>
    <row r="826">
      <c r="D826" s="135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BD826" s="1"/>
      <c r="BE826" s="1"/>
      <c r="BF826" s="1"/>
      <c r="BG826" s="1"/>
      <c r="BH826" s="1"/>
      <c r="BI826" s="1"/>
      <c r="BJ826" s="1"/>
      <c r="CH826" s="1"/>
    </row>
    <row r="827">
      <c r="D827" s="135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BD827" s="1"/>
      <c r="BE827" s="1"/>
      <c r="BF827" s="1"/>
      <c r="BG827" s="1"/>
      <c r="BH827" s="1"/>
      <c r="BI827" s="1"/>
      <c r="BJ827" s="1"/>
      <c r="CH827" s="1"/>
    </row>
    <row r="828">
      <c r="D828" s="135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BD828" s="1"/>
      <c r="BE828" s="1"/>
      <c r="BF828" s="1"/>
      <c r="BG828" s="1"/>
      <c r="BH828" s="1"/>
      <c r="BI828" s="1"/>
      <c r="BJ828" s="1"/>
      <c r="CH828" s="1"/>
    </row>
    <row r="829">
      <c r="D829" s="135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BD829" s="1"/>
      <c r="BE829" s="1"/>
      <c r="BF829" s="1"/>
      <c r="BG829" s="1"/>
      <c r="BH829" s="1"/>
      <c r="BI829" s="1"/>
      <c r="BJ829" s="1"/>
      <c r="CH829" s="1"/>
    </row>
    <row r="830">
      <c r="D830" s="135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BD830" s="1"/>
      <c r="BE830" s="1"/>
      <c r="BF830" s="1"/>
      <c r="BG830" s="1"/>
      <c r="BH830" s="1"/>
      <c r="BI830" s="1"/>
      <c r="BJ830" s="1"/>
      <c r="CH830" s="1"/>
    </row>
    <row r="831">
      <c r="D831" s="135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BD831" s="1"/>
      <c r="BE831" s="1"/>
      <c r="BF831" s="1"/>
      <c r="BG831" s="1"/>
      <c r="BH831" s="1"/>
      <c r="BI831" s="1"/>
      <c r="BJ831" s="1"/>
      <c r="CH831" s="1"/>
    </row>
    <row r="832">
      <c r="D832" s="135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BD832" s="1"/>
      <c r="BE832" s="1"/>
      <c r="BF832" s="1"/>
      <c r="BG832" s="1"/>
      <c r="BH832" s="1"/>
      <c r="BI832" s="1"/>
      <c r="BJ832" s="1"/>
      <c r="CH832" s="1"/>
    </row>
    <row r="833">
      <c r="D833" s="135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BD833" s="1"/>
      <c r="BE833" s="1"/>
      <c r="BF833" s="1"/>
      <c r="BG833" s="1"/>
      <c r="BH833" s="1"/>
      <c r="BI833" s="1"/>
      <c r="BJ833" s="1"/>
      <c r="CH833" s="1"/>
    </row>
    <row r="834">
      <c r="D834" s="135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BD834" s="1"/>
      <c r="BE834" s="1"/>
      <c r="BF834" s="1"/>
      <c r="BG834" s="1"/>
      <c r="BH834" s="1"/>
      <c r="BI834" s="1"/>
      <c r="BJ834" s="1"/>
      <c r="CH834" s="1"/>
    </row>
    <row r="835">
      <c r="D835" s="135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BD835" s="1"/>
      <c r="BE835" s="1"/>
      <c r="BF835" s="1"/>
      <c r="BG835" s="1"/>
      <c r="BH835" s="1"/>
      <c r="BI835" s="1"/>
      <c r="BJ835" s="1"/>
      <c r="CH835" s="1"/>
    </row>
    <row r="836">
      <c r="D836" s="135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BD836" s="1"/>
      <c r="BE836" s="1"/>
      <c r="BF836" s="1"/>
      <c r="BG836" s="1"/>
      <c r="BH836" s="1"/>
      <c r="BI836" s="1"/>
      <c r="BJ836" s="1"/>
      <c r="CH836" s="1"/>
    </row>
    <row r="837">
      <c r="D837" s="135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BD837" s="1"/>
      <c r="BE837" s="1"/>
      <c r="BF837" s="1"/>
      <c r="BG837" s="1"/>
      <c r="BH837" s="1"/>
      <c r="BI837" s="1"/>
      <c r="BJ837" s="1"/>
      <c r="CH837" s="1"/>
    </row>
    <row r="838">
      <c r="D838" s="135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BD838" s="1"/>
      <c r="BE838" s="1"/>
      <c r="BF838" s="1"/>
      <c r="BG838" s="1"/>
      <c r="BH838" s="1"/>
      <c r="BI838" s="1"/>
      <c r="BJ838" s="1"/>
      <c r="CH838" s="1"/>
    </row>
    <row r="839">
      <c r="D839" s="135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BD839" s="1"/>
      <c r="BE839" s="1"/>
      <c r="BF839" s="1"/>
      <c r="BG839" s="1"/>
      <c r="BH839" s="1"/>
      <c r="BI839" s="1"/>
      <c r="BJ839" s="1"/>
      <c r="CH839" s="1"/>
    </row>
    <row r="840">
      <c r="D840" s="135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BD840" s="1"/>
      <c r="BE840" s="1"/>
      <c r="BF840" s="1"/>
      <c r="BG840" s="1"/>
      <c r="BH840" s="1"/>
      <c r="BI840" s="1"/>
      <c r="BJ840" s="1"/>
      <c r="CH840" s="1"/>
    </row>
    <row r="841">
      <c r="D841" s="135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BD841" s="1"/>
      <c r="BE841" s="1"/>
      <c r="BF841" s="1"/>
      <c r="BG841" s="1"/>
      <c r="BH841" s="1"/>
      <c r="BI841" s="1"/>
      <c r="BJ841" s="1"/>
      <c r="CH841" s="1"/>
    </row>
    <row r="842">
      <c r="D842" s="135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BD842" s="1"/>
      <c r="BE842" s="1"/>
      <c r="BF842" s="1"/>
      <c r="BG842" s="1"/>
      <c r="BH842" s="1"/>
      <c r="BI842" s="1"/>
      <c r="BJ842" s="1"/>
      <c r="CH842" s="1"/>
    </row>
    <row r="843">
      <c r="D843" s="135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BD843" s="1"/>
      <c r="BE843" s="1"/>
      <c r="BF843" s="1"/>
      <c r="BG843" s="1"/>
      <c r="BH843" s="1"/>
      <c r="BI843" s="1"/>
      <c r="BJ843" s="1"/>
      <c r="CH843" s="1"/>
    </row>
    <row r="844">
      <c r="D844" s="135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BD844" s="1"/>
      <c r="BE844" s="1"/>
      <c r="BF844" s="1"/>
      <c r="BG844" s="1"/>
      <c r="BH844" s="1"/>
      <c r="BI844" s="1"/>
      <c r="BJ844" s="1"/>
      <c r="CH844" s="1"/>
    </row>
    <row r="845">
      <c r="D845" s="135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BD845" s="1"/>
      <c r="BE845" s="1"/>
      <c r="BF845" s="1"/>
      <c r="BG845" s="1"/>
      <c r="BH845" s="1"/>
      <c r="BI845" s="1"/>
      <c r="BJ845" s="1"/>
      <c r="CH845" s="1"/>
    </row>
    <row r="846">
      <c r="D846" s="135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BD846" s="1"/>
      <c r="BE846" s="1"/>
      <c r="BF846" s="1"/>
      <c r="BG846" s="1"/>
      <c r="BH846" s="1"/>
      <c r="BI846" s="1"/>
      <c r="BJ846" s="1"/>
      <c r="CH846" s="1"/>
    </row>
    <row r="847">
      <c r="D847" s="135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BD847" s="1"/>
      <c r="BE847" s="1"/>
      <c r="BF847" s="1"/>
      <c r="BG847" s="1"/>
      <c r="BH847" s="1"/>
      <c r="BI847" s="1"/>
      <c r="BJ847" s="1"/>
      <c r="CH847" s="1"/>
    </row>
    <row r="848">
      <c r="D848" s="135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BD848" s="1"/>
      <c r="BE848" s="1"/>
      <c r="BF848" s="1"/>
      <c r="BG848" s="1"/>
      <c r="BH848" s="1"/>
      <c r="BI848" s="1"/>
      <c r="BJ848" s="1"/>
      <c r="CH848" s="1"/>
    </row>
    <row r="849">
      <c r="D849" s="135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BD849" s="1"/>
      <c r="BE849" s="1"/>
      <c r="BF849" s="1"/>
      <c r="BG849" s="1"/>
      <c r="BH849" s="1"/>
      <c r="BI849" s="1"/>
      <c r="BJ849" s="1"/>
      <c r="CH849" s="1"/>
    </row>
    <row r="850">
      <c r="D850" s="135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BD850" s="1"/>
      <c r="BE850" s="1"/>
      <c r="BF850" s="1"/>
      <c r="BG850" s="1"/>
      <c r="BH850" s="1"/>
      <c r="BI850" s="1"/>
      <c r="BJ850" s="1"/>
      <c r="CH850" s="1"/>
    </row>
    <row r="851">
      <c r="D851" s="135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BD851" s="1"/>
      <c r="BE851" s="1"/>
      <c r="BF851" s="1"/>
      <c r="BG851" s="1"/>
      <c r="BH851" s="1"/>
      <c r="BI851" s="1"/>
      <c r="BJ851" s="1"/>
      <c r="CH851" s="1"/>
    </row>
    <row r="852">
      <c r="D852" s="135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BD852" s="1"/>
      <c r="BE852" s="1"/>
      <c r="BF852" s="1"/>
      <c r="BG852" s="1"/>
      <c r="BH852" s="1"/>
      <c r="BI852" s="1"/>
      <c r="BJ852" s="1"/>
      <c r="CH852" s="1"/>
    </row>
    <row r="853">
      <c r="D853" s="135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BD853" s="1"/>
      <c r="BE853" s="1"/>
      <c r="BF853" s="1"/>
      <c r="BG853" s="1"/>
      <c r="BH853" s="1"/>
      <c r="BI853" s="1"/>
      <c r="BJ853" s="1"/>
      <c r="CH853" s="1"/>
    </row>
    <row r="854">
      <c r="D854" s="135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BD854" s="1"/>
      <c r="BE854" s="1"/>
      <c r="BF854" s="1"/>
      <c r="BG854" s="1"/>
      <c r="BH854" s="1"/>
      <c r="BI854" s="1"/>
      <c r="BJ854" s="1"/>
      <c r="CH854" s="1"/>
    </row>
    <row r="855">
      <c r="D855" s="135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BD855" s="1"/>
      <c r="BE855" s="1"/>
      <c r="BF855" s="1"/>
      <c r="BG855" s="1"/>
      <c r="BH855" s="1"/>
      <c r="BI855" s="1"/>
      <c r="BJ855" s="1"/>
      <c r="CH855" s="1"/>
    </row>
    <row r="856">
      <c r="D856" s="135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BD856" s="1"/>
      <c r="BE856" s="1"/>
      <c r="BF856" s="1"/>
      <c r="BG856" s="1"/>
      <c r="BH856" s="1"/>
      <c r="BI856" s="1"/>
      <c r="BJ856" s="1"/>
      <c r="CH856" s="1"/>
    </row>
    <row r="857">
      <c r="D857" s="135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BD857" s="1"/>
      <c r="BE857" s="1"/>
      <c r="BF857" s="1"/>
      <c r="BG857" s="1"/>
      <c r="BH857" s="1"/>
      <c r="BI857" s="1"/>
      <c r="BJ857" s="1"/>
      <c r="CH857" s="1"/>
    </row>
    <row r="858">
      <c r="D858" s="135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BD858" s="1"/>
      <c r="BE858" s="1"/>
      <c r="BF858" s="1"/>
      <c r="BG858" s="1"/>
      <c r="BH858" s="1"/>
      <c r="BI858" s="1"/>
      <c r="BJ858" s="1"/>
      <c r="CH858" s="1"/>
    </row>
    <row r="859">
      <c r="D859" s="135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BD859" s="1"/>
      <c r="BE859" s="1"/>
      <c r="BF859" s="1"/>
      <c r="BG859" s="1"/>
      <c r="BH859" s="1"/>
      <c r="BI859" s="1"/>
      <c r="BJ859" s="1"/>
      <c r="CH859" s="1"/>
    </row>
    <row r="860">
      <c r="D860" s="135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BD860" s="1"/>
      <c r="BE860" s="1"/>
      <c r="BF860" s="1"/>
      <c r="BG860" s="1"/>
      <c r="BH860" s="1"/>
      <c r="BI860" s="1"/>
      <c r="BJ860" s="1"/>
      <c r="CH860" s="1"/>
    </row>
    <row r="861">
      <c r="D861" s="135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BD861" s="1"/>
      <c r="BE861" s="1"/>
      <c r="BF861" s="1"/>
      <c r="BG861" s="1"/>
      <c r="BH861" s="1"/>
      <c r="BI861" s="1"/>
      <c r="BJ861" s="1"/>
      <c r="CH861" s="1"/>
    </row>
    <row r="862">
      <c r="D862" s="135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BD862" s="1"/>
      <c r="BE862" s="1"/>
      <c r="BF862" s="1"/>
      <c r="BG862" s="1"/>
      <c r="BH862" s="1"/>
      <c r="BI862" s="1"/>
      <c r="BJ862" s="1"/>
      <c r="CH862" s="1"/>
    </row>
    <row r="863">
      <c r="D863" s="135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BD863" s="1"/>
      <c r="BE863" s="1"/>
      <c r="BF863" s="1"/>
      <c r="BG863" s="1"/>
      <c r="BH863" s="1"/>
      <c r="BI863" s="1"/>
      <c r="BJ863" s="1"/>
      <c r="CH863" s="1"/>
    </row>
    <row r="864">
      <c r="D864" s="135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BD864" s="1"/>
      <c r="BE864" s="1"/>
      <c r="BF864" s="1"/>
      <c r="BG864" s="1"/>
      <c r="BH864" s="1"/>
      <c r="BI864" s="1"/>
      <c r="BJ864" s="1"/>
      <c r="CH864" s="1"/>
    </row>
    <row r="865">
      <c r="D865" s="135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BD865" s="1"/>
      <c r="BE865" s="1"/>
      <c r="BF865" s="1"/>
      <c r="BG865" s="1"/>
      <c r="BH865" s="1"/>
      <c r="BI865" s="1"/>
      <c r="BJ865" s="1"/>
      <c r="CH865" s="1"/>
    </row>
    <row r="866">
      <c r="D866" s="135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BD866" s="1"/>
      <c r="BE866" s="1"/>
      <c r="BF866" s="1"/>
      <c r="BG866" s="1"/>
      <c r="BH866" s="1"/>
      <c r="BI866" s="1"/>
      <c r="BJ866" s="1"/>
      <c r="CH866" s="1"/>
    </row>
    <row r="867">
      <c r="D867" s="135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BD867" s="1"/>
      <c r="BE867" s="1"/>
      <c r="BF867" s="1"/>
      <c r="BG867" s="1"/>
      <c r="BH867" s="1"/>
      <c r="BI867" s="1"/>
      <c r="BJ867" s="1"/>
      <c r="CH867" s="1"/>
    </row>
    <row r="868">
      <c r="D868" s="135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BD868" s="1"/>
      <c r="BE868" s="1"/>
      <c r="BF868" s="1"/>
      <c r="BG868" s="1"/>
      <c r="BH868" s="1"/>
      <c r="BI868" s="1"/>
      <c r="BJ868" s="1"/>
      <c r="CH868" s="1"/>
    </row>
    <row r="869">
      <c r="D869" s="135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BD869" s="1"/>
      <c r="BE869" s="1"/>
      <c r="BF869" s="1"/>
      <c r="BG869" s="1"/>
      <c r="BH869" s="1"/>
      <c r="BI869" s="1"/>
      <c r="BJ869" s="1"/>
      <c r="CH869" s="1"/>
    </row>
    <row r="870">
      <c r="D870" s="135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BD870" s="1"/>
      <c r="BE870" s="1"/>
      <c r="BF870" s="1"/>
      <c r="BG870" s="1"/>
      <c r="BH870" s="1"/>
      <c r="BI870" s="1"/>
      <c r="BJ870" s="1"/>
      <c r="CH870" s="1"/>
    </row>
    <row r="871">
      <c r="D871" s="135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BD871" s="1"/>
      <c r="BE871" s="1"/>
      <c r="BF871" s="1"/>
      <c r="BG871" s="1"/>
      <c r="BH871" s="1"/>
      <c r="BI871" s="1"/>
      <c r="BJ871" s="1"/>
      <c r="CH871" s="1"/>
    </row>
    <row r="872">
      <c r="D872" s="135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BD872" s="1"/>
      <c r="BE872" s="1"/>
      <c r="BF872" s="1"/>
      <c r="BG872" s="1"/>
      <c r="BH872" s="1"/>
      <c r="BI872" s="1"/>
      <c r="BJ872" s="1"/>
      <c r="CH872" s="1"/>
    </row>
    <row r="873">
      <c r="D873" s="135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BD873" s="1"/>
      <c r="BE873" s="1"/>
      <c r="BF873" s="1"/>
      <c r="BG873" s="1"/>
      <c r="BH873" s="1"/>
      <c r="BI873" s="1"/>
      <c r="BJ873" s="1"/>
      <c r="CH873" s="1"/>
    </row>
    <row r="874">
      <c r="D874" s="135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BD874" s="1"/>
      <c r="BE874" s="1"/>
      <c r="BF874" s="1"/>
      <c r="BG874" s="1"/>
      <c r="BH874" s="1"/>
      <c r="BI874" s="1"/>
      <c r="BJ874" s="1"/>
      <c r="CH874" s="1"/>
    </row>
    <row r="875">
      <c r="D875" s="135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BD875" s="1"/>
      <c r="BE875" s="1"/>
      <c r="BF875" s="1"/>
      <c r="BG875" s="1"/>
      <c r="BH875" s="1"/>
      <c r="BI875" s="1"/>
      <c r="BJ875" s="1"/>
      <c r="CH875" s="1"/>
    </row>
    <row r="876">
      <c r="D876" s="135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BD876" s="1"/>
      <c r="BE876" s="1"/>
      <c r="BF876" s="1"/>
      <c r="BG876" s="1"/>
      <c r="BH876" s="1"/>
      <c r="BI876" s="1"/>
      <c r="BJ876" s="1"/>
      <c r="CH876" s="1"/>
    </row>
    <row r="877">
      <c r="D877" s="135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BD877" s="1"/>
      <c r="BE877" s="1"/>
      <c r="BF877" s="1"/>
      <c r="BG877" s="1"/>
      <c r="BH877" s="1"/>
      <c r="BI877" s="1"/>
      <c r="BJ877" s="1"/>
      <c r="CH877" s="1"/>
    </row>
    <row r="878">
      <c r="D878" s="135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BD878" s="1"/>
      <c r="BE878" s="1"/>
      <c r="BF878" s="1"/>
      <c r="BG878" s="1"/>
      <c r="BH878" s="1"/>
      <c r="BI878" s="1"/>
      <c r="BJ878" s="1"/>
      <c r="CH878" s="1"/>
    </row>
    <row r="879">
      <c r="D879" s="135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BD879" s="1"/>
      <c r="BE879" s="1"/>
      <c r="BF879" s="1"/>
      <c r="BG879" s="1"/>
      <c r="BH879" s="1"/>
      <c r="BI879" s="1"/>
      <c r="BJ879" s="1"/>
      <c r="CH879" s="1"/>
    </row>
    <row r="880">
      <c r="D880" s="135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BD880" s="1"/>
      <c r="BE880" s="1"/>
      <c r="BF880" s="1"/>
      <c r="BG880" s="1"/>
      <c r="BH880" s="1"/>
      <c r="BI880" s="1"/>
      <c r="BJ880" s="1"/>
      <c r="CH880" s="1"/>
    </row>
    <row r="881">
      <c r="D881" s="135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BD881" s="1"/>
      <c r="BE881" s="1"/>
      <c r="BF881" s="1"/>
      <c r="BG881" s="1"/>
      <c r="BH881" s="1"/>
      <c r="BI881" s="1"/>
      <c r="BJ881" s="1"/>
      <c r="CH881" s="1"/>
    </row>
    <row r="882">
      <c r="D882" s="135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BD882" s="1"/>
      <c r="BE882" s="1"/>
      <c r="BF882" s="1"/>
      <c r="BG882" s="1"/>
      <c r="BH882" s="1"/>
      <c r="BI882" s="1"/>
      <c r="BJ882" s="1"/>
      <c r="CH882" s="1"/>
    </row>
    <row r="883">
      <c r="D883" s="135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BD883" s="1"/>
      <c r="BE883" s="1"/>
      <c r="BF883" s="1"/>
      <c r="BG883" s="1"/>
      <c r="BH883" s="1"/>
      <c r="BI883" s="1"/>
      <c r="BJ883" s="1"/>
      <c r="CH883" s="1"/>
    </row>
    <row r="884">
      <c r="D884" s="135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BD884" s="1"/>
      <c r="BE884" s="1"/>
      <c r="BF884" s="1"/>
      <c r="BG884" s="1"/>
      <c r="BH884" s="1"/>
      <c r="BI884" s="1"/>
      <c r="BJ884" s="1"/>
      <c r="CH884" s="1"/>
    </row>
    <row r="885">
      <c r="D885" s="135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BD885" s="1"/>
      <c r="BE885" s="1"/>
      <c r="BF885" s="1"/>
      <c r="BG885" s="1"/>
      <c r="BH885" s="1"/>
      <c r="BI885" s="1"/>
      <c r="BJ885" s="1"/>
      <c r="CH885" s="1"/>
    </row>
    <row r="886">
      <c r="D886" s="135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BD886" s="1"/>
      <c r="BE886" s="1"/>
      <c r="BF886" s="1"/>
      <c r="BG886" s="1"/>
      <c r="BH886" s="1"/>
      <c r="BI886" s="1"/>
      <c r="BJ886" s="1"/>
      <c r="CH886" s="1"/>
    </row>
    <row r="887">
      <c r="D887" s="135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BD887" s="1"/>
      <c r="BE887" s="1"/>
      <c r="BF887" s="1"/>
      <c r="BG887" s="1"/>
      <c r="BH887" s="1"/>
      <c r="BI887" s="1"/>
      <c r="BJ887" s="1"/>
      <c r="CH887" s="1"/>
    </row>
    <row r="888">
      <c r="D888" s="135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BD888" s="1"/>
      <c r="BE888" s="1"/>
      <c r="BF888" s="1"/>
      <c r="BG888" s="1"/>
      <c r="BH888" s="1"/>
      <c r="BI888" s="1"/>
      <c r="BJ888" s="1"/>
      <c r="CH888" s="1"/>
    </row>
    <row r="889">
      <c r="D889" s="135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BD889" s="1"/>
      <c r="BE889" s="1"/>
      <c r="BF889" s="1"/>
      <c r="BG889" s="1"/>
      <c r="BH889" s="1"/>
      <c r="BI889" s="1"/>
      <c r="BJ889" s="1"/>
      <c r="CH889" s="1"/>
    </row>
    <row r="890">
      <c r="D890" s="135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BD890" s="1"/>
      <c r="BE890" s="1"/>
      <c r="BF890" s="1"/>
      <c r="BG890" s="1"/>
      <c r="BH890" s="1"/>
      <c r="BI890" s="1"/>
      <c r="BJ890" s="1"/>
      <c r="CH890" s="1"/>
    </row>
    <row r="891">
      <c r="D891" s="135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BD891" s="1"/>
      <c r="BE891" s="1"/>
      <c r="BF891" s="1"/>
      <c r="BG891" s="1"/>
      <c r="BH891" s="1"/>
      <c r="BI891" s="1"/>
      <c r="BJ891" s="1"/>
      <c r="CH891" s="1"/>
    </row>
    <row r="892">
      <c r="D892" s="135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BD892" s="1"/>
      <c r="BE892" s="1"/>
      <c r="BF892" s="1"/>
      <c r="BG892" s="1"/>
      <c r="BH892" s="1"/>
      <c r="BI892" s="1"/>
      <c r="BJ892" s="1"/>
      <c r="CH892" s="1"/>
    </row>
    <row r="893">
      <c r="D893" s="135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BD893" s="1"/>
      <c r="BE893" s="1"/>
      <c r="BF893" s="1"/>
      <c r="BG893" s="1"/>
      <c r="BH893" s="1"/>
      <c r="BI893" s="1"/>
      <c r="BJ893" s="1"/>
      <c r="CH893" s="1"/>
    </row>
    <row r="894">
      <c r="D894" s="135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BD894" s="1"/>
      <c r="BE894" s="1"/>
      <c r="BF894" s="1"/>
      <c r="BG894" s="1"/>
      <c r="BH894" s="1"/>
      <c r="BI894" s="1"/>
      <c r="BJ894" s="1"/>
      <c r="CH894" s="1"/>
    </row>
    <row r="895">
      <c r="D895" s="135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BD895" s="1"/>
      <c r="BE895" s="1"/>
      <c r="BF895" s="1"/>
      <c r="BG895" s="1"/>
      <c r="BH895" s="1"/>
      <c r="BI895" s="1"/>
      <c r="BJ895" s="1"/>
      <c r="CH895" s="1"/>
    </row>
    <row r="896">
      <c r="D896" s="135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BD896" s="1"/>
      <c r="BE896" s="1"/>
      <c r="BF896" s="1"/>
      <c r="BG896" s="1"/>
      <c r="BH896" s="1"/>
      <c r="BI896" s="1"/>
      <c r="BJ896" s="1"/>
      <c r="CH896" s="1"/>
    </row>
    <row r="897">
      <c r="D897" s="135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BD897" s="1"/>
      <c r="BE897" s="1"/>
      <c r="BF897" s="1"/>
      <c r="BG897" s="1"/>
      <c r="BH897" s="1"/>
      <c r="BI897" s="1"/>
      <c r="BJ897" s="1"/>
      <c r="CH897" s="1"/>
    </row>
    <row r="898">
      <c r="D898" s="135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BD898" s="1"/>
      <c r="BE898" s="1"/>
      <c r="BF898" s="1"/>
      <c r="BG898" s="1"/>
      <c r="BH898" s="1"/>
      <c r="BI898" s="1"/>
      <c r="BJ898" s="1"/>
      <c r="CH898" s="1"/>
    </row>
    <row r="899">
      <c r="D899" s="135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BD899" s="1"/>
      <c r="BE899" s="1"/>
      <c r="BF899" s="1"/>
      <c r="BG899" s="1"/>
      <c r="BH899" s="1"/>
      <c r="BI899" s="1"/>
      <c r="BJ899" s="1"/>
      <c r="CH899" s="1"/>
    </row>
    <row r="900">
      <c r="D900" s="135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BD900" s="1"/>
      <c r="BE900" s="1"/>
      <c r="BF900" s="1"/>
      <c r="BG900" s="1"/>
      <c r="BH900" s="1"/>
      <c r="BI900" s="1"/>
      <c r="BJ900" s="1"/>
      <c r="CH900" s="1"/>
    </row>
    <row r="901">
      <c r="D901" s="135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BD901" s="1"/>
      <c r="BE901" s="1"/>
      <c r="BF901" s="1"/>
      <c r="BG901" s="1"/>
      <c r="BH901" s="1"/>
      <c r="BI901" s="1"/>
      <c r="BJ901" s="1"/>
      <c r="CH901" s="1"/>
    </row>
    <row r="902">
      <c r="D902" s="135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BD902" s="1"/>
      <c r="BE902" s="1"/>
      <c r="BF902" s="1"/>
      <c r="BG902" s="1"/>
      <c r="BH902" s="1"/>
      <c r="BI902" s="1"/>
      <c r="BJ902" s="1"/>
      <c r="CH902" s="1"/>
    </row>
    <row r="903">
      <c r="D903" s="135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BD903" s="1"/>
      <c r="BE903" s="1"/>
      <c r="BF903" s="1"/>
      <c r="BG903" s="1"/>
      <c r="BH903" s="1"/>
      <c r="BI903" s="1"/>
      <c r="BJ903" s="1"/>
      <c r="CH903" s="1"/>
    </row>
    <row r="904">
      <c r="D904" s="135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BD904" s="1"/>
      <c r="BE904" s="1"/>
      <c r="BF904" s="1"/>
      <c r="BG904" s="1"/>
      <c r="BH904" s="1"/>
      <c r="BI904" s="1"/>
      <c r="BJ904" s="1"/>
      <c r="CH904" s="1"/>
    </row>
    <row r="905">
      <c r="D905" s="135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BD905" s="1"/>
      <c r="BE905" s="1"/>
      <c r="BF905" s="1"/>
      <c r="BG905" s="1"/>
      <c r="BH905" s="1"/>
      <c r="BI905" s="1"/>
      <c r="BJ905" s="1"/>
      <c r="CH905" s="1"/>
    </row>
    <row r="906">
      <c r="D906" s="135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BD906" s="1"/>
      <c r="BE906" s="1"/>
      <c r="BF906" s="1"/>
      <c r="BG906" s="1"/>
      <c r="BH906" s="1"/>
      <c r="BI906" s="1"/>
      <c r="BJ906" s="1"/>
      <c r="CH906" s="1"/>
    </row>
    <row r="907">
      <c r="D907" s="135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BD907" s="1"/>
      <c r="BE907" s="1"/>
      <c r="BF907" s="1"/>
      <c r="BG907" s="1"/>
      <c r="BH907" s="1"/>
      <c r="BI907" s="1"/>
      <c r="BJ907" s="1"/>
      <c r="CH907" s="1"/>
    </row>
    <row r="908">
      <c r="D908" s="135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BD908" s="1"/>
      <c r="BE908" s="1"/>
      <c r="BF908" s="1"/>
      <c r="BG908" s="1"/>
      <c r="BH908" s="1"/>
      <c r="BI908" s="1"/>
      <c r="BJ908" s="1"/>
      <c r="CH908" s="1"/>
    </row>
    <row r="909">
      <c r="D909" s="135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BD909" s="1"/>
      <c r="BE909" s="1"/>
      <c r="BF909" s="1"/>
      <c r="BG909" s="1"/>
      <c r="BH909" s="1"/>
      <c r="BI909" s="1"/>
      <c r="BJ909" s="1"/>
      <c r="CH909" s="1"/>
    </row>
    <row r="910">
      <c r="D910" s="135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BD910" s="1"/>
      <c r="BE910" s="1"/>
      <c r="BF910" s="1"/>
      <c r="BG910" s="1"/>
      <c r="BH910" s="1"/>
      <c r="BI910" s="1"/>
      <c r="BJ910" s="1"/>
      <c r="CH910" s="1"/>
    </row>
    <row r="911">
      <c r="D911" s="135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BD911" s="1"/>
      <c r="BE911" s="1"/>
      <c r="BF911" s="1"/>
      <c r="BG911" s="1"/>
      <c r="BH911" s="1"/>
      <c r="BI911" s="1"/>
      <c r="BJ911" s="1"/>
      <c r="CH911" s="1"/>
    </row>
    <row r="912">
      <c r="D912" s="135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BD912" s="1"/>
      <c r="BE912" s="1"/>
      <c r="BF912" s="1"/>
      <c r="BG912" s="1"/>
      <c r="BH912" s="1"/>
      <c r="BI912" s="1"/>
      <c r="BJ912" s="1"/>
      <c r="CH912" s="1"/>
    </row>
    <row r="913">
      <c r="D913" s="135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BD913" s="1"/>
      <c r="BE913" s="1"/>
      <c r="BF913" s="1"/>
      <c r="BG913" s="1"/>
      <c r="BH913" s="1"/>
      <c r="BI913" s="1"/>
      <c r="BJ913" s="1"/>
      <c r="CH913" s="1"/>
    </row>
    <row r="914">
      <c r="D914" s="135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BD914" s="1"/>
      <c r="BE914" s="1"/>
      <c r="BF914" s="1"/>
      <c r="BG914" s="1"/>
      <c r="BH914" s="1"/>
      <c r="BI914" s="1"/>
      <c r="BJ914" s="1"/>
      <c r="CH914" s="1"/>
    </row>
    <row r="915">
      <c r="D915" s="135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BD915" s="1"/>
      <c r="BE915" s="1"/>
      <c r="BF915" s="1"/>
      <c r="BG915" s="1"/>
      <c r="BH915" s="1"/>
      <c r="BI915" s="1"/>
      <c r="BJ915" s="1"/>
      <c r="CH915" s="1"/>
    </row>
    <row r="916">
      <c r="D916" s="135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BD916" s="1"/>
      <c r="BE916" s="1"/>
      <c r="BF916" s="1"/>
      <c r="BG916" s="1"/>
      <c r="BH916" s="1"/>
      <c r="BI916" s="1"/>
      <c r="BJ916" s="1"/>
      <c r="CH916" s="1"/>
    </row>
    <row r="917">
      <c r="D917" s="135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BD917" s="1"/>
      <c r="BE917" s="1"/>
      <c r="BF917" s="1"/>
      <c r="BG917" s="1"/>
      <c r="BH917" s="1"/>
      <c r="BI917" s="1"/>
      <c r="BJ917" s="1"/>
      <c r="CH917" s="1"/>
    </row>
    <row r="918">
      <c r="D918" s="135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BD918" s="1"/>
      <c r="BE918" s="1"/>
      <c r="BF918" s="1"/>
      <c r="BG918" s="1"/>
      <c r="BH918" s="1"/>
      <c r="BI918" s="1"/>
      <c r="BJ918" s="1"/>
      <c r="CH918" s="1"/>
    </row>
    <row r="919">
      <c r="D919" s="135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BD919" s="1"/>
      <c r="BE919" s="1"/>
      <c r="BF919" s="1"/>
      <c r="BG919" s="1"/>
      <c r="BH919" s="1"/>
      <c r="BI919" s="1"/>
      <c r="BJ919" s="1"/>
      <c r="CH919" s="1"/>
    </row>
    <row r="920">
      <c r="D920" s="135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BD920" s="1"/>
      <c r="BE920" s="1"/>
      <c r="BF920" s="1"/>
      <c r="BG920" s="1"/>
      <c r="BH920" s="1"/>
      <c r="BI920" s="1"/>
      <c r="BJ920" s="1"/>
      <c r="CH920" s="1"/>
    </row>
    <row r="921">
      <c r="D921" s="135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BD921" s="1"/>
      <c r="BE921" s="1"/>
      <c r="BF921" s="1"/>
      <c r="BG921" s="1"/>
      <c r="BH921" s="1"/>
      <c r="BI921" s="1"/>
      <c r="BJ921" s="1"/>
      <c r="CH921" s="1"/>
    </row>
    <row r="922">
      <c r="D922" s="135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BD922" s="1"/>
      <c r="BE922" s="1"/>
      <c r="BF922" s="1"/>
      <c r="BG922" s="1"/>
      <c r="BH922" s="1"/>
      <c r="BI922" s="1"/>
      <c r="BJ922" s="1"/>
      <c r="CH922" s="1"/>
    </row>
    <row r="923">
      <c r="D923" s="135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BD923" s="1"/>
      <c r="BE923" s="1"/>
      <c r="BF923" s="1"/>
      <c r="BG923" s="1"/>
      <c r="BH923" s="1"/>
      <c r="BI923" s="1"/>
      <c r="BJ923" s="1"/>
      <c r="CH923" s="1"/>
    </row>
    <row r="924">
      <c r="D924" s="135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BD924" s="1"/>
      <c r="BE924" s="1"/>
      <c r="BF924" s="1"/>
      <c r="BG924" s="1"/>
      <c r="BH924" s="1"/>
      <c r="BI924" s="1"/>
      <c r="BJ924" s="1"/>
      <c r="CH924" s="1"/>
    </row>
    <row r="925">
      <c r="D925" s="135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BD925" s="1"/>
      <c r="BE925" s="1"/>
      <c r="BF925" s="1"/>
      <c r="BG925" s="1"/>
      <c r="BH925" s="1"/>
      <c r="BI925" s="1"/>
      <c r="BJ925" s="1"/>
      <c r="CH925" s="1"/>
    </row>
    <row r="926">
      <c r="D926" s="135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BD926" s="1"/>
      <c r="BE926" s="1"/>
      <c r="BF926" s="1"/>
      <c r="BG926" s="1"/>
      <c r="BH926" s="1"/>
      <c r="BI926" s="1"/>
      <c r="BJ926" s="1"/>
      <c r="CH926" s="1"/>
    </row>
    <row r="927">
      <c r="D927" s="135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BD927" s="1"/>
      <c r="BE927" s="1"/>
      <c r="BF927" s="1"/>
      <c r="BG927" s="1"/>
      <c r="BH927" s="1"/>
      <c r="BI927" s="1"/>
      <c r="BJ927" s="1"/>
      <c r="CH927" s="1"/>
    </row>
    <row r="928">
      <c r="D928" s="135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BD928" s="1"/>
      <c r="BE928" s="1"/>
      <c r="BF928" s="1"/>
      <c r="BG928" s="1"/>
      <c r="BH928" s="1"/>
      <c r="BI928" s="1"/>
      <c r="BJ928" s="1"/>
      <c r="CH928" s="1"/>
    </row>
    <row r="929">
      <c r="D929" s="135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BD929" s="1"/>
      <c r="BE929" s="1"/>
      <c r="BF929" s="1"/>
      <c r="BG929" s="1"/>
      <c r="BH929" s="1"/>
      <c r="BI929" s="1"/>
      <c r="BJ929" s="1"/>
      <c r="CH929" s="1"/>
    </row>
    <row r="930">
      <c r="D930" s="135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BD930" s="1"/>
      <c r="BE930" s="1"/>
      <c r="BF930" s="1"/>
      <c r="BG930" s="1"/>
      <c r="BH930" s="1"/>
      <c r="BI930" s="1"/>
      <c r="BJ930" s="1"/>
      <c r="CH930" s="1"/>
    </row>
    <row r="931">
      <c r="D931" s="135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BD931" s="1"/>
      <c r="BE931" s="1"/>
      <c r="BF931" s="1"/>
      <c r="BG931" s="1"/>
      <c r="BH931" s="1"/>
      <c r="BI931" s="1"/>
      <c r="BJ931" s="1"/>
      <c r="CH931" s="1"/>
    </row>
    <row r="932">
      <c r="D932" s="135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BD932" s="1"/>
      <c r="BE932" s="1"/>
      <c r="BF932" s="1"/>
      <c r="BG932" s="1"/>
      <c r="BH932" s="1"/>
      <c r="BI932" s="1"/>
      <c r="BJ932" s="1"/>
      <c r="CH932" s="1"/>
    </row>
    <row r="933">
      <c r="D933" s="135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BD933" s="1"/>
      <c r="BE933" s="1"/>
      <c r="BF933" s="1"/>
      <c r="BG933" s="1"/>
      <c r="BH933" s="1"/>
      <c r="BI933" s="1"/>
      <c r="BJ933" s="1"/>
      <c r="CH933" s="1"/>
    </row>
    <row r="934">
      <c r="D934" s="135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BD934" s="1"/>
      <c r="BE934" s="1"/>
      <c r="BF934" s="1"/>
      <c r="BG934" s="1"/>
      <c r="BH934" s="1"/>
      <c r="BI934" s="1"/>
      <c r="BJ934" s="1"/>
      <c r="CH934" s="1"/>
    </row>
    <row r="935">
      <c r="D935" s="135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BD935" s="1"/>
      <c r="BE935" s="1"/>
      <c r="BF935" s="1"/>
      <c r="BG935" s="1"/>
      <c r="BH935" s="1"/>
      <c r="BI935" s="1"/>
      <c r="BJ935" s="1"/>
      <c r="CH935" s="1"/>
    </row>
    <row r="936">
      <c r="D936" s="135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BD936" s="1"/>
      <c r="BE936" s="1"/>
      <c r="BF936" s="1"/>
      <c r="BG936" s="1"/>
      <c r="BH936" s="1"/>
      <c r="BI936" s="1"/>
      <c r="BJ936" s="1"/>
      <c r="CH936" s="1"/>
    </row>
    <row r="937">
      <c r="D937" s="135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BD937" s="1"/>
      <c r="BE937" s="1"/>
      <c r="BF937" s="1"/>
      <c r="BG937" s="1"/>
      <c r="BH937" s="1"/>
      <c r="BI937" s="1"/>
      <c r="BJ937" s="1"/>
      <c r="CH937" s="1"/>
    </row>
    <row r="938">
      <c r="D938" s="135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BD938" s="1"/>
      <c r="BE938" s="1"/>
      <c r="BF938" s="1"/>
      <c r="BG938" s="1"/>
      <c r="BH938" s="1"/>
      <c r="BI938" s="1"/>
      <c r="BJ938" s="1"/>
      <c r="CH938" s="1"/>
    </row>
    <row r="939">
      <c r="D939" s="135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BD939" s="1"/>
      <c r="BE939" s="1"/>
      <c r="BF939" s="1"/>
      <c r="BG939" s="1"/>
      <c r="BH939" s="1"/>
      <c r="BI939" s="1"/>
      <c r="BJ939" s="1"/>
      <c r="CH939" s="1"/>
    </row>
    <row r="940">
      <c r="D940" s="135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BD940" s="1"/>
      <c r="BE940" s="1"/>
      <c r="BF940" s="1"/>
      <c r="BG940" s="1"/>
      <c r="BH940" s="1"/>
      <c r="BI940" s="1"/>
      <c r="BJ940" s="1"/>
      <c r="CH940" s="1"/>
    </row>
    <row r="941">
      <c r="D941" s="135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BD941" s="1"/>
      <c r="BE941" s="1"/>
      <c r="BF941" s="1"/>
      <c r="BG941" s="1"/>
      <c r="BH941" s="1"/>
      <c r="BI941" s="1"/>
      <c r="BJ941" s="1"/>
      <c r="CH941" s="1"/>
    </row>
    <row r="942">
      <c r="D942" s="135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BD942" s="1"/>
      <c r="BE942" s="1"/>
      <c r="BF942" s="1"/>
      <c r="BG942" s="1"/>
      <c r="BH942" s="1"/>
      <c r="BI942" s="1"/>
      <c r="BJ942" s="1"/>
      <c r="CH942" s="1"/>
    </row>
    <row r="943">
      <c r="D943" s="135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BD943" s="1"/>
      <c r="BE943" s="1"/>
      <c r="BF943" s="1"/>
      <c r="BG943" s="1"/>
      <c r="BH943" s="1"/>
      <c r="BI943" s="1"/>
      <c r="BJ943" s="1"/>
      <c r="CH943" s="1"/>
    </row>
    <row r="944">
      <c r="D944" s="135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BD944" s="1"/>
      <c r="BE944" s="1"/>
      <c r="BF944" s="1"/>
      <c r="BG944" s="1"/>
      <c r="BH944" s="1"/>
      <c r="BI944" s="1"/>
      <c r="BJ944" s="1"/>
      <c r="CH944" s="1"/>
    </row>
    <row r="945">
      <c r="D945" s="135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BD945" s="1"/>
      <c r="BE945" s="1"/>
      <c r="BF945" s="1"/>
      <c r="BG945" s="1"/>
      <c r="BH945" s="1"/>
      <c r="BI945" s="1"/>
      <c r="BJ945" s="1"/>
      <c r="CH945" s="1"/>
    </row>
    <row r="946">
      <c r="D946" s="135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BD946" s="1"/>
      <c r="BE946" s="1"/>
      <c r="BF946" s="1"/>
      <c r="BG946" s="1"/>
      <c r="BH946" s="1"/>
      <c r="BI946" s="1"/>
      <c r="BJ946" s="1"/>
      <c r="CH946" s="1"/>
    </row>
    <row r="947">
      <c r="D947" s="135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BD947" s="1"/>
      <c r="BE947" s="1"/>
      <c r="BF947" s="1"/>
      <c r="BG947" s="1"/>
      <c r="BH947" s="1"/>
      <c r="BI947" s="1"/>
      <c r="BJ947" s="1"/>
      <c r="CH947" s="1"/>
    </row>
    <row r="948">
      <c r="D948" s="135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BD948" s="1"/>
      <c r="BE948" s="1"/>
      <c r="BF948" s="1"/>
      <c r="BG948" s="1"/>
      <c r="BH948" s="1"/>
      <c r="BI948" s="1"/>
      <c r="BJ948" s="1"/>
      <c r="CH948" s="1"/>
    </row>
    <row r="949">
      <c r="D949" s="135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BD949" s="1"/>
      <c r="BE949" s="1"/>
      <c r="BF949" s="1"/>
      <c r="BG949" s="1"/>
      <c r="BH949" s="1"/>
      <c r="BI949" s="1"/>
      <c r="BJ949" s="1"/>
      <c r="CH949" s="1"/>
    </row>
    <row r="950">
      <c r="D950" s="135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BD950" s="1"/>
      <c r="BE950" s="1"/>
      <c r="BF950" s="1"/>
      <c r="BG950" s="1"/>
      <c r="BH950" s="1"/>
      <c r="BI950" s="1"/>
      <c r="BJ950" s="1"/>
      <c r="CH950" s="1"/>
    </row>
    <row r="951">
      <c r="D951" s="135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BD951" s="1"/>
      <c r="BE951" s="1"/>
      <c r="BF951" s="1"/>
      <c r="BG951" s="1"/>
      <c r="BH951" s="1"/>
      <c r="BI951" s="1"/>
      <c r="BJ951" s="1"/>
      <c r="CH951" s="1"/>
    </row>
    <row r="952">
      <c r="D952" s="135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BD952" s="1"/>
      <c r="BE952" s="1"/>
      <c r="BF952" s="1"/>
      <c r="BG952" s="1"/>
      <c r="BH952" s="1"/>
      <c r="BI952" s="1"/>
      <c r="BJ952" s="1"/>
      <c r="CH952" s="1"/>
    </row>
    <row r="953">
      <c r="D953" s="135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BD953" s="1"/>
      <c r="BE953" s="1"/>
      <c r="BF953" s="1"/>
      <c r="BG953" s="1"/>
      <c r="BH953" s="1"/>
      <c r="BI953" s="1"/>
      <c r="BJ953" s="1"/>
      <c r="CH953" s="1"/>
    </row>
    <row r="954">
      <c r="D954" s="135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BD954" s="1"/>
      <c r="BE954" s="1"/>
      <c r="BF954" s="1"/>
      <c r="BG954" s="1"/>
      <c r="BH954" s="1"/>
      <c r="BI954" s="1"/>
      <c r="BJ954" s="1"/>
      <c r="CH954" s="1"/>
    </row>
    <row r="955">
      <c r="D955" s="135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BD955" s="1"/>
      <c r="BE955" s="1"/>
      <c r="BF955" s="1"/>
      <c r="BG955" s="1"/>
      <c r="BH955" s="1"/>
      <c r="BI955" s="1"/>
      <c r="BJ955" s="1"/>
      <c r="CH955" s="1"/>
    </row>
    <row r="956">
      <c r="D956" s="135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BD956" s="1"/>
      <c r="BE956" s="1"/>
      <c r="BF956" s="1"/>
      <c r="BG956" s="1"/>
      <c r="BH956" s="1"/>
      <c r="BI956" s="1"/>
      <c r="BJ956" s="1"/>
      <c r="CH956" s="1"/>
    </row>
    <row r="957">
      <c r="D957" s="135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BD957" s="1"/>
      <c r="BE957" s="1"/>
      <c r="BF957" s="1"/>
      <c r="BG957" s="1"/>
      <c r="BH957" s="1"/>
      <c r="BI957" s="1"/>
      <c r="BJ957" s="1"/>
      <c r="CH957" s="1"/>
    </row>
    <row r="958">
      <c r="D958" s="135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BD958" s="1"/>
      <c r="BE958" s="1"/>
      <c r="BF958" s="1"/>
      <c r="BG958" s="1"/>
      <c r="BH958" s="1"/>
      <c r="BI958" s="1"/>
      <c r="BJ958" s="1"/>
      <c r="CH958" s="1"/>
    </row>
    <row r="959">
      <c r="D959" s="135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BD959" s="1"/>
      <c r="BE959" s="1"/>
      <c r="BF959" s="1"/>
      <c r="BG959" s="1"/>
      <c r="BH959" s="1"/>
      <c r="BI959" s="1"/>
      <c r="BJ959" s="1"/>
      <c r="CH959" s="1"/>
    </row>
    <row r="960">
      <c r="D960" s="135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BD960" s="1"/>
      <c r="BE960" s="1"/>
      <c r="BF960" s="1"/>
      <c r="BG960" s="1"/>
      <c r="BH960" s="1"/>
      <c r="BI960" s="1"/>
      <c r="BJ960" s="1"/>
      <c r="CH960" s="1"/>
    </row>
    <row r="961">
      <c r="D961" s="135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BD961" s="1"/>
      <c r="BE961" s="1"/>
      <c r="BF961" s="1"/>
      <c r="BG961" s="1"/>
      <c r="BH961" s="1"/>
      <c r="BI961" s="1"/>
      <c r="BJ961" s="1"/>
      <c r="CH961" s="1"/>
    </row>
    <row r="962">
      <c r="D962" s="135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BD962" s="1"/>
      <c r="BE962" s="1"/>
      <c r="BF962" s="1"/>
      <c r="BG962" s="1"/>
      <c r="BH962" s="1"/>
      <c r="BI962" s="1"/>
      <c r="BJ962" s="1"/>
      <c r="CH962" s="1"/>
    </row>
    <row r="963">
      <c r="D963" s="135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BD963" s="1"/>
      <c r="BE963" s="1"/>
      <c r="BF963" s="1"/>
      <c r="BG963" s="1"/>
      <c r="BH963" s="1"/>
      <c r="BI963" s="1"/>
      <c r="BJ963" s="1"/>
      <c r="CH963" s="1"/>
    </row>
    <row r="964">
      <c r="D964" s="135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BD964" s="1"/>
      <c r="BE964" s="1"/>
      <c r="BF964" s="1"/>
      <c r="BG964" s="1"/>
      <c r="BH964" s="1"/>
      <c r="BI964" s="1"/>
      <c r="BJ964" s="1"/>
      <c r="CH964" s="1"/>
    </row>
    <row r="965">
      <c r="D965" s="135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BD965" s="1"/>
      <c r="BE965" s="1"/>
      <c r="BF965" s="1"/>
      <c r="BG965" s="1"/>
      <c r="BH965" s="1"/>
      <c r="BI965" s="1"/>
      <c r="BJ965" s="1"/>
      <c r="CH965" s="1"/>
    </row>
    <row r="966">
      <c r="D966" s="135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BD966" s="1"/>
      <c r="BE966" s="1"/>
      <c r="BF966" s="1"/>
      <c r="BG966" s="1"/>
      <c r="BH966" s="1"/>
      <c r="BI966" s="1"/>
      <c r="BJ966" s="1"/>
      <c r="CH966" s="1"/>
    </row>
    <row r="967">
      <c r="D967" s="135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BD967" s="1"/>
      <c r="BE967" s="1"/>
      <c r="BF967" s="1"/>
      <c r="BG967" s="1"/>
      <c r="BH967" s="1"/>
      <c r="BI967" s="1"/>
      <c r="BJ967" s="1"/>
      <c r="CH967" s="1"/>
    </row>
    <row r="968">
      <c r="D968" s="135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BD968" s="1"/>
      <c r="BE968" s="1"/>
      <c r="BF968" s="1"/>
      <c r="BG968" s="1"/>
      <c r="BH968" s="1"/>
      <c r="BI968" s="1"/>
      <c r="BJ968" s="1"/>
      <c r="CH968" s="1"/>
    </row>
    <row r="969">
      <c r="D969" s="135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BD969" s="1"/>
      <c r="BE969" s="1"/>
      <c r="BF969" s="1"/>
      <c r="BG969" s="1"/>
      <c r="BH969" s="1"/>
      <c r="BI969" s="1"/>
      <c r="BJ969" s="1"/>
      <c r="CH969" s="1"/>
    </row>
    <row r="970">
      <c r="D970" s="135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BD970" s="1"/>
      <c r="BE970" s="1"/>
      <c r="BF970" s="1"/>
      <c r="BG970" s="1"/>
      <c r="BH970" s="1"/>
      <c r="BI970" s="1"/>
      <c r="BJ970" s="1"/>
      <c r="CH970" s="1"/>
    </row>
    <row r="971">
      <c r="D971" s="135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BD971" s="1"/>
      <c r="BE971" s="1"/>
      <c r="BF971" s="1"/>
      <c r="BG971" s="1"/>
      <c r="BH971" s="1"/>
      <c r="BI971" s="1"/>
      <c r="BJ971" s="1"/>
      <c r="CH971" s="1"/>
    </row>
    <row r="972">
      <c r="D972" s="135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BD972" s="1"/>
      <c r="BE972" s="1"/>
      <c r="BF972" s="1"/>
      <c r="BG972" s="1"/>
      <c r="BH972" s="1"/>
      <c r="BI972" s="1"/>
      <c r="BJ972" s="1"/>
      <c r="CH972" s="1"/>
    </row>
    <row r="973">
      <c r="D973" s="135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BD973" s="1"/>
      <c r="BE973" s="1"/>
      <c r="BF973" s="1"/>
      <c r="BG973" s="1"/>
      <c r="BH973" s="1"/>
      <c r="BI973" s="1"/>
      <c r="BJ973" s="1"/>
      <c r="CH973" s="1"/>
    </row>
    <row r="974">
      <c r="D974" s="135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BD974" s="1"/>
      <c r="BE974" s="1"/>
      <c r="BF974" s="1"/>
      <c r="BG974" s="1"/>
      <c r="BH974" s="1"/>
      <c r="BI974" s="1"/>
      <c r="BJ974" s="1"/>
      <c r="CH974" s="1"/>
    </row>
    <row r="975">
      <c r="D975" s="135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BD975" s="1"/>
      <c r="BE975" s="1"/>
      <c r="BF975" s="1"/>
      <c r="BG975" s="1"/>
      <c r="BH975" s="1"/>
      <c r="BI975" s="1"/>
      <c r="BJ975" s="1"/>
      <c r="CH975" s="1"/>
    </row>
    <row r="976">
      <c r="D976" s="135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BD976" s="1"/>
      <c r="BE976" s="1"/>
      <c r="BF976" s="1"/>
      <c r="BG976" s="1"/>
      <c r="BH976" s="1"/>
      <c r="BI976" s="1"/>
      <c r="BJ976" s="1"/>
      <c r="CH976" s="1"/>
    </row>
    <row r="977">
      <c r="D977" s="135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BD977" s="1"/>
      <c r="BE977" s="1"/>
      <c r="BF977" s="1"/>
      <c r="BG977" s="1"/>
      <c r="BH977" s="1"/>
      <c r="BI977" s="1"/>
      <c r="BJ977" s="1"/>
      <c r="CH977" s="1"/>
    </row>
    <row r="978">
      <c r="D978" s="135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BD978" s="1"/>
      <c r="BE978" s="1"/>
      <c r="BF978" s="1"/>
      <c r="BG978" s="1"/>
      <c r="BH978" s="1"/>
      <c r="BI978" s="1"/>
      <c r="BJ978" s="1"/>
      <c r="CH978" s="1"/>
    </row>
    <row r="979">
      <c r="D979" s="135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BD979" s="1"/>
      <c r="BE979" s="1"/>
      <c r="BF979" s="1"/>
      <c r="BG979" s="1"/>
      <c r="BH979" s="1"/>
      <c r="BI979" s="1"/>
      <c r="BJ979" s="1"/>
      <c r="CH979" s="1"/>
    </row>
    <row r="980">
      <c r="D980" s="135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BD980" s="1"/>
      <c r="BE980" s="1"/>
      <c r="BF980" s="1"/>
      <c r="BG980" s="1"/>
      <c r="BH980" s="1"/>
      <c r="BI980" s="1"/>
      <c r="BJ980" s="1"/>
      <c r="CH980" s="1"/>
    </row>
    <row r="981">
      <c r="D981" s="135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BD981" s="1"/>
      <c r="BE981" s="1"/>
      <c r="BF981" s="1"/>
      <c r="BG981" s="1"/>
      <c r="BH981" s="1"/>
      <c r="BI981" s="1"/>
      <c r="BJ981" s="1"/>
      <c r="CH981" s="1"/>
    </row>
    <row r="982">
      <c r="D982" s="135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BD982" s="1"/>
      <c r="BE982" s="1"/>
      <c r="BF982" s="1"/>
      <c r="BG982" s="1"/>
      <c r="BH982" s="1"/>
      <c r="BI982" s="1"/>
      <c r="BJ982" s="1"/>
      <c r="CH982" s="1"/>
    </row>
    <row r="983">
      <c r="D983" s="135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BD983" s="1"/>
      <c r="BE983" s="1"/>
      <c r="BF983" s="1"/>
      <c r="BG983" s="1"/>
      <c r="BH983" s="1"/>
      <c r="BI983" s="1"/>
      <c r="BJ983" s="1"/>
      <c r="CH983" s="1"/>
    </row>
    <row r="984">
      <c r="D984" s="135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BD984" s="1"/>
      <c r="BE984" s="1"/>
      <c r="BF984" s="1"/>
      <c r="BG984" s="1"/>
      <c r="BH984" s="1"/>
      <c r="BI984" s="1"/>
      <c r="BJ984" s="1"/>
      <c r="CH984" s="1"/>
    </row>
    <row r="985">
      <c r="D985" s="135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BD985" s="1"/>
      <c r="BE985" s="1"/>
      <c r="BF985" s="1"/>
      <c r="BG985" s="1"/>
      <c r="BH985" s="1"/>
      <c r="BI985" s="1"/>
      <c r="BJ985" s="1"/>
      <c r="CH985" s="1"/>
    </row>
    <row r="986">
      <c r="D986" s="135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BD986" s="1"/>
      <c r="BE986" s="1"/>
      <c r="BF986" s="1"/>
      <c r="BG986" s="1"/>
      <c r="BH986" s="1"/>
      <c r="BI986" s="1"/>
      <c r="BJ986" s="1"/>
      <c r="CH986" s="1"/>
    </row>
    <row r="987">
      <c r="D987" s="135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BD987" s="1"/>
      <c r="BE987" s="1"/>
      <c r="BF987" s="1"/>
      <c r="BG987" s="1"/>
      <c r="BH987" s="1"/>
      <c r="BI987" s="1"/>
      <c r="BJ987" s="1"/>
      <c r="CH987" s="1"/>
    </row>
    <row r="988">
      <c r="D988" s="135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BD988" s="1"/>
      <c r="BE988" s="1"/>
      <c r="BF988" s="1"/>
      <c r="BG988" s="1"/>
      <c r="BH988" s="1"/>
      <c r="BI988" s="1"/>
      <c r="BJ988" s="1"/>
      <c r="CH988" s="1"/>
    </row>
    <row r="989">
      <c r="D989" s="135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BD989" s="1"/>
      <c r="BE989" s="1"/>
      <c r="BF989" s="1"/>
      <c r="BG989" s="1"/>
      <c r="BH989" s="1"/>
      <c r="BI989" s="1"/>
      <c r="BJ989" s="1"/>
      <c r="CH989" s="1"/>
    </row>
    <row r="990">
      <c r="D990" s="135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BD990" s="1"/>
      <c r="BE990" s="1"/>
      <c r="BF990" s="1"/>
      <c r="BG990" s="1"/>
      <c r="BH990" s="1"/>
      <c r="BI990" s="1"/>
      <c r="BJ990" s="1"/>
      <c r="CH990" s="1"/>
    </row>
    <row r="991">
      <c r="D991" s="135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BD991" s="1"/>
      <c r="BE991" s="1"/>
      <c r="BF991" s="1"/>
      <c r="BG991" s="1"/>
      <c r="BH991" s="1"/>
      <c r="BI991" s="1"/>
      <c r="BJ991" s="1"/>
      <c r="CH991" s="1"/>
    </row>
    <row r="992">
      <c r="D992" s="135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BD992" s="1"/>
      <c r="BE992" s="1"/>
      <c r="BF992" s="1"/>
      <c r="BG992" s="1"/>
      <c r="BH992" s="1"/>
      <c r="BI992" s="1"/>
      <c r="BJ992" s="1"/>
      <c r="CH992" s="1"/>
    </row>
    <row r="993">
      <c r="D993" s="135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BD993" s="1"/>
      <c r="BE993" s="1"/>
      <c r="BF993" s="1"/>
      <c r="BG993" s="1"/>
      <c r="BH993" s="1"/>
      <c r="BI993" s="1"/>
      <c r="BJ993" s="1"/>
      <c r="CH993" s="1"/>
    </row>
    <row r="994">
      <c r="D994" s="135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BD994" s="1"/>
      <c r="BE994" s="1"/>
      <c r="BF994" s="1"/>
      <c r="BG994" s="1"/>
      <c r="BH994" s="1"/>
      <c r="BI994" s="1"/>
      <c r="BJ994" s="1"/>
      <c r="CH994" s="1"/>
    </row>
    <row r="995">
      <c r="D995" s="135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BD995" s="1"/>
      <c r="BE995" s="1"/>
      <c r="BF995" s="1"/>
      <c r="BG995" s="1"/>
      <c r="BH995" s="1"/>
      <c r="BI995" s="1"/>
      <c r="BJ995" s="1"/>
      <c r="CH995" s="1"/>
    </row>
    <row r="996">
      <c r="D996" s="135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BD996" s="1"/>
      <c r="BE996" s="1"/>
      <c r="BF996" s="1"/>
      <c r="BG996" s="1"/>
      <c r="BH996" s="1"/>
      <c r="BI996" s="1"/>
      <c r="BJ996" s="1"/>
      <c r="CH996" s="1"/>
    </row>
    <row r="997">
      <c r="D997" s="135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BD997" s="1"/>
      <c r="BE997" s="1"/>
      <c r="BF997" s="1"/>
      <c r="BG997" s="1"/>
      <c r="BH997" s="1"/>
      <c r="BI997" s="1"/>
      <c r="BJ997" s="1"/>
      <c r="CH997" s="1"/>
    </row>
    <row r="998">
      <c r="D998" s="135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BD998" s="1"/>
      <c r="BE998" s="1"/>
      <c r="BF998" s="1"/>
      <c r="BG998" s="1"/>
      <c r="BH998" s="1"/>
      <c r="BI998" s="1"/>
      <c r="BJ998" s="1"/>
      <c r="CH998" s="1"/>
    </row>
    <row r="999">
      <c r="D999" s="135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BD999" s="1"/>
      <c r="BE999" s="1"/>
      <c r="BF999" s="1"/>
      <c r="BG999" s="1"/>
      <c r="BH999" s="1"/>
      <c r="BI999" s="1"/>
      <c r="BJ999" s="1"/>
      <c r="CH999" s="1"/>
    </row>
    <row r="1000">
      <c r="D1000" s="135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BD1000" s="1"/>
      <c r="BE1000" s="1"/>
      <c r="BF1000" s="1"/>
      <c r="BG1000" s="1"/>
      <c r="BH1000" s="1"/>
      <c r="BI1000" s="1"/>
      <c r="BJ1000" s="1"/>
      <c r="CH1000" s="1"/>
    </row>
    <row r="1001">
      <c r="D1001" s="135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BD1001" s="1"/>
      <c r="BE1001" s="1"/>
      <c r="BF1001" s="1"/>
      <c r="BG1001" s="1"/>
      <c r="BH1001" s="1"/>
      <c r="BI1001" s="1"/>
      <c r="BJ1001" s="1"/>
      <c r="CH1001" s="1"/>
    </row>
    <row r="1002">
      <c r="D1002" s="135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BD1002" s="1"/>
      <c r="BE1002" s="1"/>
      <c r="BF1002" s="1"/>
      <c r="BG1002" s="1"/>
      <c r="BH1002" s="1"/>
      <c r="BI1002" s="1"/>
      <c r="BJ1002" s="1"/>
      <c r="CH1002" s="1"/>
    </row>
    <row r="1003">
      <c r="D1003" s="135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BD1003" s="1"/>
      <c r="BE1003" s="1"/>
      <c r="BF1003" s="1"/>
      <c r="BG1003" s="1"/>
      <c r="BH1003" s="1"/>
      <c r="BI1003" s="1"/>
      <c r="BJ1003" s="1"/>
      <c r="CH1003" s="1"/>
    </row>
    <row r="1004">
      <c r="D1004" s="135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BD1004" s="1"/>
      <c r="BE1004" s="1"/>
      <c r="BF1004" s="1"/>
      <c r="BG1004" s="1"/>
      <c r="BH1004" s="1"/>
      <c r="BI1004" s="1"/>
      <c r="BJ1004" s="1"/>
      <c r="CH1004" s="1"/>
    </row>
    <row r="1005">
      <c r="D1005" s="135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BD1005" s="1"/>
      <c r="BE1005" s="1"/>
      <c r="BF1005" s="1"/>
      <c r="BG1005" s="1"/>
      <c r="BH1005" s="1"/>
      <c r="BI1005" s="1"/>
      <c r="BJ1005" s="1"/>
      <c r="CH1005" s="1"/>
    </row>
    <row r="1006">
      <c r="D1006" s="135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BD1006" s="1"/>
      <c r="BE1006" s="1"/>
      <c r="BF1006" s="1"/>
      <c r="BG1006" s="1"/>
      <c r="BH1006" s="1"/>
      <c r="BI1006" s="1"/>
      <c r="BJ1006" s="1"/>
      <c r="CH1006" s="1"/>
    </row>
    <row r="1007">
      <c r="D1007" s="135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BD1007" s="1"/>
      <c r="BE1007" s="1"/>
      <c r="BF1007" s="1"/>
      <c r="BG1007" s="1"/>
      <c r="BH1007" s="1"/>
      <c r="BI1007" s="1"/>
      <c r="BJ1007" s="1"/>
      <c r="CH1007" s="1"/>
    </row>
    <row r="1008">
      <c r="D1008" s="135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BD1008" s="1"/>
      <c r="BE1008" s="1"/>
      <c r="BF1008" s="1"/>
      <c r="BG1008" s="1"/>
      <c r="BH1008" s="1"/>
      <c r="BI1008" s="1"/>
      <c r="BJ1008" s="1"/>
      <c r="CH1008" s="1"/>
    </row>
    <row r="1009">
      <c r="D1009" s="135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BD1009" s="1"/>
      <c r="BE1009" s="1"/>
      <c r="BF1009" s="1"/>
      <c r="BG1009" s="1"/>
      <c r="BH1009" s="1"/>
      <c r="BI1009" s="1"/>
      <c r="BJ1009" s="1"/>
      <c r="CH1009" s="1"/>
    </row>
  </sheetData>
  <mergeCells count="19">
    <mergeCell ref="AK9:AL9"/>
    <mergeCell ref="AP9:AY9"/>
    <mergeCell ref="BA9:BJ9"/>
    <mergeCell ref="BN9:BQ9"/>
    <mergeCell ref="BS9:BV9"/>
    <mergeCell ref="BX9:CA9"/>
    <mergeCell ref="CO9:CQ9"/>
    <mergeCell ref="CS9:CU9"/>
    <mergeCell ref="CW9:CY9"/>
    <mergeCell ref="CO18:CQ18"/>
    <mergeCell ref="CS18:CU18"/>
    <mergeCell ref="C3:S3"/>
    <mergeCell ref="CH8:CI9"/>
    <mergeCell ref="B9:E9"/>
    <mergeCell ref="G9:J9"/>
    <mergeCell ref="P9:S9"/>
    <mergeCell ref="U9:AA9"/>
    <mergeCell ref="AC9:AI9"/>
    <mergeCell ref="CC9:CF9"/>
  </mergeCell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8.38"/>
    <col customWidth="1" hidden="1" min="3" max="3" width="10.5"/>
    <col customWidth="1" min="4" max="4" width="19.25"/>
    <col customWidth="1" min="5" max="5" width="10.38"/>
    <col customWidth="1" min="6" max="7" width="8.38"/>
    <col customWidth="1" hidden="1" min="8" max="8" width="9.25"/>
    <col customWidth="1" min="9" max="9" width="14.5"/>
    <col customWidth="1" min="14" max="14" width="17.5"/>
    <col customWidth="1" min="15" max="15" width="8.25"/>
    <col customWidth="1" min="16" max="16" width="10.88"/>
    <col customWidth="1" min="17" max="17" width="11.0"/>
    <col customWidth="1" min="18" max="18" width="11.5"/>
    <col customWidth="1" min="19" max="19" width="9.75"/>
    <col customWidth="1" min="20" max="21" width="8.75"/>
    <col customWidth="1" hidden="1" min="22" max="22" width="8.75"/>
    <col customWidth="1" min="23" max="29" width="8.75"/>
    <col customWidth="1" hidden="1" min="30" max="30" width="8.75"/>
    <col customWidth="1" min="31" max="64" width="8.75"/>
    <col customWidth="1" hidden="1" min="65" max="65" width="8.75"/>
    <col customWidth="1" min="66" max="66" width="8.75"/>
    <col customWidth="1" min="67" max="67" width="16.25"/>
    <col customWidth="1" min="68" max="69" width="8.75"/>
    <col customWidth="1" hidden="1" min="70" max="70" width="8.75"/>
    <col customWidth="1" min="71" max="71" width="8.75"/>
    <col customWidth="1" min="72" max="72" width="10.25"/>
    <col customWidth="1" min="73" max="74" width="8.75"/>
    <col customWidth="1" hidden="1" min="75" max="75" width="8.75"/>
    <col customWidth="1" min="76" max="76" width="8.75"/>
    <col customWidth="1" min="77" max="77" width="16.25"/>
    <col customWidth="1" min="78" max="79" width="8.75"/>
    <col customWidth="1" hidden="1" min="80" max="80" width="8.75"/>
    <col customWidth="1" min="81" max="81" width="8.75"/>
    <col customWidth="1" min="82" max="82" width="10.25"/>
    <col customWidth="1" min="83" max="83" width="8.75"/>
    <col customWidth="1" min="84" max="84" width="12.88"/>
    <col customWidth="1" min="85" max="85" width="14.5"/>
    <col customWidth="1" min="86" max="86" width="6.5"/>
    <col customWidth="1" min="87" max="90" width="15.63"/>
    <col customWidth="1" min="92" max="92" width="19.38"/>
    <col customWidth="1" min="93" max="93" width="8.75"/>
    <col customWidth="1" min="96" max="96" width="17.5"/>
  </cols>
  <sheetData>
    <row r="1">
      <c r="D1" s="135"/>
    </row>
    <row r="2">
      <c r="D2" s="135"/>
      <c r="N2" s="7"/>
      <c r="O2" s="7"/>
      <c r="P2" s="7"/>
      <c r="Q2" s="7"/>
      <c r="R2" s="7"/>
      <c r="S2" s="7"/>
    </row>
    <row r="3">
      <c r="C3" s="7" t="s">
        <v>1343</v>
      </c>
      <c r="N3" s="7"/>
      <c r="O3" s="7"/>
      <c r="P3" s="7"/>
      <c r="Q3" s="7"/>
      <c r="R3" s="7"/>
      <c r="S3" s="7"/>
    </row>
    <row r="4">
      <c r="D4" s="135"/>
    </row>
    <row r="5">
      <c r="D5" s="187" t="s">
        <v>22</v>
      </c>
    </row>
    <row r="6">
      <c r="D6" s="188">
        <v>2023.0</v>
      </c>
    </row>
    <row r="7" hidden="1">
      <c r="D7" s="135"/>
    </row>
    <row r="8">
      <c r="D8" s="135"/>
      <c r="F8" s="136"/>
      <c r="H8" s="136"/>
      <c r="I8" s="136"/>
      <c r="J8" s="136"/>
      <c r="CF8" s="136" t="s">
        <v>1403</v>
      </c>
      <c r="CH8" s="136"/>
      <c r="CI8" s="136"/>
    </row>
    <row r="9" ht="41.25" customHeight="1">
      <c r="B9" s="137" t="s">
        <v>1404</v>
      </c>
      <c r="F9" s="136"/>
      <c r="G9" s="138" t="s">
        <v>1405</v>
      </c>
      <c r="P9" s="139" t="s">
        <v>1347</v>
      </c>
      <c r="U9" s="139" t="s">
        <v>1348</v>
      </c>
      <c r="AC9" s="139" t="s">
        <v>1349</v>
      </c>
      <c r="AJ9" s="93"/>
      <c r="AK9" s="140" t="s">
        <v>1350</v>
      </c>
      <c r="AM9" s="93"/>
      <c r="AN9" s="93"/>
      <c r="AO9" s="93"/>
      <c r="AP9" s="140" t="s">
        <v>1351</v>
      </c>
      <c r="AZ9" s="93"/>
      <c r="BA9" s="140" t="s">
        <v>1352</v>
      </c>
      <c r="BL9" s="141" t="s">
        <v>1353</v>
      </c>
      <c r="BQ9" s="142" t="s">
        <v>1354</v>
      </c>
      <c r="BV9" s="143" t="s">
        <v>1355</v>
      </c>
      <c r="CA9" s="143" t="s">
        <v>1356</v>
      </c>
      <c r="CH9" s="136"/>
      <c r="CI9" s="136"/>
      <c r="CM9" s="93" t="s">
        <v>1357</v>
      </c>
      <c r="CQ9" s="93" t="s">
        <v>1358</v>
      </c>
      <c r="CU9" s="93" t="s">
        <v>1359</v>
      </c>
    </row>
    <row r="10" hidden="1">
      <c r="B10" s="144"/>
      <c r="C10" s="144"/>
      <c r="D10" s="145"/>
      <c r="E10" s="144"/>
      <c r="G10" s="144"/>
      <c r="H10" s="144"/>
      <c r="I10" s="144"/>
      <c r="J10" s="144"/>
      <c r="AA10" s="148"/>
      <c r="AI10" s="148"/>
      <c r="AJ10" s="149"/>
      <c r="AM10" s="149"/>
      <c r="AN10" s="149"/>
      <c r="AO10" s="149"/>
      <c r="AU10" s="151"/>
      <c r="AV10" s="151"/>
      <c r="AW10" s="151"/>
      <c r="AX10" s="151"/>
      <c r="AY10" s="151"/>
      <c r="AZ10" s="149"/>
      <c r="BF10" s="151"/>
      <c r="BG10" s="151"/>
      <c r="BH10" s="151"/>
      <c r="BI10" s="151"/>
      <c r="BJ10" s="151"/>
      <c r="BL10" s="153"/>
      <c r="BM10" s="153"/>
      <c r="BN10" s="154"/>
      <c r="BO10" s="153"/>
      <c r="BQ10" s="155"/>
      <c r="BR10" s="155"/>
      <c r="BS10" s="154"/>
      <c r="BT10" s="153"/>
      <c r="BV10" s="156"/>
      <c r="BW10" s="156"/>
      <c r="BX10" s="157"/>
      <c r="BY10" s="156"/>
      <c r="CA10" s="158"/>
      <c r="CB10" s="158"/>
      <c r="CC10" s="157"/>
      <c r="CD10" s="156"/>
      <c r="CF10" s="161"/>
      <c r="CG10" s="160"/>
      <c r="CM10" s="161"/>
      <c r="CN10" s="160"/>
      <c r="CO10" s="160"/>
      <c r="CQ10" s="161"/>
      <c r="CR10" s="160"/>
      <c r="CS10" s="160"/>
      <c r="CU10" s="161"/>
      <c r="CV10" s="160"/>
      <c r="CW10" s="160"/>
    </row>
    <row r="11">
      <c r="AA11" s="146"/>
      <c r="AI11" s="163"/>
      <c r="AU11" s="170"/>
      <c r="AV11" s="170"/>
      <c r="AW11" s="170"/>
      <c r="AX11" s="170"/>
      <c r="AY11" s="170"/>
      <c r="BF11" s="168"/>
      <c r="BG11" s="168"/>
      <c r="BH11" s="168"/>
      <c r="BI11" s="168"/>
      <c r="BJ11" s="168"/>
      <c r="CF11" s="161" t="s">
        <v>21</v>
      </c>
      <c r="CG11" s="160" t="s">
        <v>1369</v>
      </c>
      <c r="CM11" s="172" t="s">
        <v>1370</v>
      </c>
      <c r="CN11" s="173" t="s">
        <v>1371</v>
      </c>
      <c r="CO11" s="174" t="s">
        <v>784</v>
      </c>
      <c r="CQ11" s="172" t="s">
        <v>1372</v>
      </c>
      <c r="CR11" s="173" t="s">
        <v>1371</v>
      </c>
      <c r="CS11" s="174" t="s">
        <v>784</v>
      </c>
      <c r="CU11" s="172" t="s">
        <v>12</v>
      </c>
      <c r="CV11" s="173" t="s">
        <v>1371</v>
      </c>
      <c r="CW11" s="174" t="s">
        <v>784</v>
      </c>
    </row>
    <row r="12">
      <c r="AI12" s="1"/>
      <c r="AU12" s="1"/>
      <c r="AV12" s="1"/>
      <c r="AW12" s="1"/>
      <c r="AX12" s="1"/>
      <c r="AY12" s="1"/>
      <c r="BF12" s="1"/>
      <c r="BG12" s="1"/>
      <c r="BH12" s="1"/>
      <c r="BI12" s="1"/>
      <c r="BJ12" s="1"/>
      <c r="CF12" s="10" t="s">
        <v>1396</v>
      </c>
      <c r="CG12" s="108">
        <f>COUNTIFS('BD Asesor'!$Q:$Q,CF12,'BD Asesor'!$R:$R,$D$6)</f>
        <v>2</v>
      </c>
      <c r="CM12" s="184" t="s">
        <v>54</v>
      </c>
      <c r="CN12" s="108">
        <f>COUNTIFS('BD Asesor'!$K:$K,CM12,'BD Asesor'!$R:$R,$D$6)</f>
        <v>27</v>
      </c>
      <c r="CO12" s="189">
        <f t="shared" ref="CO12:CO13" si="1">IFERROR(CN12/$CN$14,"0.00%")</f>
        <v>0.8181818182</v>
      </c>
      <c r="CQ12" s="184" t="s">
        <v>36</v>
      </c>
      <c r="CR12" s="108">
        <f>COUNTIFS('BD Asesor'!$G:$G,CM12,'BD Asesor'!$R:$R,$D$6)</f>
        <v>0</v>
      </c>
      <c r="CS12" s="189" t="str">
        <f t="shared" ref="CS12:CS14" si="2">IFERROR(CN12/$CR$15,"0.00%")</f>
        <v>0.00%</v>
      </c>
      <c r="CU12" s="184" t="s">
        <v>37</v>
      </c>
      <c r="CV12" s="108">
        <f>COUNTIFS('BD Asesor'!$H:$H,CU12,'BD Asesor'!$R:$R,$D$6)</f>
        <v>3</v>
      </c>
      <c r="CW12" s="109">
        <f>IFERROR(CN12/$CV$16,"0.00%")</f>
        <v>0.6136363636</v>
      </c>
    </row>
    <row r="13">
      <c r="AI13" s="1"/>
      <c r="AU13" s="1"/>
      <c r="AV13" s="1"/>
      <c r="AW13" s="1"/>
      <c r="AX13" s="1"/>
      <c r="AY13" s="1"/>
      <c r="BF13" s="1"/>
      <c r="BG13" s="1"/>
      <c r="BH13" s="1"/>
      <c r="BI13" s="1"/>
      <c r="BJ13" s="1"/>
      <c r="CF13" s="10" t="s">
        <v>1382</v>
      </c>
      <c r="CG13" s="108">
        <f>COUNTIFS('BD Asesor'!$Q:$Q,CF13,'BD Asesor'!$R:$R,$D$6)</f>
        <v>5</v>
      </c>
      <c r="CM13" s="184" t="s">
        <v>40</v>
      </c>
      <c r="CN13" s="108">
        <f>COUNTIFS('BD Asesor'!$K:$K,CM13,'BD Asesor'!$R:$R,$D$6)</f>
        <v>6</v>
      </c>
      <c r="CO13" s="189">
        <f t="shared" si="1"/>
        <v>0.1818181818</v>
      </c>
      <c r="CQ13" s="184" t="s">
        <v>355</v>
      </c>
      <c r="CR13" s="108">
        <f>COUNTIFS('BD Asesor'!$G:$G,CM13,'BD Asesor'!$R:$R,$D$6)</f>
        <v>0</v>
      </c>
      <c r="CS13" s="189" t="str">
        <f t="shared" si="2"/>
        <v>0.00%</v>
      </c>
      <c r="CU13" s="184" t="s">
        <v>94</v>
      </c>
      <c r="CV13" s="108">
        <f>COUNTIFS('BD Asesor'!$H:$H,CU13,'BD Asesor'!$R:$R,$D$6)</f>
        <v>3</v>
      </c>
      <c r="CW13" s="109">
        <f t="shared" ref="CW13:CW15" si="3">CV13/$CV$16</f>
        <v>0.06818181818</v>
      </c>
    </row>
    <row r="14">
      <c r="AI14" s="1"/>
      <c r="AK14" s="1"/>
      <c r="AL14" s="1"/>
      <c r="AU14" s="1"/>
      <c r="AV14" s="1"/>
      <c r="AW14" s="1"/>
      <c r="AX14" s="1"/>
      <c r="AY14" s="1"/>
      <c r="BF14" s="1"/>
      <c r="BG14" s="1"/>
      <c r="BH14" s="1"/>
      <c r="BI14" s="1"/>
      <c r="BJ14" s="1"/>
      <c r="CF14" s="10" t="s">
        <v>1390</v>
      </c>
      <c r="CG14" s="108">
        <f>COUNTIFS('BD Asesor'!$Q:$Q,CF14,'BD Asesor'!$R:$R,$D$6)</f>
        <v>2</v>
      </c>
      <c r="CM14" s="117" t="s">
        <v>811</v>
      </c>
      <c r="CN14" s="120">
        <f>SUM(CN12:CN13)</f>
        <v>33</v>
      </c>
      <c r="CO14" s="121"/>
      <c r="CQ14" s="184" t="s">
        <v>45</v>
      </c>
      <c r="CR14" s="108">
        <f>COUNTIFS('BD Asesor'!$G:$G,CM14,'BD Asesor'!$R:$R,$D$6)</f>
        <v>0</v>
      </c>
      <c r="CS14" s="189" t="str">
        <f t="shared" si="2"/>
        <v>0.00%</v>
      </c>
      <c r="CU14" s="184" t="s">
        <v>50</v>
      </c>
      <c r="CV14" s="108">
        <f>COUNTIFS('BD Asesor'!$H:$H,CU14,'BD Asesor'!$R:$R,$D$6)</f>
        <v>5</v>
      </c>
      <c r="CW14" s="109">
        <f t="shared" si="3"/>
        <v>0.1136363636</v>
      </c>
    </row>
    <row r="15">
      <c r="R15" s="135"/>
      <c r="AI15" s="1"/>
      <c r="AK15" s="1"/>
      <c r="AL15" s="1"/>
      <c r="AU15" s="1"/>
      <c r="AV15" s="1"/>
      <c r="AW15" s="1"/>
      <c r="AX15" s="1"/>
      <c r="AY15" s="1"/>
      <c r="BF15" s="1"/>
      <c r="BG15" s="1"/>
      <c r="BH15" s="1"/>
      <c r="BI15" s="1"/>
      <c r="BJ15" s="1"/>
      <c r="CF15" s="10" t="s">
        <v>1391</v>
      </c>
      <c r="CG15" s="108">
        <f>COUNTIFS('BD Asesor'!$Q:$Q,CF15,'BD Asesor'!$R:$R,$D$6)</f>
        <v>5</v>
      </c>
      <c r="CQ15" s="117" t="s">
        <v>1380</v>
      </c>
      <c r="CR15" s="120">
        <f>SUM(CR12:CR14)</f>
        <v>0</v>
      </c>
      <c r="CS15" s="121"/>
      <c r="CU15" s="184" t="s">
        <v>58</v>
      </c>
      <c r="CV15" s="108">
        <f>COUNTIFS('BD Asesor'!$H:$H,CU15,'BD Asesor'!$R:$R,$D$6)</f>
        <v>33</v>
      </c>
      <c r="CW15" s="109">
        <f t="shared" si="3"/>
        <v>0.75</v>
      </c>
    </row>
    <row r="16">
      <c r="R16" s="135"/>
      <c r="AI16" s="1"/>
      <c r="AK16" s="1"/>
      <c r="AL16" s="1"/>
      <c r="AU16" s="1"/>
      <c r="AV16" s="1"/>
      <c r="AW16" s="1"/>
      <c r="AX16" s="1"/>
      <c r="AY16" s="1"/>
      <c r="BF16" s="1"/>
      <c r="BG16" s="1"/>
      <c r="BH16" s="1"/>
      <c r="BI16" s="1"/>
      <c r="BJ16" s="1"/>
      <c r="CF16" s="10" t="s">
        <v>1376</v>
      </c>
      <c r="CG16" s="108">
        <f>COUNTIFS('BD Asesor'!$Q:$Q,CF16,'BD Asesor'!$R:$R,$D$6)</f>
        <v>3</v>
      </c>
      <c r="CU16" s="117" t="s">
        <v>1380</v>
      </c>
      <c r="CV16" s="120">
        <f>SUM(CV12:CV15)</f>
        <v>44</v>
      </c>
      <c r="CW16" s="121"/>
    </row>
    <row r="17">
      <c r="R17" s="135"/>
      <c r="AI17" s="1"/>
      <c r="AK17" s="1"/>
      <c r="AL17" s="1"/>
      <c r="AU17" s="1"/>
      <c r="AV17" s="1"/>
      <c r="AW17" s="1"/>
      <c r="AX17" s="1"/>
      <c r="AY17" s="1"/>
      <c r="BF17" s="1"/>
      <c r="BG17" s="1"/>
      <c r="BH17" s="1"/>
      <c r="BI17" s="1"/>
      <c r="BJ17" s="1"/>
      <c r="CF17" s="10" t="s">
        <v>1378</v>
      </c>
      <c r="CG17" s="108">
        <f>COUNTIFS('BD Asesor'!$Q:$Q,CF17,'BD Asesor'!$R:$R,$D$6)</f>
        <v>2</v>
      </c>
    </row>
    <row r="18">
      <c r="R18" s="135"/>
      <c r="AI18" s="1"/>
      <c r="AK18" s="1"/>
      <c r="AL18" s="1"/>
      <c r="AU18" s="1"/>
      <c r="AV18" s="1"/>
      <c r="AW18" s="1"/>
      <c r="AX18" s="1"/>
      <c r="AY18" s="1"/>
      <c r="BF18" s="1"/>
      <c r="BG18" s="1"/>
      <c r="BH18" s="1"/>
      <c r="BI18" s="1"/>
      <c r="BJ18" s="1"/>
      <c r="CF18" s="10" t="s">
        <v>1385</v>
      </c>
      <c r="CG18" s="108">
        <f>COUNTIFS('BD Asesor'!$Q:$Q,CF18,'BD Asesor'!$R:$R,$D$6)</f>
        <v>4</v>
      </c>
      <c r="CM18" s="93" t="s">
        <v>1386</v>
      </c>
      <c r="CQ18" s="93" t="s">
        <v>1387</v>
      </c>
    </row>
    <row r="19">
      <c r="R19" s="135"/>
      <c r="AI19" s="1"/>
      <c r="AU19" s="1"/>
      <c r="AV19" s="1"/>
      <c r="AW19" s="1"/>
      <c r="AX19" s="1"/>
      <c r="AY19" s="1"/>
      <c r="BF19" s="1"/>
      <c r="BG19" s="1"/>
      <c r="BH19" s="1"/>
      <c r="BI19" s="1"/>
      <c r="BJ19" s="1"/>
      <c r="CF19" s="10" t="s">
        <v>1383</v>
      </c>
      <c r="CG19" s="108">
        <f>COUNTIFS('BD Asesor'!$Q:$Q,CF19,'BD Asesor'!$R:$R,$D$6)</f>
        <v>6</v>
      </c>
      <c r="CM19" s="172" t="s">
        <v>1388</v>
      </c>
      <c r="CN19" s="173" t="s">
        <v>1389</v>
      </c>
      <c r="CO19" s="174" t="s">
        <v>784</v>
      </c>
      <c r="CQ19" s="172" t="s">
        <v>7</v>
      </c>
      <c r="CR19" s="173" t="s">
        <v>1371</v>
      </c>
      <c r="CS19" s="174" t="s">
        <v>784</v>
      </c>
    </row>
    <row r="20">
      <c r="R20" s="135"/>
      <c r="AI20" s="1"/>
      <c r="AU20" s="1"/>
      <c r="AV20" s="1"/>
      <c r="AW20" s="1"/>
      <c r="AX20" s="1"/>
      <c r="AY20" s="1"/>
      <c r="BF20" s="1"/>
      <c r="BG20" s="1"/>
      <c r="BH20" s="1"/>
      <c r="BI20" s="1"/>
      <c r="BJ20" s="1"/>
      <c r="CF20" s="10" t="s">
        <v>1377</v>
      </c>
      <c r="CG20" s="108">
        <f>COUNTIFS('BD Asesor'!$Q:$Q,CF20,'BD Asesor'!$R:$R,$D$6)</f>
        <v>3</v>
      </c>
      <c r="CM20" s="186" t="s">
        <v>46</v>
      </c>
      <c r="CN20" s="108">
        <f>COUNTIFS('BD Asesor'!$L:$L,CM20,'BD Asesor'!$R:$R,$D$6)</f>
        <v>20</v>
      </c>
      <c r="CO20" s="109">
        <f t="shared" ref="CO20:CO21" si="4">CN20/$CN$22</f>
        <v>0.4651162791</v>
      </c>
      <c r="CQ20" s="184" t="s">
        <v>34</v>
      </c>
      <c r="CR20" s="108">
        <f>COUNTIFS('BD Asesor'!$C:$C,CQ20,'BD Asesor'!$R:$R,$D$6)</f>
        <v>44</v>
      </c>
      <c r="CS20" s="109">
        <f t="shared" ref="CS20:CS21" si="5">IFERROR(CN12/$CR$22,"0.00%")</f>
        <v>0.6136363636</v>
      </c>
    </row>
    <row r="21">
      <c r="R21" s="135"/>
      <c r="AI21" s="1"/>
      <c r="AU21" s="1"/>
      <c r="AV21" s="1"/>
      <c r="AW21" s="1"/>
      <c r="AX21" s="1"/>
      <c r="AY21" s="1"/>
      <c r="BF21" s="1"/>
      <c r="BG21" s="1"/>
      <c r="BH21" s="1"/>
      <c r="BI21" s="1"/>
      <c r="BJ21" s="1"/>
      <c r="CF21" s="10" t="s">
        <v>1373</v>
      </c>
      <c r="CG21" s="108">
        <f>COUNTIFS('BD Asesor'!$Q:$Q,CF21,'BD Asesor'!$R:$R,$D$6)</f>
        <v>2</v>
      </c>
      <c r="CM21" s="186" t="s">
        <v>41</v>
      </c>
      <c r="CN21" s="108">
        <f>COUNTIFS('BD Asesor'!$L:$L,CM21,'BD Asesor'!$R:$R,$D$6)</f>
        <v>23</v>
      </c>
      <c r="CO21" s="109">
        <f t="shared" si="4"/>
        <v>0.5348837209</v>
      </c>
      <c r="CQ21" s="184" t="s">
        <v>1393</v>
      </c>
      <c r="CR21" s="108">
        <f>COUNTIFS('BD Asesor'!$C:$C,CQ21,'BD Asesor'!$R:$R,$D$6)</f>
        <v>0</v>
      </c>
      <c r="CS21" s="109">
        <f t="shared" si="5"/>
        <v>0.1363636364</v>
      </c>
    </row>
    <row r="22">
      <c r="R22" s="135"/>
      <c r="AI22" s="1"/>
      <c r="AU22" s="1"/>
      <c r="AV22" s="1"/>
      <c r="AW22" s="1"/>
      <c r="AX22" s="1"/>
      <c r="AY22" s="1"/>
      <c r="BF22" s="1"/>
      <c r="BG22" s="1"/>
      <c r="BH22" s="1"/>
      <c r="BI22" s="1"/>
      <c r="BJ22" s="1"/>
      <c r="CF22" s="10" t="s">
        <v>1392</v>
      </c>
      <c r="CG22" s="108">
        <f>COUNTIFS('BD Asesor'!$Q:$Q,CF22,'BD Asesor'!$R:$R,$D$6)</f>
        <v>7</v>
      </c>
      <c r="CM22" s="117" t="s">
        <v>811</v>
      </c>
      <c r="CN22" s="120">
        <f>SUM(CN20:CN21)</f>
        <v>43</v>
      </c>
      <c r="CO22" s="121"/>
      <c r="CQ22" s="117" t="s">
        <v>811</v>
      </c>
      <c r="CR22" s="120">
        <f>SUM(CR20:CR21)</f>
        <v>44</v>
      </c>
      <c r="CS22" s="121"/>
    </row>
    <row r="23">
      <c r="R23" s="135"/>
      <c r="AI23" s="1"/>
      <c r="AU23" s="1"/>
      <c r="AV23" s="1"/>
      <c r="AW23" s="1"/>
      <c r="AX23" s="1"/>
      <c r="AY23" s="1"/>
      <c r="BF23" s="1"/>
      <c r="BG23" s="1"/>
      <c r="BH23" s="1"/>
      <c r="BI23" s="1"/>
      <c r="BJ23" s="1"/>
      <c r="BX23" s="135"/>
      <c r="CF23" s="10" t="s">
        <v>1395</v>
      </c>
      <c r="CG23" s="108">
        <f>COUNTIFS('BD Asesor'!$Q:$Q,CF23,'BD Asesor'!$R:$R,$D$6)</f>
        <v>3</v>
      </c>
    </row>
    <row r="24">
      <c r="R24" s="135"/>
      <c r="AI24" s="1"/>
      <c r="AU24" s="1"/>
      <c r="AV24" s="1"/>
      <c r="AW24" s="1"/>
      <c r="AX24" s="1"/>
      <c r="AY24" s="1"/>
      <c r="BF24" s="1"/>
      <c r="BG24" s="1"/>
      <c r="BH24" s="1"/>
      <c r="BI24" s="1"/>
      <c r="BJ24" s="1"/>
      <c r="BX24" s="135"/>
      <c r="CF24" s="64" t="s">
        <v>811</v>
      </c>
      <c r="CG24" s="84">
        <f>SUM(CG12:CG23)</f>
        <v>44</v>
      </c>
    </row>
    <row r="25">
      <c r="R25" s="135"/>
      <c r="AI25" s="1"/>
      <c r="AU25" s="1"/>
      <c r="AV25" s="1"/>
      <c r="AW25" s="1"/>
      <c r="AX25" s="1"/>
      <c r="AY25" s="1"/>
      <c r="BF25" s="1"/>
      <c r="BG25" s="1"/>
      <c r="BH25" s="1"/>
      <c r="BI25" s="1"/>
      <c r="BJ25" s="1"/>
      <c r="BN25" s="135"/>
      <c r="BX25" s="135"/>
    </row>
    <row r="26">
      <c r="D26" s="135"/>
      <c r="R26" s="135"/>
      <c r="W26" s="135"/>
      <c r="AF26" s="1"/>
      <c r="AG26" s="1"/>
      <c r="AH26" s="1"/>
      <c r="AI26" s="1"/>
      <c r="AP26" s="1"/>
      <c r="AQ26" s="1"/>
      <c r="AR26" s="181"/>
      <c r="AS26" s="1"/>
      <c r="AT26" s="1"/>
      <c r="AU26" s="1"/>
      <c r="AV26" s="1"/>
      <c r="AW26" s="1"/>
      <c r="AX26" s="1"/>
      <c r="AY26" s="1"/>
      <c r="BD26" s="1"/>
      <c r="BE26" s="1"/>
      <c r="BF26" s="1"/>
      <c r="BG26" s="1"/>
      <c r="BH26" s="1"/>
      <c r="BI26" s="1"/>
      <c r="BJ26" s="1"/>
      <c r="BN26" s="135"/>
      <c r="BX26" s="135"/>
    </row>
    <row r="27">
      <c r="D27" s="135"/>
      <c r="R27" s="135"/>
      <c r="W27" s="135"/>
      <c r="AF27" s="1"/>
      <c r="AG27" s="1"/>
      <c r="AH27" s="1"/>
      <c r="AI27" s="1"/>
      <c r="AP27" s="1"/>
      <c r="AQ27" s="1"/>
      <c r="AR27" s="181"/>
      <c r="AS27" s="1"/>
      <c r="AT27" s="1"/>
      <c r="AU27" s="1"/>
      <c r="AV27" s="1"/>
      <c r="AW27" s="1"/>
      <c r="AX27" s="1"/>
      <c r="AY27" s="1"/>
      <c r="BD27" s="1"/>
      <c r="BE27" s="1"/>
      <c r="BF27" s="1"/>
      <c r="BG27" s="1"/>
      <c r="BH27" s="1"/>
      <c r="BI27" s="1"/>
      <c r="BJ27" s="1"/>
      <c r="BN27" s="135"/>
      <c r="BX27" s="135"/>
    </row>
    <row r="28">
      <c r="D28" s="135"/>
      <c r="R28" s="135"/>
      <c r="W28" s="135"/>
      <c r="AF28" s="1"/>
      <c r="AG28" s="1"/>
      <c r="AH28" s="1"/>
      <c r="AI28" s="1"/>
      <c r="AP28" s="1"/>
      <c r="AQ28" s="1"/>
      <c r="AR28" s="181"/>
      <c r="AS28" s="1"/>
      <c r="AT28" s="1"/>
      <c r="AU28" s="1"/>
      <c r="AV28" s="1"/>
      <c r="AW28" s="1"/>
      <c r="AX28" s="1"/>
      <c r="AY28" s="1"/>
      <c r="BD28" s="1"/>
      <c r="BE28" s="1"/>
      <c r="BF28" s="1"/>
      <c r="BG28" s="1"/>
      <c r="BH28" s="1"/>
      <c r="BI28" s="1"/>
      <c r="BJ28" s="1"/>
      <c r="BN28" s="135"/>
      <c r="BX28" s="135"/>
    </row>
    <row r="29">
      <c r="D29" s="135"/>
      <c r="R29" s="135"/>
      <c r="W29" s="135"/>
      <c r="AF29" s="1"/>
      <c r="AG29" s="1"/>
      <c r="AH29" s="1"/>
      <c r="AI29" s="1"/>
      <c r="AP29" s="1"/>
      <c r="AQ29" s="1"/>
      <c r="AR29" s="181"/>
      <c r="AS29" s="1"/>
      <c r="AT29" s="1"/>
      <c r="AU29" s="1"/>
      <c r="AV29" s="1"/>
      <c r="AW29" s="1"/>
      <c r="AX29" s="1"/>
      <c r="AY29" s="1"/>
      <c r="BD29" s="1"/>
      <c r="BE29" s="1"/>
      <c r="BF29" s="1"/>
      <c r="BG29" s="1"/>
      <c r="BH29" s="1"/>
      <c r="BI29" s="1"/>
      <c r="BJ29" s="1"/>
      <c r="BN29" s="135"/>
      <c r="BX29" s="135"/>
    </row>
    <row r="30">
      <c r="D30" s="135"/>
      <c r="R30" s="135"/>
      <c r="W30" s="135"/>
      <c r="AF30" s="1"/>
      <c r="AG30" s="1"/>
      <c r="AH30" s="1"/>
      <c r="AI30" s="1"/>
      <c r="AP30" s="1"/>
      <c r="AQ30" s="1"/>
      <c r="AR30" s="181"/>
      <c r="AS30" s="1"/>
      <c r="AT30" s="1"/>
      <c r="AU30" s="1"/>
      <c r="AV30" s="1"/>
      <c r="AW30" s="1"/>
      <c r="AX30" s="1"/>
      <c r="AY30" s="1"/>
      <c r="BD30" s="1"/>
      <c r="BE30" s="1"/>
      <c r="BF30" s="1"/>
      <c r="BG30" s="1"/>
      <c r="BH30" s="1"/>
      <c r="BI30" s="1"/>
      <c r="BJ30" s="1"/>
      <c r="BN30" s="135"/>
      <c r="BX30" s="135"/>
    </row>
    <row r="31">
      <c r="D31" s="135"/>
      <c r="R31" s="135"/>
      <c r="W31" s="135"/>
      <c r="AF31" s="1"/>
      <c r="AG31" s="1"/>
      <c r="AH31" s="1"/>
      <c r="AI31" s="1"/>
      <c r="AP31" s="1"/>
      <c r="AQ31" s="1"/>
      <c r="AR31" s="181"/>
      <c r="AS31" s="1"/>
      <c r="AT31" s="1"/>
      <c r="AU31" s="1"/>
      <c r="AV31" s="1"/>
      <c r="AW31" s="1"/>
      <c r="AX31" s="1"/>
      <c r="AY31" s="1"/>
      <c r="BD31" s="1"/>
      <c r="BE31" s="1"/>
      <c r="BF31" s="1"/>
      <c r="BG31" s="1"/>
      <c r="BH31" s="1"/>
      <c r="BI31" s="1"/>
      <c r="BJ31" s="1"/>
      <c r="BN31" s="135"/>
      <c r="BX31" s="135"/>
    </row>
    <row r="32">
      <c r="D32" s="135"/>
      <c r="R32" s="135"/>
      <c r="W32" s="135"/>
      <c r="AF32" s="1"/>
      <c r="AG32" s="1"/>
      <c r="AH32" s="1"/>
      <c r="AI32" s="1"/>
      <c r="AP32" s="1"/>
      <c r="AQ32" s="1"/>
      <c r="AR32" s="181"/>
      <c r="AS32" s="1"/>
      <c r="AT32" s="1"/>
      <c r="AU32" s="1"/>
      <c r="AV32" s="1"/>
      <c r="AW32" s="1"/>
      <c r="AX32" s="1"/>
      <c r="AY32" s="1"/>
      <c r="BD32" s="1"/>
      <c r="BE32" s="1"/>
      <c r="BF32" s="1"/>
      <c r="BG32" s="1"/>
      <c r="BH32" s="1"/>
      <c r="BI32" s="1"/>
      <c r="BJ32" s="1"/>
      <c r="BN32" s="135"/>
      <c r="BX32" s="135"/>
    </row>
    <row r="33">
      <c r="D33" s="135"/>
      <c r="R33" s="135"/>
      <c r="W33" s="135"/>
      <c r="AF33" s="1"/>
      <c r="AG33" s="1"/>
      <c r="AH33" s="1"/>
      <c r="AI33" s="1"/>
      <c r="AP33" s="1"/>
      <c r="AQ33" s="1"/>
      <c r="AR33" s="181"/>
      <c r="AS33" s="1"/>
      <c r="AT33" s="1"/>
      <c r="AU33" s="1"/>
      <c r="AV33" s="1"/>
      <c r="AW33" s="1"/>
      <c r="AX33" s="1"/>
      <c r="AY33" s="1"/>
      <c r="BD33" s="1"/>
      <c r="BE33" s="1"/>
      <c r="BF33" s="1"/>
      <c r="BG33" s="1"/>
      <c r="BH33" s="1"/>
      <c r="BI33" s="1"/>
      <c r="BJ33" s="1"/>
      <c r="BN33" s="135"/>
      <c r="BX33" s="135"/>
    </row>
    <row r="34">
      <c r="D34" s="135"/>
      <c r="R34" s="135"/>
      <c r="W34" s="135"/>
      <c r="AF34" s="1"/>
      <c r="AG34" s="1"/>
      <c r="AH34" s="1"/>
      <c r="AI34" s="1"/>
      <c r="AP34" s="1"/>
      <c r="AQ34" s="1"/>
      <c r="AR34" s="181"/>
      <c r="AS34" s="1"/>
      <c r="AT34" s="1"/>
      <c r="AU34" s="1"/>
      <c r="AV34" s="1"/>
      <c r="AW34" s="1"/>
      <c r="AX34" s="1"/>
      <c r="AY34" s="1"/>
      <c r="BD34" s="1"/>
      <c r="BE34" s="1"/>
      <c r="BF34" s="1"/>
      <c r="BG34" s="1"/>
      <c r="BH34" s="1"/>
      <c r="BI34" s="1"/>
      <c r="BJ34" s="1"/>
      <c r="BN34" s="135"/>
      <c r="BX34" s="135"/>
    </row>
    <row r="35">
      <c r="D35" s="135"/>
      <c r="R35" s="135"/>
      <c r="W35" s="135"/>
      <c r="AF35" s="1"/>
      <c r="AG35" s="1"/>
      <c r="AH35" s="1"/>
      <c r="AI35" s="1"/>
      <c r="AP35" s="1"/>
      <c r="AQ35" s="1"/>
      <c r="AR35" s="181"/>
      <c r="AS35" s="1"/>
      <c r="AT35" s="1"/>
      <c r="AU35" s="1"/>
      <c r="AV35" s="1"/>
      <c r="AW35" s="1"/>
      <c r="AX35" s="1"/>
      <c r="AY35" s="1"/>
      <c r="BD35" s="1"/>
      <c r="BE35" s="1"/>
      <c r="BF35" s="1"/>
      <c r="BG35" s="1"/>
      <c r="BH35" s="1"/>
      <c r="BI35" s="1"/>
      <c r="BJ35" s="1"/>
      <c r="BN35" s="135"/>
      <c r="BX35" s="135"/>
    </row>
    <row r="36">
      <c r="D36" s="135"/>
      <c r="R36" s="135"/>
      <c r="W36" s="135"/>
      <c r="AF36" s="1"/>
      <c r="AG36" s="1"/>
      <c r="AH36" s="1"/>
      <c r="AI36" s="1"/>
      <c r="AP36" s="1"/>
      <c r="AQ36" s="1"/>
      <c r="AR36" s="181"/>
      <c r="AS36" s="1"/>
      <c r="AT36" s="1"/>
      <c r="AU36" s="1"/>
      <c r="AV36" s="1"/>
      <c r="AW36" s="1"/>
      <c r="AX36" s="1"/>
      <c r="AY36" s="1"/>
      <c r="BD36" s="1"/>
      <c r="BE36" s="1"/>
      <c r="BF36" s="1"/>
      <c r="BG36" s="1"/>
      <c r="BH36" s="1"/>
      <c r="BI36" s="1"/>
      <c r="BJ36" s="1"/>
      <c r="BN36" s="135"/>
      <c r="BX36" s="135"/>
    </row>
    <row r="37">
      <c r="D37" s="135"/>
      <c r="R37" s="135"/>
      <c r="W37" s="135"/>
      <c r="AF37" s="1"/>
      <c r="AG37" s="1"/>
      <c r="AH37" s="1"/>
      <c r="AI37" s="1"/>
      <c r="AP37" s="1"/>
      <c r="AQ37" s="1"/>
      <c r="AR37" s="181"/>
      <c r="AS37" s="1"/>
      <c r="AT37" s="1"/>
      <c r="AU37" s="1"/>
      <c r="AV37" s="1"/>
      <c r="AW37" s="1"/>
      <c r="AX37" s="1"/>
      <c r="AY37" s="1"/>
      <c r="BD37" s="1"/>
      <c r="BE37" s="1"/>
      <c r="BF37" s="1"/>
      <c r="BG37" s="1"/>
      <c r="BH37" s="1"/>
      <c r="BI37" s="1"/>
      <c r="BJ37" s="1"/>
      <c r="BN37" s="135"/>
      <c r="BX37" s="135"/>
    </row>
    <row r="38">
      <c r="D38" s="135"/>
      <c r="R38" s="135"/>
      <c r="W38" s="135"/>
      <c r="AF38" s="1"/>
      <c r="AG38" s="1"/>
      <c r="AH38" s="1"/>
      <c r="AI38" s="1"/>
      <c r="AP38" s="1"/>
      <c r="AQ38" s="1"/>
      <c r="AR38" s="181"/>
      <c r="AS38" s="1"/>
      <c r="AT38" s="1"/>
      <c r="AU38" s="1"/>
      <c r="AV38" s="1"/>
      <c r="AW38" s="1"/>
      <c r="AX38" s="1"/>
      <c r="AY38" s="1"/>
      <c r="BD38" s="1"/>
      <c r="BE38" s="1"/>
      <c r="BF38" s="1"/>
      <c r="BG38" s="1"/>
      <c r="BH38" s="1"/>
      <c r="BI38" s="1"/>
      <c r="BJ38" s="1"/>
      <c r="BN38" s="135"/>
      <c r="BX38" s="135"/>
    </row>
    <row r="39">
      <c r="D39" s="135"/>
      <c r="R39" s="135"/>
      <c r="W39" s="135"/>
      <c r="AF39" s="1"/>
      <c r="AG39" s="1"/>
      <c r="AH39" s="1"/>
      <c r="AI39" s="1"/>
      <c r="AP39" s="1"/>
      <c r="AQ39" s="1"/>
      <c r="AR39" s="181"/>
      <c r="AS39" s="1"/>
      <c r="AT39" s="1"/>
      <c r="AU39" s="1"/>
      <c r="AV39" s="1"/>
      <c r="AW39" s="1"/>
      <c r="AX39" s="1"/>
      <c r="AY39" s="1"/>
      <c r="BD39" s="1"/>
      <c r="BE39" s="1"/>
      <c r="BF39" s="1"/>
      <c r="BG39" s="1"/>
      <c r="BH39" s="1"/>
      <c r="BI39" s="1"/>
      <c r="BJ39" s="1"/>
      <c r="BN39" s="135"/>
      <c r="BX39" s="135"/>
    </row>
    <row r="40">
      <c r="D40" s="135"/>
      <c r="R40" s="135"/>
      <c r="W40" s="135"/>
      <c r="AF40" s="1"/>
      <c r="AG40" s="1"/>
      <c r="AH40" s="1"/>
      <c r="AI40" s="1"/>
      <c r="AP40" s="1"/>
      <c r="AQ40" s="1"/>
      <c r="AR40" s="181"/>
      <c r="AS40" s="1"/>
      <c r="AT40" s="1"/>
      <c r="AU40" s="1"/>
      <c r="AV40" s="1"/>
      <c r="AW40" s="1"/>
      <c r="AX40" s="1"/>
      <c r="AY40" s="1"/>
      <c r="BD40" s="1"/>
      <c r="BE40" s="1"/>
      <c r="BF40" s="1"/>
      <c r="BG40" s="1"/>
      <c r="BH40" s="1"/>
      <c r="BI40" s="1"/>
      <c r="BJ40" s="1"/>
      <c r="BN40" s="135"/>
      <c r="BX40" s="135"/>
    </row>
    <row r="41">
      <c r="D41" s="135"/>
      <c r="R41" s="135"/>
      <c r="W41" s="135"/>
      <c r="AF41" s="1"/>
      <c r="AG41" s="1"/>
      <c r="AH41" s="1"/>
      <c r="AI41" s="1"/>
      <c r="AP41" s="1"/>
      <c r="AQ41" s="1"/>
      <c r="AR41" s="181"/>
      <c r="AS41" s="1"/>
      <c r="AT41" s="1"/>
      <c r="AU41" s="1"/>
      <c r="AV41" s="1"/>
      <c r="AW41" s="1"/>
      <c r="AX41" s="1"/>
      <c r="AY41" s="1"/>
      <c r="BD41" s="1"/>
      <c r="BE41" s="1"/>
      <c r="BF41" s="1"/>
      <c r="BG41" s="1"/>
      <c r="BH41" s="1"/>
      <c r="BI41" s="1"/>
      <c r="BJ41" s="1"/>
      <c r="BN41" s="135"/>
      <c r="BX41" s="135"/>
    </row>
    <row r="42">
      <c r="D42" s="135"/>
      <c r="R42" s="135"/>
      <c r="W42" s="135"/>
      <c r="AF42" s="1"/>
      <c r="AG42" s="1"/>
      <c r="AH42" s="1"/>
      <c r="AI42" s="1"/>
      <c r="AP42" s="1"/>
      <c r="AQ42" s="1"/>
      <c r="AR42" s="181"/>
      <c r="AS42" s="1"/>
      <c r="AT42" s="1"/>
      <c r="AU42" s="1"/>
      <c r="AV42" s="1"/>
      <c r="AW42" s="1"/>
      <c r="AX42" s="1"/>
      <c r="AY42" s="1"/>
      <c r="BD42" s="1"/>
      <c r="BE42" s="1"/>
      <c r="BF42" s="1"/>
      <c r="BG42" s="1"/>
      <c r="BH42" s="1"/>
      <c r="BI42" s="1"/>
      <c r="BJ42" s="1"/>
      <c r="BN42" s="135"/>
      <c r="BX42" s="135"/>
    </row>
    <row r="43">
      <c r="D43" s="135"/>
      <c r="R43" s="135"/>
      <c r="W43" s="135"/>
      <c r="AF43" s="1"/>
      <c r="AG43" s="1"/>
      <c r="AH43" s="1"/>
      <c r="AI43" s="1"/>
      <c r="AP43" s="1"/>
      <c r="AQ43" s="1"/>
      <c r="AR43" s="181"/>
      <c r="AS43" s="1"/>
      <c r="AT43" s="1"/>
      <c r="AU43" s="1"/>
      <c r="AV43" s="1"/>
      <c r="AW43" s="1"/>
      <c r="AX43" s="1"/>
      <c r="AY43" s="1"/>
      <c r="BD43" s="1"/>
      <c r="BE43" s="1"/>
      <c r="BF43" s="1"/>
      <c r="BG43" s="1"/>
      <c r="BH43" s="1"/>
      <c r="BI43" s="1"/>
      <c r="BJ43" s="1"/>
      <c r="BN43" s="135"/>
      <c r="BX43" s="135"/>
    </row>
    <row r="44">
      <c r="D44" s="135"/>
      <c r="R44" s="135"/>
      <c r="W44" s="135"/>
      <c r="AF44" s="1"/>
      <c r="AG44" s="1"/>
      <c r="AH44" s="1"/>
      <c r="AI44" s="1"/>
      <c r="AP44" s="1"/>
      <c r="AQ44" s="1"/>
      <c r="AR44" s="181"/>
      <c r="AS44" s="1"/>
      <c r="AT44" s="1"/>
      <c r="AU44" s="1"/>
      <c r="AV44" s="1"/>
      <c r="AW44" s="1"/>
      <c r="AX44" s="1"/>
      <c r="AY44" s="1"/>
      <c r="BD44" s="1"/>
      <c r="BE44" s="1"/>
      <c r="BF44" s="1"/>
      <c r="BG44" s="1"/>
      <c r="BH44" s="1"/>
      <c r="BI44" s="1"/>
      <c r="BJ44" s="1"/>
      <c r="BN44" s="135"/>
      <c r="BX44" s="135"/>
    </row>
    <row r="45">
      <c r="D45" s="135"/>
      <c r="R45" s="135"/>
      <c r="W45" s="135"/>
      <c r="AF45" s="1"/>
      <c r="AG45" s="1"/>
      <c r="AH45" s="1"/>
      <c r="AI45" s="1"/>
      <c r="AP45" s="1"/>
      <c r="AQ45" s="1"/>
      <c r="AR45" s="181"/>
      <c r="AS45" s="1"/>
      <c r="AT45" s="1"/>
      <c r="AU45" s="1"/>
      <c r="AV45" s="1"/>
      <c r="AW45" s="1"/>
      <c r="AX45" s="1"/>
      <c r="AY45" s="1"/>
      <c r="BD45" s="1"/>
      <c r="BE45" s="1"/>
      <c r="BF45" s="1"/>
      <c r="BG45" s="1"/>
      <c r="BH45" s="1"/>
      <c r="BI45" s="1"/>
      <c r="BJ45" s="1"/>
      <c r="BN45" s="135"/>
      <c r="BX45" s="135"/>
    </row>
    <row r="46">
      <c r="D46" s="135"/>
      <c r="R46" s="135"/>
      <c r="W46" s="135"/>
      <c r="AF46" s="1"/>
      <c r="AG46" s="1"/>
      <c r="AH46" s="1"/>
      <c r="AI46" s="1"/>
      <c r="AP46" s="1"/>
      <c r="AQ46" s="1"/>
      <c r="AR46" s="181"/>
      <c r="AS46" s="1"/>
      <c r="AT46" s="1"/>
      <c r="AU46" s="1"/>
      <c r="AV46" s="1"/>
      <c r="AW46" s="1"/>
      <c r="AX46" s="1"/>
      <c r="AY46" s="1"/>
      <c r="BD46" s="1"/>
      <c r="BE46" s="1"/>
      <c r="BF46" s="1"/>
      <c r="BG46" s="1"/>
      <c r="BH46" s="1"/>
      <c r="BI46" s="1"/>
      <c r="BJ46" s="1"/>
      <c r="BN46" s="135"/>
      <c r="BX46" s="135"/>
    </row>
    <row r="47">
      <c r="D47" s="135"/>
      <c r="R47" s="135"/>
      <c r="W47" s="135"/>
      <c r="AF47" s="1"/>
      <c r="AG47" s="1"/>
      <c r="AH47" s="1"/>
      <c r="AI47" s="1"/>
      <c r="AP47" s="1"/>
      <c r="AQ47" s="1"/>
      <c r="AR47" s="181"/>
      <c r="AS47" s="1"/>
      <c r="AT47" s="1"/>
      <c r="AU47" s="1"/>
      <c r="AV47" s="1"/>
      <c r="AW47" s="1"/>
      <c r="AX47" s="1"/>
      <c r="AY47" s="1"/>
      <c r="BD47" s="1"/>
      <c r="BE47" s="1"/>
      <c r="BF47" s="1"/>
      <c r="BG47" s="1"/>
      <c r="BH47" s="1"/>
      <c r="BI47" s="1"/>
      <c r="BJ47" s="1"/>
      <c r="BN47" s="135"/>
      <c r="BX47" s="135"/>
    </row>
    <row r="48">
      <c r="D48" s="135"/>
      <c r="R48" s="135"/>
      <c r="W48" s="135"/>
      <c r="AF48" s="1"/>
      <c r="AG48" s="1"/>
      <c r="AH48" s="1"/>
      <c r="AI48" s="1"/>
      <c r="AP48" s="1"/>
      <c r="AQ48" s="1"/>
      <c r="AR48" s="181"/>
      <c r="AS48" s="1"/>
      <c r="AT48" s="1"/>
      <c r="AU48" s="1"/>
      <c r="AV48" s="1"/>
      <c r="AW48" s="1"/>
      <c r="AX48" s="1"/>
      <c r="AY48" s="1"/>
      <c r="BD48" s="1"/>
      <c r="BE48" s="1"/>
      <c r="BF48" s="1"/>
      <c r="BG48" s="1"/>
      <c r="BH48" s="1"/>
      <c r="BI48" s="1"/>
      <c r="BJ48" s="1"/>
      <c r="BN48" s="135"/>
      <c r="BX48" s="135"/>
    </row>
    <row r="49">
      <c r="D49" s="135"/>
      <c r="R49" s="135"/>
      <c r="W49" s="135"/>
      <c r="AF49" s="1"/>
      <c r="AG49" s="1"/>
      <c r="AH49" s="1"/>
      <c r="AI49" s="1"/>
      <c r="AP49" s="1"/>
      <c r="AQ49" s="1"/>
      <c r="AR49" s="181"/>
      <c r="AS49" s="1"/>
      <c r="AT49" s="1"/>
      <c r="AU49" s="1"/>
      <c r="AV49" s="1"/>
      <c r="AW49" s="1"/>
      <c r="AX49" s="1"/>
      <c r="AY49" s="1"/>
      <c r="BD49" s="1"/>
      <c r="BE49" s="1"/>
      <c r="BF49" s="1"/>
      <c r="BG49" s="1"/>
      <c r="BH49" s="1"/>
      <c r="BI49" s="1"/>
      <c r="BJ49" s="1"/>
      <c r="BN49" s="135"/>
      <c r="BX49" s="135"/>
    </row>
    <row r="50">
      <c r="D50" s="135"/>
      <c r="R50" s="135"/>
      <c r="W50" s="135"/>
      <c r="AF50" s="1"/>
      <c r="AG50" s="1"/>
      <c r="AH50" s="1"/>
      <c r="AI50" s="1"/>
      <c r="AP50" s="1"/>
      <c r="AQ50" s="1"/>
      <c r="AR50" s="181"/>
      <c r="AS50" s="1"/>
      <c r="AT50" s="1"/>
      <c r="AU50" s="1"/>
      <c r="AV50" s="1"/>
      <c r="AW50" s="1"/>
      <c r="AX50" s="1"/>
      <c r="AY50" s="1"/>
      <c r="BD50" s="1"/>
      <c r="BE50" s="1"/>
      <c r="BF50" s="1"/>
      <c r="BG50" s="1"/>
      <c r="BH50" s="1"/>
      <c r="BI50" s="1"/>
      <c r="BJ50" s="1"/>
      <c r="BN50" s="135"/>
      <c r="BX50" s="135"/>
    </row>
    <row r="51">
      <c r="D51" s="135"/>
      <c r="R51" s="135"/>
      <c r="W51" s="135"/>
      <c r="AF51" s="1"/>
      <c r="AG51" s="1"/>
      <c r="AH51" s="1"/>
      <c r="AI51" s="1"/>
      <c r="AP51" s="1"/>
      <c r="AQ51" s="1"/>
      <c r="AR51" s="181"/>
      <c r="AS51" s="1"/>
      <c r="AT51" s="1"/>
      <c r="AU51" s="1"/>
      <c r="AV51" s="1"/>
      <c r="AW51" s="1"/>
      <c r="AX51" s="1"/>
      <c r="AY51" s="1"/>
      <c r="BD51" s="1"/>
      <c r="BE51" s="1"/>
      <c r="BF51" s="1"/>
      <c r="BG51" s="1"/>
      <c r="BH51" s="1"/>
      <c r="BI51" s="1"/>
      <c r="BJ51" s="1"/>
      <c r="BN51" s="135"/>
      <c r="BX51" s="135"/>
    </row>
    <row r="52">
      <c r="D52" s="135"/>
      <c r="R52" s="135"/>
      <c r="W52" s="135"/>
      <c r="AF52" s="1"/>
      <c r="AG52" s="1"/>
      <c r="AH52" s="1"/>
      <c r="AI52" s="1"/>
      <c r="AP52" s="1"/>
      <c r="AQ52" s="1"/>
      <c r="AR52" s="181"/>
      <c r="AS52" s="1"/>
      <c r="AT52" s="1"/>
      <c r="AU52" s="1"/>
      <c r="AV52" s="1"/>
      <c r="AW52" s="1"/>
      <c r="AX52" s="1"/>
      <c r="AY52" s="1"/>
      <c r="BD52" s="1"/>
      <c r="BE52" s="1"/>
      <c r="BF52" s="1"/>
      <c r="BG52" s="1"/>
      <c r="BH52" s="1"/>
      <c r="BI52" s="1"/>
      <c r="BJ52" s="1"/>
      <c r="BN52" s="135"/>
      <c r="BX52" s="135"/>
    </row>
    <row r="53">
      <c r="D53" s="135"/>
      <c r="R53" s="135"/>
      <c r="W53" s="135"/>
      <c r="AF53" s="1"/>
      <c r="AG53" s="1"/>
      <c r="AH53" s="1"/>
      <c r="AI53" s="1"/>
      <c r="AP53" s="1"/>
      <c r="AQ53" s="1"/>
      <c r="AR53" s="181"/>
      <c r="AS53" s="1"/>
      <c r="AT53" s="1"/>
      <c r="AU53" s="1"/>
      <c r="AV53" s="1"/>
      <c r="AW53" s="1"/>
      <c r="AX53" s="1"/>
      <c r="AY53" s="1"/>
      <c r="BD53" s="1"/>
      <c r="BE53" s="1"/>
      <c r="BF53" s="1"/>
      <c r="BG53" s="1"/>
      <c r="BH53" s="1"/>
      <c r="BI53" s="1"/>
      <c r="BJ53" s="1"/>
      <c r="BN53" s="135"/>
      <c r="BX53" s="135"/>
    </row>
    <row r="54">
      <c r="D54" s="135"/>
      <c r="R54" s="135"/>
      <c r="W54" s="135"/>
      <c r="AF54" s="1"/>
      <c r="AG54" s="1"/>
      <c r="AH54" s="1"/>
      <c r="AI54" s="1"/>
      <c r="AP54" s="1"/>
      <c r="AQ54" s="1"/>
      <c r="AR54" s="181"/>
      <c r="AS54" s="1"/>
      <c r="AT54" s="1"/>
      <c r="AU54" s="1"/>
      <c r="AV54" s="1"/>
      <c r="AW54" s="1"/>
      <c r="AX54" s="1"/>
      <c r="AY54" s="1"/>
      <c r="BD54" s="1"/>
      <c r="BE54" s="1"/>
      <c r="BF54" s="1"/>
      <c r="BG54" s="1"/>
      <c r="BH54" s="1"/>
      <c r="BI54" s="1"/>
      <c r="BJ54" s="1"/>
      <c r="BN54" s="135"/>
      <c r="BX54" s="135"/>
    </row>
    <row r="55">
      <c r="D55" s="135"/>
      <c r="R55" s="135"/>
      <c r="W55" s="135"/>
      <c r="AF55" s="1"/>
      <c r="AG55" s="1"/>
      <c r="AH55" s="1"/>
      <c r="AI55" s="1"/>
      <c r="AP55" s="1"/>
      <c r="AQ55" s="1"/>
      <c r="AR55" s="181"/>
      <c r="AS55" s="1"/>
      <c r="AT55" s="1"/>
      <c r="AU55" s="1"/>
      <c r="AV55" s="1"/>
      <c r="AW55" s="1"/>
      <c r="AX55" s="1"/>
      <c r="AY55" s="1"/>
      <c r="BD55" s="1"/>
      <c r="BE55" s="1"/>
      <c r="BF55" s="1"/>
      <c r="BG55" s="1"/>
      <c r="BH55" s="1"/>
      <c r="BI55" s="1"/>
      <c r="BJ55" s="1"/>
      <c r="BN55" s="135"/>
      <c r="BX55" s="135"/>
    </row>
    <row r="56">
      <c r="D56" s="135"/>
      <c r="R56" s="135"/>
      <c r="W56" s="135"/>
      <c r="AF56" s="1"/>
      <c r="AG56" s="1"/>
      <c r="AH56" s="1"/>
      <c r="AI56" s="1"/>
      <c r="AP56" s="1"/>
      <c r="AQ56" s="1"/>
      <c r="AR56" s="181"/>
      <c r="AS56" s="1"/>
      <c r="AT56" s="1"/>
      <c r="AU56" s="1"/>
      <c r="AV56" s="1"/>
      <c r="AW56" s="1"/>
      <c r="AX56" s="1"/>
      <c r="AY56" s="1"/>
      <c r="BD56" s="1"/>
      <c r="BE56" s="1"/>
      <c r="BF56" s="1"/>
      <c r="BG56" s="1"/>
      <c r="BH56" s="1"/>
      <c r="BI56" s="1"/>
      <c r="BJ56" s="1"/>
      <c r="BN56" s="135"/>
      <c r="BX56" s="135"/>
    </row>
    <row r="57">
      <c r="D57" s="135"/>
      <c r="R57" s="135"/>
      <c r="W57" s="135"/>
      <c r="AF57" s="1"/>
      <c r="AG57" s="1"/>
      <c r="AH57" s="1"/>
      <c r="AI57" s="1"/>
      <c r="AP57" s="1"/>
      <c r="AQ57" s="1"/>
      <c r="AR57" s="181"/>
      <c r="AS57" s="1"/>
      <c r="AT57" s="1"/>
      <c r="AU57" s="1"/>
      <c r="AV57" s="1"/>
      <c r="AW57" s="1"/>
      <c r="AX57" s="1"/>
      <c r="AY57" s="1"/>
      <c r="BD57" s="1"/>
      <c r="BE57" s="1"/>
      <c r="BF57" s="1"/>
      <c r="BG57" s="1"/>
      <c r="BH57" s="1"/>
      <c r="BI57" s="1"/>
      <c r="BJ57" s="1"/>
      <c r="BN57" s="135"/>
      <c r="BX57" s="135"/>
    </row>
    <row r="58">
      <c r="D58" s="135"/>
      <c r="R58" s="135"/>
      <c r="W58" s="135"/>
      <c r="AF58" s="1"/>
      <c r="AG58" s="1"/>
      <c r="AH58" s="1"/>
      <c r="AI58" s="1"/>
      <c r="AP58" s="1"/>
      <c r="AQ58" s="1"/>
      <c r="AR58" s="181"/>
      <c r="AS58" s="1"/>
      <c r="AT58" s="1"/>
      <c r="AU58" s="1"/>
      <c r="AV58" s="1"/>
      <c r="AW58" s="1"/>
      <c r="AX58" s="1"/>
      <c r="AY58" s="1"/>
      <c r="BD58" s="1"/>
      <c r="BE58" s="1"/>
      <c r="BF58" s="1"/>
      <c r="BG58" s="1"/>
      <c r="BH58" s="1"/>
      <c r="BI58" s="1"/>
      <c r="BJ58" s="1"/>
      <c r="BN58" s="135"/>
      <c r="BX58" s="135"/>
    </row>
    <row r="59">
      <c r="D59" s="135"/>
      <c r="R59" s="135"/>
      <c r="W59" s="135"/>
      <c r="AF59" s="1"/>
      <c r="AG59" s="1"/>
      <c r="AH59" s="1"/>
      <c r="AI59" s="1"/>
      <c r="AP59" s="1"/>
      <c r="AQ59" s="1"/>
      <c r="AR59" s="181"/>
      <c r="AS59" s="1"/>
      <c r="AT59" s="1"/>
      <c r="AU59" s="1"/>
      <c r="AV59" s="1"/>
      <c r="AW59" s="1"/>
      <c r="AX59" s="1"/>
      <c r="AY59" s="1"/>
      <c r="BD59" s="1"/>
      <c r="BE59" s="1"/>
      <c r="BF59" s="1"/>
      <c r="BG59" s="1"/>
      <c r="BH59" s="1"/>
      <c r="BI59" s="1"/>
      <c r="BJ59" s="1"/>
      <c r="BN59" s="135"/>
      <c r="BX59" s="135"/>
    </row>
    <row r="60">
      <c r="D60" s="135"/>
      <c r="R60" s="135"/>
      <c r="AF60" s="1"/>
      <c r="AG60" s="1"/>
      <c r="AH60" s="1"/>
      <c r="AI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BD60" s="1"/>
      <c r="BE60" s="1"/>
      <c r="BF60" s="1"/>
      <c r="BG60" s="1"/>
      <c r="BH60" s="1"/>
      <c r="BI60" s="1"/>
      <c r="BJ60" s="1"/>
      <c r="BN60" s="135"/>
      <c r="BX60" s="135"/>
    </row>
    <row r="61">
      <c r="D61" s="135"/>
      <c r="R61" s="135"/>
    </row>
    <row r="62">
      <c r="D62" s="135"/>
    </row>
    <row r="63">
      <c r="D63" s="135"/>
    </row>
    <row r="64">
      <c r="D64" s="135"/>
    </row>
    <row r="65">
      <c r="D65" s="135"/>
    </row>
    <row r="66">
      <c r="D66" s="135"/>
    </row>
    <row r="67">
      <c r="D67" s="135"/>
    </row>
    <row r="68">
      <c r="D68" s="135"/>
    </row>
    <row r="69">
      <c r="D69" s="135"/>
    </row>
    <row r="70">
      <c r="D70" s="135"/>
    </row>
    <row r="71">
      <c r="D71" s="135"/>
    </row>
    <row r="72">
      <c r="D72" s="135"/>
    </row>
    <row r="73">
      <c r="D73" s="135"/>
    </row>
    <row r="74">
      <c r="D74" s="135"/>
    </row>
    <row r="75">
      <c r="D75" s="135"/>
    </row>
    <row r="76">
      <c r="D76" s="135"/>
    </row>
    <row r="77">
      <c r="D77" s="135"/>
    </row>
    <row r="78">
      <c r="D78" s="135"/>
    </row>
    <row r="79">
      <c r="D79" s="135"/>
    </row>
    <row r="80">
      <c r="D80" s="135"/>
    </row>
    <row r="81">
      <c r="D81" s="135"/>
    </row>
    <row r="82">
      <c r="D82" s="135"/>
    </row>
    <row r="83">
      <c r="D83" s="135"/>
    </row>
    <row r="84">
      <c r="D84" s="135"/>
    </row>
    <row r="85">
      <c r="D85" s="135"/>
    </row>
    <row r="86">
      <c r="D86" s="135"/>
    </row>
    <row r="87">
      <c r="D87" s="135"/>
    </row>
    <row r="88">
      <c r="D88" s="135"/>
    </row>
    <row r="89">
      <c r="D89" s="135"/>
    </row>
    <row r="90">
      <c r="D90" s="135"/>
    </row>
    <row r="91">
      <c r="D91" s="135"/>
    </row>
    <row r="92">
      <c r="D92" s="135"/>
    </row>
    <row r="93">
      <c r="D93" s="135"/>
    </row>
    <row r="94">
      <c r="D94" s="135"/>
    </row>
    <row r="95">
      <c r="D95" s="135"/>
    </row>
    <row r="96">
      <c r="D96" s="135"/>
    </row>
    <row r="97">
      <c r="D97" s="135"/>
    </row>
    <row r="98">
      <c r="D98" s="135"/>
    </row>
    <row r="99">
      <c r="D99" s="135"/>
    </row>
    <row r="100">
      <c r="D100" s="135"/>
    </row>
    <row r="101">
      <c r="D101" s="135"/>
    </row>
    <row r="102">
      <c r="D102" s="135"/>
    </row>
    <row r="103">
      <c r="D103" s="135"/>
    </row>
    <row r="104">
      <c r="D104" s="135"/>
    </row>
    <row r="105">
      <c r="D105" s="135"/>
    </row>
    <row r="106">
      <c r="D106" s="135"/>
    </row>
    <row r="107">
      <c r="D107" s="135"/>
    </row>
    <row r="108">
      <c r="D108" s="135"/>
    </row>
    <row r="109">
      <c r="D109" s="135"/>
    </row>
    <row r="110">
      <c r="D110" s="135"/>
    </row>
    <row r="111">
      <c r="D111" s="135"/>
    </row>
    <row r="112">
      <c r="D112" s="135"/>
    </row>
    <row r="113">
      <c r="D113" s="135"/>
    </row>
    <row r="114">
      <c r="D114" s="135"/>
    </row>
    <row r="115">
      <c r="D115" s="135"/>
    </row>
    <row r="116">
      <c r="D116" s="135"/>
    </row>
    <row r="117">
      <c r="D117" s="135"/>
    </row>
    <row r="118">
      <c r="D118" s="135"/>
    </row>
    <row r="119">
      <c r="D119" s="135"/>
    </row>
    <row r="120">
      <c r="D120" s="135"/>
    </row>
    <row r="121">
      <c r="D121" s="135"/>
    </row>
    <row r="122">
      <c r="D122" s="135"/>
    </row>
    <row r="123">
      <c r="D123" s="135"/>
    </row>
    <row r="124">
      <c r="D124" s="135"/>
    </row>
    <row r="125">
      <c r="D125" s="135"/>
    </row>
    <row r="126">
      <c r="D126" s="135"/>
    </row>
    <row r="127">
      <c r="D127" s="135"/>
    </row>
    <row r="128">
      <c r="D128" s="135"/>
    </row>
    <row r="129">
      <c r="D129" s="135"/>
    </row>
    <row r="130">
      <c r="D130" s="135"/>
    </row>
    <row r="131">
      <c r="D131" s="135"/>
    </row>
    <row r="132">
      <c r="D132" s="135"/>
    </row>
    <row r="133">
      <c r="D133" s="135"/>
    </row>
    <row r="134">
      <c r="D134" s="135"/>
    </row>
    <row r="135">
      <c r="D135" s="135"/>
    </row>
    <row r="136">
      <c r="D136" s="135"/>
    </row>
    <row r="137">
      <c r="D137" s="135"/>
    </row>
    <row r="138">
      <c r="D138" s="135"/>
    </row>
    <row r="139">
      <c r="D139" s="135"/>
    </row>
    <row r="140">
      <c r="D140" s="135"/>
    </row>
    <row r="141">
      <c r="D141" s="135"/>
    </row>
    <row r="142">
      <c r="D142" s="135"/>
    </row>
    <row r="143">
      <c r="D143" s="135"/>
    </row>
    <row r="144">
      <c r="D144" s="135"/>
    </row>
    <row r="145">
      <c r="D145" s="135"/>
    </row>
    <row r="146">
      <c r="D146" s="135"/>
    </row>
    <row r="147">
      <c r="D147" s="135"/>
    </row>
    <row r="148">
      <c r="D148" s="135"/>
    </row>
    <row r="149">
      <c r="D149" s="135"/>
    </row>
    <row r="150">
      <c r="D150" s="135"/>
    </row>
    <row r="151">
      <c r="D151" s="135"/>
    </row>
    <row r="152">
      <c r="D152" s="135"/>
    </row>
    <row r="153">
      <c r="D153" s="135"/>
    </row>
    <row r="154">
      <c r="D154" s="135"/>
    </row>
    <row r="155">
      <c r="D155" s="135"/>
    </row>
    <row r="156">
      <c r="D156" s="135"/>
    </row>
    <row r="157">
      <c r="D157" s="135"/>
    </row>
    <row r="158">
      <c r="D158" s="135"/>
    </row>
    <row r="159">
      <c r="D159" s="135"/>
    </row>
    <row r="160">
      <c r="D160" s="135"/>
    </row>
    <row r="161">
      <c r="D161" s="135"/>
    </row>
    <row r="162">
      <c r="D162" s="135"/>
    </row>
    <row r="163">
      <c r="D163" s="135"/>
    </row>
    <row r="164">
      <c r="D164" s="135"/>
    </row>
    <row r="165">
      <c r="D165" s="135"/>
    </row>
    <row r="166">
      <c r="D166" s="135"/>
    </row>
    <row r="167">
      <c r="D167" s="135"/>
    </row>
    <row r="168">
      <c r="D168" s="135"/>
    </row>
    <row r="169">
      <c r="D169" s="135"/>
    </row>
    <row r="170">
      <c r="D170" s="135"/>
    </row>
    <row r="171">
      <c r="D171" s="135"/>
    </row>
    <row r="172">
      <c r="D172" s="135"/>
    </row>
    <row r="173">
      <c r="D173" s="135"/>
    </row>
    <row r="174">
      <c r="D174" s="135"/>
    </row>
    <row r="175">
      <c r="D175" s="135"/>
    </row>
    <row r="176">
      <c r="D176" s="135"/>
    </row>
    <row r="177">
      <c r="D177" s="135"/>
    </row>
    <row r="178">
      <c r="D178" s="135"/>
    </row>
    <row r="179">
      <c r="D179" s="135"/>
    </row>
    <row r="180">
      <c r="D180" s="135"/>
    </row>
    <row r="181">
      <c r="D181" s="135"/>
    </row>
    <row r="182">
      <c r="D182" s="135"/>
    </row>
    <row r="183">
      <c r="D183" s="135"/>
    </row>
    <row r="184">
      <c r="D184" s="135"/>
    </row>
    <row r="185">
      <c r="D185" s="135"/>
    </row>
    <row r="186">
      <c r="D186" s="135"/>
    </row>
    <row r="187">
      <c r="D187" s="135"/>
    </row>
    <row r="188">
      <c r="D188" s="135"/>
    </row>
    <row r="189">
      <c r="D189" s="135"/>
    </row>
    <row r="190">
      <c r="D190" s="135"/>
    </row>
    <row r="191">
      <c r="D191" s="135"/>
    </row>
    <row r="192">
      <c r="D192" s="135"/>
    </row>
    <row r="193">
      <c r="D193" s="135"/>
    </row>
    <row r="194">
      <c r="D194" s="135"/>
    </row>
    <row r="195">
      <c r="D195" s="135"/>
    </row>
    <row r="196">
      <c r="D196" s="135"/>
    </row>
    <row r="197">
      <c r="D197" s="135"/>
    </row>
    <row r="198">
      <c r="D198" s="135"/>
    </row>
    <row r="199">
      <c r="D199" s="135"/>
    </row>
    <row r="200">
      <c r="D200" s="135"/>
    </row>
    <row r="201">
      <c r="D201" s="135"/>
    </row>
    <row r="202">
      <c r="D202" s="135"/>
    </row>
    <row r="203">
      <c r="D203" s="135"/>
    </row>
    <row r="204">
      <c r="D204" s="135"/>
    </row>
    <row r="205">
      <c r="D205" s="135"/>
    </row>
    <row r="206">
      <c r="D206" s="135"/>
    </row>
    <row r="207">
      <c r="D207" s="135"/>
    </row>
    <row r="208">
      <c r="D208" s="135"/>
    </row>
    <row r="209">
      <c r="D209" s="135"/>
    </row>
    <row r="210">
      <c r="D210" s="135"/>
    </row>
    <row r="211">
      <c r="D211" s="135"/>
    </row>
    <row r="212">
      <c r="D212" s="135"/>
    </row>
    <row r="213">
      <c r="D213" s="135"/>
    </row>
    <row r="214">
      <c r="D214" s="135"/>
    </row>
    <row r="215">
      <c r="D215" s="135"/>
    </row>
    <row r="216">
      <c r="D216" s="135"/>
    </row>
    <row r="217">
      <c r="D217" s="135"/>
    </row>
    <row r="218">
      <c r="D218" s="135"/>
    </row>
    <row r="219">
      <c r="D219" s="135"/>
    </row>
    <row r="220">
      <c r="D220" s="135"/>
    </row>
    <row r="221">
      <c r="D221" s="135"/>
    </row>
    <row r="222">
      <c r="D222" s="135"/>
    </row>
    <row r="223">
      <c r="D223" s="135"/>
    </row>
    <row r="224">
      <c r="D224" s="135"/>
    </row>
    <row r="225">
      <c r="D225" s="135"/>
    </row>
    <row r="226">
      <c r="D226" s="135"/>
    </row>
    <row r="227">
      <c r="D227" s="135"/>
    </row>
    <row r="228">
      <c r="D228" s="135"/>
    </row>
    <row r="229">
      <c r="D229" s="135"/>
    </row>
    <row r="230">
      <c r="D230" s="135"/>
    </row>
    <row r="231">
      <c r="D231" s="135"/>
    </row>
    <row r="232">
      <c r="D232" s="135"/>
    </row>
    <row r="233">
      <c r="D233" s="135"/>
    </row>
    <row r="234">
      <c r="D234" s="135"/>
    </row>
    <row r="235">
      <c r="D235" s="135"/>
    </row>
    <row r="236">
      <c r="D236" s="135"/>
    </row>
    <row r="237">
      <c r="D237" s="135"/>
    </row>
    <row r="238">
      <c r="D238" s="135"/>
    </row>
    <row r="239">
      <c r="D239" s="135"/>
    </row>
    <row r="240">
      <c r="D240" s="135"/>
    </row>
    <row r="241">
      <c r="D241" s="135"/>
    </row>
    <row r="242">
      <c r="D242" s="135"/>
    </row>
    <row r="243">
      <c r="D243" s="135"/>
    </row>
    <row r="244">
      <c r="D244" s="135"/>
    </row>
    <row r="245">
      <c r="D245" s="135"/>
    </row>
    <row r="246">
      <c r="D246" s="135"/>
    </row>
    <row r="247">
      <c r="D247" s="135"/>
    </row>
    <row r="248">
      <c r="D248" s="135"/>
    </row>
    <row r="249">
      <c r="D249" s="135"/>
    </row>
    <row r="250">
      <c r="D250" s="135"/>
    </row>
    <row r="251">
      <c r="D251" s="135"/>
    </row>
    <row r="252">
      <c r="D252" s="135"/>
    </row>
    <row r="253">
      <c r="D253" s="135"/>
    </row>
    <row r="254">
      <c r="D254" s="135"/>
    </row>
    <row r="255">
      <c r="D255" s="135"/>
    </row>
    <row r="256">
      <c r="D256" s="135"/>
    </row>
    <row r="257">
      <c r="D257" s="135"/>
    </row>
    <row r="258">
      <c r="D258" s="135"/>
    </row>
    <row r="259">
      <c r="D259" s="135"/>
    </row>
    <row r="260">
      <c r="D260" s="135"/>
    </row>
    <row r="261">
      <c r="D261" s="135"/>
    </row>
    <row r="262">
      <c r="D262" s="135"/>
    </row>
    <row r="263">
      <c r="D263" s="135"/>
    </row>
    <row r="264">
      <c r="D264" s="135"/>
    </row>
    <row r="265">
      <c r="D265" s="135"/>
    </row>
    <row r="266">
      <c r="D266" s="135"/>
    </row>
    <row r="267">
      <c r="D267" s="135"/>
    </row>
    <row r="268">
      <c r="D268" s="135"/>
    </row>
    <row r="269">
      <c r="D269" s="135"/>
    </row>
    <row r="270">
      <c r="D270" s="135"/>
    </row>
    <row r="271">
      <c r="D271" s="135"/>
    </row>
    <row r="272">
      <c r="D272" s="135"/>
    </row>
    <row r="273">
      <c r="D273" s="135"/>
    </row>
    <row r="274">
      <c r="D274" s="135"/>
    </row>
    <row r="275">
      <c r="D275" s="135"/>
    </row>
    <row r="276">
      <c r="D276" s="135"/>
    </row>
    <row r="277">
      <c r="D277" s="135"/>
    </row>
    <row r="278">
      <c r="D278" s="135"/>
    </row>
    <row r="279">
      <c r="D279" s="135"/>
    </row>
    <row r="280">
      <c r="D280" s="135"/>
    </row>
    <row r="281">
      <c r="D281" s="135"/>
    </row>
    <row r="282">
      <c r="D282" s="135"/>
    </row>
    <row r="283">
      <c r="D283" s="135"/>
    </row>
    <row r="284">
      <c r="D284" s="135"/>
    </row>
    <row r="285">
      <c r="D285" s="135"/>
    </row>
    <row r="286">
      <c r="D286" s="135"/>
    </row>
    <row r="287">
      <c r="D287" s="135"/>
    </row>
    <row r="288">
      <c r="D288" s="135"/>
    </row>
    <row r="289">
      <c r="D289" s="135"/>
    </row>
    <row r="290">
      <c r="D290" s="135"/>
    </row>
    <row r="291">
      <c r="D291" s="135"/>
    </row>
    <row r="292">
      <c r="D292" s="135"/>
    </row>
    <row r="293">
      <c r="D293" s="135"/>
    </row>
    <row r="294">
      <c r="D294" s="135"/>
    </row>
    <row r="295">
      <c r="D295" s="135"/>
    </row>
    <row r="296">
      <c r="D296" s="135"/>
    </row>
    <row r="297">
      <c r="D297" s="135"/>
    </row>
    <row r="298">
      <c r="D298" s="135"/>
    </row>
    <row r="299">
      <c r="D299" s="135"/>
    </row>
    <row r="300">
      <c r="D300" s="135"/>
    </row>
    <row r="301">
      <c r="D301" s="135"/>
    </row>
    <row r="302">
      <c r="D302" s="135"/>
    </row>
    <row r="303">
      <c r="D303" s="135"/>
    </row>
    <row r="304">
      <c r="D304" s="135"/>
    </row>
    <row r="305">
      <c r="D305" s="135"/>
    </row>
    <row r="306">
      <c r="D306" s="135"/>
    </row>
    <row r="307">
      <c r="D307" s="135"/>
    </row>
    <row r="308">
      <c r="D308" s="135"/>
    </row>
    <row r="309">
      <c r="D309" s="135"/>
    </row>
    <row r="310">
      <c r="D310" s="135"/>
    </row>
    <row r="311">
      <c r="D311" s="135"/>
    </row>
    <row r="312">
      <c r="D312" s="135"/>
    </row>
    <row r="313">
      <c r="D313" s="135"/>
    </row>
    <row r="314">
      <c r="D314" s="135"/>
    </row>
    <row r="315">
      <c r="D315" s="135"/>
    </row>
    <row r="316">
      <c r="D316" s="135"/>
    </row>
    <row r="317">
      <c r="D317" s="135"/>
    </row>
    <row r="318">
      <c r="D318" s="135"/>
    </row>
    <row r="319">
      <c r="D319" s="135"/>
    </row>
    <row r="320">
      <c r="D320" s="135"/>
    </row>
    <row r="321">
      <c r="D321" s="135"/>
    </row>
    <row r="322">
      <c r="D322" s="135"/>
    </row>
    <row r="323">
      <c r="D323" s="135"/>
    </row>
    <row r="324">
      <c r="D324" s="135"/>
    </row>
    <row r="325">
      <c r="D325" s="135"/>
    </row>
    <row r="326">
      <c r="D326" s="135"/>
    </row>
    <row r="327">
      <c r="D327" s="135"/>
    </row>
    <row r="328">
      <c r="D328" s="135"/>
    </row>
    <row r="329">
      <c r="D329" s="135"/>
    </row>
    <row r="330">
      <c r="D330" s="135"/>
    </row>
    <row r="331">
      <c r="D331" s="135"/>
    </row>
    <row r="332">
      <c r="D332" s="135"/>
    </row>
    <row r="333">
      <c r="D333" s="135"/>
    </row>
    <row r="334">
      <c r="D334" s="135"/>
    </row>
    <row r="335">
      <c r="D335" s="135"/>
    </row>
    <row r="336">
      <c r="D336" s="135"/>
    </row>
    <row r="337">
      <c r="D337" s="135"/>
    </row>
    <row r="338">
      <c r="D338" s="135"/>
    </row>
    <row r="339">
      <c r="D339" s="135"/>
    </row>
    <row r="340">
      <c r="D340" s="135"/>
    </row>
    <row r="341">
      <c r="D341" s="135"/>
    </row>
    <row r="342">
      <c r="D342" s="135"/>
    </row>
    <row r="343">
      <c r="D343" s="135"/>
    </row>
    <row r="344">
      <c r="D344" s="135"/>
    </row>
    <row r="345">
      <c r="D345" s="135"/>
    </row>
    <row r="346">
      <c r="D346" s="135"/>
    </row>
    <row r="347">
      <c r="D347" s="135"/>
    </row>
    <row r="348">
      <c r="D348" s="135"/>
    </row>
    <row r="349">
      <c r="D349" s="135"/>
    </row>
    <row r="350">
      <c r="D350" s="135"/>
    </row>
    <row r="351">
      <c r="D351" s="135"/>
    </row>
    <row r="352">
      <c r="D352" s="135"/>
    </row>
    <row r="353">
      <c r="D353" s="135"/>
    </row>
    <row r="354">
      <c r="D354" s="135"/>
    </row>
    <row r="355">
      <c r="D355" s="135"/>
    </row>
    <row r="356">
      <c r="D356" s="135"/>
    </row>
    <row r="357">
      <c r="D357" s="135"/>
    </row>
    <row r="358">
      <c r="D358" s="135"/>
    </row>
    <row r="359">
      <c r="D359" s="135"/>
    </row>
    <row r="360">
      <c r="D360" s="135"/>
    </row>
    <row r="361">
      <c r="D361" s="135"/>
    </row>
    <row r="362">
      <c r="D362" s="135"/>
    </row>
    <row r="363">
      <c r="D363" s="135"/>
    </row>
    <row r="364">
      <c r="D364" s="135"/>
    </row>
    <row r="365">
      <c r="D365" s="135"/>
    </row>
    <row r="366">
      <c r="D366" s="135"/>
    </row>
    <row r="367">
      <c r="D367" s="135"/>
    </row>
    <row r="368">
      <c r="D368" s="135"/>
    </row>
    <row r="369">
      <c r="D369" s="135"/>
    </row>
    <row r="370">
      <c r="D370" s="135"/>
    </row>
    <row r="371">
      <c r="D371" s="135"/>
    </row>
    <row r="372">
      <c r="D372" s="135"/>
    </row>
    <row r="373">
      <c r="D373" s="135"/>
    </row>
    <row r="374">
      <c r="D374" s="135"/>
    </row>
    <row r="375">
      <c r="D375" s="135"/>
    </row>
    <row r="376">
      <c r="D376" s="135"/>
    </row>
    <row r="377">
      <c r="D377" s="135"/>
    </row>
    <row r="378">
      <c r="D378" s="135"/>
    </row>
    <row r="379">
      <c r="D379" s="135"/>
    </row>
    <row r="380">
      <c r="D380" s="135"/>
    </row>
    <row r="381">
      <c r="D381" s="135"/>
    </row>
    <row r="382">
      <c r="D382" s="135"/>
    </row>
    <row r="383">
      <c r="D383" s="135"/>
    </row>
    <row r="384">
      <c r="D384" s="135"/>
    </row>
    <row r="385">
      <c r="D385" s="135"/>
    </row>
    <row r="386">
      <c r="D386" s="135"/>
    </row>
    <row r="387">
      <c r="D387" s="135"/>
    </row>
    <row r="388">
      <c r="D388" s="135"/>
    </row>
    <row r="389">
      <c r="D389" s="135"/>
    </row>
    <row r="390">
      <c r="D390" s="135"/>
    </row>
    <row r="391">
      <c r="D391" s="135"/>
    </row>
    <row r="392">
      <c r="D392" s="135"/>
    </row>
    <row r="393">
      <c r="D393" s="135"/>
    </row>
    <row r="394">
      <c r="D394" s="135"/>
    </row>
    <row r="395">
      <c r="D395" s="135"/>
    </row>
    <row r="396">
      <c r="D396" s="135"/>
    </row>
    <row r="397">
      <c r="D397" s="135"/>
    </row>
    <row r="398">
      <c r="D398" s="135"/>
    </row>
    <row r="399">
      <c r="D399" s="135"/>
    </row>
    <row r="400">
      <c r="D400" s="135"/>
    </row>
    <row r="401">
      <c r="D401" s="135"/>
    </row>
    <row r="402">
      <c r="D402" s="135"/>
    </row>
    <row r="403">
      <c r="D403" s="135"/>
    </row>
    <row r="404">
      <c r="D404" s="135"/>
    </row>
    <row r="405">
      <c r="D405" s="135"/>
    </row>
    <row r="406">
      <c r="D406" s="135"/>
    </row>
    <row r="407">
      <c r="D407" s="135"/>
    </row>
    <row r="408">
      <c r="D408" s="135"/>
    </row>
    <row r="409">
      <c r="D409" s="135"/>
    </row>
    <row r="410">
      <c r="D410" s="135"/>
    </row>
    <row r="411">
      <c r="D411" s="135"/>
    </row>
    <row r="412">
      <c r="D412" s="135"/>
    </row>
    <row r="413">
      <c r="D413" s="135"/>
    </row>
    <row r="414">
      <c r="D414" s="135"/>
    </row>
    <row r="415">
      <c r="D415" s="135"/>
    </row>
    <row r="416">
      <c r="D416" s="135"/>
    </row>
    <row r="417">
      <c r="D417" s="135"/>
    </row>
    <row r="418">
      <c r="D418" s="135"/>
    </row>
    <row r="419">
      <c r="D419" s="135"/>
    </row>
    <row r="420">
      <c r="D420" s="135"/>
    </row>
    <row r="421">
      <c r="D421" s="135"/>
    </row>
    <row r="422">
      <c r="D422" s="135"/>
    </row>
    <row r="423">
      <c r="D423" s="135"/>
    </row>
    <row r="424">
      <c r="D424" s="135"/>
    </row>
    <row r="425">
      <c r="D425" s="135"/>
    </row>
    <row r="426">
      <c r="D426" s="135"/>
    </row>
    <row r="427">
      <c r="D427" s="135"/>
    </row>
    <row r="428">
      <c r="D428" s="135"/>
    </row>
    <row r="429">
      <c r="D429" s="135"/>
    </row>
    <row r="430">
      <c r="D430" s="135"/>
    </row>
    <row r="431">
      <c r="D431" s="135"/>
    </row>
    <row r="432">
      <c r="D432" s="135"/>
    </row>
    <row r="433">
      <c r="D433" s="135"/>
    </row>
    <row r="434">
      <c r="D434" s="135"/>
    </row>
    <row r="435">
      <c r="D435" s="135"/>
    </row>
    <row r="436">
      <c r="D436" s="135"/>
    </row>
    <row r="437">
      <c r="D437" s="135"/>
    </row>
    <row r="438">
      <c r="D438" s="135"/>
    </row>
    <row r="439">
      <c r="D439" s="135"/>
    </row>
    <row r="440">
      <c r="D440" s="135"/>
    </row>
    <row r="441">
      <c r="D441" s="135"/>
    </row>
    <row r="442">
      <c r="D442" s="135"/>
    </row>
    <row r="443">
      <c r="D443" s="135"/>
    </row>
    <row r="444">
      <c r="D444" s="135"/>
    </row>
    <row r="445">
      <c r="D445" s="135"/>
    </row>
    <row r="446">
      <c r="D446" s="135"/>
    </row>
    <row r="447">
      <c r="D447" s="135"/>
    </row>
    <row r="448">
      <c r="D448" s="135"/>
    </row>
    <row r="449">
      <c r="D449" s="135"/>
    </row>
    <row r="450">
      <c r="D450" s="135"/>
    </row>
    <row r="451">
      <c r="D451" s="135"/>
    </row>
    <row r="452">
      <c r="D452" s="135"/>
    </row>
    <row r="453">
      <c r="D453" s="135"/>
    </row>
    <row r="454">
      <c r="D454" s="135"/>
    </row>
    <row r="455">
      <c r="D455" s="135"/>
    </row>
    <row r="456">
      <c r="D456" s="135"/>
    </row>
    <row r="457">
      <c r="D457" s="135"/>
    </row>
    <row r="458">
      <c r="D458" s="135"/>
    </row>
    <row r="459">
      <c r="D459" s="135"/>
    </row>
    <row r="460">
      <c r="D460" s="135"/>
    </row>
    <row r="461">
      <c r="D461" s="135"/>
    </row>
    <row r="462">
      <c r="D462" s="135"/>
    </row>
    <row r="463">
      <c r="D463" s="135"/>
    </row>
    <row r="464">
      <c r="D464" s="135"/>
    </row>
    <row r="465">
      <c r="D465" s="135"/>
    </row>
    <row r="466">
      <c r="D466" s="135"/>
    </row>
    <row r="467">
      <c r="D467" s="135"/>
    </row>
    <row r="468">
      <c r="D468" s="135"/>
    </row>
    <row r="469">
      <c r="D469" s="135"/>
    </row>
    <row r="470">
      <c r="D470" s="135"/>
    </row>
    <row r="471">
      <c r="D471" s="135"/>
    </row>
    <row r="472">
      <c r="D472" s="135"/>
    </row>
    <row r="473">
      <c r="D473" s="135"/>
    </row>
    <row r="474">
      <c r="D474" s="135"/>
    </row>
    <row r="475">
      <c r="D475" s="135"/>
    </row>
    <row r="476">
      <c r="D476" s="135"/>
    </row>
    <row r="477">
      <c r="D477" s="135"/>
    </row>
    <row r="478">
      <c r="D478" s="135"/>
    </row>
    <row r="479">
      <c r="D479" s="135"/>
    </row>
    <row r="480">
      <c r="D480" s="135"/>
    </row>
    <row r="481">
      <c r="D481" s="135"/>
    </row>
    <row r="482">
      <c r="D482" s="135"/>
    </row>
    <row r="483">
      <c r="D483" s="135"/>
    </row>
    <row r="484">
      <c r="D484" s="135"/>
    </row>
    <row r="485">
      <c r="D485" s="135"/>
    </row>
    <row r="486">
      <c r="D486" s="135"/>
    </row>
    <row r="487">
      <c r="D487" s="135"/>
    </row>
    <row r="488">
      <c r="D488" s="135"/>
    </row>
    <row r="489">
      <c r="D489" s="135"/>
    </row>
    <row r="490">
      <c r="D490" s="135"/>
    </row>
    <row r="491">
      <c r="D491" s="135"/>
    </row>
    <row r="492">
      <c r="D492" s="135"/>
    </row>
    <row r="493">
      <c r="D493" s="135"/>
    </row>
    <row r="494">
      <c r="D494" s="135"/>
    </row>
    <row r="495">
      <c r="D495" s="135"/>
    </row>
    <row r="496">
      <c r="D496" s="135"/>
    </row>
    <row r="497">
      <c r="D497" s="135"/>
    </row>
    <row r="498">
      <c r="D498" s="135"/>
    </row>
    <row r="499">
      <c r="D499" s="135"/>
    </row>
    <row r="500">
      <c r="D500" s="135"/>
    </row>
    <row r="501">
      <c r="D501" s="135"/>
    </row>
    <row r="502">
      <c r="D502" s="135"/>
    </row>
    <row r="503">
      <c r="D503" s="135"/>
    </row>
    <row r="504">
      <c r="D504" s="135"/>
    </row>
    <row r="505">
      <c r="D505" s="135"/>
    </row>
    <row r="506">
      <c r="D506" s="135"/>
    </row>
    <row r="507">
      <c r="D507" s="135"/>
    </row>
    <row r="508">
      <c r="D508" s="135"/>
    </row>
    <row r="509">
      <c r="D509" s="135"/>
    </row>
    <row r="510">
      <c r="D510" s="135"/>
    </row>
    <row r="511">
      <c r="D511" s="135"/>
    </row>
    <row r="512">
      <c r="D512" s="135"/>
    </row>
    <row r="513">
      <c r="D513" s="135"/>
    </row>
    <row r="514">
      <c r="D514" s="135"/>
    </row>
    <row r="515">
      <c r="D515" s="135"/>
    </row>
    <row r="516">
      <c r="D516" s="135"/>
    </row>
    <row r="517">
      <c r="D517" s="135"/>
    </row>
    <row r="518">
      <c r="D518" s="135"/>
    </row>
    <row r="519">
      <c r="D519" s="135"/>
    </row>
    <row r="520">
      <c r="D520" s="135"/>
    </row>
    <row r="521">
      <c r="D521" s="135"/>
    </row>
    <row r="522">
      <c r="D522" s="135"/>
    </row>
    <row r="523">
      <c r="D523" s="135"/>
    </row>
    <row r="524">
      <c r="D524" s="135"/>
    </row>
    <row r="525">
      <c r="D525" s="135"/>
    </row>
    <row r="526">
      <c r="D526" s="135"/>
    </row>
    <row r="527">
      <c r="D527" s="135"/>
    </row>
    <row r="528">
      <c r="D528" s="135"/>
    </row>
    <row r="529">
      <c r="D529" s="135"/>
    </row>
    <row r="530">
      <c r="D530" s="135"/>
    </row>
    <row r="531">
      <c r="D531" s="135"/>
    </row>
    <row r="532">
      <c r="D532" s="135"/>
    </row>
    <row r="533">
      <c r="D533" s="135"/>
    </row>
    <row r="534">
      <c r="D534" s="135"/>
    </row>
    <row r="535">
      <c r="D535" s="135"/>
    </row>
    <row r="536">
      <c r="D536" s="135"/>
    </row>
    <row r="537">
      <c r="D537" s="135"/>
    </row>
    <row r="538">
      <c r="D538" s="135"/>
    </row>
    <row r="539">
      <c r="D539" s="135"/>
    </row>
    <row r="540">
      <c r="D540" s="135"/>
    </row>
    <row r="541">
      <c r="D541" s="135"/>
    </row>
    <row r="542">
      <c r="D542" s="135"/>
    </row>
    <row r="543">
      <c r="D543" s="135"/>
    </row>
    <row r="544">
      <c r="D544" s="135"/>
    </row>
    <row r="545">
      <c r="D545" s="135"/>
    </row>
    <row r="546">
      <c r="D546" s="135"/>
    </row>
    <row r="547">
      <c r="D547" s="135"/>
    </row>
    <row r="548">
      <c r="D548" s="135"/>
    </row>
    <row r="549">
      <c r="D549" s="135"/>
    </row>
    <row r="550">
      <c r="D550" s="135"/>
    </row>
    <row r="551">
      <c r="D551" s="135"/>
    </row>
    <row r="552">
      <c r="D552" s="135"/>
    </row>
    <row r="553">
      <c r="D553" s="135"/>
    </row>
    <row r="554">
      <c r="D554" s="135"/>
    </row>
    <row r="555">
      <c r="D555" s="135"/>
    </row>
    <row r="556">
      <c r="D556" s="135"/>
    </row>
    <row r="557">
      <c r="D557" s="135"/>
    </row>
    <row r="558">
      <c r="D558" s="135"/>
    </row>
    <row r="559">
      <c r="D559" s="135"/>
    </row>
    <row r="560">
      <c r="D560" s="135"/>
    </row>
    <row r="561">
      <c r="D561" s="135"/>
    </row>
    <row r="562">
      <c r="D562" s="135"/>
    </row>
    <row r="563">
      <c r="D563" s="135"/>
    </row>
    <row r="564">
      <c r="D564" s="135"/>
    </row>
    <row r="565">
      <c r="D565" s="135"/>
    </row>
    <row r="566">
      <c r="D566" s="135"/>
    </row>
    <row r="567">
      <c r="D567" s="135"/>
    </row>
    <row r="568">
      <c r="D568" s="135"/>
    </row>
    <row r="569">
      <c r="D569" s="135"/>
    </row>
    <row r="570">
      <c r="D570" s="135"/>
    </row>
    <row r="571">
      <c r="D571" s="135"/>
    </row>
    <row r="572">
      <c r="D572" s="135"/>
    </row>
    <row r="573">
      <c r="D573" s="135"/>
    </row>
    <row r="574">
      <c r="D574" s="135"/>
    </row>
    <row r="575">
      <c r="D575" s="135"/>
    </row>
    <row r="576">
      <c r="D576" s="135"/>
    </row>
    <row r="577">
      <c r="D577" s="135"/>
    </row>
    <row r="578">
      <c r="D578" s="135"/>
    </row>
    <row r="579">
      <c r="D579" s="135"/>
    </row>
    <row r="580">
      <c r="D580" s="135"/>
    </row>
    <row r="581">
      <c r="D581" s="135"/>
    </row>
    <row r="582">
      <c r="D582" s="135"/>
    </row>
    <row r="583">
      <c r="D583" s="135"/>
    </row>
    <row r="584">
      <c r="D584" s="135"/>
    </row>
    <row r="585">
      <c r="D585" s="135"/>
    </row>
    <row r="586">
      <c r="D586" s="135"/>
    </row>
    <row r="587">
      <c r="D587" s="135"/>
    </row>
    <row r="588">
      <c r="D588" s="135"/>
    </row>
    <row r="589">
      <c r="D589" s="135"/>
    </row>
    <row r="590">
      <c r="D590" s="135"/>
    </row>
    <row r="591">
      <c r="D591" s="135"/>
    </row>
    <row r="592">
      <c r="D592" s="135"/>
    </row>
    <row r="593">
      <c r="D593" s="135"/>
    </row>
    <row r="594">
      <c r="D594" s="135"/>
    </row>
    <row r="595">
      <c r="D595" s="135"/>
    </row>
    <row r="596">
      <c r="D596" s="135"/>
    </row>
    <row r="597">
      <c r="D597" s="135"/>
    </row>
    <row r="598">
      <c r="D598" s="135"/>
    </row>
    <row r="599">
      <c r="D599" s="135"/>
    </row>
    <row r="600">
      <c r="D600" s="135"/>
    </row>
    <row r="601">
      <c r="D601" s="135"/>
    </row>
    <row r="602">
      <c r="D602" s="135"/>
    </row>
    <row r="603">
      <c r="D603" s="135"/>
    </row>
    <row r="604">
      <c r="D604" s="135"/>
    </row>
    <row r="605">
      <c r="D605" s="135"/>
    </row>
    <row r="606">
      <c r="D606" s="135"/>
    </row>
    <row r="607">
      <c r="D607" s="135"/>
    </row>
    <row r="608">
      <c r="D608" s="135"/>
    </row>
    <row r="609">
      <c r="D609" s="135"/>
    </row>
    <row r="610">
      <c r="D610" s="135"/>
    </row>
    <row r="611">
      <c r="D611" s="135"/>
    </row>
    <row r="612">
      <c r="D612" s="135"/>
    </row>
    <row r="613">
      <c r="D613" s="135"/>
    </row>
    <row r="614">
      <c r="D614" s="135"/>
    </row>
    <row r="615">
      <c r="D615" s="135"/>
    </row>
    <row r="616">
      <c r="D616" s="135"/>
    </row>
    <row r="617">
      <c r="D617" s="135"/>
    </row>
    <row r="618">
      <c r="D618" s="135"/>
    </row>
    <row r="619">
      <c r="D619" s="135"/>
    </row>
    <row r="620">
      <c r="D620" s="135"/>
    </row>
    <row r="621">
      <c r="D621" s="135"/>
    </row>
    <row r="622">
      <c r="D622" s="135"/>
    </row>
    <row r="623">
      <c r="D623" s="135"/>
    </row>
    <row r="624">
      <c r="D624" s="135"/>
    </row>
    <row r="625">
      <c r="D625" s="135"/>
    </row>
    <row r="626">
      <c r="D626" s="135"/>
    </row>
    <row r="627">
      <c r="D627" s="135"/>
    </row>
    <row r="628">
      <c r="D628" s="135"/>
    </row>
    <row r="629">
      <c r="D629" s="135"/>
    </row>
    <row r="630">
      <c r="D630" s="135"/>
    </row>
    <row r="631">
      <c r="D631" s="135"/>
    </row>
    <row r="632">
      <c r="D632" s="135"/>
    </row>
    <row r="633">
      <c r="D633" s="135"/>
    </row>
    <row r="634">
      <c r="D634" s="135"/>
    </row>
    <row r="635">
      <c r="D635" s="135"/>
    </row>
    <row r="636">
      <c r="D636" s="135"/>
    </row>
    <row r="637">
      <c r="D637" s="135"/>
    </row>
    <row r="638">
      <c r="D638" s="135"/>
    </row>
    <row r="639">
      <c r="D639" s="135"/>
    </row>
    <row r="640">
      <c r="D640" s="135"/>
    </row>
    <row r="641">
      <c r="D641" s="135"/>
    </row>
    <row r="642">
      <c r="D642" s="135"/>
    </row>
    <row r="643">
      <c r="D643" s="135"/>
    </row>
    <row r="644">
      <c r="D644" s="135"/>
    </row>
    <row r="645">
      <c r="D645" s="135"/>
    </row>
    <row r="646">
      <c r="D646" s="135"/>
    </row>
    <row r="647">
      <c r="D647" s="135"/>
    </row>
    <row r="648">
      <c r="D648" s="135"/>
    </row>
    <row r="649">
      <c r="D649" s="135"/>
    </row>
    <row r="650">
      <c r="D650" s="135"/>
    </row>
    <row r="651">
      <c r="D651" s="135"/>
    </row>
    <row r="652">
      <c r="D652" s="135"/>
    </row>
    <row r="653">
      <c r="D653" s="135"/>
    </row>
    <row r="654">
      <c r="D654" s="135"/>
    </row>
    <row r="655">
      <c r="D655" s="135"/>
    </row>
    <row r="656">
      <c r="D656" s="135"/>
    </row>
    <row r="657">
      <c r="D657" s="135"/>
    </row>
    <row r="658">
      <c r="D658" s="135"/>
    </row>
    <row r="659">
      <c r="D659" s="135"/>
    </row>
    <row r="660">
      <c r="D660" s="135"/>
    </row>
    <row r="661">
      <c r="D661" s="135"/>
    </row>
    <row r="662">
      <c r="D662" s="135"/>
    </row>
    <row r="663">
      <c r="D663" s="135"/>
    </row>
    <row r="664">
      <c r="D664" s="135"/>
    </row>
    <row r="665">
      <c r="D665" s="135"/>
    </row>
    <row r="666">
      <c r="D666" s="135"/>
    </row>
    <row r="667">
      <c r="D667" s="135"/>
    </row>
    <row r="668">
      <c r="D668" s="135"/>
    </row>
    <row r="669">
      <c r="D669" s="135"/>
    </row>
    <row r="670">
      <c r="D670" s="135"/>
    </row>
    <row r="671">
      <c r="D671" s="135"/>
    </row>
    <row r="672">
      <c r="D672" s="135"/>
    </row>
    <row r="673">
      <c r="D673" s="135"/>
    </row>
    <row r="674">
      <c r="D674" s="135"/>
    </row>
    <row r="675">
      <c r="D675" s="135"/>
    </row>
    <row r="676">
      <c r="D676" s="135"/>
    </row>
    <row r="677">
      <c r="D677" s="135"/>
    </row>
    <row r="678">
      <c r="D678" s="135"/>
    </row>
    <row r="679">
      <c r="D679" s="135"/>
    </row>
    <row r="680">
      <c r="D680" s="135"/>
    </row>
    <row r="681">
      <c r="D681" s="135"/>
    </row>
    <row r="682">
      <c r="D682" s="135"/>
    </row>
    <row r="683">
      <c r="D683" s="135"/>
    </row>
    <row r="684">
      <c r="D684" s="135"/>
    </row>
    <row r="685">
      <c r="D685" s="135"/>
    </row>
    <row r="686">
      <c r="D686" s="135"/>
    </row>
    <row r="687">
      <c r="D687" s="135"/>
    </row>
    <row r="688">
      <c r="D688" s="135"/>
    </row>
    <row r="689">
      <c r="D689" s="135"/>
    </row>
    <row r="690">
      <c r="D690" s="135"/>
    </row>
    <row r="691">
      <c r="D691" s="135"/>
    </row>
    <row r="692">
      <c r="D692" s="135"/>
    </row>
    <row r="693">
      <c r="D693" s="135"/>
    </row>
    <row r="694">
      <c r="D694" s="135"/>
    </row>
    <row r="695">
      <c r="D695" s="135"/>
    </row>
    <row r="696">
      <c r="D696" s="135"/>
    </row>
    <row r="697">
      <c r="D697" s="135"/>
    </row>
    <row r="698">
      <c r="D698" s="135"/>
    </row>
    <row r="699">
      <c r="D699" s="135"/>
    </row>
    <row r="700">
      <c r="D700" s="135"/>
    </row>
    <row r="701">
      <c r="D701" s="135"/>
    </row>
    <row r="702">
      <c r="D702" s="135"/>
    </row>
    <row r="703">
      <c r="D703" s="135"/>
    </row>
    <row r="704">
      <c r="D704" s="135"/>
    </row>
    <row r="705">
      <c r="D705" s="135"/>
    </row>
    <row r="706">
      <c r="D706" s="135"/>
    </row>
    <row r="707">
      <c r="D707" s="135"/>
    </row>
    <row r="708">
      <c r="D708" s="135"/>
    </row>
    <row r="709">
      <c r="D709" s="135"/>
    </row>
    <row r="710">
      <c r="D710" s="135"/>
    </row>
    <row r="711">
      <c r="D711" s="135"/>
    </row>
    <row r="712">
      <c r="D712" s="135"/>
    </row>
    <row r="713">
      <c r="D713" s="135"/>
    </row>
    <row r="714">
      <c r="D714" s="135"/>
    </row>
    <row r="715">
      <c r="D715" s="135"/>
    </row>
    <row r="716">
      <c r="D716" s="135"/>
    </row>
    <row r="717">
      <c r="D717" s="135"/>
    </row>
    <row r="718">
      <c r="D718" s="135"/>
    </row>
    <row r="719">
      <c r="D719" s="135"/>
    </row>
    <row r="720">
      <c r="D720" s="135"/>
    </row>
    <row r="721">
      <c r="D721" s="135"/>
    </row>
    <row r="722">
      <c r="D722" s="135"/>
    </row>
    <row r="723">
      <c r="D723" s="135"/>
    </row>
    <row r="724">
      <c r="D724" s="135"/>
    </row>
    <row r="725">
      <c r="D725" s="135"/>
    </row>
    <row r="726">
      <c r="D726" s="135"/>
    </row>
    <row r="727">
      <c r="D727" s="135"/>
    </row>
    <row r="728">
      <c r="D728" s="135"/>
    </row>
    <row r="729">
      <c r="D729" s="135"/>
    </row>
    <row r="730">
      <c r="D730" s="135"/>
    </row>
    <row r="731">
      <c r="D731" s="135"/>
    </row>
    <row r="732">
      <c r="D732" s="135"/>
    </row>
    <row r="733">
      <c r="D733" s="135"/>
    </row>
    <row r="734">
      <c r="D734" s="135"/>
    </row>
    <row r="735">
      <c r="D735" s="135"/>
    </row>
    <row r="736">
      <c r="D736" s="135"/>
    </row>
    <row r="737">
      <c r="D737" s="135"/>
    </row>
    <row r="738">
      <c r="D738" s="135"/>
    </row>
    <row r="739">
      <c r="D739" s="135"/>
    </row>
    <row r="740">
      <c r="D740" s="135"/>
    </row>
    <row r="741">
      <c r="D741" s="135"/>
    </row>
    <row r="742">
      <c r="D742" s="135"/>
    </row>
    <row r="743">
      <c r="D743" s="135"/>
    </row>
    <row r="744">
      <c r="D744" s="135"/>
    </row>
    <row r="745">
      <c r="D745" s="135"/>
    </row>
    <row r="746">
      <c r="D746" s="135"/>
    </row>
    <row r="747">
      <c r="D747" s="135"/>
    </row>
    <row r="748">
      <c r="D748" s="135"/>
    </row>
    <row r="749">
      <c r="D749" s="135"/>
    </row>
    <row r="750">
      <c r="D750" s="135"/>
    </row>
    <row r="751">
      <c r="D751" s="135"/>
    </row>
    <row r="752">
      <c r="D752" s="135"/>
    </row>
    <row r="753">
      <c r="D753" s="135"/>
    </row>
    <row r="754">
      <c r="D754" s="135"/>
    </row>
    <row r="755">
      <c r="D755" s="135"/>
    </row>
    <row r="756">
      <c r="D756" s="135"/>
    </row>
    <row r="757">
      <c r="D757" s="135"/>
    </row>
    <row r="758">
      <c r="D758" s="135"/>
    </row>
    <row r="759">
      <c r="D759" s="135"/>
    </row>
    <row r="760">
      <c r="D760" s="135"/>
    </row>
    <row r="761">
      <c r="D761" s="135"/>
    </row>
    <row r="762">
      <c r="D762" s="135"/>
    </row>
    <row r="763">
      <c r="D763" s="135"/>
    </row>
    <row r="764">
      <c r="D764" s="135"/>
    </row>
    <row r="765">
      <c r="D765" s="135"/>
    </row>
    <row r="766">
      <c r="D766" s="135"/>
    </row>
    <row r="767">
      <c r="D767" s="135"/>
    </row>
    <row r="768">
      <c r="D768" s="135"/>
    </row>
    <row r="769">
      <c r="D769" s="135"/>
    </row>
    <row r="770">
      <c r="D770" s="135"/>
    </row>
    <row r="771">
      <c r="D771" s="135"/>
    </row>
    <row r="772">
      <c r="D772" s="135"/>
    </row>
    <row r="773">
      <c r="D773" s="135"/>
    </row>
    <row r="774">
      <c r="D774" s="135"/>
    </row>
    <row r="775">
      <c r="D775" s="135"/>
    </row>
    <row r="776">
      <c r="D776" s="135"/>
    </row>
    <row r="777">
      <c r="D777" s="135"/>
    </row>
    <row r="778">
      <c r="D778" s="135"/>
    </row>
    <row r="779">
      <c r="D779" s="135"/>
    </row>
    <row r="780">
      <c r="D780" s="135"/>
    </row>
    <row r="781">
      <c r="D781" s="135"/>
    </row>
    <row r="782">
      <c r="D782" s="135"/>
    </row>
    <row r="783">
      <c r="D783" s="135"/>
    </row>
    <row r="784">
      <c r="D784" s="135"/>
    </row>
    <row r="785">
      <c r="D785" s="135"/>
    </row>
    <row r="786">
      <c r="D786" s="135"/>
    </row>
    <row r="787">
      <c r="D787" s="135"/>
    </row>
    <row r="788">
      <c r="D788" s="135"/>
    </row>
    <row r="789">
      <c r="D789" s="135"/>
    </row>
    <row r="790">
      <c r="D790" s="135"/>
    </row>
    <row r="791">
      <c r="D791" s="135"/>
    </row>
    <row r="792">
      <c r="D792" s="135"/>
    </row>
    <row r="793">
      <c r="D793" s="135"/>
    </row>
    <row r="794">
      <c r="D794" s="135"/>
    </row>
    <row r="795">
      <c r="D795" s="135"/>
    </row>
    <row r="796">
      <c r="D796" s="135"/>
    </row>
    <row r="797">
      <c r="D797" s="135"/>
    </row>
    <row r="798">
      <c r="D798" s="135"/>
    </row>
    <row r="799">
      <c r="D799" s="135"/>
    </row>
    <row r="800">
      <c r="D800" s="135"/>
    </row>
    <row r="801">
      <c r="D801" s="135"/>
    </row>
    <row r="802">
      <c r="D802" s="135"/>
    </row>
    <row r="803">
      <c r="D803" s="135"/>
    </row>
    <row r="804">
      <c r="D804" s="135"/>
    </row>
    <row r="805">
      <c r="D805" s="135"/>
    </row>
    <row r="806">
      <c r="D806" s="135"/>
    </row>
    <row r="807">
      <c r="D807" s="135"/>
    </row>
    <row r="808">
      <c r="D808" s="135"/>
    </row>
    <row r="809">
      <c r="D809" s="135"/>
    </row>
    <row r="810">
      <c r="D810" s="135"/>
    </row>
    <row r="811">
      <c r="D811" s="135"/>
    </row>
    <row r="812">
      <c r="D812" s="135"/>
    </row>
    <row r="813">
      <c r="D813" s="135"/>
    </row>
    <row r="814">
      <c r="D814" s="135"/>
    </row>
    <row r="815">
      <c r="D815" s="135"/>
    </row>
    <row r="816">
      <c r="D816" s="135"/>
    </row>
    <row r="817">
      <c r="D817" s="135"/>
    </row>
    <row r="818">
      <c r="D818" s="135"/>
    </row>
    <row r="819">
      <c r="D819" s="135"/>
    </row>
    <row r="820">
      <c r="D820" s="135"/>
    </row>
    <row r="821">
      <c r="D821" s="135"/>
    </row>
    <row r="822">
      <c r="D822" s="135"/>
    </row>
    <row r="823">
      <c r="D823" s="135"/>
    </row>
    <row r="824">
      <c r="D824" s="135"/>
    </row>
    <row r="825">
      <c r="D825" s="135"/>
    </row>
    <row r="826">
      <c r="D826" s="135"/>
    </row>
    <row r="827">
      <c r="D827" s="135"/>
    </row>
    <row r="828">
      <c r="D828" s="135"/>
    </row>
    <row r="829">
      <c r="D829" s="135"/>
    </row>
    <row r="830">
      <c r="D830" s="135"/>
    </row>
    <row r="831">
      <c r="D831" s="135"/>
    </row>
    <row r="832">
      <c r="D832" s="135"/>
    </row>
    <row r="833">
      <c r="D833" s="135"/>
    </row>
    <row r="834">
      <c r="D834" s="135"/>
    </row>
    <row r="835">
      <c r="D835" s="135"/>
    </row>
    <row r="836">
      <c r="D836" s="135"/>
    </row>
    <row r="837">
      <c r="D837" s="135"/>
    </row>
    <row r="838">
      <c r="D838" s="135"/>
    </row>
    <row r="839">
      <c r="D839" s="135"/>
    </row>
    <row r="840">
      <c r="D840" s="135"/>
    </row>
    <row r="841">
      <c r="D841" s="135"/>
    </row>
    <row r="842">
      <c r="D842" s="135"/>
    </row>
    <row r="843">
      <c r="D843" s="135"/>
    </row>
    <row r="844">
      <c r="D844" s="135"/>
    </row>
    <row r="845">
      <c r="D845" s="135"/>
    </row>
    <row r="846">
      <c r="D846" s="135"/>
    </row>
    <row r="847">
      <c r="D847" s="135"/>
    </row>
    <row r="848">
      <c r="D848" s="135"/>
    </row>
    <row r="849">
      <c r="D849" s="135"/>
    </row>
    <row r="850">
      <c r="D850" s="135"/>
    </row>
    <row r="851">
      <c r="D851" s="135"/>
    </row>
    <row r="852">
      <c r="D852" s="135"/>
    </row>
    <row r="853">
      <c r="D853" s="135"/>
    </row>
    <row r="854">
      <c r="D854" s="135"/>
    </row>
    <row r="855">
      <c r="D855" s="135"/>
    </row>
    <row r="856">
      <c r="D856" s="135"/>
    </row>
    <row r="857">
      <c r="D857" s="135"/>
    </row>
    <row r="858">
      <c r="D858" s="135"/>
    </row>
    <row r="859">
      <c r="D859" s="135"/>
    </row>
    <row r="860">
      <c r="D860" s="135"/>
    </row>
    <row r="861">
      <c r="D861" s="135"/>
    </row>
    <row r="862">
      <c r="D862" s="135"/>
    </row>
    <row r="863">
      <c r="D863" s="135"/>
    </row>
    <row r="864">
      <c r="D864" s="135"/>
    </row>
    <row r="865">
      <c r="D865" s="135"/>
    </row>
    <row r="866">
      <c r="D866" s="135"/>
    </row>
    <row r="867">
      <c r="D867" s="135"/>
    </row>
    <row r="868">
      <c r="D868" s="135"/>
    </row>
    <row r="869">
      <c r="D869" s="135"/>
    </row>
    <row r="870">
      <c r="D870" s="135"/>
    </row>
    <row r="871">
      <c r="D871" s="135"/>
    </row>
    <row r="872">
      <c r="D872" s="135"/>
    </row>
    <row r="873">
      <c r="D873" s="135"/>
    </row>
    <row r="874">
      <c r="D874" s="135"/>
    </row>
    <row r="875">
      <c r="D875" s="135"/>
    </row>
    <row r="876">
      <c r="D876" s="135"/>
    </row>
    <row r="877">
      <c r="D877" s="135"/>
    </row>
    <row r="878">
      <c r="D878" s="135"/>
    </row>
    <row r="879">
      <c r="D879" s="135"/>
    </row>
    <row r="880">
      <c r="D880" s="135"/>
    </row>
    <row r="881">
      <c r="D881" s="135"/>
    </row>
    <row r="882">
      <c r="D882" s="135"/>
    </row>
    <row r="883">
      <c r="D883" s="135"/>
    </row>
    <row r="884">
      <c r="D884" s="135"/>
    </row>
    <row r="885">
      <c r="D885" s="135"/>
    </row>
    <row r="886">
      <c r="D886" s="135"/>
    </row>
    <row r="887">
      <c r="D887" s="135"/>
    </row>
    <row r="888">
      <c r="D888" s="135"/>
    </row>
    <row r="889">
      <c r="D889" s="135"/>
    </row>
    <row r="890">
      <c r="D890" s="135"/>
    </row>
    <row r="891">
      <c r="D891" s="135"/>
    </row>
    <row r="892">
      <c r="D892" s="135"/>
    </row>
    <row r="893">
      <c r="D893" s="135"/>
    </row>
    <row r="894">
      <c r="D894" s="135"/>
    </row>
    <row r="895">
      <c r="D895" s="135"/>
    </row>
    <row r="896">
      <c r="D896" s="135"/>
    </row>
    <row r="897">
      <c r="D897" s="135"/>
    </row>
    <row r="898">
      <c r="D898" s="135"/>
    </row>
    <row r="899">
      <c r="D899" s="135"/>
    </row>
    <row r="900">
      <c r="D900" s="135"/>
    </row>
    <row r="901">
      <c r="D901" s="135"/>
    </row>
    <row r="902">
      <c r="D902" s="135"/>
    </row>
    <row r="903">
      <c r="D903" s="135"/>
    </row>
    <row r="904">
      <c r="D904" s="135"/>
    </row>
    <row r="905">
      <c r="D905" s="135"/>
    </row>
    <row r="906">
      <c r="D906" s="135"/>
    </row>
    <row r="907">
      <c r="D907" s="135"/>
    </row>
    <row r="908">
      <c r="D908" s="135"/>
    </row>
    <row r="909">
      <c r="D909" s="135"/>
    </row>
    <row r="910">
      <c r="D910" s="135"/>
    </row>
    <row r="911">
      <c r="D911" s="135"/>
    </row>
    <row r="912">
      <c r="D912" s="135"/>
    </row>
    <row r="913">
      <c r="D913" s="135"/>
    </row>
    <row r="914">
      <c r="D914" s="135"/>
    </row>
    <row r="915">
      <c r="D915" s="135"/>
    </row>
    <row r="916">
      <c r="D916" s="135"/>
    </row>
    <row r="917">
      <c r="D917" s="135"/>
    </row>
    <row r="918">
      <c r="D918" s="135"/>
    </row>
    <row r="919">
      <c r="D919" s="135"/>
    </row>
    <row r="920">
      <c r="D920" s="135"/>
    </row>
    <row r="921">
      <c r="D921" s="135"/>
    </row>
    <row r="922">
      <c r="D922" s="135"/>
    </row>
    <row r="923">
      <c r="D923" s="135"/>
    </row>
    <row r="924">
      <c r="D924" s="135"/>
    </row>
    <row r="925">
      <c r="D925" s="135"/>
    </row>
    <row r="926">
      <c r="D926" s="135"/>
    </row>
    <row r="927">
      <c r="D927" s="135"/>
    </row>
    <row r="928">
      <c r="D928" s="135"/>
    </row>
    <row r="929">
      <c r="D929" s="135"/>
    </row>
    <row r="930">
      <c r="D930" s="135"/>
    </row>
    <row r="931">
      <c r="D931" s="135"/>
    </row>
    <row r="932">
      <c r="D932" s="135"/>
    </row>
    <row r="933">
      <c r="D933" s="135"/>
    </row>
    <row r="934">
      <c r="D934" s="135"/>
    </row>
    <row r="935">
      <c r="D935" s="135"/>
    </row>
    <row r="936">
      <c r="D936" s="135"/>
    </row>
    <row r="937">
      <c r="D937" s="135"/>
    </row>
    <row r="938">
      <c r="D938" s="135"/>
    </row>
    <row r="939">
      <c r="D939" s="135"/>
    </row>
    <row r="940">
      <c r="D940" s="135"/>
    </row>
    <row r="941">
      <c r="D941" s="135"/>
    </row>
    <row r="942">
      <c r="D942" s="135"/>
    </row>
    <row r="943">
      <c r="D943" s="135"/>
    </row>
    <row r="944">
      <c r="D944" s="135"/>
    </row>
    <row r="945">
      <c r="D945" s="135"/>
    </row>
    <row r="946">
      <c r="D946" s="135"/>
    </row>
    <row r="947">
      <c r="D947" s="135"/>
    </row>
    <row r="948">
      <c r="D948" s="135"/>
    </row>
    <row r="949">
      <c r="D949" s="135"/>
    </row>
    <row r="950">
      <c r="D950" s="135"/>
    </row>
    <row r="951">
      <c r="D951" s="135"/>
    </row>
    <row r="952">
      <c r="D952" s="135"/>
    </row>
    <row r="953">
      <c r="D953" s="135"/>
    </row>
    <row r="954">
      <c r="D954" s="135"/>
    </row>
    <row r="955">
      <c r="D955" s="135"/>
    </row>
    <row r="956">
      <c r="D956" s="135"/>
    </row>
    <row r="957">
      <c r="D957" s="135"/>
    </row>
    <row r="958">
      <c r="D958" s="135"/>
    </row>
    <row r="959">
      <c r="D959" s="135"/>
    </row>
    <row r="960">
      <c r="D960" s="135"/>
    </row>
    <row r="961">
      <c r="D961" s="135"/>
    </row>
    <row r="962">
      <c r="D962" s="135"/>
    </row>
    <row r="963">
      <c r="D963" s="135"/>
    </row>
    <row r="964">
      <c r="D964" s="135"/>
    </row>
    <row r="965">
      <c r="D965" s="135"/>
    </row>
    <row r="966">
      <c r="D966" s="135"/>
    </row>
    <row r="967">
      <c r="D967" s="135"/>
    </row>
    <row r="968">
      <c r="D968" s="135"/>
    </row>
    <row r="969">
      <c r="D969" s="135"/>
    </row>
    <row r="970">
      <c r="D970" s="135"/>
    </row>
    <row r="971">
      <c r="D971" s="135"/>
    </row>
    <row r="972">
      <c r="D972" s="135"/>
    </row>
    <row r="973">
      <c r="D973" s="135"/>
    </row>
    <row r="974">
      <c r="D974" s="135"/>
    </row>
    <row r="975">
      <c r="D975" s="135"/>
    </row>
    <row r="976">
      <c r="D976" s="135"/>
    </row>
    <row r="977">
      <c r="D977" s="135"/>
    </row>
    <row r="978">
      <c r="D978" s="135"/>
    </row>
    <row r="979">
      <c r="D979" s="135"/>
    </row>
    <row r="980">
      <c r="D980" s="135"/>
    </row>
    <row r="981">
      <c r="D981" s="135"/>
    </row>
    <row r="982">
      <c r="D982" s="135"/>
    </row>
    <row r="983">
      <c r="D983" s="135"/>
    </row>
    <row r="984">
      <c r="D984" s="135"/>
    </row>
    <row r="985">
      <c r="D985" s="135"/>
    </row>
    <row r="986">
      <c r="D986" s="135"/>
    </row>
    <row r="987">
      <c r="D987" s="135"/>
    </row>
    <row r="988">
      <c r="D988" s="135"/>
    </row>
    <row r="989">
      <c r="D989" s="135"/>
    </row>
    <row r="990">
      <c r="D990" s="135"/>
    </row>
    <row r="991">
      <c r="D991" s="135"/>
    </row>
    <row r="992">
      <c r="D992" s="135"/>
    </row>
    <row r="993">
      <c r="D993" s="135"/>
    </row>
    <row r="994">
      <c r="D994" s="135"/>
    </row>
    <row r="995">
      <c r="D995" s="135"/>
    </row>
    <row r="996">
      <c r="D996" s="135"/>
    </row>
    <row r="997">
      <c r="D997" s="135"/>
    </row>
    <row r="998">
      <c r="D998" s="135"/>
    </row>
    <row r="999">
      <c r="D999" s="135"/>
    </row>
    <row r="1000">
      <c r="D1000" s="135"/>
    </row>
    <row r="1001">
      <c r="D1001" s="135"/>
    </row>
    <row r="1002">
      <c r="D1002" s="135"/>
    </row>
    <row r="1003">
      <c r="D1003" s="135"/>
    </row>
    <row r="1004">
      <c r="D1004" s="135"/>
    </row>
    <row r="1005">
      <c r="D1005" s="135"/>
    </row>
    <row r="1006">
      <c r="D1006" s="135"/>
    </row>
    <row r="1007">
      <c r="D1007" s="135"/>
    </row>
    <row r="1008">
      <c r="D1008" s="135"/>
    </row>
    <row r="1009">
      <c r="D1009" s="135"/>
    </row>
  </sheetData>
  <mergeCells count="19">
    <mergeCell ref="AK9:AL9"/>
    <mergeCell ref="AP9:AY9"/>
    <mergeCell ref="BA9:BJ9"/>
    <mergeCell ref="BL9:BO9"/>
    <mergeCell ref="BQ9:BT9"/>
    <mergeCell ref="BV9:BY9"/>
    <mergeCell ref="CM9:CO9"/>
    <mergeCell ref="CQ9:CS9"/>
    <mergeCell ref="CU9:CW9"/>
    <mergeCell ref="CM18:CO18"/>
    <mergeCell ref="CQ18:CS18"/>
    <mergeCell ref="C3:M3"/>
    <mergeCell ref="CF8:CG9"/>
    <mergeCell ref="B9:E9"/>
    <mergeCell ref="G9:J9"/>
    <mergeCell ref="P9:S9"/>
    <mergeCell ref="U9:AA9"/>
    <mergeCell ref="AC9:AI9"/>
    <mergeCell ref="CA9:CD9"/>
  </mergeCells>
  <dataValidations>
    <dataValidation type="list" allowBlank="1" showErrorMessage="1" sqref="D6">
      <formula1>Listas!$B$7:$B$15</formula1>
    </dataValidation>
  </dataValidation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38"/>
    <col customWidth="1" min="9" max="9" width="43.5"/>
    <col customWidth="1" min="10" max="26" width="9.38"/>
  </cols>
  <sheetData>
    <row r="1" ht="12.0" customHeight="1"/>
    <row r="2" ht="12.0" customHeight="1">
      <c r="A2" s="10" t="s">
        <v>771</v>
      </c>
      <c r="B2" s="190">
        <f>TODAY()</f>
        <v>46161</v>
      </c>
      <c r="C2" s="10">
        <v>1.0</v>
      </c>
      <c r="D2" s="10" t="s">
        <v>1396</v>
      </c>
      <c r="F2" s="191" t="s">
        <v>46</v>
      </c>
      <c r="G2" s="191" t="s">
        <v>41</v>
      </c>
    </row>
    <row r="3" ht="12.0" customHeight="1">
      <c r="A3" s="10">
        <f>DAY(B2)</f>
        <v>19</v>
      </c>
      <c r="B3" s="10">
        <f>MONTH(B2)</f>
        <v>5</v>
      </c>
      <c r="C3" s="10">
        <v>2.0</v>
      </c>
      <c r="D3" s="10" t="s">
        <v>1382</v>
      </c>
      <c r="F3" s="191"/>
      <c r="G3" s="191"/>
    </row>
    <row r="4" ht="12.0" customHeight="1">
      <c r="C4" s="10">
        <v>3.0</v>
      </c>
      <c r="D4" s="10" t="s">
        <v>1390</v>
      </c>
      <c r="F4" s="191" t="s">
        <v>47</v>
      </c>
      <c r="G4" s="191" t="s">
        <v>425</v>
      </c>
      <c r="I4" s="84" t="str">
        <f>IFERROR(__xludf.DUMMYFUNCTION("FILTER('BD Asesor'!A8:A1998,'BD Asesor'!C8:C1998=""Activo"")"),"ABRAHAM GALICIA MANCERA")</f>
        <v>ABRAHAM GALICIA MANCERA</v>
      </c>
    </row>
    <row r="5" ht="12.0" customHeight="1">
      <c r="C5" s="10">
        <v>4.0</v>
      </c>
      <c r="D5" s="10" t="s">
        <v>1391</v>
      </c>
      <c r="F5" s="191" t="s">
        <v>1406</v>
      </c>
      <c r="G5" s="191" t="s">
        <v>42</v>
      </c>
      <c r="I5" s="84" t="str">
        <f>IFERROR(__xludf.DUMMYFUNCTION("""COMPUTED_VALUE"""),"ABRAHAM GALICIA MANCERA")</f>
        <v>ABRAHAM GALICIA MANCERA</v>
      </c>
    </row>
    <row r="6" ht="12.0" customHeight="1">
      <c r="C6" s="10">
        <v>5.0</v>
      </c>
      <c r="D6" s="10" t="s">
        <v>1376</v>
      </c>
      <c r="F6" s="191" t="s">
        <v>688</v>
      </c>
      <c r="G6" s="191" t="s">
        <v>51</v>
      </c>
      <c r="I6" s="84" t="str">
        <f>IFERROR(__xludf.DUMMYFUNCTION("""COMPUTED_VALUE"""),"ADRIAN ALEJANDRO RAMIREZ MORALES")</f>
        <v>ADRIAN ALEJANDRO RAMIREZ MORALES</v>
      </c>
    </row>
    <row r="7" ht="12.0" customHeight="1">
      <c r="B7" s="192">
        <v>2018.0</v>
      </c>
      <c r="C7" s="10">
        <v>6.0</v>
      </c>
      <c r="D7" s="10" t="s">
        <v>1378</v>
      </c>
      <c r="F7" s="191" t="s">
        <v>101</v>
      </c>
      <c r="G7" s="191" t="s">
        <v>1407</v>
      </c>
      <c r="I7" s="84" t="str">
        <f>IFERROR(__xludf.DUMMYFUNCTION("""COMPUTED_VALUE"""),"ADRIAN ALEJANDRO RAMIREZ MORALES")</f>
        <v>ADRIAN ALEJANDRO RAMIREZ MORALES</v>
      </c>
    </row>
    <row r="8" ht="12.0" customHeight="1">
      <c r="B8" s="192">
        <v>2019.0</v>
      </c>
      <c r="C8" s="10">
        <v>7.0</v>
      </c>
      <c r="D8" s="10" t="s">
        <v>1385</v>
      </c>
      <c r="F8" s="191" t="s">
        <v>711</v>
      </c>
      <c r="G8" s="191" t="s">
        <v>1408</v>
      </c>
      <c r="I8" s="84" t="str">
        <f>IFERROR(__xludf.DUMMYFUNCTION("""COMPUTED_VALUE"""),"AIDA GRACIELA FLORES BARBA")</f>
        <v>AIDA GRACIELA FLORES BARBA</v>
      </c>
    </row>
    <row r="9" ht="12.0" customHeight="1">
      <c r="B9" s="192">
        <v>2020.0</v>
      </c>
      <c r="C9" s="10">
        <v>8.0</v>
      </c>
      <c r="D9" s="10" t="s">
        <v>1383</v>
      </c>
      <c r="F9" s="191" t="s">
        <v>117</v>
      </c>
      <c r="G9" s="191"/>
      <c r="I9" s="84" t="str">
        <f>IFERROR(__xludf.DUMMYFUNCTION("""COMPUTED_VALUE"""),"ALEJANDRA DEL CARMEN UREÑA CASILLAS")</f>
        <v>ALEJANDRA DEL CARMEN UREÑA CASILLAS</v>
      </c>
    </row>
    <row r="10" ht="12.0" customHeight="1">
      <c r="B10" s="192">
        <v>2021.0</v>
      </c>
      <c r="C10" s="10">
        <v>9.0</v>
      </c>
      <c r="D10" s="10" t="s">
        <v>1377</v>
      </c>
      <c r="F10" s="191" t="s">
        <v>1409</v>
      </c>
      <c r="G10" s="191"/>
      <c r="I10" s="84" t="str">
        <f>IFERROR(__xludf.DUMMYFUNCTION("""COMPUTED_VALUE"""),"ALEJANDRA DEL CARMEN UREÑA CASILLAS")</f>
        <v>ALEJANDRA DEL CARMEN UREÑA CASILLAS</v>
      </c>
    </row>
    <row r="11" ht="12.0" customHeight="1">
      <c r="B11" s="192">
        <v>2022.0</v>
      </c>
      <c r="C11" s="10">
        <v>10.0</v>
      </c>
      <c r="D11" s="10" t="s">
        <v>1373</v>
      </c>
      <c r="I11" s="84" t="str">
        <f>IFERROR(__xludf.DUMMYFUNCTION("""COMPUTED_VALUE"""),"ALEJANDRA DEL CARMEN UREÑA CASILLAS")</f>
        <v>ALEJANDRA DEL CARMEN UREÑA CASILLAS</v>
      </c>
    </row>
    <row r="12" ht="12.0" customHeight="1">
      <c r="B12" s="192">
        <v>2023.0</v>
      </c>
      <c r="C12" s="10">
        <v>11.0</v>
      </c>
      <c r="D12" s="10" t="s">
        <v>1392</v>
      </c>
      <c r="I12" s="84" t="str">
        <f>IFERROR(__xludf.DUMMYFUNCTION("""COMPUTED_VALUE"""),"ALEJANDRO ARTURO LOMELI OROZCO")</f>
        <v>ALEJANDRO ARTURO LOMELI OROZCO</v>
      </c>
    </row>
    <row r="13" ht="12.0" customHeight="1">
      <c r="B13" s="192">
        <v>2024.0</v>
      </c>
      <c r="C13" s="10">
        <v>12.0</v>
      </c>
      <c r="D13" s="10" t="s">
        <v>1395</v>
      </c>
      <c r="I13" s="84" t="str">
        <f>IFERROR(__xludf.DUMMYFUNCTION("""COMPUTED_VALUE"""),"ALEJANDRO MORENO TRUJILLO")</f>
        <v>ALEJANDRO MORENO TRUJILLO</v>
      </c>
    </row>
    <row r="14" ht="12.0" customHeight="1">
      <c r="B14" s="192">
        <v>2025.0</v>
      </c>
      <c r="I14" s="84" t="str">
        <f>IFERROR(__xludf.DUMMYFUNCTION("""COMPUTED_VALUE"""),"ALEJANDRO MORENO TRUJILLO")</f>
        <v>ALEJANDRO MORENO TRUJILLO</v>
      </c>
    </row>
    <row r="15" ht="12.0" customHeight="1">
      <c r="B15" s="192">
        <v>2026.0</v>
      </c>
      <c r="I15" s="84" t="str">
        <f>IFERROR(__xludf.DUMMYFUNCTION("""COMPUTED_VALUE"""),"ALEJANDRO SOTO ELIZALDE")</f>
        <v>ALEJANDRO SOTO ELIZALDE</v>
      </c>
    </row>
    <row r="16" ht="12.0" customHeight="1">
      <c r="I16" s="84" t="str">
        <f>IFERROR(__xludf.DUMMYFUNCTION("""COMPUTED_VALUE"""),"ALEJANDRO VAZQUEZ RODRIGUEZ")</f>
        <v>ALEJANDRO VAZQUEZ RODRIGUEZ</v>
      </c>
    </row>
    <row r="17" ht="12.0" customHeight="1">
      <c r="I17" s="84" t="str">
        <f>IFERROR(__xludf.DUMMYFUNCTION("""COMPUTED_VALUE"""),"ALEXA GISELLE INFANTE JAIME")</f>
        <v>ALEXA GISELLE INFANTE JAIME</v>
      </c>
    </row>
    <row r="18" ht="12.0" customHeight="1">
      <c r="I18" s="84" t="str">
        <f>IFERROR(__xludf.DUMMYFUNCTION("""COMPUTED_VALUE"""),"ANA KAREN MUÑIZ CHAVEZ")</f>
        <v>ANA KAREN MUÑIZ CHAVEZ</v>
      </c>
    </row>
    <row r="19" ht="12.0" customHeight="1">
      <c r="I19" s="84" t="str">
        <f>IFERROR(__xludf.DUMMYFUNCTION("""COMPUTED_VALUE"""),"ANA PAULA GONZALEZ LUNA NIÑO")</f>
        <v>ANA PAULA GONZALEZ LUNA NIÑO</v>
      </c>
    </row>
    <row r="20" ht="12.0" customHeight="1">
      <c r="I20" s="84" t="str">
        <f>IFERROR(__xludf.DUMMYFUNCTION("""COMPUTED_VALUE"""),"ANDREA HERNANDEZ MERCADO")</f>
        <v>ANDREA HERNANDEZ MERCADO</v>
      </c>
    </row>
    <row r="21" ht="12.0" customHeight="1">
      <c r="I21" s="84" t="str">
        <f>IFERROR(__xludf.DUMMYFUNCTION("""COMPUTED_VALUE"""),"ANGELICA ALEJANDRA SANCHEZ DURAN")</f>
        <v>ANGELICA ALEJANDRA SANCHEZ DURAN</v>
      </c>
    </row>
    <row r="22" ht="12.0" customHeight="1">
      <c r="I22" s="84" t="str">
        <f>IFERROR(__xludf.DUMMYFUNCTION("""COMPUTED_VALUE"""),"ARNOLD SANCHEZ SANCHEZ")</f>
        <v>ARNOLD SANCHEZ SANCHEZ</v>
      </c>
    </row>
    <row r="23" ht="12.0" customHeight="1">
      <c r="I23" s="84" t="str">
        <f>IFERROR(__xludf.DUMMYFUNCTION("""COMPUTED_VALUE"""),"BERNARDO GARCIA GOMEZ")</f>
        <v>BERNARDO GARCIA GOMEZ</v>
      </c>
    </row>
    <row r="24" ht="12.0" customHeight="1">
      <c r="I24" s="84" t="str">
        <f>IFERROR(__xludf.DUMMYFUNCTION("""COMPUTED_VALUE"""),"BERNARDO GARCIA GOMEZ")</f>
        <v>BERNARDO GARCIA GOMEZ</v>
      </c>
    </row>
    <row r="25" ht="12.0" customHeight="1">
      <c r="I25" s="84" t="str">
        <f>IFERROR(__xludf.DUMMYFUNCTION("""COMPUTED_VALUE"""),"BETH SUA MONTEJANO CARMONA")</f>
        <v>BETH SUA MONTEJANO CARMONA</v>
      </c>
    </row>
    <row r="26" ht="12.0" customHeight="1">
      <c r="I26" s="84" t="str">
        <f>IFERROR(__xludf.DUMMYFUNCTION("""COMPUTED_VALUE"""),"BLANCA CAROLINA MAGAÑA CASTELLON")</f>
        <v>BLANCA CAROLINA MAGAÑA CASTELLON</v>
      </c>
    </row>
    <row r="27" ht="12.0" customHeight="1">
      <c r="I27" s="84" t="str">
        <f>IFERROR(__xludf.DUMMYFUNCTION("""COMPUTED_VALUE"""),"CARLA ANDREA MARTINEZ LAGOS")</f>
        <v>CARLA ANDREA MARTINEZ LAGOS</v>
      </c>
    </row>
    <row r="28" ht="12.0" customHeight="1">
      <c r="I28" s="84" t="str">
        <f>IFERROR(__xludf.DUMMYFUNCTION("""COMPUTED_VALUE"""),"CARLOS ALBERTO MORALES NOGUEDA")</f>
        <v>CARLOS ALBERTO MORALES NOGUEDA</v>
      </c>
    </row>
    <row r="29" ht="12.0" customHeight="1">
      <c r="I29" s="84" t="str">
        <f>IFERROR(__xludf.DUMMYFUNCTION("""COMPUTED_VALUE"""),"CARLOS CASTRO PALAZUELOS")</f>
        <v>CARLOS CASTRO PALAZUELOS</v>
      </c>
    </row>
    <row r="30" ht="12.0" customHeight="1">
      <c r="I30" s="84" t="str">
        <f>IFERROR(__xludf.DUMMYFUNCTION("""COMPUTED_VALUE"""),"CARLOS DAVID AVILA URRUCHUA")</f>
        <v>CARLOS DAVID AVILA URRUCHUA</v>
      </c>
    </row>
    <row r="31" ht="12.0" customHeight="1">
      <c r="I31" s="84" t="str">
        <f>IFERROR(__xludf.DUMMYFUNCTION("""COMPUTED_VALUE"""),"CARLOS HUMBERTO VILLANUEVA CARMONA")</f>
        <v>CARLOS HUMBERTO VILLANUEVA CARMONA</v>
      </c>
    </row>
    <row r="32" ht="12.0" customHeight="1">
      <c r="I32" s="84" t="str">
        <f>IFERROR(__xludf.DUMMYFUNCTION("""COMPUTED_VALUE"""),"CARLOS VERDUZO FAVELA")</f>
        <v>CARLOS VERDUZO FAVELA</v>
      </c>
    </row>
    <row r="33" ht="12.0" customHeight="1">
      <c r="I33" s="84" t="str">
        <f>IFERROR(__xludf.DUMMYFUNCTION("""COMPUTED_VALUE"""),"CARLOS XAVIER BARBA LOPEZ")</f>
        <v>CARLOS XAVIER BARBA LOPEZ</v>
      </c>
    </row>
    <row r="34" ht="12.0" customHeight="1">
      <c r="I34" s="84" t="str">
        <f>IFERROR(__xludf.DUMMYFUNCTION("""COMPUTED_VALUE"""),"CECILIA ARCEO CERVANTES")</f>
        <v>CECILIA ARCEO CERVANTES</v>
      </c>
    </row>
    <row r="35" ht="12.0" customHeight="1">
      <c r="I35" s="84" t="str">
        <f>IFERROR(__xludf.DUMMYFUNCTION("""COMPUTED_VALUE"""),"CESAR ISRRAEL HERNANDEZ SANCHEZ")</f>
        <v>CESAR ISRRAEL HERNANDEZ SANCHEZ</v>
      </c>
    </row>
    <row r="36" ht="12.0" customHeight="1">
      <c r="I36" s="84" t="str">
        <f>IFERROR(__xludf.DUMMYFUNCTION("""COMPUTED_VALUE"""),"CESAR ISRRAEL HERNANDEZ SANCHEZ")</f>
        <v>CESAR ISRRAEL HERNANDEZ SANCHEZ</v>
      </c>
    </row>
    <row r="37" ht="12.0" customHeight="1">
      <c r="I37" s="84" t="str">
        <f>IFERROR(__xludf.DUMMYFUNCTION("""COMPUTED_VALUE"""),"CINTHIA NOEMI JASSO TORRES")</f>
        <v>CINTHIA NOEMI JASSO TORRES</v>
      </c>
    </row>
    <row r="38" ht="12.0" customHeight="1">
      <c r="I38" s="84" t="str">
        <f>IFERROR(__xludf.DUMMYFUNCTION("""COMPUTED_VALUE"""),"CLAUDIO ALBERTO MARTIN LOPEZ")</f>
        <v>CLAUDIO ALBERTO MARTIN LOPEZ</v>
      </c>
    </row>
    <row r="39" ht="12.0" customHeight="1">
      <c r="I39" s="84" t="str">
        <f>IFERROR(__xludf.DUMMYFUNCTION("""COMPUTED_VALUE"""),"CRISTINA GUADALUPE ALVAREZ HERNANDEZ")</f>
        <v>CRISTINA GUADALUPE ALVAREZ HERNANDEZ</v>
      </c>
    </row>
    <row r="40" ht="12.0" customHeight="1">
      <c r="I40" s="84" t="str">
        <f>IFERROR(__xludf.DUMMYFUNCTION("""COMPUTED_VALUE"""),"CRISTINA LETICIA RODRIGUEZ DE LA TORRE")</f>
        <v>CRISTINA LETICIA RODRIGUEZ DE LA TORRE</v>
      </c>
    </row>
    <row r="41" ht="12.0" customHeight="1">
      <c r="I41" s="84" t="str">
        <f>IFERROR(__xludf.DUMMYFUNCTION("""COMPUTED_VALUE"""),"CYNTHIA ELIZABETH MORALES ORTEGA")</f>
        <v>CYNTHIA ELIZABETH MORALES ORTEGA</v>
      </c>
    </row>
    <row r="42" ht="12.0" customHeight="1">
      <c r="I42" s="84" t="str">
        <f>IFERROR(__xludf.DUMMYFUNCTION("""COMPUTED_VALUE"""),"CYNTHIA ELIZABETH MORALES ORTEGA")</f>
        <v>CYNTHIA ELIZABETH MORALES ORTEGA</v>
      </c>
    </row>
    <row r="43" ht="12.0" customHeight="1">
      <c r="I43" s="84" t="str">
        <f>IFERROR(__xludf.DUMMYFUNCTION("""COMPUTED_VALUE"""),"CYNTHIA ELIZABETH MORALES ORTEGA")</f>
        <v>CYNTHIA ELIZABETH MORALES ORTEGA</v>
      </c>
    </row>
    <row r="44" ht="12.0" customHeight="1">
      <c r="I44" s="84" t="str">
        <f>IFERROR(__xludf.DUMMYFUNCTION("""COMPUTED_VALUE"""),"DANIELA CABRAL ROMO")</f>
        <v>DANIELA CABRAL ROMO</v>
      </c>
    </row>
    <row r="45" ht="12.0" customHeight="1">
      <c r="I45" s="84" t="str">
        <f>IFERROR(__xludf.DUMMYFUNCTION("""COMPUTED_VALUE"""),"DANIELA GUADALUPE PEREGRINA GONZALEZ")</f>
        <v>DANIELA GUADALUPE PEREGRINA GONZALEZ</v>
      </c>
    </row>
    <row r="46" ht="12.0" customHeight="1">
      <c r="I46" s="84" t="str">
        <f>IFERROR(__xludf.DUMMYFUNCTION("""COMPUTED_VALUE"""),"DANIELA GUADALUPE PEREGRINA GONZALEZ")</f>
        <v>DANIELA GUADALUPE PEREGRINA GONZALEZ</v>
      </c>
    </row>
    <row r="47" ht="12.0" customHeight="1">
      <c r="I47" s="84" t="str">
        <f>IFERROR(__xludf.DUMMYFUNCTION("""COMPUTED_VALUE"""),"DANIELA NIETO MORAN")</f>
        <v>DANIELA NIETO MORAN</v>
      </c>
    </row>
    <row r="48" ht="12.0" customHeight="1">
      <c r="I48" s="84" t="str">
        <f>IFERROR(__xludf.DUMMYFUNCTION("""COMPUTED_VALUE"""),"DARINKA UREÑA CASILLAS")</f>
        <v>DARINKA UREÑA CASILLAS</v>
      </c>
    </row>
    <row r="49" ht="12.0" customHeight="1">
      <c r="I49" s="84" t="str">
        <f>IFERROR(__xludf.DUMMYFUNCTION("""COMPUTED_VALUE"""),"DARINKA UREÑA CASILLAS")</f>
        <v>DARINKA UREÑA CASILLAS</v>
      </c>
    </row>
    <row r="50" ht="12.0" customHeight="1">
      <c r="I50" s="84" t="str">
        <f>IFERROR(__xludf.DUMMYFUNCTION("""COMPUTED_VALUE"""),"DAVID MORENO NERI")</f>
        <v>DAVID MORENO NERI</v>
      </c>
    </row>
    <row r="51" ht="12.0" customHeight="1">
      <c r="I51" s="84" t="str">
        <f>IFERROR(__xludf.DUMMYFUNCTION("""COMPUTED_VALUE"""),"DAVID MORENO NERI")</f>
        <v>DAVID MORENO NERI</v>
      </c>
    </row>
    <row r="52" ht="12.0" customHeight="1">
      <c r="I52" s="84" t="str">
        <f>IFERROR(__xludf.DUMMYFUNCTION("""COMPUTED_VALUE"""),"DENISSE CARDENAS GONZALEZ")</f>
        <v>DENISSE CARDENAS GONZALEZ</v>
      </c>
    </row>
    <row r="53" ht="12.0" customHeight="1">
      <c r="I53" s="84" t="str">
        <f>IFERROR(__xludf.DUMMYFUNCTION("""COMPUTED_VALUE"""),"DIEGO IVAN AGUAYO RAMIREZ")</f>
        <v>DIEGO IVAN AGUAYO RAMIREZ</v>
      </c>
    </row>
    <row r="54" ht="12.0" customHeight="1">
      <c r="I54" s="84" t="str">
        <f>IFERROR(__xludf.DUMMYFUNCTION("""COMPUTED_VALUE"""),"DIEGO LEONARDO UREÑA GUARNEROS")</f>
        <v>DIEGO LEONARDO UREÑA GUARNEROS</v>
      </c>
    </row>
    <row r="55" ht="12.0" customHeight="1">
      <c r="I55" s="84" t="str">
        <f>IFERROR(__xludf.DUMMYFUNCTION("""COMPUTED_VALUE"""),"DIGNA MARIA BAÑUELOS ZAMORA")</f>
        <v>DIGNA MARIA BAÑUELOS ZAMORA</v>
      </c>
    </row>
    <row r="56" ht="12.0" customHeight="1">
      <c r="I56" s="84" t="str">
        <f>IFERROR(__xludf.DUMMYFUNCTION("""COMPUTED_VALUE"""),"EDER EMMANUEL ALCALA GUTIERREZ")</f>
        <v>EDER EMMANUEL ALCALA GUTIERREZ</v>
      </c>
    </row>
    <row r="57" ht="12.0" customHeight="1">
      <c r="I57" s="84" t="str">
        <f>IFERROR(__xludf.DUMMYFUNCTION("""COMPUTED_VALUE"""),"EDGAR SANCHEZ GONZALEZ")</f>
        <v>EDGAR SANCHEZ GONZALEZ</v>
      </c>
    </row>
    <row r="58" ht="12.0" customHeight="1">
      <c r="I58" s="84" t="str">
        <f>IFERROR(__xludf.DUMMYFUNCTION("""COMPUTED_VALUE"""),"EDUARDO ERNESTO VALLES JARILLO")</f>
        <v>EDUARDO ERNESTO VALLES JARILLO</v>
      </c>
    </row>
    <row r="59" ht="12.0" customHeight="1">
      <c r="I59" s="84" t="str">
        <f>IFERROR(__xludf.DUMMYFUNCTION("""COMPUTED_VALUE"""),"EDUARDO RAMIRO TORRES ALVAREZ")</f>
        <v>EDUARDO RAMIRO TORRES ALVAREZ</v>
      </c>
    </row>
    <row r="60" ht="12.0" customHeight="1">
      <c r="I60" s="84" t="str">
        <f>IFERROR(__xludf.DUMMYFUNCTION("""COMPUTED_VALUE"""),"EMMANUEL CONTRERAS RIOS")</f>
        <v>EMMANUEL CONTRERAS RIOS</v>
      </c>
    </row>
    <row r="61" ht="12.0" customHeight="1">
      <c r="I61" s="84" t="str">
        <f>IFERROR(__xludf.DUMMYFUNCTION("""COMPUTED_VALUE"""),"EMMANUEL ORTEGA GUTIERREZ")</f>
        <v>EMMANUEL ORTEGA GUTIERREZ</v>
      </c>
    </row>
    <row r="62" ht="12.0" customHeight="1">
      <c r="I62" s="84" t="str">
        <f>IFERROR(__xludf.DUMMYFUNCTION("""COMPUTED_VALUE"""),"ESTEFANI ALEYOIS CONTRERAS RIOS")</f>
        <v>ESTEFANI ALEYOIS CONTRERAS RIOS</v>
      </c>
    </row>
    <row r="63" ht="12.0" customHeight="1">
      <c r="I63" s="84" t="str">
        <f>IFERROR(__xludf.DUMMYFUNCTION("""COMPUTED_VALUE"""),"ESTEFANI ALEYOIS CONTRERAS RIOS")</f>
        <v>ESTEFANI ALEYOIS CONTRERAS RIOS</v>
      </c>
    </row>
    <row r="64" ht="12.0" customHeight="1">
      <c r="I64" s="84" t="str">
        <f>IFERROR(__xludf.DUMMYFUNCTION("""COMPUTED_VALUE"""),"FELICITAS CASILLAS GALINDO")</f>
        <v>FELICITAS CASILLAS GALINDO</v>
      </c>
    </row>
    <row r="65" ht="12.0" customHeight="1">
      <c r="I65" s="84" t="str">
        <f>IFERROR(__xludf.DUMMYFUNCTION("""COMPUTED_VALUE"""),"FLORENCIA LILIANA CORONA GARNICA")</f>
        <v>FLORENCIA LILIANA CORONA GARNICA</v>
      </c>
    </row>
    <row r="66" ht="12.0" customHeight="1">
      <c r="I66" s="84" t="str">
        <f>IFERROR(__xludf.DUMMYFUNCTION("""COMPUTED_VALUE"""),"FRANCISCO JAVIER VALENCIA PRADO")</f>
        <v>FRANCISCO JAVIER VALENCIA PRADO</v>
      </c>
    </row>
    <row r="67" ht="12.0" customHeight="1">
      <c r="I67" s="84" t="str">
        <f>IFERROR(__xludf.DUMMYFUNCTION("""COMPUTED_VALUE"""),"FRANCISCO JAVIER VALENCIA PRADO")</f>
        <v>FRANCISCO JAVIER VALENCIA PRADO</v>
      </c>
    </row>
    <row r="68" ht="12.0" customHeight="1">
      <c r="I68" s="84" t="str">
        <f>IFERROR(__xludf.DUMMYFUNCTION("""COMPUTED_VALUE"""),"FRANCISCO JAVIER VALENCIA PRADO")</f>
        <v>FRANCISCO JAVIER VALENCIA PRADO</v>
      </c>
    </row>
    <row r="69" ht="12.0" customHeight="1">
      <c r="I69" s="84" t="str">
        <f>IFERROR(__xludf.DUMMYFUNCTION("""COMPUTED_VALUE"""),"FRANCISCO JOSE MARTIN LOPEZ")</f>
        <v>FRANCISCO JOSE MARTIN LOPEZ</v>
      </c>
    </row>
    <row r="70" ht="12.0" customHeight="1">
      <c r="I70" s="84" t="str">
        <f>IFERROR(__xludf.DUMMYFUNCTION("""COMPUTED_VALUE"""),"GLENDA GISELA CASIANO VEGA")</f>
        <v>GLENDA GISELA CASIANO VEGA</v>
      </c>
    </row>
    <row r="71" ht="12.0" customHeight="1">
      <c r="I71" s="84" t="str">
        <f>IFERROR(__xludf.DUMMYFUNCTION("""COMPUTED_VALUE"""),"GUSTAVO GUTIERREZ PLASCENCIA")</f>
        <v>GUSTAVO GUTIERREZ PLASCENCIA</v>
      </c>
    </row>
    <row r="72" ht="12.0" customHeight="1">
      <c r="I72" s="84" t="str">
        <f>IFERROR(__xludf.DUMMYFUNCTION("""COMPUTED_VALUE"""),"HEBER RAMIREZ LUNA")</f>
        <v>HEBER RAMIREZ LUNA</v>
      </c>
    </row>
    <row r="73" ht="12.0" customHeight="1">
      <c r="I73" s="84" t="str">
        <f>IFERROR(__xludf.DUMMYFUNCTION("""COMPUTED_VALUE"""),"IZCHEL IRAIS GONZALEZ DIAZ")</f>
        <v>IZCHEL IRAIS GONZALEZ DIAZ</v>
      </c>
    </row>
    <row r="74" ht="12.0" customHeight="1">
      <c r="I74" s="84" t="str">
        <f>IFERROR(__xludf.DUMMYFUNCTION("""COMPUTED_VALUE"""),"JAVIER ALEJANDRO OCHOA FLORES")</f>
        <v>JAVIER ALEJANDRO OCHOA FLORES</v>
      </c>
    </row>
    <row r="75" ht="12.0" customHeight="1">
      <c r="I75" s="84" t="str">
        <f>IFERROR(__xludf.DUMMYFUNCTION("""COMPUTED_VALUE"""),"JAVIER RAMOS BARAJAS")</f>
        <v>JAVIER RAMOS BARAJAS</v>
      </c>
    </row>
    <row r="76" ht="12.0" customHeight="1">
      <c r="I76" s="84" t="str">
        <f>IFERROR(__xludf.DUMMYFUNCTION("""COMPUTED_VALUE"""),"JAZMIN ALICIA ROMERO JOHNSON")</f>
        <v>JAZMIN ALICIA ROMERO JOHNSON</v>
      </c>
    </row>
    <row r="77" ht="12.0" customHeight="1">
      <c r="I77" s="84" t="str">
        <f>IFERROR(__xludf.DUMMYFUNCTION("""COMPUTED_VALUE"""),"JAZMIN ALICIA ROMERO JOHNSON")</f>
        <v>JAZMIN ALICIA ROMERO JOHNSON</v>
      </c>
    </row>
    <row r="78" ht="12.0" customHeight="1">
      <c r="I78" s="84" t="str">
        <f>IFERROR(__xludf.DUMMYFUNCTION("""COMPUTED_VALUE"""),"JAZMIN JUDITH HERNANDEZ AGUIRRE")</f>
        <v>JAZMIN JUDITH HERNANDEZ AGUIRRE</v>
      </c>
    </row>
    <row r="79" ht="12.0" customHeight="1">
      <c r="I79" s="84" t="str">
        <f>IFERROR(__xludf.DUMMYFUNCTION("""COMPUTED_VALUE"""),"JENIFER RIVERA LIRA")</f>
        <v>JENIFER RIVERA LIRA</v>
      </c>
    </row>
    <row r="80" ht="12.0" customHeight="1">
      <c r="I80" s="84" t="str">
        <f>IFERROR(__xludf.DUMMYFUNCTION("""COMPUTED_VALUE"""),"JENNIFER GODINEZ CASILLAS")</f>
        <v>JENNIFER GODINEZ CASILLAS</v>
      </c>
    </row>
    <row r="81" ht="12.0" customHeight="1">
      <c r="I81" s="84" t="str">
        <f>IFERROR(__xludf.DUMMYFUNCTION("""COMPUTED_VALUE"""),"JESUS ADRIAN AVILA CABRAL")</f>
        <v>JESUS ADRIAN AVILA CABRAL</v>
      </c>
    </row>
    <row r="82" ht="12.0" customHeight="1">
      <c r="I82" s="84" t="str">
        <f>IFERROR(__xludf.DUMMYFUNCTION("""COMPUTED_VALUE"""),"JORGE FRANCISCO AREVALO CONTRERAS")</f>
        <v>JORGE FRANCISCO AREVALO CONTRERAS</v>
      </c>
    </row>
    <row r="83" ht="12.0" customHeight="1">
      <c r="I83" s="84" t="str">
        <f>IFERROR(__xludf.DUMMYFUNCTION("""COMPUTED_VALUE"""),"JORGE FRANCISCO AREVALO CONTRERAS")</f>
        <v>JORGE FRANCISCO AREVALO CONTRERAS</v>
      </c>
    </row>
    <row r="84" ht="12.0" customHeight="1">
      <c r="I84" s="84" t="str">
        <f>IFERROR(__xludf.DUMMYFUNCTION("""COMPUTED_VALUE"""),"JOSE DANIEL FLORES ARELLANO")</f>
        <v>JOSE DANIEL FLORES ARELLANO</v>
      </c>
    </row>
    <row r="85" ht="12.0" customHeight="1">
      <c r="I85" s="84" t="str">
        <f>IFERROR(__xludf.DUMMYFUNCTION("""COMPUTED_VALUE"""),"JOSE FRANCISCO SEDA CEJA")</f>
        <v>JOSE FRANCISCO SEDA CEJA</v>
      </c>
    </row>
    <row r="86" ht="12.0" customHeight="1">
      <c r="I86" s="84" t="str">
        <f>IFERROR(__xludf.DUMMYFUNCTION("""COMPUTED_VALUE"""),"JOSEFINA GALVEZ")</f>
        <v>JOSEFINA GALVEZ</v>
      </c>
    </row>
    <row r="87" ht="12.0" customHeight="1">
      <c r="I87" s="84" t="str">
        <f>IFERROR(__xludf.DUMMYFUNCTION("""COMPUTED_VALUE"""),"JUAN ANTONIO VELAZQUEZ ALVAREZ")</f>
        <v>JUAN ANTONIO VELAZQUEZ ALVAREZ</v>
      </c>
    </row>
    <row r="88" ht="12.0" customHeight="1">
      <c r="I88" s="84" t="str">
        <f>IFERROR(__xludf.DUMMYFUNCTION("""COMPUTED_VALUE"""),"JUAN CARLOS CONTRERAS VAZQUEZ")</f>
        <v>JUAN CARLOS CONTRERAS VAZQUEZ</v>
      </c>
    </row>
    <row r="89" ht="12.0" customHeight="1">
      <c r="I89" s="84" t="str">
        <f>IFERROR(__xludf.DUMMYFUNCTION("""COMPUTED_VALUE"""),"KAREN DENISSE SEDA MUÑOZ")</f>
        <v>KAREN DENISSE SEDA MUÑOZ</v>
      </c>
    </row>
    <row r="90" ht="12.0" customHeight="1">
      <c r="I90" s="84" t="str">
        <f>IFERROR(__xludf.DUMMYFUNCTION("""COMPUTED_VALUE"""),"KAREN ENRIQUEZ LEDEZMA")</f>
        <v>KAREN ENRIQUEZ LEDEZMA</v>
      </c>
    </row>
    <row r="91" ht="12.0" customHeight="1">
      <c r="I91" s="84" t="str">
        <f>IFERROR(__xludf.DUMMYFUNCTION("""COMPUTED_VALUE"""),"KEVIN IVAN MARCHENA DUEÑAS")</f>
        <v>KEVIN IVAN MARCHENA DUEÑAS</v>
      </c>
    </row>
    <row r="92" ht="12.0" customHeight="1">
      <c r="I92" s="84" t="str">
        <f>IFERROR(__xludf.DUMMYFUNCTION("""COMPUTED_VALUE"""),"KIMBERLY MONTSERRAT SEDA MUÑOZ")</f>
        <v>KIMBERLY MONTSERRAT SEDA MUÑOZ</v>
      </c>
    </row>
    <row r="93" ht="12.0" customHeight="1">
      <c r="I93" s="84" t="str">
        <f>IFERROR(__xludf.DUMMYFUNCTION("""COMPUTED_VALUE"""),"LUCIA ORTEGA RAMIREZ")</f>
        <v>LUCIA ORTEGA RAMIREZ</v>
      </c>
    </row>
    <row r="94" ht="12.0" customHeight="1">
      <c r="I94" s="84" t="str">
        <f>IFERROR(__xludf.DUMMYFUNCTION("""COMPUTED_VALUE"""),"LUZ JIMENA APARICIO GARCIA")</f>
        <v>LUZ JIMENA APARICIO GARCIA</v>
      </c>
    </row>
    <row r="95" ht="12.0" customHeight="1">
      <c r="I95" s="84" t="str">
        <f>IFERROR(__xludf.DUMMYFUNCTION("""COMPUTED_VALUE"""),"MARA GABRIELA DUEÑAS SALGADO")</f>
        <v>MARA GABRIELA DUEÑAS SALGADO</v>
      </c>
    </row>
    <row r="96" ht="12.0" customHeight="1">
      <c r="I96" s="84" t="str">
        <f>IFERROR(__xludf.DUMMYFUNCTION("""COMPUTED_VALUE"""),"MARCO ANTONIO RAMOS REYNOSO")</f>
        <v>MARCO ANTONIO RAMOS REYNOSO</v>
      </c>
    </row>
    <row r="97" ht="12.0" customHeight="1">
      <c r="I97" s="84" t="str">
        <f>IFERROR(__xludf.DUMMYFUNCTION("""COMPUTED_VALUE"""),"MARIA AURORA RIOS GALVAN")</f>
        <v>MARIA AURORA RIOS GALVAN</v>
      </c>
    </row>
    <row r="98" ht="12.0" customHeight="1">
      <c r="I98" s="84" t="str">
        <f>IFERROR(__xludf.DUMMYFUNCTION("""COMPUTED_VALUE"""),"MARIA FLORENTINA CONTRERAS SANTILLAN")</f>
        <v>MARIA FLORENTINA CONTRERAS SANTILLAN</v>
      </c>
    </row>
    <row r="99" ht="12.0" customHeight="1">
      <c r="I99" s="84" t="str">
        <f>IFERROR(__xludf.DUMMYFUNCTION("""COMPUTED_VALUE"""),"MARIA GUADALUPE CRISTINA CASTELLON DUEÑAS")</f>
        <v>MARIA GUADALUPE CRISTINA CASTELLON DUEÑAS</v>
      </c>
    </row>
    <row r="100" ht="12.0" customHeight="1">
      <c r="I100" s="84" t="str">
        <f>IFERROR(__xludf.DUMMYFUNCTION("""COMPUTED_VALUE"""),"MARIO ALEJANDRO VALDIVIESO BERNAL")</f>
        <v>MARIO ALEJANDRO VALDIVIESO BERNAL</v>
      </c>
    </row>
    <row r="101" ht="12.0" customHeight="1">
      <c r="I101" s="84" t="str">
        <f>IFERROR(__xludf.DUMMYFUNCTION("""COMPUTED_VALUE"""),"MAYRA ALEJANDRA BALDERAS FONSECA")</f>
        <v>MAYRA ALEJANDRA BALDERAS FONSECA</v>
      </c>
    </row>
    <row r="102" ht="12.0" customHeight="1">
      <c r="I102" s="84" t="str">
        <f>IFERROR(__xludf.DUMMYFUNCTION("""COMPUTED_VALUE"""),"MELISSA GUADALUPE ROMERO GARCIA")</f>
        <v>MELISSA GUADALUPE ROMERO GARCIA</v>
      </c>
    </row>
    <row r="103" ht="12.0" customHeight="1">
      <c r="I103" s="84" t="str">
        <f>IFERROR(__xludf.DUMMYFUNCTION("""COMPUTED_VALUE"""),"MERCEDES DE LA TORRE FUENTES")</f>
        <v>MERCEDES DE LA TORRE FUENTES</v>
      </c>
    </row>
    <row r="104" ht="12.0" customHeight="1">
      <c r="I104" s="84" t="str">
        <f>IFERROR(__xludf.DUMMYFUNCTION("""COMPUTED_VALUE"""),"MERCEDES DE LA TORRE FUENTES")</f>
        <v>MERCEDES DE LA TORRE FUENTES</v>
      </c>
    </row>
    <row r="105" ht="12.0" customHeight="1">
      <c r="I105" s="84" t="str">
        <f>IFERROR(__xludf.DUMMYFUNCTION("""COMPUTED_VALUE"""),"OCTAVIO MOISES SALDAÑA LOPEZ")</f>
        <v>OCTAVIO MOISES SALDAÑA LOPEZ</v>
      </c>
    </row>
    <row r="106" ht="12.0" customHeight="1">
      <c r="I106" s="84" t="str">
        <f>IFERROR(__xludf.DUMMYFUNCTION("""COMPUTED_VALUE"""),"OMAR RAUL UREÑA CASILLAS")</f>
        <v>OMAR RAUL UREÑA CASILLAS</v>
      </c>
    </row>
    <row r="107" ht="12.0" customHeight="1">
      <c r="I107" s="84" t="str">
        <f>IFERROR(__xludf.DUMMYFUNCTION("""COMPUTED_VALUE"""),"OMAR RAUL UREÑA CASILLAS")</f>
        <v>OMAR RAUL UREÑA CASILLAS</v>
      </c>
    </row>
    <row r="108" ht="12.0" customHeight="1">
      <c r="I108" s="84" t="str">
        <f>IFERROR(__xludf.DUMMYFUNCTION("""COMPUTED_VALUE"""),"ORLANDA JIMENA CERVANTES NUÑEZ")</f>
        <v>ORLANDA JIMENA CERVANTES NUÑEZ</v>
      </c>
    </row>
    <row r="109" ht="12.0" customHeight="1">
      <c r="I109" s="84" t="str">
        <f>IFERROR(__xludf.DUMMYFUNCTION("""COMPUTED_VALUE"""),"OSCAR ARTURO CORREA SOTO")</f>
        <v>OSCAR ARTURO CORREA SOTO</v>
      </c>
    </row>
    <row r="110" ht="12.0" customHeight="1">
      <c r="I110" s="84" t="str">
        <f>IFERROR(__xludf.DUMMYFUNCTION("""COMPUTED_VALUE"""),"OSWALDO NATAEL BAÑUELOS MONTERO")</f>
        <v>OSWALDO NATAEL BAÑUELOS MONTERO</v>
      </c>
    </row>
    <row r="111" ht="12.0" customHeight="1">
      <c r="I111" s="84" t="str">
        <f>IFERROR(__xludf.DUMMYFUNCTION("""COMPUTED_VALUE"""),"PAOLA MONTSERRAT DE LA TORRE IRIGOYEN")</f>
        <v>PAOLA MONTSERRAT DE LA TORRE IRIGOYEN</v>
      </c>
    </row>
    <row r="112" ht="12.0" customHeight="1">
      <c r="I112" s="84" t="str">
        <f>IFERROR(__xludf.DUMMYFUNCTION("""COMPUTED_VALUE"""),"PAOLA RAMOS REYNOSO")</f>
        <v>PAOLA RAMOS REYNOSO</v>
      </c>
    </row>
    <row r="113" ht="12.0" customHeight="1">
      <c r="I113" s="84" t="str">
        <f>IFERROR(__xludf.DUMMYFUNCTION("""COMPUTED_VALUE"""),"RAFAEL CONTRERAS ALVAREZ")</f>
        <v>RAFAEL CONTRERAS ALVAREZ</v>
      </c>
    </row>
    <row r="114" ht="12.0" customHeight="1">
      <c r="I114" s="84" t="str">
        <f>IFERROR(__xludf.DUMMYFUNCTION("""COMPUTED_VALUE"""),"RAFAEL DE JESUS CONTRERAS RIOS")</f>
        <v>RAFAEL DE JESUS CONTRERAS RIOS</v>
      </c>
    </row>
    <row r="115" ht="12.0" customHeight="1">
      <c r="I115" s="84" t="str">
        <f>IFERROR(__xludf.DUMMYFUNCTION("""COMPUTED_VALUE"""),"RAFAEL GUADALUPE AREVALO CONTRERAS")</f>
        <v>RAFAEL GUADALUPE AREVALO CONTRERAS</v>
      </c>
    </row>
    <row r="116" ht="12.0" customHeight="1">
      <c r="I116" s="84" t="str">
        <f>IFERROR(__xludf.DUMMYFUNCTION("""COMPUTED_VALUE"""),"RAUL ARIAS GARCIA")</f>
        <v>RAUL ARIAS GARCIA</v>
      </c>
    </row>
    <row r="117" ht="12.0" customHeight="1">
      <c r="I117" s="84" t="str">
        <f>IFERROR(__xludf.DUMMYFUNCTION("""COMPUTED_VALUE"""),"RAUL UREÑA GUZMAN")</f>
        <v>RAUL UREÑA GUZMAN</v>
      </c>
    </row>
    <row r="118" ht="12.0" customHeight="1">
      <c r="I118" s="84" t="str">
        <f>IFERROR(__xludf.DUMMYFUNCTION("""COMPUTED_VALUE"""),"RICARDO GONZALEZ ARECHIGA")</f>
        <v>RICARDO GONZALEZ ARECHIGA</v>
      </c>
    </row>
    <row r="119" ht="12.0" customHeight="1">
      <c r="I119" s="84" t="str">
        <f>IFERROR(__xludf.DUMMYFUNCTION("""COMPUTED_VALUE"""),"SALOME GAMEZ FRIAS")</f>
        <v>SALOME GAMEZ FRIAS</v>
      </c>
    </row>
    <row r="120" ht="12.0" customHeight="1">
      <c r="I120" s="84" t="str">
        <f>IFERROR(__xludf.DUMMYFUNCTION("""COMPUTED_VALUE"""),"SANDRA LISSET TORRES HERNANDEZ")</f>
        <v>SANDRA LISSET TORRES HERNANDEZ</v>
      </c>
    </row>
    <row r="121" ht="12.0" customHeight="1">
      <c r="I121" s="84" t="str">
        <f>IFERROR(__xludf.DUMMYFUNCTION("""COMPUTED_VALUE"""),"SARAHI PAULINA OROZCO MARTINEZ")</f>
        <v>SARAHI PAULINA OROZCO MARTINEZ</v>
      </c>
    </row>
    <row r="122" ht="12.0" customHeight="1">
      <c r="I122" s="84" t="str">
        <f>IFERROR(__xludf.DUMMYFUNCTION("""COMPUTED_VALUE"""),"SEBASTIANA GUADALUPE GONZALEZ LIZARRAGA")</f>
        <v>SEBASTIANA GUADALUPE GONZALEZ LIZARRAGA</v>
      </c>
    </row>
    <row r="123" ht="12.0" customHeight="1">
      <c r="I123" s="84" t="str">
        <f>IFERROR(__xludf.DUMMYFUNCTION("""COMPUTED_VALUE"""),"SUSANA RODRIGUEZ REYES")</f>
        <v>SUSANA RODRIGUEZ REYES</v>
      </c>
    </row>
    <row r="124" ht="12.0" customHeight="1">
      <c r="I124" s="84" t="str">
        <f>IFERROR(__xludf.DUMMYFUNCTION("""COMPUTED_VALUE"""),"SUSANA RODRIGUEZ REYES")</f>
        <v>SUSANA RODRIGUEZ REYES</v>
      </c>
    </row>
    <row r="125" ht="12.0" customHeight="1">
      <c r="I125" s="84" t="str">
        <f>IFERROR(__xludf.DUMMYFUNCTION("""COMPUTED_VALUE"""),"TZEITEL PAMELA GUARDIAN AVELAR")</f>
        <v>TZEITEL PAMELA GUARDIAN AVELAR</v>
      </c>
    </row>
    <row r="126" ht="12.0" customHeight="1">
      <c r="I126" s="84" t="str">
        <f>IFERROR(__xludf.DUMMYFUNCTION("""COMPUTED_VALUE"""),"VALERIA JANETH SANCHEZ MUÑOZ")</f>
        <v>VALERIA JANETH SANCHEZ MUÑOZ</v>
      </c>
    </row>
    <row r="127" ht="12.0" customHeight="1">
      <c r="I127" s="84" t="str">
        <f>IFERROR(__xludf.DUMMYFUNCTION("""COMPUTED_VALUE"""),"VICTOR GALLEGOS MARTINEZ")</f>
        <v>VICTOR GALLEGOS MARTINEZ</v>
      </c>
    </row>
    <row r="128" ht="12.0" customHeight="1">
      <c r="I128" s="84" t="str">
        <f>IFERROR(__xludf.DUMMYFUNCTION("""COMPUTED_VALUE"""),"VICTOR GALLEGOS MARTINEZ")</f>
        <v>VICTOR GALLEGOS MARTINEZ</v>
      </c>
    </row>
    <row r="129" ht="12.0" customHeight="1">
      <c r="I129" s="84" t="str">
        <f>IFERROR(__xludf.DUMMYFUNCTION("""COMPUTED_VALUE"""),"VICTORIA MAGDALENA LEON BERTINE")</f>
        <v>VICTORIA MAGDALENA LEON BERTINE</v>
      </c>
    </row>
    <row r="130" ht="12.0" customHeight="1">
      <c r="I130" s="84" t="str">
        <f>IFERROR(__xludf.DUMMYFUNCTION("""COMPUTED_VALUE"""),"VIVIANA CONTRERAS RIOS")</f>
        <v>VIVIANA CONTRERAS RIOS</v>
      </c>
    </row>
    <row r="131" ht="12.0" customHeight="1">
      <c r="I131" s="84" t="str">
        <f>IFERROR(__xludf.DUMMYFUNCTION("""COMPUTED_VALUE"""),"RODRIGO GONZALEZ GONZALEZ")</f>
        <v>RODRIGO GONZALEZ GONZALEZ</v>
      </c>
    </row>
    <row r="132" ht="12.0" customHeight="1">
      <c r="I132" s="84" t="str">
        <f>IFERROR(__xludf.DUMMYFUNCTION("""COMPUTED_VALUE"""),"GIBRAN ARELLANO CORNEJO")</f>
        <v>GIBRAN ARELLANO CORNEJO</v>
      </c>
    </row>
    <row r="133" ht="12.0" customHeight="1">
      <c r="I133" s="84" t="str">
        <f>IFERROR(__xludf.DUMMYFUNCTION("""COMPUTED_VALUE"""),"RAFAEL DE JESUS CONTRERAS RIOS")</f>
        <v>RAFAEL DE JESUS CONTRERAS RIOS</v>
      </c>
    </row>
    <row r="134" ht="12.0" customHeight="1">
      <c r="I134" s="84" t="str">
        <f>IFERROR(__xludf.DUMMYFUNCTION("""COMPUTED_VALUE"""),"JUAN JOSE GUZMAN MACIAS")</f>
        <v>JUAN JOSE GUZMAN MACIAS</v>
      </c>
    </row>
    <row r="135" ht="12.0" customHeight="1">
      <c r="I135" s="84" t="str">
        <f>IFERROR(__xludf.DUMMYFUNCTION("""COMPUTED_VALUE"""),"VALERIA SANTACRUZ TABARES")</f>
        <v>VALERIA SANTACRUZ TABARES</v>
      </c>
    </row>
    <row r="136" ht="12.0" customHeight="1">
      <c r="I136" s="84" t="str">
        <f>IFERROR(__xludf.DUMMYFUNCTION("""COMPUTED_VALUE"""),"CARLOS AURELIO NAVA NERI")</f>
        <v>CARLOS AURELIO NAVA NERI</v>
      </c>
    </row>
    <row r="137" ht="12.0" customHeight="1">
      <c r="I137" s="84" t="str">
        <f>IFERROR(__xludf.DUMMYFUNCTION("""COMPUTED_VALUE"""),"JENNIFER DAYANA CHAVEZ GUTIERREZ")</f>
        <v>JENNIFER DAYANA CHAVEZ GUTIERREZ</v>
      </c>
    </row>
    <row r="138" ht="12.0" customHeight="1">
      <c r="I138" s="84" t="str">
        <f>IFERROR(__xludf.DUMMYFUNCTION("""COMPUTED_VALUE"""),"MICHELLE BOY ESPINOSA")</f>
        <v>MICHELLE BOY ESPINOSA</v>
      </c>
    </row>
    <row r="139" ht="12.0" customHeight="1">
      <c r="I139" s="84" t="str">
        <f>IFERROR(__xludf.DUMMYFUNCTION("""COMPUTED_VALUE"""),"NORA MARIEL SOLANO GUTIERREZ")</f>
        <v>NORA MARIEL SOLANO GUTIERREZ</v>
      </c>
    </row>
    <row r="140" ht="12.0" customHeight="1">
      <c r="I140" s="84" t="str">
        <f>IFERROR(__xludf.DUMMYFUNCTION("""COMPUTED_VALUE"""),"EDGAR EDUARDO MAGAÑA MAGAÑA")</f>
        <v>EDGAR EDUARDO MAGAÑA MAGAÑA</v>
      </c>
    </row>
    <row r="141" ht="12.0" customHeight="1">
      <c r="I141" s="84" t="str">
        <f>IFERROR(__xludf.DUMMYFUNCTION("""COMPUTED_VALUE"""),"MONSERRAT ROMO ESQUEDA")</f>
        <v>MONSERRAT ROMO ESQUEDA</v>
      </c>
    </row>
    <row r="142" ht="12.0" customHeight="1">
      <c r="I142" s="84" t="str">
        <f>IFERROR(__xludf.DUMMYFUNCTION("""COMPUTED_VALUE"""),"RAFAEL CONTRERAS ALVAREZ")</f>
        <v>RAFAEL CONTRERAS ALVAREZ</v>
      </c>
    </row>
    <row r="143" ht="12.0" customHeight="1">
      <c r="I143" s="84" t="str">
        <f>IFERROR(__xludf.DUMMYFUNCTION("""COMPUTED_VALUE"""),"CLAUDIA FELIPA MACIEL NAVA")</f>
        <v>CLAUDIA FELIPA MACIEL NAVA</v>
      </c>
    </row>
    <row r="144" ht="12.0" customHeight="1">
      <c r="I144" s="84" t="str">
        <f>IFERROR(__xludf.DUMMYFUNCTION("""COMPUTED_VALUE"""),"LIBRA CASTALIA RAMIREZ MUÑOZ")</f>
        <v>LIBRA CASTALIA RAMIREZ MUÑOZ</v>
      </c>
    </row>
    <row r="145" ht="12.0" customHeight="1">
      <c r="I145" s="84" t="str">
        <f>IFERROR(__xludf.DUMMYFUNCTION("""COMPUTED_VALUE"""),"DIANA MONTSERRAT FLORES VERA")</f>
        <v>DIANA MONTSERRAT FLORES VERA</v>
      </c>
    </row>
    <row r="146" ht="12.0" customHeight="1">
      <c r="I146" s="84" t="str">
        <f>IFERROR(__xludf.DUMMYFUNCTION("""COMPUTED_VALUE"""),"JOSE DANIEL FLORES ARELLANO")</f>
        <v>JOSE DANIEL FLORES ARELLANO</v>
      </c>
    </row>
    <row r="147" ht="12.0" customHeight="1">
      <c r="I147" s="84" t="str">
        <f>IFERROR(__xludf.DUMMYFUNCTION("""COMPUTED_VALUE"""),"KARLA GABRIELA GARIBAY MORAN")</f>
        <v>KARLA GABRIELA GARIBAY MORAN</v>
      </c>
    </row>
    <row r="148" ht="12.0" customHeight="1">
      <c r="I148" s="84" t="str">
        <f>IFERROR(__xludf.DUMMYFUNCTION("""COMPUTED_VALUE"""),"JOSE ANTONIO LINAGE GARZA")</f>
        <v>JOSE ANTONIO LINAGE GARZA</v>
      </c>
    </row>
    <row r="149" ht="12.0" customHeight="1">
      <c r="I149" s="84" t="str">
        <f>IFERROR(__xludf.DUMMYFUNCTION("""COMPUTED_VALUE"""),"DANIELA LIZETTE LOPEZ LLAMAS")</f>
        <v>DANIELA LIZETTE LOPEZ LLAMAS</v>
      </c>
    </row>
    <row r="150" ht="12.0" customHeight="1">
      <c r="I150" s="84" t="str">
        <f>IFERROR(__xludf.DUMMYFUNCTION("""COMPUTED_VALUE"""),"ALEJANDRO ACOSTA OLIVAREZ")</f>
        <v>ALEJANDRO ACOSTA OLIVAREZ</v>
      </c>
    </row>
    <row r="151" ht="12.0" customHeight="1">
      <c r="I151" s="84" t="str">
        <f>IFERROR(__xludf.DUMMYFUNCTION("""COMPUTED_VALUE"""),"JOSE GUADALUPE MARIN LOPEZ")</f>
        <v>JOSE GUADALUPE MARIN LOPEZ</v>
      </c>
    </row>
    <row r="152" ht="12.0" customHeight="1">
      <c r="I152" s="84" t="str">
        <f>IFERROR(__xludf.DUMMYFUNCTION("""COMPUTED_VALUE"""),"GABRIEL ARMANDO VALLE VIVAR")</f>
        <v>GABRIEL ARMANDO VALLE VIVAR</v>
      </c>
    </row>
    <row r="153" ht="12.0" customHeight="1">
      <c r="I153" s="84" t="str">
        <f>IFERROR(__xludf.DUMMYFUNCTION("""COMPUTED_VALUE"""),"JESUS ARNOLDO BERRELLEZA PLASCENCIA")</f>
        <v>JESUS ARNOLDO BERRELLEZA PLASCENCIA</v>
      </c>
    </row>
    <row r="154" ht="12.0" customHeight="1">
      <c r="I154" s="84" t="str">
        <f>IFERROR(__xludf.DUMMYFUNCTION("""COMPUTED_VALUE"""),"FRIDA ZULEIKA RUIZ HERNANDEZ")</f>
        <v>FRIDA ZULEIKA RUIZ HERNANDEZ</v>
      </c>
    </row>
    <row r="155" ht="12.0" customHeight="1">
      <c r="I155" s="84" t="str">
        <f>IFERROR(__xludf.DUMMYFUNCTION("""COMPUTED_VALUE"""),"ANA KAREN GARCIA URIBE")</f>
        <v>ANA KAREN GARCIA URIBE</v>
      </c>
    </row>
    <row r="156" ht="12.0" customHeight="1">
      <c r="I156" s="84" t="str">
        <f>IFERROR(__xludf.DUMMYFUNCTION("""COMPUTED_VALUE"""),"SOPHIA PIERRE MONROY")</f>
        <v>SOPHIA PIERRE MONROY</v>
      </c>
    </row>
    <row r="157" ht="12.0" customHeight="1">
      <c r="I157" s="84" t="str">
        <f>IFERROR(__xludf.DUMMYFUNCTION("""COMPUTED_VALUE"""),"GUSTAVO CORDERO HERNANDEZ")</f>
        <v>GUSTAVO CORDERO HERNANDEZ</v>
      </c>
    </row>
    <row r="158" ht="12.0" customHeight="1">
      <c r="I158" s="84" t="str">
        <f>IFERROR(__xludf.DUMMYFUNCTION("""COMPUTED_VALUE"""),"MARIA FERNANDA SOLANO JIMENEZ
")</f>
        <v>MARIA FERNANDA SOLANO JIMENEZ
</v>
      </c>
    </row>
    <row r="159" ht="12.0" customHeight="1">
      <c r="I159" s="84" t="str">
        <f>IFERROR(__xludf.DUMMYFUNCTION("""COMPUTED_VALUE"""),"CARLOS ADRIAN CASTRO SEVILLA")</f>
        <v>CARLOS ADRIAN CASTRO SEVILLA</v>
      </c>
    </row>
    <row r="160" ht="12.0" customHeight="1">
      <c r="I160" s="84" t="str">
        <f>IFERROR(__xludf.DUMMYFUNCTION("""COMPUTED_VALUE"""),"ARMANDO JONATHAN DE LA CRUZ DIAZ")</f>
        <v>ARMANDO JONATHAN DE LA CRUZ DIAZ</v>
      </c>
    </row>
    <row r="161" ht="12.0" customHeight="1">
      <c r="I161" s="84" t="str">
        <f>IFERROR(__xludf.DUMMYFUNCTION("""COMPUTED_VALUE"""),"BERNARDO GARCIA GOMEZ")</f>
        <v>BERNARDO GARCIA GOMEZ</v>
      </c>
    </row>
    <row r="162" ht="12.0" customHeight="1">
      <c r="I162" s="84" t="str">
        <f>IFERROR(__xludf.DUMMYFUNCTION("""COMPUTED_VALUE"""),"JACQUELINE MERAZ RUIZ")</f>
        <v>JACQUELINE MERAZ RUIZ</v>
      </c>
    </row>
    <row r="163" ht="12.0" customHeight="1">
      <c r="I163" s="84" t="str">
        <f>IFERROR(__xludf.DUMMYFUNCTION("""COMPUTED_VALUE"""),"CYNTHIA JANNET PARRA FLORES (JORDAN)")</f>
        <v>CYNTHIA JANNET PARRA FLORES (JORDAN)</v>
      </c>
    </row>
    <row r="164" ht="12.0" customHeight="1">
      <c r="I164" s="84" t="str">
        <f>IFERROR(__xludf.DUMMYFUNCTION("""COMPUTED_VALUE"""),"SAUL RIOS GALVAN")</f>
        <v>SAUL RIOS GALVAN</v>
      </c>
    </row>
    <row r="165" ht="12.0" customHeight="1">
      <c r="I165" s="84" t="str">
        <f>IFERROR(__xludf.DUMMYFUNCTION("""COMPUTED_VALUE"""),"OSCAR LARA SILVA")</f>
        <v>OSCAR LARA SILVA</v>
      </c>
    </row>
    <row r="166" ht="12.0" customHeight="1">
      <c r="I166" s="84" t="str">
        <f>IFERROR(__xludf.DUMMYFUNCTION("""COMPUTED_VALUE"""),"RODOLFO IVAN MEJIA TRUJILLO")</f>
        <v>RODOLFO IVAN MEJIA TRUJILLO</v>
      </c>
    </row>
    <row r="167" ht="12.0" customHeight="1">
      <c r="I167" s="84" t="str">
        <f>IFERROR(__xludf.DUMMYFUNCTION("""COMPUTED_VALUE"""),"RODOLFO IVAN MEJIA TRUJILLO")</f>
        <v>RODOLFO IVAN MEJIA TRUJILLO</v>
      </c>
    </row>
    <row r="168" ht="12.0" customHeight="1">
      <c r="I168" s="84" t="str">
        <f>IFERROR(__xludf.DUMMYFUNCTION("""COMPUTED_VALUE"""),"SILVIA ANALI PEREZ ALDRETE")</f>
        <v>SILVIA ANALI PEREZ ALDRETE</v>
      </c>
    </row>
    <row r="169" ht="12.0" customHeight="1">
      <c r="I169" s="84" t="str">
        <f>IFERROR(__xludf.DUMMYFUNCTION("""COMPUTED_VALUE"""),"SILVIA ANALI PEREZ ALDRETE")</f>
        <v>SILVIA ANALI PEREZ ALDRETE</v>
      </c>
    </row>
    <row r="170" ht="12.0" customHeight="1">
      <c r="I170" s="84" t="str">
        <f>IFERROR(__xludf.DUMMYFUNCTION("""COMPUTED_VALUE"""),"DANIELA ALEJANDRA CALVA GARCIA")</f>
        <v>DANIELA ALEJANDRA CALVA GARCIA</v>
      </c>
    </row>
    <row r="171" ht="12.0" customHeight="1">
      <c r="I171" s="84" t="str">
        <f>IFERROR(__xludf.DUMMYFUNCTION("""COMPUTED_VALUE"""),"JOB GUERRERO GONZALEZ")</f>
        <v>JOB GUERRERO GONZALEZ</v>
      </c>
    </row>
    <row r="172" ht="12.0" customHeight="1">
      <c r="I172" s="84" t="str">
        <f>IFERROR(__xludf.DUMMYFUNCTION("""COMPUTED_VALUE"""),"MARIO ALBERTO GONZALEZ ARIAS ")</f>
        <v>MARIO ALBERTO GONZALEZ ARIAS </v>
      </c>
    </row>
    <row r="173" ht="12.0" customHeight="1">
      <c r="I173" s="84" t="str">
        <f>IFERROR(__xludf.DUMMYFUNCTION("""COMPUTED_VALUE"""),"KEVIN ONEAL SALCEDO GARCES")</f>
        <v>KEVIN ONEAL SALCEDO GARCES</v>
      </c>
    </row>
    <row r="174" ht="12.0" customHeight="1">
      <c r="I174" s="84" t="str">
        <f>IFERROR(__xludf.DUMMYFUNCTION("""COMPUTED_VALUE"""),"ABIZABETH GARCIA CEJA")</f>
        <v>ABIZABETH GARCIA CEJA</v>
      </c>
    </row>
    <row r="175" ht="12.0" customHeight="1">
      <c r="I175" s="84" t="str">
        <f>IFERROR(__xludf.DUMMYFUNCTION("""COMPUTED_VALUE"""),"LILIANA VERONICA RAMIREZ ROSALES")</f>
        <v>LILIANA VERONICA RAMIREZ ROSALES</v>
      </c>
    </row>
    <row r="176" ht="12.0" customHeight="1">
      <c r="I176" s="84" t="str">
        <f>IFERROR(__xludf.DUMMYFUNCTION("""COMPUTED_VALUE"""),"LILIANA VERONICA RAMIREZ ROSALES")</f>
        <v>LILIANA VERONICA RAMIREZ ROSALES</v>
      </c>
    </row>
    <row r="177" ht="12.0" customHeight="1">
      <c r="I177" s="84" t="str">
        <f>IFERROR(__xludf.DUMMYFUNCTION("""COMPUTED_VALUE"""),"MARTHA ILIANA POLANCO GUZMAN")</f>
        <v>MARTHA ILIANA POLANCO GUZMAN</v>
      </c>
    </row>
    <row r="178" ht="12.0" customHeight="1">
      <c r="I178" s="84" t="str">
        <f>IFERROR(__xludf.DUMMYFUNCTION("""COMPUTED_VALUE"""),"SANDRA ISABEL MACIAS AYON")</f>
        <v>SANDRA ISABEL MACIAS AYON</v>
      </c>
    </row>
    <row r="179" ht="12.0" customHeight="1">
      <c r="I179" s="84" t="str">
        <f>IFERROR(__xludf.DUMMYFUNCTION("""COMPUTED_VALUE"""),"ODALIS ANAHI MACIAS AYON")</f>
        <v>ODALIS ANAHI MACIAS AYON</v>
      </c>
    </row>
    <row r="180" ht="12.0" customHeight="1">
      <c r="I180" s="84" t="str">
        <f>IFERROR(__xludf.DUMMYFUNCTION("""COMPUTED_VALUE"""),"PRISCILA ZUSETH RODRIGUEZ MARQUEZ")</f>
        <v>PRISCILA ZUSETH RODRIGUEZ MARQUEZ</v>
      </c>
    </row>
    <row r="181" ht="12.0" customHeight="1">
      <c r="I181" s="84" t="str">
        <f>IFERROR(__xludf.DUMMYFUNCTION("""COMPUTED_VALUE"""),"JULIETA BEATRIZMONTAÑO MARTINEZ")</f>
        <v>JULIETA BEATRIZMONTAÑO MARTINEZ</v>
      </c>
    </row>
    <row r="182" ht="12.0" customHeight="1">
      <c r="I182" s="84" t="str">
        <f>IFERROR(__xludf.DUMMYFUNCTION("""COMPUTED_VALUE"""),"ESMERALDA GARCIA BETANCOURT")</f>
        <v>ESMERALDA GARCIA BETANCOURT</v>
      </c>
    </row>
    <row r="183" ht="12.0" customHeight="1">
      <c r="I183" s="84" t="str">
        <f>IFERROR(__xludf.DUMMYFUNCTION("""COMPUTED_VALUE"""),"ESMERALDA GARCIA BETANCOURT")</f>
        <v>ESMERALDA GARCIA BETANCOURT</v>
      </c>
    </row>
    <row r="184" ht="12.0" customHeight="1">
      <c r="I184" s="84" t="str">
        <f>IFERROR(__xludf.DUMMYFUNCTION("""COMPUTED_VALUE"""),"ERIKA VALENTINA DIAZ MENDEZ
")</f>
        <v>ERIKA VALENTINA DIAZ MENDEZ
</v>
      </c>
    </row>
    <row r="185" ht="12.0" customHeight="1">
      <c r="I185" s="84" t="str">
        <f>IFERROR(__xludf.DUMMYFUNCTION("""COMPUTED_VALUE"""),"MICHELLE GARCIA CHAVEZ")</f>
        <v>MICHELLE GARCIA CHAVEZ</v>
      </c>
    </row>
    <row r="186" ht="12.0" customHeight="1">
      <c r="I186" s="84" t="str">
        <f>IFERROR(__xludf.DUMMYFUNCTION("""COMPUTED_VALUE"""),"LEONARDO CARDENAS ROMO (MONSERRAT ROMO)
")</f>
        <v>LEONARDO CARDENAS ROMO (MONSERRAT ROMO)
</v>
      </c>
    </row>
    <row r="187" ht="12.0" customHeight="1">
      <c r="I187" s="84" t="str">
        <f>IFERROR(__xludf.DUMMYFUNCTION("""COMPUTED_VALUE"""),"VENUS ELIZABETH SILVA SANTANA")</f>
        <v>VENUS ELIZABETH SILVA SANTANA</v>
      </c>
    </row>
    <row r="188" ht="12.0" customHeight="1">
      <c r="I188" s="84" t="str">
        <f>IFERROR(__xludf.DUMMYFUNCTION("""COMPUTED_VALUE"""),"GABRIELA ALEJANDRA GUZMAN NAVARRO")</f>
        <v>GABRIELA ALEJANDRA GUZMAN NAVARRO</v>
      </c>
    </row>
    <row r="189" ht="12.0" customHeight="1">
      <c r="I189" s="84" t="str">
        <f>IFERROR(__xludf.DUMMYFUNCTION("""COMPUTED_VALUE"""),"MARIANA GONZALEZ ARIAS")</f>
        <v>MARIANA GONZALEZ ARIAS</v>
      </c>
    </row>
    <row r="190" ht="12.0" customHeight="1">
      <c r="I190" s="84" t="str">
        <f>IFERROR(__xludf.DUMMYFUNCTION("""COMPUTED_VALUE"""),"ANTONIO CORDERO ROMERO")</f>
        <v>ANTONIO CORDERO ROMERO</v>
      </c>
    </row>
    <row r="191" ht="12.0" customHeight="1">
      <c r="I191" s="84" t="str">
        <f>IFERROR(__xludf.DUMMYFUNCTION("""COMPUTED_VALUE"""),"JESSICA ANDREA ORDOÑEZ DUARTE")</f>
        <v>JESSICA ANDREA ORDOÑEZ DUARTE</v>
      </c>
    </row>
    <row r="192" ht="12.0" customHeight="1">
      <c r="I192" s="84" t="str">
        <f>IFERROR(__xludf.DUMMYFUNCTION("""COMPUTED_VALUE"""),"CLAUDIA ALEJANDRA NAVARRO AGRAZ")</f>
        <v>CLAUDIA ALEJANDRA NAVARRO AGRAZ</v>
      </c>
    </row>
    <row r="193" ht="12.0" customHeight="1">
      <c r="I193" s="84" t="str">
        <f>IFERROR(__xludf.DUMMYFUNCTION("""COMPUTED_VALUE"""),"MARIANA SOFIA TORRES MENDOZA")</f>
        <v>MARIANA SOFIA TORRES MENDOZA</v>
      </c>
    </row>
    <row r="194" ht="12.0" customHeight="1">
      <c r="I194" s="84" t="str">
        <f>IFERROR(__xludf.DUMMYFUNCTION("""COMPUTED_VALUE"""),"PAOLA JUDITH RAMIREZ ROSALES")</f>
        <v>PAOLA JUDITH RAMIREZ ROSALES</v>
      </c>
    </row>
    <row r="195" ht="12.0" customHeight="1">
      <c r="I195" s="84" t="str">
        <f>IFERROR(__xludf.DUMMYFUNCTION("""COMPUTED_VALUE"""),"VERONICA FLORES VILLAVICENCIO- FRANCESCA DAIANA")</f>
        <v>VERONICA FLORES VILLAVICENCIO- FRANCESCA DAIANA</v>
      </c>
    </row>
    <row r="196" ht="12.0" customHeight="1">
      <c r="I196" s="84" t="str">
        <f>IFERROR(__xludf.DUMMYFUNCTION("""COMPUTED_VALUE"""),"MARIO HUMBERTO VILLANUEVA IBARRA")</f>
        <v>MARIO HUMBERTO VILLANUEVA IBARRA</v>
      </c>
    </row>
    <row r="197" ht="12.0" customHeight="1">
      <c r="I197" s="84" t="str">
        <f>IFERROR(__xludf.DUMMYFUNCTION("""COMPUTED_VALUE"""),"JENNIFER DAYANA CHAVEZ GUTIERREZ")</f>
        <v>JENNIFER DAYANA CHAVEZ GUTIERREZ</v>
      </c>
    </row>
    <row r="198" ht="12.0" customHeight="1">
      <c r="I198" s="84" t="str">
        <f>IFERROR(__xludf.DUMMYFUNCTION("""COMPUTED_VALUE"""),"LIZETTE GONZALEZ ARIAS
")</f>
        <v>LIZETTE GONZALEZ ARIAS
</v>
      </c>
    </row>
    <row r="199" ht="12.0" customHeight="1">
      <c r="I199" s="84" t="str">
        <f>IFERROR(__xludf.DUMMYFUNCTION("""COMPUTED_VALUE"""),"JESUS EMILIANO CONTRERAS RIOS")</f>
        <v>JESUS EMILIANO CONTRERAS RIOS</v>
      </c>
    </row>
    <row r="200" ht="12.0" customHeight="1">
      <c r="I200" s="84" t="str">
        <f>IFERROR(__xludf.DUMMYFUNCTION("""COMPUTED_VALUE"""),"RICARDO SOTELO CASILLS")</f>
        <v>RICARDO SOTELO CASILLS</v>
      </c>
    </row>
    <row r="201" ht="12.0" customHeight="1">
      <c r="I201" s="84" t="str">
        <f>IFERROR(__xludf.DUMMYFUNCTION("""COMPUTED_VALUE"""),"JORGE DE THOMAS MURILLO")</f>
        <v>JORGE DE THOMAS MURILLO</v>
      </c>
    </row>
    <row r="202" ht="12.0" customHeight="1">
      <c r="I202" s="84" t="str">
        <f>IFERROR(__xludf.DUMMYFUNCTION("""COMPUTED_VALUE"""),"VICTOR MANUEL ARANDA ROMO")</f>
        <v>VICTOR MANUEL ARANDA ROMO</v>
      </c>
    </row>
    <row r="203" ht="12.0" customHeight="1">
      <c r="I203" s="84" t="str">
        <f>IFERROR(__xludf.DUMMYFUNCTION("""COMPUTED_VALUE"""),"JUDITH PAOLA DIAZ LIZARRAGA")</f>
        <v>JUDITH PAOLA DIAZ LIZARRAGA</v>
      </c>
    </row>
    <row r="204" ht="12.0" customHeight="1">
      <c r="I204" s="84" t="str">
        <f>IFERROR(__xludf.DUMMYFUNCTION("""COMPUTED_VALUE"""),"EMMANUEL CONTRERAS RIOS")</f>
        <v>EMMANUEL CONTRERAS RIOS</v>
      </c>
    </row>
    <row r="205" ht="12.0" customHeight="1">
      <c r="I205" s="84" t="str">
        <f>IFERROR(__xludf.DUMMYFUNCTION("""COMPUTED_VALUE"""),"AUREA MARISOL MARTINEZ OSORNIO")</f>
        <v>AUREA MARISOL MARTINEZ OSORNIO</v>
      </c>
    </row>
    <row r="206" ht="12.0" customHeight="1">
      <c r="I206" s="84" t="str">
        <f>IFERROR(__xludf.DUMMYFUNCTION("""COMPUTED_VALUE"""),"AUREA MARISOL MARTINEZ OSORNIO")</f>
        <v>AUREA MARISOL MARTINEZ OSORNIO</v>
      </c>
    </row>
    <row r="207" ht="12.0" customHeight="1">
      <c r="I207" s="84" t="str">
        <f>IFERROR(__xludf.DUMMYFUNCTION("""COMPUTED_VALUE"""),"MARDICHA GUADALUPE ARAMBULA RODRIGUEZ")</f>
        <v>MARDICHA GUADALUPE ARAMBULA RODRIGUEZ</v>
      </c>
    </row>
    <row r="208" ht="12.0" customHeight="1">
      <c r="I208" s="84" t="str">
        <f>IFERROR(__xludf.DUMMYFUNCTION("""COMPUTED_VALUE"""),"MIGUEL ANGEL AGUILAR CHAVEZ")</f>
        <v>MIGUEL ANGEL AGUILAR CHAVEZ</v>
      </c>
    </row>
    <row r="209" ht="12.0" customHeight="1">
      <c r="I209" s="84" t="str">
        <f>IFERROR(__xludf.DUMMYFUNCTION("""COMPUTED_VALUE"""),"CESAR ALFREDO CERVANTES DEL VALLE")</f>
        <v>CESAR ALFREDO CERVANTES DEL VALLE</v>
      </c>
    </row>
    <row r="210" ht="12.0" customHeight="1">
      <c r="I210" s="84" t="str">
        <f>IFERROR(__xludf.DUMMYFUNCTION("""COMPUTED_VALUE"""),"ANYELA SANCHEZ GOMEZ")</f>
        <v>ANYELA SANCHEZ GOMEZ</v>
      </c>
    </row>
    <row r="211" ht="12.0" customHeight="1">
      <c r="I211" s="84" t="str">
        <f>IFERROR(__xludf.DUMMYFUNCTION("""COMPUTED_VALUE"""),"BLANCA CAROLINA MAGAÑA CASTELLON")</f>
        <v>BLANCA CAROLINA MAGAÑA CASTELLON</v>
      </c>
    </row>
    <row r="212" ht="12.0" customHeight="1">
      <c r="I212" s="84" t="str">
        <f>IFERROR(__xludf.DUMMYFUNCTION("""COMPUTED_VALUE"""),"CHRISTIAN JAIR QUEZADA IBARRA")</f>
        <v>CHRISTIAN JAIR QUEZADA IBARRA</v>
      </c>
    </row>
    <row r="213" ht="12.0" customHeight="1">
      <c r="I213" s="84" t="str">
        <f>IFERROR(__xludf.DUMMYFUNCTION("""COMPUTED_VALUE"""),"DEBANHI ESTEFANIA QUEZADA IBARRA")</f>
        <v>DEBANHI ESTEFANIA QUEZADA IBARRA</v>
      </c>
    </row>
    <row r="214" ht="12.0" customHeight="1">
      <c r="I214" s="84" t="str">
        <f>IFERROR(__xludf.DUMMYFUNCTION("""COMPUTED_VALUE"""),"MARTHA ESTELA IBARRA BORRAYO
")</f>
        <v>MARTHA ESTELA IBARRA BORRAYO
</v>
      </c>
    </row>
    <row r="215" ht="12.0" customHeight="1">
      <c r="I215" s="84" t="str">
        <f>IFERROR(__xludf.DUMMYFUNCTION("""COMPUTED_VALUE"""),"GERARDO ALBERTO QUEZADA GARCIA
")</f>
        <v>GERARDO ALBERTO QUEZADA GARCIA
</v>
      </c>
    </row>
    <row r="216" ht="12.0" customHeight="1">
      <c r="I216" s="84" t="str">
        <f>IFERROR(__xludf.DUMMYFUNCTION("""COMPUTED_VALUE"""),"RAFAEL DE JESUS CONTRERAS RIOS")</f>
        <v>RAFAEL DE JESUS CONTRERAS RIOS</v>
      </c>
    </row>
    <row r="217" ht="12.0" customHeight="1">
      <c r="I217" s="84" t="str">
        <f>IFERROR(__xludf.DUMMYFUNCTION("""COMPUTED_VALUE"""),"MARIA RAQUEL CONTRERAS ALVAREZ")</f>
        <v>MARIA RAQUEL CONTRERAS ALVAREZ</v>
      </c>
    </row>
    <row r="218" ht="12.0" customHeight="1">
      <c r="I218" s="84" t="str">
        <f>IFERROR(__xludf.DUMMYFUNCTION("""COMPUTED_VALUE"""),"DELIA CONTRERAS ALVAREZ")</f>
        <v>DELIA CONTRERAS ALVAREZ</v>
      </c>
    </row>
    <row r="219" ht="12.0" customHeight="1">
      <c r="I219" s="84" t="str">
        <f>IFERROR(__xludf.DUMMYFUNCTION("""COMPUTED_VALUE"""),"JULIO CESAR LOPEZ GOMEZ
")</f>
        <v>JULIO CESAR LOPEZ GOMEZ
</v>
      </c>
    </row>
    <row r="220" ht="12.0" customHeight="1">
      <c r="I220" s="84" t="str">
        <f>IFERROR(__xludf.DUMMYFUNCTION("""COMPUTED_VALUE"""),"EDGAR ADAN FRANQUEZ FLORES")</f>
        <v>EDGAR ADAN FRANQUEZ FLORES</v>
      </c>
    </row>
    <row r="221" ht="12.0" customHeight="1">
      <c r="I221" s="84" t="str">
        <f>IFERROR(__xludf.DUMMYFUNCTION("""COMPUTED_VALUE"""),"INDRA YATZIRI FRANQUEZ FLORES")</f>
        <v>INDRA YATZIRI FRANQUEZ FLORES</v>
      </c>
    </row>
    <row r="222" ht="12.0" customHeight="1">
      <c r="I222" s="84" t="str">
        <f>IFERROR(__xludf.DUMMYFUNCTION("""COMPUTED_VALUE"""),"FRANCISCO JAVIER MENDOZA FARIAS")</f>
        <v>FRANCISCO JAVIER MENDOZA FARIAS</v>
      </c>
    </row>
    <row r="223" ht="12.0" customHeight="1">
      <c r="I223" s="84" t="str">
        <f>IFERROR(__xludf.DUMMYFUNCTION("""COMPUTED_VALUE"""),"ANGEL GONZALEZ MARTIN")</f>
        <v>ANGEL GONZALEZ MARTIN</v>
      </c>
    </row>
    <row r="224" ht="12.0" customHeight="1">
      <c r="I224" s="84" t="str">
        <f>IFERROR(__xludf.DUMMYFUNCTION("""COMPUTED_VALUE"""),"ROBERTO LEONEL BARAJAS BANDA")</f>
        <v>ROBERTO LEONEL BARAJAS BANDA</v>
      </c>
    </row>
    <row r="225" ht="12.0" customHeight="1">
      <c r="I225" s="84" t="str">
        <f>IFERROR(__xludf.DUMMYFUNCTION("""COMPUTED_VALUE"""),"LUIS HECTOR RIOS GARCIA ")</f>
        <v>LUIS HECTOR RIOS GARCIA </v>
      </c>
    </row>
    <row r="226" ht="12.0" customHeight="1">
      <c r="I226" s="84" t="str">
        <f>IFERROR(__xludf.DUMMYFUNCTION("""COMPUTED_VALUE"""),"MIGUEL ANGEL JAUREGUI VILLASEÑOR")</f>
        <v>MIGUEL ANGEL JAUREGUI VILLASEÑOR</v>
      </c>
    </row>
    <row r="227" ht="12.0" customHeight="1">
      <c r="I227" s="84" t="str">
        <f>IFERROR(__xludf.DUMMYFUNCTION("""COMPUTED_VALUE"""),"PEDRO IVAN NAVARRO GONZALEZ")</f>
        <v>PEDRO IVAN NAVARRO GONZALEZ</v>
      </c>
    </row>
    <row r="228" ht="12.0" customHeight="1">
      <c r="I228" s="84" t="str">
        <f>IFERROR(__xludf.DUMMYFUNCTION("""COMPUTED_VALUE"""),"GEMA ITZEL LANDEROS CARRILLO")</f>
        <v>GEMA ITZEL LANDEROS CARRILLO</v>
      </c>
    </row>
    <row r="229" ht="12.0" customHeight="1">
      <c r="I229" s="84" t="str">
        <f>IFERROR(__xludf.DUMMYFUNCTION("""COMPUTED_VALUE"""),"SARAHI PAULINA OROZCO MARTINEZ")</f>
        <v>SARAHI PAULINA OROZCO MARTINEZ</v>
      </c>
    </row>
    <row r="230" ht="12.0" customHeight="1">
      <c r="I230" s="84" t="str">
        <f>IFERROR(__xludf.DUMMYFUNCTION("""COMPUTED_VALUE"""),"BETH SUA MONTEJANO CARMONA")</f>
        <v>BETH SUA MONTEJANO CARMONA</v>
      </c>
    </row>
    <row r="231" ht="12.0" customHeight="1">
      <c r="I231" s="84" t="str">
        <f>IFERROR(__xludf.DUMMYFUNCTION("""COMPUTED_VALUE"""),"KAREN DENISSE SEDA MUÑOZ")</f>
        <v>KAREN DENISSE SEDA MUÑOZ</v>
      </c>
    </row>
    <row r="232" ht="12.0" customHeight="1">
      <c r="I232" s="84" t="str">
        <f>IFERROR(__xludf.DUMMYFUNCTION("""COMPUTED_VALUE"""),"ABRAHAM YAEL ALVAREZ OBRIEN")</f>
        <v>ABRAHAM YAEL ALVAREZ OBRIEN</v>
      </c>
    </row>
    <row r="233" ht="12.0" customHeight="1">
      <c r="I233" s="84" t="str">
        <f>IFERROR(__xludf.DUMMYFUNCTION("""COMPUTED_VALUE"""),"ANDREA ABIGAIL ALVAREZ OBRIEN")</f>
        <v>ANDREA ABIGAIL ALVAREZ OBRIEN</v>
      </c>
    </row>
    <row r="234" ht="12.0" customHeight="1">
      <c r="I234" s="84" t="str">
        <f>IFERROR(__xludf.DUMMYFUNCTION("""COMPUTED_VALUE"""),"STEPHANIE MICHELLE GUERRA RODRIGUEZ")</f>
        <v>STEPHANIE MICHELLE GUERRA RODRIGUEZ</v>
      </c>
    </row>
    <row r="235" ht="12.0" customHeight="1">
      <c r="I235" s="84" t="str">
        <f>IFERROR(__xludf.DUMMYFUNCTION("""COMPUTED_VALUE"""),"DARINKA UREÑA CASILLAS")</f>
        <v>DARINKA UREÑA CASILLAS</v>
      </c>
    </row>
    <row r="236" ht="12.0" customHeight="1">
      <c r="I236" s="84" t="str">
        <f>IFERROR(__xludf.DUMMYFUNCTION("""COMPUTED_VALUE"""),"MARCO CESAR PRECIADO ALVAREZ")</f>
        <v>MARCO CESAR PRECIADO ALVAREZ</v>
      </c>
    </row>
    <row r="237" ht="12.0" customHeight="1">
      <c r="I237" s="84" t="str">
        <f>IFERROR(__xludf.DUMMYFUNCTION("""COMPUTED_VALUE"""),"MARIA SOLEDAD CONTRERAS ALVAREZ")</f>
        <v>MARIA SOLEDAD CONTRERAS ALVAREZ</v>
      </c>
    </row>
    <row r="238" ht="12.0" customHeight="1">
      <c r="I238" s="84" t="str">
        <f>IFERROR(__xludf.DUMMYFUNCTION("""COMPUTED_VALUE"""),"PAOLA MONTSERRAT DE LA TORRE IRIGOYEN")</f>
        <v>PAOLA MONTSERRAT DE LA TORRE IRIGOYEN</v>
      </c>
    </row>
    <row r="239" ht="12.0" customHeight="1">
      <c r="I239" s="84" t="str">
        <f>IFERROR(__xludf.DUMMYFUNCTION("""COMPUTED_VALUE"""),"MARIA SOLEDAD CONTRERAS ALVAREZ")</f>
        <v>MARIA SOLEDAD CONTRERAS ALVAREZ</v>
      </c>
    </row>
    <row r="240" ht="12.0" customHeight="1">
      <c r="I240" s="84" t="str">
        <f>IFERROR(__xludf.DUMMYFUNCTION("""COMPUTED_VALUE"""),"ADRIAN ALONSO CASTILLO GARCIA")</f>
        <v>ADRIAN ALONSO CASTILLO GARCIA</v>
      </c>
    </row>
    <row r="241" ht="12.0" customHeight="1">
      <c r="I241" s="84" t="str">
        <f>IFERROR(__xludf.DUMMYFUNCTION("""COMPUTED_VALUE"""),"DIANA MONTSERRAT FLORES VERA
")</f>
        <v>DIANA MONTSERRAT FLORES VERA
</v>
      </c>
    </row>
    <row r="242" ht="12.0" customHeight="1">
      <c r="I242" s="84" t="str">
        <f>IFERROR(__xludf.DUMMYFUNCTION("""COMPUTED_VALUE"""),"ALEJANDRO LOPEZ FLORES")</f>
        <v>ALEJANDRO LOPEZ FLORES</v>
      </c>
    </row>
    <row r="243" ht="12.0" customHeight="1">
      <c r="I243" s="84" t="str">
        <f>IFERROR(__xludf.DUMMYFUNCTION("""COMPUTED_VALUE"""),"LUIS ALBERTO LOZANO GONZALEZ
")</f>
        <v>LUIS ALBERTO LOZANO GONZALEZ
</v>
      </c>
    </row>
    <row r="244" ht="12.0" customHeight="1">
      <c r="I244" s="84" t="str">
        <f>IFERROR(__xludf.DUMMYFUNCTION("""COMPUTED_VALUE"""),"OMAR ALEJANDRO PALOMINO RUIZ
")</f>
        <v>OMAR ALEJANDRO PALOMINO RUIZ
</v>
      </c>
    </row>
    <row r="245" ht="12.0" customHeight="1">
      <c r="I245" s="84" t="str">
        <f>IFERROR(__xludf.DUMMYFUNCTION("""COMPUTED_VALUE"""),"DANIELA ALEJANDRA CALVA GARCIA
")</f>
        <v>DANIELA ALEJANDRA CALVA GARCIA
</v>
      </c>
    </row>
    <row r="246" ht="12.0" customHeight="1">
      <c r="I246" s="84" t="str">
        <f>IFERROR(__xludf.DUMMYFUNCTION("""COMPUTED_VALUE"""),"FRANCISCO ISRAEL RAMOS RENTERIA ")</f>
        <v>FRANCISCO ISRAEL RAMOS RENTERIA </v>
      </c>
    </row>
    <row r="247" ht="12.0" customHeight="1">
      <c r="I247" s="84" t="str">
        <f>IFERROR(__xludf.DUMMYFUNCTION("""COMPUTED_VALUE"""),"GUILLERMINA RENTERIA BRAMBILA")</f>
        <v>GUILLERMINA RENTERIA BRAMBILA</v>
      </c>
    </row>
    <row r="248" ht="12.0" customHeight="1">
      <c r="I248" s="84" t="str">
        <f>IFERROR(__xludf.DUMMYFUNCTION("""COMPUTED_VALUE"""),"MARIA PAULINA MELGAREJO GUILLEN")</f>
        <v>MARIA PAULINA MELGAREJO GUILLEN</v>
      </c>
    </row>
    <row r="249" ht="12.0" customHeight="1">
      <c r="I249" s="84" t="str">
        <f>IFERROR(__xludf.DUMMYFUNCTION("""COMPUTED_VALUE"""),"NAYELI DEL CARMEN GONZALEZ GARCIA")</f>
        <v>NAYELI DEL CARMEN GONZALEZ GARCIA</v>
      </c>
    </row>
    <row r="250" ht="12.0" customHeight="1">
      <c r="I250" s="84" t="str">
        <f>IFERROR(__xludf.DUMMYFUNCTION("""COMPUTED_VALUE"""),"MARIA FERNANDA SOLANO JIMENEZ
")</f>
        <v>MARIA FERNANDA SOLANO JIMENEZ
</v>
      </c>
    </row>
    <row r="251" ht="12.0" customHeight="1">
      <c r="I251" s="84" t="str">
        <f>IFERROR(__xludf.DUMMYFUNCTION("""COMPUTED_VALUE"""),"PASCUAL JAUREGUI MATA")</f>
        <v>PASCUAL JAUREGUI MATA</v>
      </c>
    </row>
    <row r="252" ht="12.0" customHeight="1">
      <c r="I252" s="84" t="str">
        <f>IFERROR(__xludf.DUMMYFUNCTION("""COMPUTED_VALUE"""),"ALEJANDRA UREÑA CASILLAS (JESSICA) ")</f>
        <v>ALEJANDRA UREÑA CASILLAS (JESSICA) </v>
      </c>
    </row>
    <row r="253" ht="12.0" customHeight="1">
      <c r="I253" s="84" t="str">
        <f>IFERROR(__xludf.DUMMYFUNCTION("""COMPUTED_VALUE"""),"PAOLA JUDITH RAMIREZ ROSALES")</f>
        <v>PAOLA JUDITH RAMIREZ ROSALES</v>
      </c>
    </row>
    <row r="254" ht="12.0" customHeight="1">
      <c r="I254" s="84" t="str">
        <f>IFERROR(__xludf.DUMMYFUNCTION("""COMPUTED_VALUE"""),"JULIO SANTIAGO AGUILERA ROMO")</f>
        <v>JULIO SANTIAGO AGUILERA ROMO</v>
      </c>
    </row>
    <row r="255" ht="12.0" customHeight="1">
      <c r="I255" s="84" t="str">
        <f>IFERROR(__xludf.DUMMYFUNCTION("""COMPUTED_VALUE"""),"MARIA FLORENTINA CONTRERAS SANTILLAN")</f>
        <v>MARIA FLORENTINA CONTRERAS SANTILLAN</v>
      </c>
    </row>
    <row r="256" ht="12.0" customHeight="1">
      <c r="I256" s="84" t="str">
        <f>IFERROR(__xludf.DUMMYFUNCTION("""COMPUTED_VALUE"""),"JUAN CARLOS CASILLAS GALINDO")</f>
        <v>JUAN CARLOS CASILLAS GALINDO</v>
      </c>
    </row>
    <row r="257" ht="12.0" customHeight="1">
      <c r="I257" s="84" t="str">
        <f>IFERROR(__xludf.DUMMYFUNCTION("""COMPUTED_VALUE"""),"FRANCISCO JAVIER PEREZ ANGUIANO")</f>
        <v>FRANCISCO JAVIER PEREZ ANGUIANO</v>
      </c>
    </row>
    <row r="258" ht="12.0" customHeight="1">
      <c r="I258" s="84" t="str">
        <f>IFERROR(__xludf.DUMMYFUNCTION("""COMPUTED_VALUE"""),"ALEJANDRA NAYELI GUZMAN SORIA")</f>
        <v>ALEJANDRA NAYELI GUZMAN SORIA</v>
      </c>
    </row>
    <row r="259" ht="12.0" customHeight="1">
      <c r="I259" s="84" t="str">
        <f>IFERROR(__xludf.DUMMYFUNCTION("""COMPUTED_VALUE"""),"FRANCISCO JAVIER PEREZ ANGUIANO")</f>
        <v>FRANCISCO JAVIER PEREZ ANGUIANO</v>
      </c>
    </row>
    <row r="260" ht="12.0" customHeight="1">
      <c r="I260" s="84" t="str">
        <f>IFERROR(__xludf.DUMMYFUNCTION("""COMPUTED_VALUE"""),"ALEJANDRO ACOSTA OLIVAREZ")</f>
        <v>ALEJANDRO ACOSTA OLIVAREZ</v>
      </c>
    </row>
    <row r="261" ht="12.0" customHeight="1">
      <c r="I261" s="84" t="str">
        <f>IFERROR(__xludf.DUMMYFUNCTION("""COMPUTED_VALUE"""),"RICARDO GONZALEZ ARECHIGA")</f>
        <v>RICARDO GONZALEZ ARECHIGA</v>
      </c>
    </row>
    <row r="262" ht="12.0" customHeight="1">
      <c r="I262" s="84" t="str">
        <f>IFERROR(__xludf.DUMMYFUNCTION("""COMPUTED_VALUE"""),"SILVIA ANALI PEREZ ALDRETE")</f>
        <v>SILVIA ANALI PEREZ ALDRETE</v>
      </c>
    </row>
    <row r="263" ht="12.0" customHeight="1">
      <c r="I263" s="84" t="str">
        <f>IFERROR(__xludf.DUMMYFUNCTION("""COMPUTED_VALUE"""),"JORGE FRANCISCO AREVALO CONTRERAS
")</f>
        <v>JORGE FRANCISCO AREVALO CONTRERAS
</v>
      </c>
    </row>
    <row r="264" ht="12.0" customHeight="1">
      <c r="I264" s="84" t="str">
        <f>IFERROR(__xludf.DUMMYFUNCTION("""COMPUTED_VALUE"""),"DANIELA GUADALUPE PEREGRINA GONZALEZ")</f>
        <v>DANIELA GUADALUPE PEREGRINA GONZALEZ</v>
      </c>
    </row>
    <row r="265" ht="12.0" customHeight="1">
      <c r="I265" s="84" t="str">
        <f>IFERROR(__xludf.DUMMYFUNCTION("""COMPUTED_VALUE"""),"LAURA GUADALUPE BECERRA GOMEZ")</f>
        <v>LAURA GUADALUPE BECERRA GOMEZ</v>
      </c>
    </row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2.75"/>
    <col customWidth="1" min="3" max="3" width="28.63"/>
    <col customWidth="1" min="7" max="7" width="13.0"/>
    <col customWidth="1" min="9" max="9" width="13.38"/>
    <col customWidth="1" min="10" max="10" width="13.0"/>
  </cols>
  <sheetData>
    <row r="2">
      <c r="A2" s="193" t="s">
        <v>1410</v>
      </c>
      <c r="B2" s="194" t="s">
        <v>1378</v>
      </c>
    </row>
    <row r="5">
      <c r="C5" s="195" t="s">
        <v>5</v>
      </c>
      <c r="D5" s="196" t="s">
        <v>6</v>
      </c>
      <c r="E5" s="197" t="s">
        <v>7</v>
      </c>
      <c r="F5" s="197" t="s">
        <v>8</v>
      </c>
      <c r="G5" s="196" t="s">
        <v>9</v>
      </c>
      <c r="H5" s="196" t="s">
        <v>10</v>
      </c>
      <c r="I5" s="196" t="s">
        <v>16</v>
      </c>
      <c r="J5" s="198" t="s">
        <v>1411</v>
      </c>
    </row>
    <row r="6">
      <c r="C6" s="84" t="str">
        <f>IFERROR(__xludf.DUMMYFUNCTION("FILTER('BD Asesor'!A8:F1000,'BD Asesor'!Q8:Q1000=B2,'BD Asesor'!C8:C1000=""Activo"")"),"ALEJANDRA DEL CARMEN UREÑA CASILLAS")</f>
        <v>ALEJANDRA DEL CARMEN UREÑA CASILLAS</v>
      </c>
      <c r="D6" s="84" t="str">
        <f>IFERROR(__xludf.DUMMYFUNCTION("""COMPUTED_VALUE"""),"M")</f>
        <v>M</v>
      </c>
      <c r="E6" s="84" t="str">
        <f>IFERROR(__xludf.DUMMYFUNCTION("""COMPUTED_VALUE"""),"Activo")</f>
        <v>Activo</v>
      </c>
      <c r="F6" s="199">
        <f>IFERROR(__xludf.DUMMYFUNCTION("""COMPUTED_VALUE"""),44008.0)</f>
        <v>44008</v>
      </c>
      <c r="G6" s="84" t="str">
        <f>IFERROR(__xludf.DUMMYFUNCTION("""COMPUTED_VALUE"""),"GM0000478411")</f>
        <v>GM0000478411</v>
      </c>
      <c r="H6" s="76">
        <f>IFERROR(__xludf.DUMMYFUNCTION("""COMPUTED_VALUE"""),10660.33)</f>
        <v>10660.33</v>
      </c>
      <c r="I6" s="84" t="str">
        <f>IFERROR(__xludf.DUMMYFUNCTION("FILTER('BD Asesor'!L8:M1000,'BD Asesor'!Q8:Q1000=B2,'BD Asesor'!C8:C1000=""Activo"")"),"Gastos Médicos ")</f>
        <v>Gastos Médicos </v>
      </c>
      <c r="J6" s="84" t="str">
        <f>IFERROR(__xludf.DUMMYFUNCTION("""COMPUTED_VALUE"""),"Integro")</f>
        <v>Integro</v>
      </c>
    </row>
    <row r="7">
      <c r="C7" s="84" t="str">
        <f>IFERROR(__xludf.DUMMYFUNCTION("""COMPUTED_VALUE"""),"CESAR ISRRAEL HERNANDEZ SANCHEZ")</f>
        <v>CESAR ISRRAEL HERNANDEZ SANCHEZ</v>
      </c>
      <c r="D7" s="84" t="str">
        <f>IFERROR(__xludf.DUMMYFUNCTION("""COMPUTED_VALUE"""),"H")</f>
        <v>H</v>
      </c>
      <c r="E7" s="84" t="str">
        <f>IFERROR(__xludf.DUMMYFUNCTION("""COMPUTED_VALUE"""),"Activo")</f>
        <v>Activo</v>
      </c>
      <c r="F7" s="199">
        <f>IFERROR(__xludf.DUMMYFUNCTION("""COMPUTED_VALUE"""),44728.0)</f>
        <v>44728</v>
      </c>
      <c r="G7" s="84" t="str">
        <f>IFERROR(__xludf.DUMMYFUNCTION("""COMPUTED_VALUE"""),"VI0002672529")</f>
        <v>VI0002672529</v>
      </c>
      <c r="H7" s="76">
        <f>IFERROR(__xludf.DUMMYFUNCTION("""COMPUTED_VALUE"""),94684.68359999999)</f>
        <v>94684.6836</v>
      </c>
      <c r="I7" s="84" t="str">
        <f>IFERROR(__xludf.DUMMYFUNCTION("""COMPUTED_VALUE"""),"Vida")</f>
        <v>Vida</v>
      </c>
      <c r="J7" s="84" t="str">
        <f>IFERROR(__xludf.DUMMYFUNCTION("""COMPUTED_VALUE"""),"Orvi")</f>
        <v>Orvi</v>
      </c>
    </row>
    <row r="8">
      <c r="C8" s="84" t="str">
        <f>IFERROR(__xludf.DUMMYFUNCTION("""COMPUTED_VALUE"""),"FRANCISCO JAVIER VALENCIA PRADO")</f>
        <v>FRANCISCO JAVIER VALENCIA PRADO</v>
      </c>
      <c r="D8" s="84" t="str">
        <f>IFERROR(__xludf.DUMMYFUNCTION("""COMPUTED_VALUE"""),"H")</f>
        <v>H</v>
      </c>
      <c r="E8" s="84" t="str">
        <f>IFERROR(__xludf.DUMMYFUNCTION("""COMPUTED_VALUE"""),"Activo")</f>
        <v>Activo</v>
      </c>
      <c r="F8" s="199">
        <f>IFERROR(__xludf.DUMMYFUNCTION("""COMPUTED_VALUE"""),44012.0)</f>
        <v>44012</v>
      </c>
      <c r="G8" s="84" t="str">
        <f>IFERROR(__xludf.DUMMYFUNCTION("""COMPUTED_VALUE"""),"GM0000479419")</f>
        <v>GM0000479419</v>
      </c>
      <c r="H8" s="76">
        <f>IFERROR(__xludf.DUMMYFUNCTION("""COMPUTED_VALUE"""),16188.72)</f>
        <v>16188.72</v>
      </c>
      <c r="I8" s="84" t="str">
        <f>IFERROR(__xludf.DUMMYFUNCTION("""COMPUTED_VALUE"""),"Gastos Médicos ")</f>
        <v>Gastos Médicos </v>
      </c>
      <c r="J8" s="84" t="str">
        <f>IFERROR(__xludf.DUMMYFUNCTION("""COMPUTED_VALUE"""),"Integro")</f>
        <v>Integro</v>
      </c>
    </row>
    <row r="9">
      <c r="C9" s="84" t="str">
        <f>IFERROR(__xludf.DUMMYFUNCTION("""COMPUTED_VALUE"""),"GUSTAVO GUTIERREZ PLASCENCIA")</f>
        <v>GUSTAVO GUTIERREZ PLASCENCIA</v>
      </c>
      <c r="D9" s="84" t="str">
        <f>IFERROR(__xludf.DUMMYFUNCTION("""COMPUTED_VALUE"""),"H")</f>
        <v>H</v>
      </c>
      <c r="E9" s="84" t="str">
        <f>IFERROR(__xludf.DUMMYFUNCTION("""COMPUTED_VALUE"""),"Activo")</f>
        <v>Activo</v>
      </c>
      <c r="F9" s="199">
        <f>IFERROR(__xludf.DUMMYFUNCTION("""COMPUTED_VALUE"""),44362.0)</f>
        <v>44362</v>
      </c>
      <c r="G9" s="84" t="str">
        <f>IFERROR(__xludf.DUMMYFUNCTION("""COMPUTED_VALUE"""),"VI0002607534")</f>
        <v>VI0002607534</v>
      </c>
      <c r="H9" s="76">
        <f>IFERROR(__xludf.DUMMYFUNCTION("""COMPUTED_VALUE"""),23822.451220000003)</f>
        <v>23822.45122</v>
      </c>
      <c r="I9" s="84" t="str">
        <f>IFERROR(__xludf.DUMMYFUNCTION("""COMPUTED_VALUE"""),"Vida")</f>
        <v>Vida</v>
      </c>
      <c r="J9" s="84" t="str">
        <f>IFERROR(__xludf.DUMMYFUNCTION("""COMPUTED_VALUE"""),"Orvi")</f>
        <v>Orvi</v>
      </c>
    </row>
    <row r="10">
      <c r="C10" s="84" t="str">
        <f>IFERROR(__xludf.DUMMYFUNCTION("""COMPUTED_VALUE"""),"IZCHEL IRAIS GONZALEZ DIAZ")</f>
        <v>IZCHEL IRAIS GONZALEZ DIAZ</v>
      </c>
      <c r="D10" s="84" t="str">
        <f>IFERROR(__xludf.DUMMYFUNCTION("""COMPUTED_VALUE"""),"M")</f>
        <v>M</v>
      </c>
      <c r="E10" s="84" t="str">
        <f>IFERROR(__xludf.DUMMYFUNCTION("""COMPUTED_VALUE"""),"Activo")</f>
        <v>Activo</v>
      </c>
      <c r="F10" s="199">
        <f>IFERROR(__xludf.DUMMYFUNCTION("""COMPUTED_VALUE"""),44366.0)</f>
        <v>44366</v>
      </c>
      <c r="G10" s="84" t="str">
        <f>IFERROR(__xludf.DUMMYFUNCTION("""COMPUTED_VALUE"""),"VI0002608269")</f>
        <v>VI0002608269</v>
      </c>
      <c r="H10" s="76">
        <f>IFERROR(__xludf.DUMMYFUNCTION("""COMPUTED_VALUE"""),17576.90448)</f>
        <v>17576.90448</v>
      </c>
      <c r="I10" s="84" t="str">
        <f>IFERROR(__xludf.DUMMYFUNCTION("""COMPUTED_VALUE"""),"Vida")</f>
        <v>Vida</v>
      </c>
      <c r="J10" s="84" t="str">
        <f>IFERROR(__xludf.DUMMYFUNCTION("""COMPUTED_VALUE"""),"Orvi")</f>
        <v>Orvi</v>
      </c>
    </row>
    <row r="11">
      <c r="C11" s="84" t="str">
        <f>IFERROR(__xludf.DUMMYFUNCTION("""COMPUTED_VALUE"""),"JAZMIN JUDITH HERNANDEZ AGUIRRE")</f>
        <v>JAZMIN JUDITH HERNANDEZ AGUIRRE</v>
      </c>
      <c r="D11" s="84" t="str">
        <f>IFERROR(__xludf.DUMMYFUNCTION("""COMPUTED_VALUE"""),"M")</f>
        <v>M</v>
      </c>
      <c r="E11" s="84" t="str">
        <f>IFERROR(__xludf.DUMMYFUNCTION("""COMPUTED_VALUE"""),"Activo")</f>
        <v>Activo</v>
      </c>
      <c r="F11" s="199">
        <f>IFERROR(__xludf.DUMMYFUNCTION("""COMPUTED_VALUE"""),44740.0)</f>
        <v>44740</v>
      </c>
      <c r="G11" s="84" t="str">
        <f>IFERROR(__xludf.DUMMYFUNCTION("""COMPUTED_VALUE"""),"VI0002675317")</f>
        <v>VI0002675317</v>
      </c>
      <c r="H11" s="76">
        <f>IFERROR(__xludf.DUMMYFUNCTION("""COMPUTED_VALUE"""),16748.0079)</f>
        <v>16748.0079</v>
      </c>
      <c r="I11" s="84" t="str">
        <f>IFERROR(__xludf.DUMMYFUNCTION("""COMPUTED_VALUE"""),"Vida")</f>
        <v>Vida</v>
      </c>
      <c r="J11" s="84" t="str">
        <f>IFERROR(__xludf.DUMMYFUNCTION("""COMPUTED_VALUE"""),"Segubeca")</f>
        <v>Segubeca</v>
      </c>
    </row>
    <row r="12">
      <c r="C12" s="84" t="str">
        <f>IFERROR(__xludf.DUMMYFUNCTION("""COMPUTED_VALUE"""),"OSCAR ARTURO CORREA SOTO")</f>
        <v>OSCAR ARTURO CORREA SOTO</v>
      </c>
      <c r="D12" s="84" t="str">
        <f>IFERROR(__xludf.DUMMYFUNCTION("""COMPUTED_VALUE"""),"H")</f>
        <v>H</v>
      </c>
      <c r="E12" s="84" t="str">
        <f>IFERROR(__xludf.DUMMYFUNCTION("""COMPUTED_VALUE"""),"Activo")</f>
        <v>Activo</v>
      </c>
      <c r="F12" s="199">
        <f>IFERROR(__xludf.DUMMYFUNCTION("""COMPUTED_VALUE"""),44372.0)</f>
        <v>44372</v>
      </c>
      <c r="G12" s="84" t="str">
        <f>IFERROR(__xludf.DUMMYFUNCTION("""COMPUTED_VALUE"""),"VI0002610198")</f>
        <v>VI0002610198</v>
      </c>
      <c r="H12" s="76">
        <f>IFERROR(__xludf.DUMMYFUNCTION("""COMPUTED_VALUE"""),38433.71218)</f>
        <v>38433.71218</v>
      </c>
      <c r="I12" s="84" t="str">
        <f>IFERROR(__xludf.DUMMYFUNCTION("""COMPUTED_VALUE"""),"Vida")</f>
        <v>Vida</v>
      </c>
      <c r="J12" s="84" t="str">
        <f>IFERROR(__xludf.DUMMYFUNCTION("""COMPUTED_VALUE"""),"Orvi")</f>
        <v>Orvi</v>
      </c>
    </row>
    <row r="13">
      <c r="C13" s="84" t="str">
        <f>IFERROR(__xludf.DUMMYFUNCTION("""COMPUTED_VALUE"""),"PAOLA RAMOS REYNOSO")</f>
        <v>PAOLA RAMOS REYNOSO</v>
      </c>
      <c r="D13" s="84" t="str">
        <f>IFERROR(__xludf.DUMMYFUNCTION("""COMPUTED_VALUE"""),"M")</f>
        <v>M</v>
      </c>
      <c r="E13" s="84" t="str">
        <f>IFERROR(__xludf.DUMMYFUNCTION("""COMPUTED_VALUE"""),"Activo")</f>
        <v>Activo</v>
      </c>
      <c r="F13" s="199">
        <f>IFERROR(__xludf.DUMMYFUNCTION("""COMPUTED_VALUE"""),44357.0)</f>
        <v>44357</v>
      </c>
      <c r="G13" s="84" t="str">
        <f>IFERROR(__xludf.DUMMYFUNCTION("""COMPUTED_VALUE"""),"VI0002606703")</f>
        <v>VI0002606703</v>
      </c>
      <c r="H13" s="76">
        <f>IFERROR(__xludf.DUMMYFUNCTION("""COMPUTED_VALUE"""),31557.93772)</f>
        <v>31557.93772</v>
      </c>
      <c r="I13" s="84" t="str">
        <f>IFERROR(__xludf.DUMMYFUNCTION("""COMPUTED_VALUE"""),"Vida")</f>
        <v>Vida</v>
      </c>
      <c r="J13" s="84" t="str">
        <f>IFERROR(__xludf.DUMMYFUNCTION("""COMPUTED_VALUE"""),"Orvi")</f>
        <v>Orvi</v>
      </c>
    </row>
    <row r="14">
      <c r="C14" s="84" t="str">
        <f>IFERROR(__xludf.DUMMYFUNCTION("""COMPUTED_VALUE"""),"SUSANA RODRIGUEZ REYES")</f>
        <v>SUSANA RODRIGUEZ REYES</v>
      </c>
      <c r="D14" s="84" t="str">
        <f>IFERROR(__xludf.DUMMYFUNCTION("""COMPUTED_VALUE"""),"M")</f>
        <v>M</v>
      </c>
      <c r="E14" s="84" t="str">
        <f>IFERROR(__xludf.DUMMYFUNCTION("""COMPUTED_VALUE"""),"Activo")</f>
        <v>Activo</v>
      </c>
      <c r="F14" s="199">
        <f>IFERROR(__xludf.DUMMYFUNCTION("""COMPUTED_VALUE"""),44740.0)</f>
        <v>44740</v>
      </c>
      <c r="G14" s="84" t="str">
        <f>IFERROR(__xludf.DUMMYFUNCTION("""COMPUTED_VALUE"""),"VI0002675267")</f>
        <v>VI0002675267</v>
      </c>
      <c r="H14" s="76">
        <f>IFERROR(__xludf.DUMMYFUNCTION("""COMPUTED_VALUE"""),20042.694)</f>
        <v>20042.694</v>
      </c>
      <c r="I14" s="84" t="str">
        <f>IFERROR(__xludf.DUMMYFUNCTION("""COMPUTED_VALUE"""),"Vida")</f>
        <v>Vida</v>
      </c>
      <c r="J14" s="84" t="str">
        <f>IFERROR(__xludf.DUMMYFUNCTION("""COMPUTED_VALUE"""),"Segubeca")</f>
        <v>Segubeca</v>
      </c>
    </row>
    <row r="15">
      <c r="C15" s="84" t="str">
        <f>IFERROR(__xludf.DUMMYFUNCTION("""COMPUTED_VALUE"""),"TZEITEL PAMELA GUARDIAN AVELAR")</f>
        <v>TZEITEL PAMELA GUARDIAN AVELAR</v>
      </c>
      <c r="D15" s="84" t="str">
        <f>IFERROR(__xludf.DUMMYFUNCTION("""COMPUTED_VALUE"""),"M")</f>
        <v>M</v>
      </c>
      <c r="E15" s="84" t="str">
        <f>IFERROR(__xludf.DUMMYFUNCTION("""COMPUTED_VALUE"""),"Activo")</f>
        <v>Activo</v>
      </c>
      <c r="F15" s="199">
        <f>IFERROR(__xludf.DUMMYFUNCTION("""COMPUTED_VALUE"""),44355.0)</f>
        <v>44355</v>
      </c>
      <c r="G15" s="84" t="str">
        <f>IFERROR(__xludf.DUMMYFUNCTION("""COMPUTED_VALUE"""),"VI0002606377")</f>
        <v>VI0002606377</v>
      </c>
      <c r="H15" s="76">
        <f>IFERROR(__xludf.DUMMYFUNCTION("""COMPUTED_VALUE"""),35707.30464)</f>
        <v>35707.30464</v>
      </c>
      <c r="I15" s="84" t="str">
        <f>IFERROR(__xludf.DUMMYFUNCTION("""COMPUTED_VALUE"""),"Vida")</f>
        <v>Vida</v>
      </c>
      <c r="J15" s="84" t="str">
        <f>IFERROR(__xludf.DUMMYFUNCTION("""COMPUTED_VALUE"""),"Orvi")</f>
        <v>Orvi</v>
      </c>
    </row>
    <row r="16">
      <c r="C16" s="84" t="str">
        <f>IFERROR(__xludf.DUMMYFUNCTION("""COMPUTED_VALUE"""),"KARLA GABRIELA GARIBAY MORAN")</f>
        <v>KARLA GABRIELA GARIBAY MORAN</v>
      </c>
      <c r="D16" s="84" t="str">
        <f>IFERROR(__xludf.DUMMYFUNCTION("""COMPUTED_VALUE"""),"M")</f>
        <v>M</v>
      </c>
      <c r="E16" s="84" t="str">
        <f>IFERROR(__xludf.DUMMYFUNCTION("""COMPUTED_VALUE"""),"Activo")</f>
        <v>Activo</v>
      </c>
      <c r="F16" s="199">
        <f>IFERROR(__xludf.DUMMYFUNCTION("""COMPUTED_VALUE"""),45103.0)</f>
        <v>45103</v>
      </c>
      <c r="G16" s="84" t="str">
        <f>IFERROR(__xludf.DUMMYFUNCTION("""COMPUTED_VALUE"""),"VI0002747846")</f>
        <v>VI0002747846</v>
      </c>
      <c r="H16" s="76">
        <f>IFERROR(__xludf.DUMMYFUNCTION("""COMPUTED_VALUE"""),20343.96)</f>
        <v>20343.96</v>
      </c>
      <c r="I16" s="84" t="str">
        <f>IFERROR(__xludf.DUMMYFUNCTION("""COMPUTED_VALUE"""),"Vida")</f>
        <v>Vida</v>
      </c>
      <c r="J16" s="84" t="str">
        <f>IFERROR(__xludf.DUMMYFUNCTION("""COMPUTED_VALUE"""),"Orvi")</f>
        <v>Orvi</v>
      </c>
    </row>
    <row r="17">
      <c r="C17" s="84" t="str">
        <f>IFERROR(__xludf.DUMMYFUNCTION("""COMPUTED_VALUE"""),"JOSE ANTONIO LINAGE GARZA")</f>
        <v>JOSE ANTONIO LINAGE GARZA</v>
      </c>
      <c r="D17" s="84" t="str">
        <f>IFERROR(__xludf.DUMMYFUNCTION("""COMPUTED_VALUE"""),"H")</f>
        <v>H</v>
      </c>
      <c r="E17" s="84" t="str">
        <f>IFERROR(__xludf.DUMMYFUNCTION("""COMPUTED_VALUE"""),"Activo")</f>
        <v>Activo</v>
      </c>
      <c r="F17" s="199">
        <f>IFERROR(__xludf.DUMMYFUNCTION("""COMPUTED_VALUE"""),45105.0)</f>
        <v>45105</v>
      </c>
      <c r="G17" s="84" t="str">
        <f>IFERROR(__xludf.DUMMYFUNCTION("""COMPUTED_VALUE"""),"VI0002748901")</f>
        <v>VI0002748901</v>
      </c>
      <c r="H17" s="76">
        <f>IFERROR(__xludf.DUMMYFUNCTION("""COMPUTED_VALUE"""),123987.396)</f>
        <v>123987.396</v>
      </c>
      <c r="I17" s="84" t="str">
        <f>IFERROR(__xludf.DUMMYFUNCTION("""COMPUTED_VALUE"""),"Vida")</f>
        <v>Vida</v>
      </c>
      <c r="J17" s="84" t="str">
        <f>IFERROR(__xludf.DUMMYFUNCTION("""COMPUTED_VALUE"""),"Orvi")</f>
        <v>Orvi</v>
      </c>
    </row>
    <row r="18">
      <c r="C18" s="84" t="str">
        <f>IFERROR(__xludf.DUMMYFUNCTION("""COMPUTED_VALUE"""),"MARIO HUMBERTO VILLANUEVA IBARRA")</f>
        <v>MARIO HUMBERTO VILLANUEVA IBARRA</v>
      </c>
      <c r="D18" s="84" t="str">
        <f>IFERROR(__xludf.DUMMYFUNCTION("""COMPUTED_VALUE"""),"H")</f>
        <v>H</v>
      </c>
      <c r="E18" s="84" t="str">
        <f>IFERROR(__xludf.DUMMYFUNCTION("""COMPUTED_VALUE"""),"Activo")</f>
        <v>Activo</v>
      </c>
      <c r="F18" s="199">
        <f>IFERROR(__xludf.DUMMYFUNCTION("""COMPUTED_VALUE"""),45457.0)</f>
        <v>45457</v>
      </c>
      <c r="G18" s="84" t="str">
        <f>IFERROR(__xludf.DUMMYFUNCTION("""COMPUTED_VALUE"""),"VI0002832905")</f>
        <v>VI0002832905</v>
      </c>
      <c r="H18" s="76">
        <f>IFERROR(__xludf.DUMMYFUNCTION("""COMPUTED_VALUE"""),67082.9112)</f>
        <v>67082.9112</v>
      </c>
      <c r="I18" s="84" t="str">
        <f>IFERROR(__xludf.DUMMYFUNCTION("""COMPUTED_VALUE"""),"Vida")</f>
        <v>Vida</v>
      </c>
      <c r="J18" s="84" t="str">
        <f>IFERROR(__xludf.DUMMYFUNCTION("""COMPUTED_VALUE"""),"Orvi")</f>
        <v>Orvi</v>
      </c>
    </row>
    <row r="19">
      <c r="C19" s="84" t="str">
        <f>IFERROR(__xludf.DUMMYFUNCTION("""COMPUTED_VALUE"""),"JENNIFER DAYANA CHAVEZ GUTIERREZ")</f>
        <v>JENNIFER DAYANA CHAVEZ GUTIERREZ</v>
      </c>
      <c r="D19" s="84" t="str">
        <f>IFERROR(__xludf.DUMMYFUNCTION("""COMPUTED_VALUE"""),"M")</f>
        <v>M</v>
      </c>
      <c r="E19" s="84" t="str">
        <f>IFERROR(__xludf.DUMMYFUNCTION("""COMPUTED_VALUE"""),"Activo")</f>
        <v>Activo</v>
      </c>
      <c r="F19" s="199">
        <f>IFERROR(__xludf.DUMMYFUNCTION("""COMPUTED_VALUE"""),45467.0)</f>
        <v>45467</v>
      </c>
      <c r="G19" s="84" t="str">
        <f>IFERROR(__xludf.DUMMYFUNCTION("""COMPUTED_VALUE"""),"VI0002835245")</f>
        <v>VI0002835245</v>
      </c>
      <c r="H19" s="76">
        <f>IFERROR(__xludf.DUMMYFUNCTION("""COMPUTED_VALUE"""),20683.1515)</f>
        <v>20683.1515</v>
      </c>
      <c r="I19" s="84" t="str">
        <f>IFERROR(__xludf.DUMMYFUNCTION("""COMPUTED_VALUE"""),"Vida")</f>
        <v>Vida</v>
      </c>
      <c r="J19" s="84" t="str">
        <f>IFERROR(__xludf.DUMMYFUNCTION("""COMPUTED_VALUE"""),"Segubeca")</f>
        <v>Segubeca</v>
      </c>
    </row>
    <row r="20">
      <c r="C20" s="84" t="str">
        <f>IFERROR(__xludf.DUMMYFUNCTION("""COMPUTED_VALUE"""),"BLANCA CAROLINA MAGAÑA CASTELLON")</f>
        <v>BLANCA CAROLINA MAGAÑA CASTELLON</v>
      </c>
      <c r="D20" s="84" t="str">
        <f>IFERROR(__xludf.DUMMYFUNCTION("""COMPUTED_VALUE"""),"F")</f>
        <v>F</v>
      </c>
      <c r="E20" s="84" t="str">
        <f>IFERROR(__xludf.DUMMYFUNCTION("""COMPUTED_VALUE"""),"Activo")</f>
        <v>Activo</v>
      </c>
      <c r="F20" s="199">
        <f>IFERROR(__xludf.DUMMYFUNCTION("""COMPUTED_VALUE"""),43262.0)</f>
        <v>43262</v>
      </c>
      <c r="G20" s="84" t="str">
        <f>IFERROR(__xludf.DUMMYFUNCTION("""COMPUTED_VALUE"""),"VI0002382839")</f>
        <v>VI0002382839</v>
      </c>
      <c r="H20" s="76">
        <f>IFERROR(__xludf.DUMMYFUNCTION("""COMPUTED_VALUE"""),73182.46199999998)</f>
        <v>73182.462</v>
      </c>
      <c r="I20" s="84" t="str">
        <f>IFERROR(__xludf.DUMMYFUNCTION("""COMPUTED_VALUE"""),"Vida")</f>
        <v>Vida</v>
      </c>
      <c r="J20" s="84" t="str">
        <f>IFERROR(__xludf.DUMMYFUNCTION("""COMPUTED_VALUE"""),"Segubeca")</f>
        <v>Segubeca</v>
      </c>
    </row>
    <row r="21">
      <c r="C21" s="84" t="str">
        <f>IFERROR(__xludf.DUMMYFUNCTION("""COMPUTED_VALUE"""),"ANGEL GONZALEZ MARTIN")</f>
        <v>ANGEL GONZALEZ MARTIN</v>
      </c>
      <c r="D21" s="84" t="str">
        <f>IFERROR(__xludf.DUMMYFUNCTION("""COMPUTED_VALUE"""),"M")</f>
        <v>M</v>
      </c>
      <c r="E21" s="84" t="str">
        <f>IFERROR(__xludf.DUMMYFUNCTION("""COMPUTED_VALUE"""),"Activo")</f>
        <v>Activo</v>
      </c>
      <c r="F21" s="199">
        <f>IFERROR(__xludf.DUMMYFUNCTION("""COMPUTED_VALUE"""),45468.0)</f>
        <v>45468</v>
      </c>
      <c r="G21" s="84" t="str">
        <f>IFERROR(__xludf.DUMMYFUNCTION("""COMPUTED_VALUE"""),"VI0002835520 ")</f>
        <v>VI0002835520 </v>
      </c>
      <c r="H21" s="76"/>
      <c r="I21" s="84" t="str">
        <f>IFERROR(__xludf.DUMMYFUNCTION("""COMPUTED_VALUE"""),"Vida")</f>
        <v>Vida</v>
      </c>
      <c r="J21" s="84" t="str">
        <f>IFERROR(__xludf.DUMMYFUNCTION("""COMPUTED_VALUE"""),"Segubeca")</f>
        <v>Segubeca</v>
      </c>
    </row>
    <row r="22">
      <c r="C22" s="84" t="str">
        <f>IFERROR(__xludf.DUMMYFUNCTION("""COMPUTED_VALUE"""),"ADRIAN ALONSO CASTILLO GARCIA")</f>
        <v>ADRIAN ALONSO CASTILLO GARCIA</v>
      </c>
      <c r="D22" s="84" t="str">
        <f>IFERROR(__xludf.DUMMYFUNCTION("""COMPUTED_VALUE"""),"M")</f>
        <v>M</v>
      </c>
      <c r="E22" s="84" t="str">
        <f>IFERROR(__xludf.DUMMYFUNCTION("""COMPUTED_VALUE"""),"Activo")</f>
        <v>Activo</v>
      </c>
      <c r="F22" s="199">
        <f>IFERROR(__xludf.DUMMYFUNCTION("""COMPUTED_VALUE"""),45819.0)</f>
        <v>45819</v>
      </c>
      <c r="G22" s="84" t="str">
        <f>IFERROR(__xludf.DUMMYFUNCTION("""COMPUTED_VALUE"""),"VI0002918199")</f>
        <v>VI0002918199</v>
      </c>
      <c r="H22" s="76">
        <f>IFERROR(__xludf.DUMMYFUNCTION("""COMPUTED_VALUE"""),156513.4944)</f>
        <v>156513.4944</v>
      </c>
      <c r="I22" s="84" t="str">
        <f>IFERROR(__xludf.DUMMYFUNCTION("""COMPUTED_VALUE"""),"Vida")</f>
        <v>Vida</v>
      </c>
      <c r="J22" s="84" t="str">
        <f>IFERROR(__xludf.DUMMYFUNCTION("""COMPUTED_VALUE"""),"Imagina ser")</f>
        <v>Imagina ser</v>
      </c>
    </row>
    <row r="23">
      <c r="C23" s="84" t="str">
        <f>IFERROR(__xludf.DUMMYFUNCTION("""COMPUTED_VALUE"""),"DIANA MONTSERRAT FLORES VERA
")</f>
        <v>DIANA MONTSERRAT FLORES VERA
</v>
      </c>
      <c r="D23" s="84" t="str">
        <f>IFERROR(__xludf.DUMMYFUNCTION("""COMPUTED_VALUE"""),"F")</f>
        <v>F</v>
      </c>
      <c r="E23" s="84" t="str">
        <f>IFERROR(__xludf.DUMMYFUNCTION("""COMPUTED_VALUE"""),"Activo")</f>
        <v>Activo</v>
      </c>
      <c r="F23" s="200">
        <f>IFERROR(__xludf.DUMMYFUNCTION("""COMPUTED_VALUE"""),45826.0)</f>
        <v>45826</v>
      </c>
      <c r="G23" s="84" t="str">
        <f>IFERROR(__xludf.DUMMYFUNCTION("""COMPUTED_VALUE"""),"VI0002920158")</f>
        <v>VI0002920158</v>
      </c>
      <c r="H23" s="76">
        <f>IFERROR(__xludf.DUMMYFUNCTION("""COMPUTED_VALUE"""),28898.9072)</f>
        <v>28898.9072</v>
      </c>
      <c r="I23" s="84" t="str">
        <f>IFERROR(__xludf.DUMMYFUNCTION("""COMPUTED_VALUE"""),"Vida")</f>
        <v>Vida</v>
      </c>
      <c r="J23" s="84" t="str">
        <f>IFERROR(__xludf.DUMMYFUNCTION("""COMPUTED_VALUE"""),"Imagina ser")</f>
        <v>Imagina ser</v>
      </c>
    </row>
  </sheetData>
  <dataValidations>
    <dataValidation type="list" allowBlank="1" showErrorMessage="1" sqref="B2">
      <formula1>Listas!$D$3:$D$14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2.75"/>
    <col customWidth="1" hidden="1" min="3" max="3" width="34.0"/>
    <col hidden="1" min="4" max="6" width="12.63"/>
    <col customWidth="1" hidden="1" min="7" max="7" width="13.0"/>
    <col hidden="1" min="8" max="8" width="12.63"/>
    <col customWidth="1" hidden="1" min="9" max="9" width="13.38"/>
    <col customWidth="1" hidden="1" min="10" max="10" width="13.0"/>
    <col hidden="1" min="11" max="13" width="12.63"/>
    <col customWidth="1" min="14" max="14" width="37.5"/>
    <col customWidth="1" min="23" max="23" width="13.38"/>
  </cols>
  <sheetData>
    <row r="2">
      <c r="A2" s="201" t="s">
        <v>1410</v>
      </c>
      <c r="B2" s="194" t="s">
        <v>1390</v>
      </c>
    </row>
    <row r="5">
      <c r="C5" s="202" t="s">
        <v>5</v>
      </c>
      <c r="D5" s="202" t="s">
        <v>6</v>
      </c>
      <c r="E5" s="203" t="s">
        <v>7</v>
      </c>
      <c r="F5" s="203" t="s">
        <v>8</v>
      </c>
      <c r="G5" s="202" t="s">
        <v>9</v>
      </c>
      <c r="H5" s="204" t="s">
        <v>10</v>
      </c>
      <c r="I5" s="205" t="s">
        <v>1372</v>
      </c>
      <c r="J5" s="205" t="s">
        <v>1412</v>
      </c>
      <c r="K5" s="205" t="s">
        <v>1370</v>
      </c>
      <c r="L5" s="205" t="s">
        <v>1388</v>
      </c>
      <c r="N5" s="206" t="s">
        <v>5</v>
      </c>
      <c r="O5" s="207" t="s">
        <v>6</v>
      </c>
      <c r="P5" s="208" t="s">
        <v>7</v>
      </c>
      <c r="Q5" s="208" t="s">
        <v>8</v>
      </c>
      <c r="R5" s="207" t="s">
        <v>9</v>
      </c>
      <c r="S5" s="209" t="s">
        <v>10</v>
      </c>
      <c r="T5" s="210" t="s">
        <v>1372</v>
      </c>
      <c r="U5" s="210" t="s">
        <v>1412</v>
      </c>
      <c r="V5" s="210" t="s">
        <v>1370</v>
      </c>
      <c r="W5" s="211" t="s">
        <v>1388</v>
      </c>
    </row>
    <row r="6">
      <c r="C6" s="84" t="str">
        <f t="array" ref="C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Asesor'!A8, "")
</f>
        <v>ABRAHAM GALICIA MANCERA</v>
      </c>
      <c r="D6" s="84" t="str">
        <f t="array" ref="D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Asesor'!B8, "")
</f>
        <v>H</v>
      </c>
      <c r="E6" s="212" t="str">
        <f t="array" ref="E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Asesor'!C8, "")
</f>
        <v>Activo</v>
      </c>
      <c r="F6" s="213">
        <f t="array" ref="F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Asesor'!D8, "")
</f>
        <v>44238</v>
      </c>
      <c r="G6" s="212" t="str">
        <f t="array" ref="G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Asesor'!E8, "")
</f>
        <v>GM0000512930</v>
      </c>
      <c r="H6" s="76">
        <f t="array" ref="H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Asesor'!F8, "")
</f>
        <v>16966.92</v>
      </c>
      <c r="I6" s="84" t="str">
        <f t="array" ref="I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Asesor'!G8, "")
</f>
        <v>MXN</v>
      </c>
      <c r="J6" s="84" t="str">
        <f t="array" ref="J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Asesor'!H8, "")
</f>
        <v>Mensual</v>
      </c>
      <c r="K6" s="84" t="str">
        <f t="array" ref="K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Asesor'!K8, "")
</f>
        <v>TD</v>
      </c>
      <c r="L6" s="84" t="str">
        <f t="array" ref="L6">IF(OR(
    AND('BD Asesor'!H8="Mensual", MATCH($B$2, {"Enero", "Febrero", "Marzo", "Abril", "Mayo", "Junio", "Julio", "Agosto", "Septiembre", "Octubre", "Noviembre", "Diciembre"}, 0)&gt;=1),
    AND('BD Asesor'!H8="Trimestral", MOD(MATCH($B$2, {"Enero", "Febrero", "Marzo", "Abril", "Mayo", "Junio", "Julio", "Agosto", "Septiembre", "Octubre", "Noviembre"}, 0)-MONTH('BD Asesor'!D8), 3)=0),
    AND('BD Asesor'!H8="Semestral", MOD(MATCH($B$2, {"Enero", "Febrero", "Marzo", "Abril", "Mayo", "Junio", "Julio", "Agosto", "Septiembre", "Octubre", "Noviembre"}, 0)-MONTH('BD Asesor'!D8), 6)=0),
    AND('BD Asesor'!H8="Anual", MONTH('BD Asesor'!D8)=MATCH($B$2, {"Enero", "Febrero", "Marzo", "Abril", "Mayo", "Junio", "Julio", "Agosto", "Septiembre", "Octubre", "Noviembre"}, 0))
), 'BD Asesor'!L8, "")
</f>
        <v>Gastos Médicos </v>
      </c>
      <c r="N6" s="84" t="str">
        <f>IFERROR(__xludf.DUMMYFUNCTION("FILTER(C6:L2000,C6:C2000&lt;&gt;"""",E6:E2000=""Activo"")"),"ABRAHAM GALICIA MANCERA")</f>
        <v>ABRAHAM GALICIA MANCERA</v>
      </c>
      <c r="O6" s="84" t="str">
        <f>IFERROR(__xludf.DUMMYFUNCTION("""COMPUTED_VALUE"""),"H")</f>
        <v>H</v>
      </c>
      <c r="P6" s="84" t="str">
        <f>IFERROR(__xludf.DUMMYFUNCTION("""COMPUTED_VALUE"""),"Activo")</f>
        <v>Activo</v>
      </c>
      <c r="Q6" s="199">
        <f>IFERROR(__xludf.DUMMYFUNCTION("""COMPUTED_VALUE"""),44238.0)</f>
        <v>44238</v>
      </c>
      <c r="R6" s="84" t="str">
        <f>IFERROR(__xludf.DUMMYFUNCTION("""COMPUTED_VALUE"""),"GM0000512930")</f>
        <v>GM0000512930</v>
      </c>
      <c r="S6" s="76">
        <f>IFERROR(__xludf.DUMMYFUNCTION("""COMPUTED_VALUE"""),16966.920000000002)</f>
        <v>16966.92</v>
      </c>
      <c r="T6" s="84" t="str">
        <f>IFERROR(__xludf.DUMMYFUNCTION("""COMPUTED_VALUE"""),"MXN")</f>
        <v>MXN</v>
      </c>
      <c r="U6" s="84" t="str">
        <f>IFERROR(__xludf.DUMMYFUNCTION("""COMPUTED_VALUE"""),"Mensual")</f>
        <v>Mensual</v>
      </c>
      <c r="V6" s="84" t="str">
        <f>IFERROR(__xludf.DUMMYFUNCTION("""COMPUTED_VALUE"""),"TD")</f>
        <v>TD</v>
      </c>
      <c r="W6" s="84" t="str">
        <f>IFERROR(__xludf.DUMMYFUNCTION("""COMPUTED_VALUE"""),"Gastos Médicos ")</f>
        <v>Gastos Médicos </v>
      </c>
    </row>
    <row r="7">
      <c r="C7" s="84" t="str">
        <f t="array" ref="C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Asesor'!A9, "")
</f>
        <v>ABRAHAM GALICIA MANCERA</v>
      </c>
      <c r="D7" s="84" t="str">
        <f t="array" ref="D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Asesor'!B9, "")
</f>
        <v>H</v>
      </c>
      <c r="E7" s="212" t="str">
        <f t="array" ref="E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Asesor'!C9, "")
</f>
        <v>Activo</v>
      </c>
      <c r="F7" s="213">
        <f t="array" ref="F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Asesor'!D9, "")
</f>
        <v>44247</v>
      </c>
      <c r="G7" s="212" t="str">
        <f t="array" ref="G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Asesor'!E9, "")
</f>
        <v>VI0002585905</v>
      </c>
      <c r="H7" s="76">
        <f t="array" ref="H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Asesor'!F9, "")
</f>
        <v>66766.14</v>
      </c>
      <c r="I7" s="84" t="str">
        <f t="array" ref="I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Asesor'!G9, "")
</f>
        <v>UDIS</v>
      </c>
      <c r="J7" s="84" t="str">
        <f t="array" ref="J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Asesor'!H9, "")
</f>
        <v>Mensual</v>
      </c>
      <c r="K7" s="84" t="str">
        <f t="array" ref="K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Asesor'!K9, "")
</f>
        <v>TD</v>
      </c>
      <c r="L7" s="84" t="str">
        <f t="array" ref="L7">IF(OR(
    AND('BD Asesor'!H9="Mensual", MATCH($B$2, {"Enero", "Febrero", "Marzo", "Abril", "Mayo", "Junio", "Julio", "Agosto", "Septiembre", "Octubre", "Noviembre", "Diciembre"}, 0)&gt;=1),
    AND('BD Asesor'!H9="Trimestral", MOD(MATCH($B$2, {"Enero", "Febrero", "Marzo", "Abril", "Mayo", "Junio", "Julio", "Agosto", "Septiembre", "Octubre", "Noviembre"}, 0)-MONTH('BD Asesor'!D9), 3)=0),
    AND('BD Asesor'!H9="Semestral", MOD(MATCH($B$2, {"Enero", "Febrero", "Marzo", "Abril", "Mayo", "Junio", "Julio", "Agosto", "Septiembre", "Octubre", "Noviembre"}, 0)-MONTH('BD Asesor'!D9), 6)=0),
    AND('BD Asesor'!H9="Anual", MONTH('BD Asesor'!D9)=MATCH($B$2, {"Enero", "Febrero", "Marzo", "Abril", "Mayo", "Junio", "Julio", "Agosto", "Septiembre", "Octubre", "Noviembre"}, 0))
), 'BD Asesor'!L9, "")
</f>
        <v>Vida</v>
      </c>
      <c r="N7" s="84" t="str">
        <f>IFERROR(__xludf.DUMMYFUNCTION("""COMPUTED_VALUE"""),"ABRAHAM GALICIA MANCERA")</f>
        <v>ABRAHAM GALICIA MANCERA</v>
      </c>
      <c r="O7" s="84" t="str">
        <f>IFERROR(__xludf.DUMMYFUNCTION("""COMPUTED_VALUE"""),"H")</f>
        <v>H</v>
      </c>
      <c r="P7" s="84" t="str">
        <f>IFERROR(__xludf.DUMMYFUNCTION("""COMPUTED_VALUE"""),"Activo")</f>
        <v>Activo</v>
      </c>
      <c r="Q7" s="199">
        <f>IFERROR(__xludf.DUMMYFUNCTION("""COMPUTED_VALUE"""),44247.0)</f>
        <v>44247</v>
      </c>
      <c r="R7" s="84" t="str">
        <f>IFERROR(__xludf.DUMMYFUNCTION("""COMPUTED_VALUE"""),"VI0002585905")</f>
        <v>VI0002585905</v>
      </c>
      <c r="S7" s="76">
        <f>IFERROR(__xludf.DUMMYFUNCTION("""COMPUTED_VALUE"""),66766.13999999998)</f>
        <v>66766.14</v>
      </c>
      <c r="T7" s="84" t="str">
        <f>IFERROR(__xludf.DUMMYFUNCTION("""COMPUTED_VALUE"""),"UDIS")</f>
        <v>UDIS</v>
      </c>
      <c r="U7" s="84" t="str">
        <f>IFERROR(__xludf.DUMMYFUNCTION("""COMPUTED_VALUE"""),"Mensual")</f>
        <v>Mensual</v>
      </c>
      <c r="V7" s="84" t="str">
        <f>IFERROR(__xludf.DUMMYFUNCTION("""COMPUTED_VALUE"""),"TD")</f>
        <v>TD</v>
      </c>
      <c r="W7" s="84" t="str">
        <f>IFERROR(__xludf.DUMMYFUNCTION("""COMPUTED_VALUE"""),"Vida")</f>
        <v>Vida</v>
      </c>
    </row>
    <row r="8">
      <c r="C8" s="84" t="str">
        <f t="array" ref="C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Asesor'!A10, "")
</f>
        <v/>
      </c>
      <c r="D8" s="84" t="str">
        <f t="array" ref="D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Asesor'!B10, "")
</f>
        <v/>
      </c>
      <c r="E8" s="212" t="str">
        <f t="array" ref="E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Asesor'!C10, "")
</f>
        <v/>
      </c>
      <c r="F8" s="212" t="str">
        <f t="array" ref="F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Asesor'!D10, "")
</f>
        <v/>
      </c>
      <c r="G8" s="212" t="str">
        <f t="array" ref="G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Asesor'!E10, "")
</f>
        <v/>
      </c>
      <c r="H8" s="84" t="str">
        <f t="array" ref="H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Asesor'!F10, "")
</f>
        <v/>
      </c>
      <c r="I8" s="84" t="str">
        <f t="array" ref="I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Asesor'!G10, "")
</f>
        <v/>
      </c>
      <c r="J8" s="84" t="str">
        <f t="array" ref="J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Asesor'!H10, "")
</f>
        <v/>
      </c>
      <c r="K8" s="84" t="str">
        <f t="array" ref="K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Asesor'!K10, "")
</f>
        <v/>
      </c>
      <c r="L8" s="84" t="str">
        <f t="array" ref="L8">IF(OR(
    AND('BD Asesor'!H10="Mensual", MATCH($B$2, {"Enero", "Febrero", "Marzo", "Abril", "Mayo", "Junio", "Julio", "Agosto", "Septiembre", "Octubre", "Noviembre", "Diciembre"}, 0)&gt;=1),
    AND('BD Asesor'!H10="Trimestral", MOD(MATCH($B$2, {"Enero", "Febrero", "Marzo", "Abril", "Mayo", "Junio", "Julio", "Agosto", "Septiembre", "Octubre", "Noviembre"}, 0)-MONTH('BD Asesor'!D10), 3)=0),
    AND('BD Asesor'!H10="Semestral", MOD(MATCH($B$2, {"Enero", "Febrero", "Marzo", "Abril", "Mayo", "Junio", "Julio", "Agosto", "Septiembre", "Octubre", "Noviembre"}, 0)-MONTH('BD Asesor'!D10), 6)=0),
    AND('BD Asesor'!H10="Anual", MONTH('BD Asesor'!D10)=MATCH($B$2, {"Enero", "Febrero", "Marzo", "Abril", "Mayo", "Junio", "Julio", "Agosto", "Septiembre", "Octubre", "Noviembre"}, 0))
), 'BD Asesor'!L10, "")
</f>
        <v/>
      </c>
      <c r="N8" s="84" t="str">
        <f>IFERROR(__xludf.DUMMYFUNCTION("""COMPUTED_VALUE"""),"ADRIAN ALEJANDRO RAMIREZ MORALES")</f>
        <v>ADRIAN ALEJANDRO RAMIREZ MORALES</v>
      </c>
      <c r="O8" s="84" t="str">
        <f>IFERROR(__xludf.DUMMYFUNCTION("""COMPUTED_VALUE"""),"H")</f>
        <v>H</v>
      </c>
      <c r="P8" s="84" t="str">
        <f>IFERROR(__xludf.DUMMYFUNCTION("""COMPUTED_VALUE"""),"Activo")</f>
        <v>Activo</v>
      </c>
      <c r="Q8" s="199">
        <f>IFERROR(__xludf.DUMMYFUNCTION("""COMPUTED_VALUE"""),44576.0)</f>
        <v>44576</v>
      </c>
      <c r="R8" s="84" t="str">
        <f>IFERROR(__xludf.DUMMYFUNCTION("""COMPUTED_VALUE"""),"VI0002645864")</f>
        <v>VI0002645864</v>
      </c>
      <c r="S8" s="76">
        <f>IFERROR(__xludf.DUMMYFUNCTION("""COMPUTED_VALUE"""),52580.286)</f>
        <v>52580.286</v>
      </c>
      <c r="T8" s="84" t="str">
        <f>IFERROR(__xludf.DUMMYFUNCTION("""COMPUTED_VALUE"""),"UDIS")</f>
        <v>UDIS</v>
      </c>
      <c r="U8" s="84" t="str">
        <f>IFERROR(__xludf.DUMMYFUNCTION("""COMPUTED_VALUE"""),"Mensual")</f>
        <v>Mensual</v>
      </c>
      <c r="V8" s="84" t="str">
        <f>IFERROR(__xludf.DUMMYFUNCTION("""COMPUTED_VALUE"""),"TC")</f>
        <v>TC</v>
      </c>
      <c r="W8" s="84" t="str">
        <f>IFERROR(__xludf.DUMMYFUNCTION("""COMPUTED_VALUE"""),"Vida")</f>
        <v>Vida</v>
      </c>
    </row>
    <row r="9">
      <c r="C9" s="84" t="str">
        <f t="array" ref="C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Asesor'!A11, "")
</f>
        <v>ADRIAN ALEJANDRO RAMIREZ MORALES</v>
      </c>
      <c r="D9" s="84" t="str">
        <f t="array" ref="D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Asesor'!B11, "")
</f>
        <v>H</v>
      </c>
      <c r="E9" s="212" t="str">
        <f t="array" ref="E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Asesor'!C11, "")
</f>
        <v>Activo</v>
      </c>
      <c r="F9" s="213">
        <f t="array" ref="F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Asesor'!D11, "")
</f>
        <v>44576</v>
      </c>
      <c r="G9" s="212" t="str">
        <f t="array" ref="G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Asesor'!E11, "")
</f>
        <v>VI0002645864</v>
      </c>
      <c r="H9" s="76">
        <f t="array" ref="H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Asesor'!F11, "")
</f>
        <v>52580.286</v>
      </c>
      <c r="I9" s="84" t="str">
        <f t="array" ref="I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Asesor'!G11, "")
</f>
        <v>UDIS</v>
      </c>
      <c r="J9" s="84" t="str">
        <f t="array" ref="J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Asesor'!H11, "")
</f>
        <v>Mensual</v>
      </c>
      <c r="K9" s="84" t="str">
        <f t="array" ref="K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Asesor'!K11, "")
</f>
        <v>TC</v>
      </c>
      <c r="L9" s="84" t="str">
        <f t="array" ref="L9">IF(OR(
    AND('BD Asesor'!H11="Mensual", MATCH($B$2, {"Enero", "Febrero", "Marzo", "Abril", "Mayo", "Junio", "Julio", "Agosto", "Septiembre", "Octubre", "Noviembre", "Diciembre"}, 0)&gt;=1),
    AND('BD Asesor'!H11="Trimestral", MOD(MATCH($B$2, {"Enero", "Febrero", "Marzo", "Abril", "Mayo", "Junio", "Julio", "Agosto", "Septiembre", "Octubre", "Noviembre"}, 0)-MONTH('BD Asesor'!D11), 3)=0),
    AND('BD Asesor'!H11="Semestral", MOD(MATCH($B$2, {"Enero", "Febrero", "Marzo", "Abril", "Mayo", "Junio", "Julio", "Agosto", "Septiembre", "Octubre", "Noviembre"}, 0)-MONTH('BD Asesor'!D11), 6)=0),
    AND('BD Asesor'!H11="Anual", MONTH('BD Asesor'!D11)=MATCH($B$2, {"Enero", "Febrero", "Marzo", "Abril", "Mayo", "Junio", "Julio", "Agosto", "Septiembre", "Octubre", "Noviembre"}, 0))
), 'BD Asesor'!L11, "")
</f>
        <v>Vida</v>
      </c>
      <c r="N9" s="84" t="str">
        <f>IFERROR(__xludf.DUMMYFUNCTION("""COMPUTED_VALUE"""),"ALEJANDRA DEL CARMEN UREÑA CASILLAS")</f>
        <v>ALEJANDRA DEL CARMEN UREÑA CASILLAS</v>
      </c>
      <c r="O9" s="84" t="str">
        <f>IFERROR(__xludf.DUMMYFUNCTION("""COMPUTED_VALUE"""),"M")</f>
        <v>M</v>
      </c>
      <c r="P9" s="84" t="str">
        <f>IFERROR(__xludf.DUMMYFUNCTION("""COMPUTED_VALUE"""),"Activo")</f>
        <v>Activo</v>
      </c>
      <c r="Q9" s="199">
        <f>IFERROR(__xludf.DUMMYFUNCTION("""COMPUTED_VALUE"""),43893.0)</f>
        <v>43893</v>
      </c>
      <c r="R9" s="84" t="str">
        <f>IFERROR(__xludf.DUMMYFUNCTION("""COMPUTED_VALUE"""),"VI0002521501")</f>
        <v>VI0002521501</v>
      </c>
      <c r="S9" s="76">
        <f>IFERROR(__xludf.DUMMYFUNCTION("""COMPUTED_VALUE"""),40562.97750000001)</f>
        <v>40562.9775</v>
      </c>
      <c r="T9" s="84" t="str">
        <f>IFERROR(__xludf.DUMMYFUNCTION("""COMPUTED_VALUE"""),"UDIS")</f>
        <v>UDIS</v>
      </c>
      <c r="U9" s="84" t="str">
        <f>IFERROR(__xludf.DUMMYFUNCTION("""COMPUTED_VALUE"""),"Anual")</f>
        <v>Anual</v>
      </c>
      <c r="V9" s="84" t="str">
        <f>IFERROR(__xludf.DUMMYFUNCTION("""COMPUTED_VALUE"""),"TD")</f>
        <v>TD</v>
      </c>
      <c r="W9" s="84" t="str">
        <f>IFERROR(__xludf.DUMMYFUNCTION("""COMPUTED_VALUE"""),"Vida")</f>
        <v>Vida</v>
      </c>
    </row>
    <row r="10">
      <c r="C10" s="84" t="str">
        <f t="array" ref="C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Asesor'!A12, "")
</f>
        <v/>
      </c>
      <c r="D10" s="84" t="str">
        <f t="array" ref="D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Asesor'!B12, "")
</f>
        <v/>
      </c>
      <c r="E10" s="212" t="str">
        <f t="array" ref="E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Asesor'!C12, "")
</f>
        <v/>
      </c>
      <c r="F10" s="212" t="str">
        <f t="array" ref="F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Asesor'!D12, "")
</f>
        <v/>
      </c>
      <c r="G10" s="212" t="str">
        <f t="array" ref="G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Asesor'!E12, "")
</f>
        <v/>
      </c>
      <c r="H10" s="84" t="str">
        <f t="array" ref="H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Asesor'!F12, "")
</f>
        <v/>
      </c>
      <c r="I10" s="84" t="str">
        <f t="array" ref="I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Asesor'!G12, "")
</f>
        <v/>
      </c>
      <c r="J10" s="84" t="str">
        <f t="array" ref="J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Asesor'!H12, "")
</f>
        <v/>
      </c>
      <c r="K10" s="84" t="str">
        <f t="array" ref="K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Asesor'!K12, "")
</f>
        <v/>
      </c>
      <c r="L10" s="84" t="str">
        <f t="array" ref="L10">IF(OR(
    AND('BD Asesor'!H12="Mensual", MATCH($B$2, {"Enero", "Febrero", "Marzo", "Abril", "Mayo", "Junio", "Julio", "Agosto", "Septiembre", "Octubre", "Noviembre", "Diciembre"}, 0)&gt;=1),
    AND('BD Asesor'!H12="Trimestral", MOD(MATCH($B$2, {"Enero", "Febrero", "Marzo", "Abril", "Mayo", "Junio", "Julio", "Agosto", "Septiembre", "Octubre", "Noviembre"}, 0)-MONTH('BD Asesor'!D12), 3)=0),
    AND('BD Asesor'!H12="Semestral", MOD(MATCH($B$2, {"Enero", "Febrero", "Marzo", "Abril", "Mayo", "Junio", "Julio", "Agosto", "Septiembre", "Octubre", "Noviembre"}, 0)-MONTH('BD Asesor'!D12), 6)=0),
    AND('BD Asesor'!H12="Anual", MONTH('BD Asesor'!D12)=MATCH($B$2, {"Enero", "Febrero", "Marzo", "Abril", "Mayo", "Junio", "Julio", "Agosto", "Septiembre", "Octubre", "Noviembre"}, 0))
), 'BD Asesor'!L12, "")
</f>
        <v/>
      </c>
      <c r="N10" s="84" t="str">
        <f>IFERROR(__xludf.DUMMYFUNCTION("""COMPUTED_VALUE"""),"ALEJANDRO SOTO ELIZALDE")</f>
        <v>ALEJANDRO SOTO ELIZALDE</v>
      </c>
      <c r="O10" s="84" t="str">
        <f>IFERROR(__xludf.DUMMYFUNCTION("""COMPUTED_VALUE"""),"H")</f>
        <v>H</v>
      </c>
      <c r="P10" s="84" t="str">
        <f>IFERROR(__xludf.DUMMYFUNCTION("""COMPUTED_VALUE"""),"Activo")</f>
        <v>Activo</v>
      </c>
      <c r="Q10" s="199">
        <f>IFERROR(__xludf.DUMMYFUNCTION("""COMPUTED_VALUE"""),44467.0)</f>
        <v>44467</v>
      </c>
      <c r="R10" s="84" t="str">
        <f>IFERROR(__xludf.DUMMYFUNCTION("""COMPUTED_VALUE"""),"GM0000540142")</f>
        <v>GM0000540142</v>
      </c>
      <c r="S10" s="76">
        <f>IFERROR(__xludf.DUMMYFUNCTION("""COMPUTED_VALUE"""),15641.78)</f>
        <v>15641.78</v>
      </c>
      <c r="T10" s="84" t="str">
        <f>IFERROR(__xludf.DUMMYFUNCTION("""COMPUTED_VALUE"""),"MXN")</f>
        <v>MXN</v>
      </c>
      <c r="U10" s="84" t="str">
        <f>IFERROR(__xludf.DUMMYFUNCTION("""COMPUTED_VALUE"""),"Semestral")</f>
        <v>Semestral</v>
      </c>
      <c r="V10" s="84" t="str">
        <f>IFERROR(__xludf.DUMMYFUNCTION("""COMPUTED_VALUE"""),"TD")</f>
        <v>TD</v>
      </c>
      <c r="W10" s="84" t="str">
        <f>IFERROR(__xludf.DUMMYFUNCTION("""COMPUTED_VALUE"""),"Gastos Médicos ")</f>
        <v>Gastos Médicos </v>
      </c>
    </row>
    <row r="11">
      <c r="C11" s="84" t="str">
        <f t="array" ref="C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Asesor'!A13, "")
</f>
        <v/>
      </c>
      <c r="D11" s="84" t="str">
        <f t="array" ref="D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Asesor'!B13, "")
</f>
        <v/>
      </c>
      <c r="E11" s="212" t="str">
        <f t="array" ref="E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Asesor'!C13, "")
</f>
        <v/>
      </c>
      <c r="F11" s="212" t="str">
        <f t="array" ref="F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Asesor'!D13, "")
</f>
        <v/>
      </c>
      <c r="G11" s="212" t="str">
        <f t="array" ref="G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Asesor'!E13, "")
</f>
        <v/>
      </c>
      <c r="H11" s="84" t="str">
        <f t="array" ref="H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Asesor'!F13, "")
</f>
        <v/>
      </c>
      <c r="I11" s="84" t="str">
        <f t="array" ref="I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Asesor'!G13, "")
</f>
        <v/>
      </c>
      <c r="J11" s="84" t="str">
        <f t="array" ref="J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Asesor'!H13, "")
</f>
        <v/>
      </c>
      <c r="K11" s="84" t="str">
        <f t="array" ref="K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Asesor'!K13, "")
</f>
        <v/>
      </c>
      <c r="L11" s="84" t="str">
        <f t="array" ref="L11">IF(OR(
    AND('BD Asesor'!H13="Mensual", MATCH($B$2, {"Enero", "Febrero", "Marzo", "Abril", "Mayo", "Junio", "Julio", "Agosto", "Septiembre", "Octubre", "Noviembre", "Diciembre"}, 0)&gt;=1),
    AND('BD Asesor'!H13="Trimestral", MOD(MATCH($B$2, {"Enero", "Febrero", "Marzo", "Abril", "Mayo", "Junio", "Julio", "Agosto", "Septiembre", "Octubre", "Noviembre"}, 0)-MONTH('BD Asesor'!D13), 3)=0),
    AND('BD Asesor'!H13="Semestral", MOD(MATCH($B$2, {"Enero", "Febrero", "Marzo", "Abril", "Mayo", "Junio", "Julio", "Agosto", "Septiembre", "Octubre", "Noviembre"}, 0)-MONTH('BD Asesor'!D13), 6)=0),
    AND('BD Asesor'!H13="Anual", MONTH('BD Asesor'!D13)=MATCH($B$2, {"Enero", "Febrero", "Marzo", "Abril", "Mayo", "Junio", "Julio", "Agosto", "Septiembre", "Octubre", "Noviembre"}, 0))
), 'BD Asesor'!L13, "")
</f>
        <v/>
      </c>
      <c r="N11" s="84" t="str">
        <f>IFERROR(__xludf.DUMMYFUNCTION("""COMPUTED_VALUE"""),"ALEJANDRO VAZQUEZ RODRIGUEZ")</f>
        <v>ALEJANDRO VAZQUEZ RODRIGUEZ</v>
      </c>
      <c r="O11" s="84" t="str">
        <f>IFERROR(__xludf.DUMMYFUNCTION("""COMPUTED_VALUE"""),"H")</f>
        <v>H</v>
      </c>
      <c r="P11" s="84" t="str">
        <f>IFERROR(__xludf.DUMMYFUNCTION("""COMPUTED_VALUE"""),"Activo")</f>
        <v>Activo</v>
      </c>
      <c r="Q11" s="199">
        <f>IFERROR(__xludf.DUMMYFUNCTION("""COMPUTED_VALUE"""),44042.0)</f>
        <v>44042</v>
      </c>
      <c r="R11" s="84" t="str">
        <f>IFERROR(__xludf.DUMMYFUNCTION("""COMPUTED_VALUE"""),"VI0002546462")</f>
        <v>VI0002546462</v>
      </c>
      <c r="S11" s="76">
        <f>IFERROR(__xludf.DUMMYFUNCTION("""COMPUTED_VALUE"""),29765.232000000004)</f>
        <v>29765.232</v>
      </c>
      <c r="T11" s="84" t="str">
        <f>IFERROR(__xludf.DUMMYFUNCTION("""COMPUTED_VALUE"""),"UDIS")</f>
        <v>UDIS</v>
      </c>
      <c r="U11" s="84" t="str">
        <f>IFERROR(__xludf.DUMMYFUNCTION("""COMPUTED_VALUE"""),"Mensual")</f>
        <v>Mensual</v>
      </c>
      <c r="V11" s="84" t="str">
        <f>IFERROR(__xludf.DUMMYFUNCTION("""COMPUTED_VALUE"""),"TC")</f>
        <v>TC</v>
      </c>
      <c r="W11" s="84" t="str">
        <f>IFERROR(__xludf.DUMMYFUNCTION("""COMPUTED_VALUE"""),"Vida")</f>
        <v>Vida</v>
      </c>
    </row>
    <row r="12">
      <c r="C12" s="84" t="str">
        <f t="array" ref="C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Asesor'!A14, "")
</f>
        <v/>
      </c>
      <c r="D12" s="84" t="str">
        <f t="array" ref="D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Asesor'!B14, "")
</f>
        <v/>
      </c>
      <c r="E12" s="212" t="str">
        <f t="array" ref="E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Asesor'!C14, "")
</f>
        <v/>
      </c>
      <c r="F12" s="212" t="str">
        <f t="array" ref="F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Asesor'!D14, "")
</f>
        <v/>
      </c>
      <c r="G12" s="212" t="str">
        <f t="array" ref="G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Asesor'!E14, "")
</f>
        <v/>
      </c>
      <c r="H12" s="84" t="str">
        <f t="array" ref="H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Asesor'!F14, "")
</f>
        <v/>
      </c>
      <c r="I12" s="84" t="str">
        <f t="array" ref="I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Asesor'!G14, "")
</f>
        <v/>
      </c>
      <c r="J12" s="84" t="str">
        <f t="array" ref="J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Asesor'!H14, "")
</f>
        <v/>
      </c>
      <c r="K12" s="84" t="str">
        <f t="array" ref="K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Asesor'!K14, "")
</f>
        <v/>
      </c>
      <c r="L12" s="84" t="str">
        <f t="array" ref="L12">IF(OR(
    AND('BD Asesor'!H14="Mensual", MATCH($B$2, {"Enero", "Febrero", "Marzo", "Abril", "Mayo", "Junio", "Julio", "Agosto", "Septiembre", "Octubre", "Noviembre", "Diciembre"}, 0)&gt;=1),
    AND('BD Asesor'!H14="Trimestral", MOD(MATCH($B$2, {"Enero", "Febrero", "Marzo", "Abril", "Mayo", "Junio", "Julio", "Agosto", "Septiembre", "Octubre", "Noviembre"}, 0)-MONTH('BD Asesor'!D14), 3)=0),
    AND('BD Asesor'!H14="Semestral", MOD(MATCH($B$2, {"Enero", "Febrero", "Marzo", "Abril", "Mayo", "Junio", "Julio", "Agosto", "Septiembre", "Octubre", "Noviembre"}, 0)-MONTH('BD Asesor'!D14), 6)=0),
    AND('BD Asesor'!H14="Anual", MONTH('BD Asesor'!D14)=MATCH($B$2, {"Enero", "Febrero", "Marzo", "Abril", "Mayo", "Junio", "Julio", "Agosto", "Septiembre", "Octubre", "Noviembre"}, 0))
), 'BD Asesor'!L14, "")
</f>
        <v/>
      </c>
      <c r="N12" s="84" t="str">
        <f>IFERROR(__xludf.DUMMYFUNCTION("""COMPUTED_VALUE"""),"ALEXA GISELLE INFANTE JAIME")</f>
        <v>ALEXA GISELLE INFANTE JAIME</v>
      </c>
      <c r="O12" s="84" t="str">
        <f>IFERROR(__xludf.DUMMYFUNCTION("""COMPUTED_VALUE"""),"M")</f>
        <v>M</v>
      </c>
      <c r="P12" s="84" t="str">
        <f>IFERROR(__xludf.DUMMYFUNCTION("""COMPUTED_VALUE"""),"Activo")</f>
        <v>Activo</v>
      </c>
      <c r="Q12" s="199">
        <f>IFERROR(__xludf.DUMMYFUNCTION("""COMPUTED_VALUE"""),44125.0)</f>
        <v>44125</v>
      </c>
      <c r="R12" s="84" t="str">
        <f>IFERROR(__xludf.DUMMYFUNCTION("""COMPUTED_VALUE"""),"GM0000496075")</f>
        <v>GM0000496075</v>
      </c>
      <c r="S12" s="76">
        <f>IFERROR(__xludf.DUMMYFUNCTION("""COMPUTED_VALUE"""),18513.96)</f>
        <v>18513.96</v>
      </c>
      <c r="T12" s="84" t="str">
        <f>IFERROR(__xludf.DUMMYFUNCTION("""COMPUTED_VALUE"""),"MXN")</f>
        <v>MXN</v>
      </c>
      <c r="U12" s="84" t="str">
        <f>IFERROR(__xludf.DUMMYFUNCTION("""COMPUTED_VALUE"""),"Mensual")</f>
        <v>Mensual</v>
      </c>
      <c r="V12" s="84" t="str">
        <f>IFERROR(__xludf.DUMMYFUNCTION("""COMPUTED_VALUE"""),"TC")</f>
        <v>TC</v>
      </c>
      <c r="W12" s="84" t="str">
        <f>IFERROR(__xludf.DUMMYFUNCTION("""COMPUTED_VALUE"""),"Gastos Médicos ")</f>
        <v>Gastos Médicos </v>
      </c>
    </row>
    <row r="13">
      <c r="C13" s="84" t="str">
        <f t="array" ref="C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Asesor'!A15, "")
</f>
        <v>ALEJANDRA DEL CARMEN UREÑA CASILLAS</v>
      </c>
      <c r="D13" s="84" t="str">
        <f t="array" ref="D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Asesor'!B15, "")
</f>
        <v>M</v>
      </c>
      <c r="E13" s="212" t="str">
        <f t="array" ref="E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Asesor'!C15, "")
</f>
        <v>Activo</v>
      </c>
      <c r="F13" s="213">
        <f t="array" ref="F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Asesor'!D15, "")
</f>
        <v>43893</v>
      </c>
      <c r="G13" s="212" t="str">
        <f t="array" ref="G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Asesor'!E15, "")
</f>
        <v>VI0002521501</v>
      </c>
      <c r="H13" s="76">
        <f t="array" ref="H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Asesor'!F15, "")
</f>
        <v>40562.9775</v>
      </c>
      <c r="I13" s="84" t="str">
        <f t="array" ref="I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Asesor'!G15, "")
</f>
        <v>UDIS</v>
      </c>
      <c r="J13" s="84" t="str">
        <f t="array" ref="J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Asesor'!H15, "")
</f>
        <v>Anual</v>
      </c>
      <c r="K13" s="84" t="str">
        <f t="array" ref="K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Asesor'!K15, "")
</f>
        <v>TD</v>
      </c>
      <c r="L13" s="84" t="str">
        <f t="array" ref="L13">IF(OR(
    AND('BD Asesor'!H15="Mensual", MATCH($B$2, {"Enero", "Febrero", "Marzo", "Abril", "Mayo", "Junio", "Julio", "Agosto", "Septiembre", "Octubre", "Noviembre", "Diciembre"}, 0)&gt;=1),
    AND('BD Asesor'!H15="Trimestral", MOD(MATCH($B$2, {"Enero", "Febrero", "Marzo", "Abril", "Mayo", "Junio", "Julio", "Agosto", "Septiembre", "Octubre", "Noviembre"}, 0)-MONTH('BD Asesor'!D15), 3)=0),
    AND('BD Asesor'!H15="Semestral", MOD(MATCH($B$2, {"Enero", "Febrero", "Marzo", "Abril", "Mayo", "Junio", "Julio", "Agosto", "Septiembre", "Octubre", "Noviembre"}, 0)-MONTH('BD Asesor'!D15), 6)=0),
    AND('BD Asesor'!H15="Anual", MONTH('BD Asesor'!D15)=MATCH($B$2, {"Enero", "Febrero", "Marzo", "Abril", "Mayo", "Junio", "Julio", "Agosto", "Septiembre", "Octubre", "Noviembre"}, 0))
), 'BD Asesor'!L15, "")
</f>
        <v>Vida</v>
      </c>
      <c r="N13" s="84" t="str">
        <f>IFERROR(__xludf.DUMMYFUNCTION("""COMPUTED_VALUE"""),"ANA KAREN MUÑIZ CHAVEZ")</f>
        <v>ANA KAREN MUÑIZ CHAVEZ</v>
      </c>
      <c r="O13" s="84" t="str">
        <f>IFERROR(__xludf.DUMMYFUNCTION("""COMPUTED_VALUE"""),"M")</f>
        <v>M</v>
      </c>
      <c r="P13" s="84" t="str">
        <f>IFERROR(__xludf.DUMMYFUNCTION("""COMPUTED_VALUE"""),"Activo")</f>
        <v>Activo</v>
      </c>
      <c r="Q13" s="199">
        <f>IFERROR(__xludf.DUMMYFUNCTION("""COMPUTED_VALUE"""),44241.0)</f>
        <v>44241</v>
      </c>
      <c r="R13" s="84" t="str">
        <f>IFERROR(__xludf.DUMMYFUNCTION("""COMPUTED_VALUE"""),"GM0000513096")</f>
        <v>GM0000513096</v>
      </c>
      <c r="S13" s="76">
        <f>IFERROR(__xludf.DUMMYFUNCTION("""COMPUTED_VALUE"""),18513.96)</f>
        <v>18513.96</v>
      </c>
      <c r="T13" s="84" t="str">
        <f>IFERROR(__xludf.DUMMYFUNCTION("""COMPUTED_VALUE"""),"MXN")</f>
        <v>MXN</v>
      </c>
      <c r="U13" s="84" t="str">
        <f>IFERROR(__xludf.DUMMYFUNCTION("""COMPUTED_VALUE"""),"Mensual")</f>
        <v>Mensual</v>
      </c>
      <c r="V13" s="84" t="str">
        <f>IFERROR(__xludf.DUMMYFUNCTION("""COMPUTED_VALUE"""),"TD")</f>
        <v>TD</v>
      </c>
      <c r="W13" s="84" t="str">
        <f>IFERROR(__xludf.DUMMYFUNCTION("""COMPUTED_VALUE"""),"Gastos Médicos ")</f>
        <v>Gastos Médicos </v>
      </c>
    </row>
    <row r="14">
      <c r="C14" s="84" t="str">
        <f t="array" ref="C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Asesor'!A16, "")
</f>
        <v/>
      </c>
      <c r="D14" s="84" t="str">
        <f t="array" ref="D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Asesor'!B16, "")
</f>
        <v/>
      </c>
      <c r="E14" s="212" t="str">
        <f t="array" ref="E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Asesor'!C16, "")
</f>
        <v/>
      </c>
      <c r="F14" s="212" t="str">
        <f t="array" ref="F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Asesor'!D16, "")
</f>
        <v/>
      </c>
      <c r="G14" s="212" t="str">
        <f t="array" ref="G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Asesor'!E16, "")
</f>
        <v/>
      </c>
      <c r="H14" s="84" t="str">
        <f t="array" ref="H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Asesor'!F16, "")
</f>
        <v/>
      </c>
      <c r="I14" s="84" t="str">
        <f t="array" ref="I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Asesor'!G16, "")
</f>
        <v/>
      </c>
      <c r="J14" s="84" t="str">
        <f t="array" ref="J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Asesor'!H16, "")
</f>
        <v/>
      </c>
      <c r="K14" s="84" t="str">
        <f t="array" ref="K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Asesor'!K16, "")
</f>
        <v/>
      </c>
      <c r="L14" s="84" t="str">
        <f t="array" ref="L14">IF(OR(
    AND('BD Asesor'!H16="Mensual", MATCH($B$2, {"Enero", "Febrero", "Marzo", "Abril", "Mayo", "Junio", "Julio", "Agosto", "Septiembre", "Octubre", "Noviembre", "Diciembre"}, 0)&gt;=1),
    AND('BD Asesor'!H16="Trimestral", MOD(MATCH($B$2, {"Enero", "Febrero", "Marzo", "Abril", "Mayo", "Junio", "Julio", "Agosto", "Septiembre", "Octubre", "Noviembre"}, 0)-MONTH('BD Asesor'!D16), 3)=0),
    AND('BD Asesor'!H16="Semestral", MOD(MATCH($B$2, {"Enero", "Febrero", "Marzo", "Abril", "Mayo", "Junio", "Julio", "Agosto", "Septiembre", "Octubre", "Noviembre"}, 0)-MONTH('BD Asesor'!D16), 6)=0),
    AND('BD Asesor'!H16="Anual", MONTH('BD Asesor'!D16)=MATCH($B$2, {"Enero", "Febrero", "Marzo", "Abril", "Mayo", "Junio", "Julio", "Agosto", "Septiembre", "Octubre", "Noviembre"}, 0))
), 'BD Asesor'!L16, "")
</f>
        <v/>
      </c>
      <c r="N14" s="84" t="str">
        <f>IFERROR(__xludf.DUMMYFUNCTION("""COMPUTED_VALUE"""),"ANA PAULA GONZALEZ LUNA NIÑO")</f>
        <v>ANA PAULA GONZALEZ LUNA NIÑO</v>
      </c>
      <c r="O14" s="84" t="str">
        <f>IFERROR(__xludf.DUMMYFUNCTION("""COMPUTED_VALUE"""),"M")</f>
        <v>M</v>
      </c>
      <c r="P14" s="84" t="str">
        <f>IFERROR(__xludf.DUMMYFUNCTION("""COMPUTED_VALUE"""),"Activo")</f>
        <v>Activo</v>
      </c>
      <c r="Q14" s="199">
        <f>IFERROR(__xludf.DUMMYFUNCTION("""COMPUTED_VALUE"""),44146.0)</f>
        <v>44146</v>
      </c>
      <c r="R14" s="84" t="str">
        <f>IFERROR(__xludf.DUMMYFUNCTION("""COMPUTED_VALUE"""),"VI0002566080")</f>
        <v>VI0002566080</v>
      </c>
      <c r="S14" s="76">
        <f>IFERROR(__xludf.DUMMYFUNCTION("""COMPUTED_VALUE"""),27410.848560000002)</f>
        <v>27410.84856</v>
      </c>
      <c r="T14" s="84" t="str">
        <f>IFERROR(__xludf.DUMMYFUNCTION("""COMPUTED_VALUE"""),"UDIS")</f>
        <v>UDIS</v>
      </c>
      <c r="U14" s="84" t="str">
        <f>IFERROR(__xludf.DUMMYFUNCTION("""COMPUTED_VALUE"""),"Mensual")</f>
        <v>Mensual</v>
      </c>
      <c r="V14" s="84" t="str">
        <f>IFERROR(__xludf.DUMMYFUNCTION("""COMPUTED_VALUE"""),"TD")</f>
        <v>TD</v>
      </c>
      <c r="W14" s="84" t="str">
        <f>IFERROR(__xludf.DUMMYFUNCTION("""COMPUTED_VALUE"""),"Vida")</f>
        <v>Vida</v>
      </c>
    </row>
    <row r="15">
      <c r="C15" s="84" t="str">
        <f t="array" ref="C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Asesor'!A17, "")
</f>
        <v/>
      </c>
      <c r="D15" s="84" t="str">
        <f t="array" ref="D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Asesor'!B17, "")
</f>
        <v/>
      </c>
      <c r="E15" s="212" t="str">
        <f t="array" ref="E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Asesor'!C17, "")
</f>
        <v/>
      </c>
      <c r="F15" s="212" t="str">
        <f t="array" ref="F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Asesor'!D17, "")
</f>
        <v/>
      </c>
      <c r="G15" s="212" t="str">
        <f t="array" ref="G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Asesor'!E17, "")
</f>
        <v/>
      </c>
      <c r="H15" s="84" t="str">
        <f t="array" ref="H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Asesor'!F17, "")
</f>
        <v/>
      </c>
      <c r="I15" s="84" t="str">
        <f t="array" ref="I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Asesor'!G17, "")
</f>
        <v/>
      </c>
      <c r="J15" s="84" t="str">
        <f t="array" ref="J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Asesor'!H17, "")
</f>
        <v/>
      </c>
      <c r="K15" s="84" t="str">
        <f t="array" ref="K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Asesor'!K17, "")
</f>
        <v/>
      </c>
      <c r="L15" s="84" t="str">
        <f t="array" ref="L15">IF(OR(
    AND('BD Asesor'!H17="Mensual", MATCH($B$2, {"Enero", "Febrero", "Marzo", "Abril", "Mayo", "Junio", "Julio", "Agosto", "Septiembre", "Octubre", "Noviembre", "Diciembre"}, 0)&gt;=1),
    AND('BD Asesor'!H17="Trimestral", MOD(MATCH($B$2, {"Enero", "Febrero", "Marzo", "Abril", "Mayo", "Junio", "Julio", "Agosto", "Septiembre", "Octubre", "Noviembre"}, 0)-MONTH('BD Asesor'!D17), 3)=0),
    AND('BD Asesor'!H17="Semestral", MOD(MATCH($B$2, {"Enero", "Febrero", "Marzo", "Abril", "Mayo", "Junio", "Julio", "Agosto", "Septiembre", "Octubre", "Noviembre"}, 0)-MONTH('BD Asesor'!D17), 6)=0),
    AND('BD Asesor'!H17="Anual", MONTH('BD Asesor'!D17)=MATCH($B$2, {"Enero", "Febrero", "Marzo", "Abril", "Mayo", "Junio", "Julio", "Agosto", "Septiembre", "Octubre", "Noviembre"}, 0))
), 'BD Asesor'!L17, "")
</f>
        <v/>
      </c>
      <c r="N15" s="84" t="str">
        <f>IFERROR(__xludf.DUMMYFUNCTION("""COMPUTED_VALUE"""),"ANDREA HERNANDEZ MERCADO")</f>
        <v>ANDREA HERNANDEZ MERCADO</v>
      </c>
      <c r="O15" s="84" t="str">
        <f>IFERROR(__xludf.DUMMYFUNCTION("""COMPUTED_VALUE"""),"M")</f>
        <v>M</v>
      </c>
      <c r="P15" s="84" t="str">
        <f>IFERROR(__xludf.DUMMYFUNCTION("""COMPUTED_VALUE"""),"Activo")</f>
        <v>Activo</v>
      </c>
      <c r="Q15" s="199">
        <f>IFERROR(__xludf.DUMMYFUNCTION("""COMPUTED_VALUE"""),44278.0)</f>
        <v>44278</v>
      </c>
      <c r="R15" s="84" t="str">
        <f>IFERROR(__xludf.DUMMYFUNCTION("""COMPUTED_VALUE"""),"VI0002591407")</f>
        <v>VI0002591407</v>
      </c>
      <c r="S15" s="76">
        <f>IFERROR(__xludf.DUMMYFUNCTION("""COMPUTED_VALUE"""),15254.72816)</f>
        <v>15254.72816</v>
      </c>
      <c r="T15" s="84" t="str">
        <f>IFERROR(__xludf.DUMMYFUNCTION("""COMPUTED_VALUE"""),"UDIS")</f>
        <v>UDIS</v>
      </c>
      <c r="U15" s="84" t="str">
        <f>IFERROR(__xludf.DUMMYFUNCTION("""COMPUTED_VALUE"""),"ANUAL")</f>
        <v>ANUAL</v>
      </c>
      <c r="V15" s="84" t="str">
        <f>IFERROR(__xludf.DUMMYFUNCTION("""COMPUTED_VALUE"""),"TC")</f>
        <v>TC</v>
      </c>
      <c r="W15" s="84" t="str">
        <f>IFERROR(__xludf.DUMMYFUNCTION("""COMPUTED_VALUE"""),"Vida")</f>
        <v>Vida</v>
      </c>
    </row>
    <row r="16">
      <c r="C16" s="84" t="str">
        <f t="array" ref="C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Asesor'!A18, "")
</f>
        <v/>
      </c>
      <c r="D16" s="84" t="str">
        <f t="array" ref="D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Asesor'!B18, "")
</f>
        <v/>
      </c>
      <c r="E16" s="212" t="str">
        <f t="array" ref="E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Asesor'!C18, "")
</f>
        <v/>
      </c>
      <c r="F16" s="212" t="str">
        <f t="array" ref="F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Asesor'!D18, "")
</f>
        <v/>
      </c>
      <c r="G16" s="212" t="str">
        <f t="array" ref="G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Asesor'!E18, "")
</f>
        <v/>
      </c>
      <c r="H16" s="84" t="str">
        <f t="array" ref="H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Asesor'!F18, "")
</f>
        <v/>
      </c>
      <c r="I16" s="84" t="str">
        <f t="array" ref="I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Asesor'!G18, "")
</f>
        <v/>
      </c>
      <c r="J16" s="84" t="str">
        <f t="array" ref="J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Asesor'!H18, "")
</f>
        <v/>
      </c>
      <c r="K16" s="84" t="str">
        <f t="array" ref="K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Asesor'!K18, "")
</f>
        <v/>
      </c>
      <c r="L16" s="84" t="str">
        <f t="array" ref="L16">IF(OR(
    AND('BD Asesor'!H18="Mensual", MATCH($B$2, {"Enero", "Febrero", "Marzo", "Abril", "Mayo", "Junio", "Julio", "Agosto", "Septiembre", "Octubre", "Noviembre", "Diciembre"}, 0)&gt;=1),
    AND('BD Asesor'!H18="Trimestral", MOD(MATCH($B$2, {"Enero", "Febrero", "Marzo", "Abril", "Mayo", "Junio", "Julio", "Agosto", "Septiembre", "Octubre", "Noviembre"}, 0)-MONTH('BD Asesor'!D18), 3)=0),
    AND('BD Asesor'!H18="Semestral", MOD(MATCH($B$2, {"Enero", "Febrero", "Marzo", "Abril", "Mayo", "Junio", "Julio", "Agosto", "Septiembre", "Octubre", "Noviembre"}, 0)-MONTH('BD Asesor'!D18), 6)=0),
    AND('BD Asesor'!H18="Anual", MONTH('BD Asesor'!D18)=MATCH($B$2, {"Enero", "Febrero", "Marzo", "Abril", "Mayo", "Junio", "Julio", "Agosto", "Septiembre", "Octubre", "Noviembre"}, 0))
), 'BD Asesor'!L18, "")
</f>
        <v/>
      </c>
      <c r="N16" s="84" t="str">
        <f>IFERROR(__xludf.DUMMYFUNCTION("""COMPUTED_VALUE"""),"ANGELICA ALEJANDRA SANCHEZ DURAN")</f>
        <v>ANGELICA ALEJANDRA SANCHEZ DURAN</v>
      </c>
      <c r="O16" s="84" t="str">
        <f>IFERROR(__xludf.DUMMYFUNCTION("""COMPUTED_VALUE"""),"M")</f>
        <v>M</v>
      </c>
      <c r="P16" s="84" t="str">
        <f>IFERROR(__xludf.DUMMYFUNCTION("""COMPUTED_VALUE"""),"Activo")</f>
        <v>Activo</v>
      </c>
      <c r="Q16" s="199">
        <f>IFERROR(__xludf.DUMMYFUNCTION("""COMPUTED_VALUE"""),44185.0)</f>
        <v>44185</v>
      </c>
      <c r="R16" s="84" t="str">
        <f>IFERROR(__xludf.DUMMYFUNCTION("""COMPUTED_VALUE"""),"VI0002573965")</f>
        <v>VI0002573965</v>
      </c>
      <c r="S16" s="76">
        <f>IFERROR(__xludf.DUMMYFUNCTION("""COMPUTED_VALUE"""),20190.06464)</f>
        <v>20190.06464</v>
      </c>
      <c r="T16" s="84" t="str">
        <f>IFERROR(__xludf.DUMMYFUNCTION("""COMPUTED_VALUE"""),"UDIS")</f>
        <v>UDIS</v>
      </c>
      <c r="U16" s="84" t="str">
        <f>IFERROR(__xludf.DUMMYFUNCTION("""COMPUTED_VALUE"""),"Trimestral")</f>
        <v>Trimestral</v>
      </c>
      <c r="V16" s="84" t="str">
        <f>IFERROR(__xludf.DUMMYFUNCTION("""COMPUTED_VALUE"""),"TC")</f>
        <v>TC</v>
      </c>
      <c r="W16" s="84" t="str">
        <f>IFERROR(__xludf.DUMMYFUNCTION("""COMPUTED_VALUE"""),"Vida")</f>
        <v>Vida</v>
      </c>
    </row>
    <row r="17">
      <c r="C17" s="84" t="str">
        <f t="array" ref="C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Asesor'!A19, "")
</f>
        <v>ALEJANDRO SOTO ELIZALDE</v>
      </c>
      <c r="D17" s="84" t="str">
        <f t="array" ref="D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Asesor'!B19, "")
</f>
        <v>H</v>
      </c>
      <c r="E17" s="212" t="str">
        <f t="array" ref="E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Asesor'!C19, "")
</f>
        <v>Activo</v>
      </c>
      <c r="F17" s="213">
        <f t="array" ref="F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Asesor'!D19, "")
</f>
        <v>44467</v>
      </c>
      <c r="G17" s="212" t="str">
        <f t="array" ref="G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Asesor'!E19, "")
</f>
        <v>GM0000540142</v>
      </c>
      <c r="H17" s="76">
        <f t="array" ref="H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Asesor'!F19, "")
</f>
        <v>15641.78</v>
      </c>
      <c r="I17" s="84" t="str">
        <f t="array" ref="I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Asesor'!G19, "")
</f>
        <v>MXN</v>
      </c>
      <c r="J17" s="84" t="str">
        <f t="array" ref="J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Asesor'!H19, "")
</f>
        <v>Semestral</v>
      </c>
      <c r="K17" s="84" t="str">
        <f t="array" ref="K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Asesor'!K19, "")
</f>
        <v>TD</v>
      </c>
      <c r="L17" s="84" t="str">
        <f t="array" ref="L17">IF(OR(
    AND('BD Asesor'!H19="Mensual", MATCH($B$2, {"Enero", "Febrero", "Marzo", "Abril", "Mayo", "Junio", "Julio", "Agosto", "Septiembre", "Octubre", "Noviembre", "Diciembre"}, 0)&gt;=1),
    AND('BD Asesor'!H19="Trimestral", MOD(MATCH($B$2, {"Enero", "Febrero", "Marzo", "Abril", "Mayo", "Junio", "Julio", "Agosto", "Septiembre", "Octubre", "Noviembre"}, 0)-MONTH('BD Asesor'!D19), 3)=0),
    AND('BD Asesor'!H19="Semestral", MOD(MATCH($B$2, {"Enero", "Febrero", "Marzo", "Abril", "Mayo", "Junio", "Julio", "Agosto", "Septiembre", "Octubre", "Noviembre"}, 0)-MONTH('BD Asesor'!D19), 6)=0),
    AND('BD Asesor'!H19="Anual", MONTH('BD Asesor'!D19)=MATCH($B$2, {"Enero", "Febrero", "Marzo", "Abril", "Mayo", "Junio", "Julio", "Agosto", "Septiembre", "Octubre", "Noviembre"}, 0))
), 'BD Asesor'!L19, "")
</f>
        <v>Gastos Médicos </v>
      </c>
      <c r="N17" s="84" t="str">
        <f>IFERROR(__xludf.DUMMYFUNCTION("""COMPUTED_VALUE"""),"ARNOLD SANCHEZ SANCHEZ")</f>
        <v>ARNOLD SANCHEZ SANCHEZ</v>
      </c>
      <c r="O17" s="84" t="str">
        <f>IFERROR(__xludf.DUMMYFUNCTION("""COMPUTED_VALUE"""),"H")</f>
        <v>H</v>
      </c>
      <c r="P17" s="84" t="str">
        <f>IFERROR(__xludf.DUMMYFUNCTION("""COMPUTED_VALUE"""),"Activo")</f>
        <v>Activo</v>
      </c>
      <c r="Q17" s="199">
        <f>IFERROR(__xludf.DUMMYFUNCTION("""COMPUTED_VALUE"""),43878.0)</f>
        <v>43878</v>
      </c>
      <c r="R17" s="84" t="str">
        <f>IFERROR(__xludf.DUMMYFUNCTION("""COMPUTED_VALUE"""),"VI0002517934")</f>
        <v>VI0002517934</v>
      </c>
      <c r="S17" s="76">
        <f>IFERROR(__xludf.DUMMYFUNCTION("""COMPUTED_VALUE"""),13927.078800000001)</f>
        <v>13927.0788</v>
      </c>
      <c r="T17" s="84" t="str">
        <f>IFERROR(__xludf.DUMMYFUNCTION("""COMPUTED_VALUE"""),"UDIS")</f>
        <v>UDIS</v>
      </c>
      <c r="U17" s="84" t="str">
        <f>IFERROR(__xludf.DUMMYFUNCTION("""COMPUTED_VALUE"""),"Mensual")</f>
        <v>Mensual</v>
      </c>
      <c r="V17" s="84" t="str">
        <f>IFERROR(__xludf.DUMMYFUNCTION("""COMPUTED_VALUE"""),"TC")</f>
        <v>TC</v>
      </c>
      <c r="W17" s="84" t="str">
        <f>IFERROR(__xludf.DUMMYFUNCTION("""COMPUTED_VALUE"""),"Vida")</f>
        <v>Vida</v>
      </c>
    </row>
    <row r="18">
      <c r="C18" s="84" t="str">
        <f t="array" ref="C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Asesor'!A20, "")
</f>
        <v>ALEJANDRO VAZQUEZ RODRIGUEZ</v>
      </c>
      <c r="D18" s="84" t="str">
        <f t="array" ref="D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Asesor'!B20, "")
</f>
        <v>H</v>
      </c>
      <c r="E18" s="212" t="str">
        <f t="array" ref="E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Asesor'!C20, "")
</f>
        <v>Activo</v>
      </c>
      <c r="F18" s="213">
        <f t="array" ref="F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Asesor'!D20, "")
</f>
        <v>44042</v>
      </c>
      <c r="G18" s="212" t="str">
        <f t="array" ref="G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Asesor'!E20, "")
</f>
        <v>VI0002546462</v>
      </c>
      <c r="H18" s="76">
        <f t="array" ref="H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Asesor'!F20, "")
</f>
        <v>29765.232</v>
      </c>
      <c r="I18" s="84" t="str">
        <f t="array" ref="I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Asesor'!G20, "")
</f>
        <v>UDIS</v>
      </c>
      <c r="J18" s="84" t="str">
        <f t="array" ref="J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Asesor'!H20, "")
</f>
        <v>Mensual</v>
      </c>
      <c r="K18" s="84" t="str">
        <f t="array" ref="K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Asesor'!K20, "")
</f>
        <v>TC</v>
      </c>
      <c r="L18" s="84" t="str">
        <f t="array" ref="L18">IF(OR(
    AND('BD Asesor'!H20="Mensual", MATCH($B$2, {"Enero", "Febrero", "Marzo", "Abril", "Mayo", "Junio", "Julio", "Agosto", "Septiembre", "Octubre", "Noviembre", "Diciembre"}, 0)&gt;=1),
    AND('BD Asesor'!H20="Trimestral", MOD(MATCH($B$2, {"Enero", "Febrero", "Marzo", "Abril", "Mayo", "Junio", "Julio", "Agosto", "Septiembre", "Octubre", "Noviembre"}, 0)-MONTH('BD Asesor'!D20), 3)=0),
    AND('BD Asesor'!H20="Semestral", MOD(MATCH($B$2, {"Enero", "Febrero", "Marzo", "Abril", "Mayo", "Junio", "Julio", "Agosto", "Septiembre", "Octubre", "Noviembre"}, 0)-MONTH('BD Asesor'!D20), 6)=0),
    AND('BD Asesor'!H20="Anual", MONTH('BD Asesor'!D20)=MATCH($B$2, {"Enero", "Febrero", "Marzo", "Abril", "Mayo", "Junio", "Julio", "Agosto", "Septiembre", "Octubre", "Noviembre"}, 0))
), 'BD Asesor'!L20, "")
</f>
        <v>Vida</v>
      </c>
      <c r="N18" s="84" t="str">
        <f>IFERROR(__xludf.DUMMYFUNCTION("""COMPUTED_VALUE"""),"CARLA ANDREA MARTINEZ LAGOS")</f>
        <v>CARLA ANDREA MARTINEZ LAGOS</v>
      </c>
      <c r="O18" s="84" t="str">
        <f>IFERROR(__xludf.DUMMYFUNCTION("""COMPUTED_VALUE"""),"M")</f>
        <v>M</v>
      </c>
      <c r="P18" s="84" t="str">
        <f>IFERROR(__xludf.DUMMYFUNCTION("""COMPUTED_VALUE"""),"Activo")</f>
        <v>Activo</v>
      </c>
      <c r="Q18" s="199">
        <f>IFERROR(__xludf.DUMMYFUNCTION("""COMPUTED_VALUE"""),44632.0)</f>
        <v>44632</v>
      </c>
      <c r="R18" s="84" t="str">
        <f>IFERROR(__xludf.DUMMYFUNCTION("""COMPUTED_VALUE"""),"VI0002654798")</f>
        <v>VI0002654798</v>
      </c>
      <c r="S18" s="76">
        <f>IFERROR(__xludf.DUMMYFUNCTION("""COMPUTED_VALUE"""),36597.6746)</f>
        <v>36597.6746</v>
      </c>
      <c r="T18" s="84" t="str">
        <f>IFERROR(__xludf.DUMMYFUNCTION("""COMPUTED_VALUE"""),"UDIS")</f>
        <v>UDIS</v>
      </c>
      <c r="U18" s="84" t="str">
        <f>IFERROR(__xludf.DUMMYFUNCTION("""COMPUTED_VALUE"""),"Anual")</f>
        <v>Anual</v>
      </c>
      <c r="V18" s="84" t="str">
        <f>IFERROR(__xludf.DUMMYFUNCTION("""COMPUTED_VALUE"""),"TD")</f>
        <v>TD</v>
      </c>
      <c r="W18" s="84" t="str">
        <f>IFERROR(__xludf.DUMMYFUNCTION("""COMPUTED_VALUE"""),"Vida")</f>
        <v>Vida</v>
      </c>
    </row>
    <row r="19">
      <c r="C19" s="84" t="str">
        <f t="array" ref="C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Asesor'!A21, "")
</f>
        <v>ALEXA GISELLE INFANTE JAIME</v>
      </c>
      <c r="D19" s="84" t="str">
        <f t="array" ref="D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Asesor'!B21, "")
</f>
        <v>M</v>
      </c>
      <c r="E19" s="212" t="str">
        <f t="array" ref="E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Asesor'!C21, "")
</f>
        <v>Activo</v>
      </c>
      <c r="F19" s="213">
        <f t="array" ref="F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Asesor'!D21, "")
</f>
        <v>44125</v>
      </c>
      <c r="G19" s="212" t="str">
        <f t="array" ref="G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Asesor'!E21, "")
</f>
        <v>GM0000496075</v>
      </c>
      <c r="H19" s="76">
        <f t="array" ref="H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Asesor'!F21, "")
</f>
        <v>18513.96</v>
      </c>
      <c r="I19" s="84" t="str">
        <f t="array" ref="I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Asesor'!G21, "")
</f>
        <v>MXN</v>
      </c>
      <c r="J19" s="84" t="str">
        <f t="array" ref="J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Asesor'!H21, "")
</f>
        <v>Mensual</v>
      </c>
      <c r="K19" s="84" t="str">
        <f t="array" ref="K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Asesor'!K21, "")
</f>
        <v>TC</v>
      </c>
      <c r="L19" s="84" t="str">
        <f t="array" ref="L19">IF(OR(
    AND('BD Asesor'!H21="Mensual", MATCH($B$2, {"Enero", "Febrero", "Marzo", "Abril", "Mayo", "Junio", "Julio", "Agosto", "Septiembre", "Octubre", "Noviembre", "Diciembre"}, 0)&gt;=1),
    AND('BD Asesor'!H21="Trimestral", MOD(MATCH($B$2, {"Enero", "Febrero", "Marzo", "Abril", "Mayo", "Junio", "Julio", "Agosto", "Septiembre", "Octubre", "Noviembre"}, 0)-MONTH('BD Asesor'!D21), 3)=0),
    AND('BD Asesor'!H21="Semestral", MOD(MATCH($B$2, {"Enero", "Febrero", "Marzo", "Abril", "Mayo", "Junio", "Julio", "Agosto", "Septiembre", "Octubre", "Noviembre"}, 0)-MONTH('BD Asesor'!D21), 6)=0),
    AND('BD Asesor'!H21="Anual", MONTH('BD Asesor'!D21)=MATCH($B$2, {"Enero", "Febrero", "Marzo", "Abril", "Mayo", "Junio", "Julio", "Agosto", "Septiembre", "Octubre", "Noviembre"}, 0))
), 'BD Asesor'!L21, "")
</f>
        <v>Gastos Médicos </v>
      </c>
      <c r="N19" s="84" t="str">
        <f>IFERROR(__xludf.DUMMYFUNCTION("""COMPUTED_VALUE"""),"CARLOS CASTRO PALAZUELOS")</f>
        <v>CARLOS CASTRO PALAZUELOS</v>
      </c>
      <c r="O19" s="84" t="str">
        <f>IFERROR(__xludf.DUMMYFUNCTION("""COMPUTED_VALUE"""),"H")</f>
        <v>H</v>
      </c>
      <c r="P19" s="84" t="str">
        <f>IFERROR(__xludf.DUMMYFUNCTION("""COMPUTED_VALUE"""),"Activo")</f>
        <v>Activo</v>
      </c>
      <c r="Q19" s="199">
        <f>IFERROR(__xludf.DUMMYFUNCTION("""COMPUTED_VALUE"""),44677.0)</f>
        <v>44677</v>
      </c>
      <c r="R19" s="84" t="str">
        <f>IFERROR(__xludf.DUMMYFUNCTION("""COMPUTED_VALUE"""),"VI0002662475")</f>
        <v>VI0002662475</v>
      </c>
      <c r="S19" s="76">
        <f>IFERROR(__xludf.DUMMYFUNCTION("""COMPUTED_VALUE"""),38745.0468)</f>
        <v>38745.0468</v>
      </c>
      <c r="T19" s="84" t="str">
        <f>IFERROR(__xludf.DUMMYFUNCTION("""COMPUTED_VALUE"""),"UDIS")</f>
        <v>UDIS</v>
      </c>
      <c r="U19" s="84" t="str">
        <f>IFERROR(__xludf.DUMMYFUNCTION("""COMPUTED_VALUE"""),"Mensual")</f>
        <v>Mensual</v>
      </c>
      <c r="V19" s="84" t="str">
        <f>IFERROR(__xludf.DUMMYFUNCTION("""COMPUTED_VALUE"""),"TC")</f>
        <v>TC</v>
      </c>
      <c r="W19" s="84" t="str">
        <f>IFERROR(__xludf.DUMMYFUNCTION("""COMPUTED_VALUE"""),"Vida")</f>
        <v>Vida</v>
      </c>
    </row>
    <row r="20">
      <c r="C20" s="84" t="str">
        <f t="array" ref="C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Asesor'!A22, "")
</f>
        <v>ANA KAREN MUÑIZ CHAVEZ</v>
      </c>
      <c r="D20" s="84" t="str">
        <f t="array" ref="D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Asesor'!B22, "")
</f>
        <v>M</v>
      </c>
      <c r="E20" s="212" t="str">
        <f t="array" ref="E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Asesor'!C22, "")
</f>
        <v>Activo</v>
      </c>
      <c r="F20" s="213">
        <f t="array" ref="F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Asesor'!D22, "")
</f>
        <v>44241</v>
      </c>
      <c r="G20" s="212" t="str">
        <f t="array" ref="G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Asesor'!E22, "")
</f>
        <v>GM0000513096</v>
      </c>
      <c r="H20" s="76">
        <f t="array" ref="H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Asesor'!F22, "")
</f>
        <v>18513.96</v>
      </c>
      <c r="I20" s="84" t="str">
        <f t="array" ref="I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Asesor'!G22, "")
</f>
        <v>MXN</v>
      </c>
      <c r="J20" s="84" t="str">
        <f t="array" ref="J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Asesor'!H22, "")
</f>
        <v>Mensual</v>
      </c>
      <c r="K20" s="84" t="str">
        <f t="array" ref="K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Asesor'!K22, "")
</f>
        <v>TD</v>
      </c>
      <c r="L20" s="84" t="str">
        <f t="array" ref="L20">IF(OR(
    AND('BD Asesor'!H22="Mensual", MATCH($B$2, {"Enero", "Febrero", "Marzo", "Abril", "Mayo", "Junio", "Julio", "Agosto", "Septiembre", "Octubre", "Noviembre", "Diciembre"}, 0)&gt;=1),
    AND('BD Asesor'!H22="Trimestral", MOD(MATCH($B$2, {"Enero", "Febrero", "Marzo", "Abril", "Mayo", "Junio", "Julio", "Agosto", "Septiembre", "Octubre", "Noviembre"}, 0)-MONTH('BD Asesor'!D22), 3)=0),
    AND('BD Asesor'!H22="Semestral", MOD(MATCH($B$2, {"Enero", "Febrero", "Marzo", "Abril", "Mayo", "Junio", "Julio", "Agosto", "Septiembre", "Octubre", "Noviembre"}, 0)-MONTH('BD Asesor'!D22), 6)=0),
    AND('BD Asesor'!H22="Anual", MONTH('BD Asesor'!D22)=MATCH($B$2, {"Enero", "Febrero", "Marzo", "Abril", "Mayo", "Junio", "Julio", "Agosto", "Septiembre", "Octubre", "Noviembre"}, 0))
), 'BD Asesor'!L22, "")
</f>
        <v>Gastos Médicos </v>
      </c>
      <c r="N20" s="84" t="str">
        <f>IFERROR(__xludf.DUMMYFUNCTION("""COMPUTED_VALUE"""),"CARLOS DAVID AVILA URRUCHUA")</f>
        <v>CARLOS DAVID AVILA URRUCHUA</v>
      </c>
      <c r="O20" s="84" t="str">
        <f>IFERROR(__xludf.DUMMYFUNCTION("""COMPUTED_VALUE"""),"H")</f>
        <v>H</v>
      </c>
      <c r="P20" s="84" t="str">
        <f>IFERROR(__xludf.DUMMYFUNCTION("""COMPUTED_VALUE"""),"Activo")</f>
        <v>Activo</v>
      </c>
      <c r="Q20" s="199">
        <f>IFERROR(__xludf.DUMMYFUNCTION("""COMPUTED_VALUE"""),44389.0)</f>
        <v>44389</v>
      </c>
      <c r="R20" s="84" t="str">
        <f>IFERROR(__xludf.DUMMYFUNCTION("""COMPUTED_VALUE"""),"VI0002613039")</f>
        <v>VI0002613039</v>
      </c>
      <c r="S20" s="76">
        <f>IFERROR(__xludf.DUMMYFUNCTION("""COMPUTED_VALUE"""),67785.28344)</f>
        <v>67785.28344</v>
      </c>
      <c r="T20" s="84" t="str">
        <f>IFERROR(__xludf.DUMMYFUNCTION("""COMPUTED_VALUE"""),"UDIS")</f>
        <v>UDIS</v>
      </c>
      <c r="U20" s="84" t="str">
        <f>IFERROR(__xludf.DUMMYFUNCTION("""COMPUTED_VALUE"""),"Mensual")</f>
        <v>Mensual</v>
      </c>
      <c r="V20" s="84" t="str">
        <f>IFERROR(__xludf.DUMMYFUNCTION("""COMPUTED_VALUE"""),"TD")</f>
        <v>TD</v>
      </c>
      <c r="W20" s="84" t="str">
        <f>IFERROR(__xludf.DUMMYFUNCTION("""COMPUTED_VALUE"""),"Vida")</f>
        <v>Vida</v>
      </c>
    </row>
    <row r="21">
      <c r="C21" s="84" t="str">
        <f t="array" ref="C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Asesor'!A23, "")
</f>
        <v>ANA PAULA GONZALEZ LUNA NIÑO</v>
      </c>
      <c r="D21" s="84" t="str">
        <f t="array" ref="D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Asesor'!B23, "")
</f>
        <v>M</v>
      </c>
      <c r="E21" s="212" t="str">
        <f t="array" ref="E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Asesor'!C23, "")
</f>
        <v>Activo</v>
      </c>
      <c r="F21" s="213">
        <f t="array" ref="F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Asesor'!D23, "")
</f>
        <v>44146</v>
      </c>
      <c r="G21" s="212" t="str">
        <f t="array" ref="G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Asesor'!E23, "")
</f>
        <v>VI0002566080</v>
      </c>
      <c r="H21" s="76">
        <f t="array" ref="H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Asesor'!F23, "")
</f>
        <v>27410.84856</v>
      </c>
      <c r="I21" s="84" t="str">
        <f t="array" ref="I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Asesor'!G23, "")
</f>
        <v>UDIS</v>
      </c>
      <c r="J21" s="84" t="str">
        <f t="array" ref="J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Asesor'!H23, "")
</f>
        <v>Mensual</v>
      </c>
      <c r="K21" s="84" t="str">
        <f t="array" ref="K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Asesor'!K23, "")
</f>
        <v>TD</v>
      </c>
      <c r="L21" s="84" t="str">
        <f t="array" ref="L21">IF(OR(
    AND('BD Asesor'!H23="Mensual", MATCH($B$2, {"Enero", "Febrero", "Marzo", "Abril", "Mayo", "Junio", "Julio", "Agosto", "Septiembre", "Octubre", "Noviembre", "Diciembre"}, 0)&gt;=1),
    AND('BD Asesor'!H23="Trimestral", MOD(MATCH($B$2, {"Enero", "Febrero", "Marzo", "Abril", "Mayo", "Junio", "Julio", "Agosto", "Septiembre", "Octubre", "Noviembre"}, 0)-MONTH('BD Asesor'!D23), 3)=0),
    AND('BD Asesor'!H23="Semestral", MOD(MATCH($B$2, {"Enero", "Febrero", "Marzo", "Abril", "Mayo", "Junio", "Julio", "Agosto", "Septiembre", "Octubre", "Noviembre"}, 0)-MONTH('BD Asesor'!D23), 6)=0),
    AND('BD Asesor'!H23="Anual", MONTH('BD Asesor'!D23)=MATCH($B$2, {"Enero", "Febrero", "Marzo", "Abril", "Mayo", "Junio", "Julio", "Agosto", "Septiembre", "Octubre", "Noviembre"}, 0))
), 'BD Asesor'!L23, "")
</f>
        <v>Vida</v>
      </c>
      <c r="N21" s="84" t="str">
        <f>IFERROR(__xludf.DUMMYFUNCTION("""COMPUTED_VALUE"""),"CARLOS HUMBERTO VILLANUEVA CARMONA")</f>
        <v>CARLOS HUMBERTO VILLANUEVA CARMONA</v>
      </c>
      <c r="O21" s="84" t="str">
        <f>IFERROR(__xludf.DUMMYFUNCTION("""COMPUTED_VALUE"""),"H")</f>
        <v>H</v>
      </c>
      <c r="P21" s="84" t="str">
        <f>IFERROR(__xludf.DUMMYFUNCTION("""COMPUTED_VALUE"""),"Activo")</f>
        <v>Activo</v>
      </c>
      <c r="Q21" s="199">
        <f>IFERROR(__xludf.DUMMYFUNCTION("""COMPUTED_VALUE"""),44646.0)</f>
        <v>44646</v>
      </c>
      <c r="R21" s="84" t="str">
        <f>IFERROR(__xludf.DUMMYFUNCTION("""COMPUTED_VALUE"""),"VI0002657416")</f>
        <v>VI0002657416</v>
      </c>
      <c r="S21" s="76">
        <f>IFERROR(__xludf.DUMMYFUNCTION("""COMPUTED_VALUE"""),19822.540800000002)</f>
        <v>19822.5408</v>
      </c>
      <c r="T21" s="84" t="str">
        <f>IFERROR(__xludf.DUMMYFUNCTION("""COMPUTED_VALUE"""),"UDIS")</f>
        <v>UDIS</v>
      </c>
      <c r="U21" s="84" t="str">
        <f>IFERROR(__xludf.DUMMYFUNCTION("""COMPUTED_VALUE"""),"Mensual")</f>
        <v>Mensual</v>
      </c>
      <c r="V21" s="84" t="str">
        <f>IFERROR(__xludf.DUMMYFUNCTION("""COMPUTED_VALUE"""),"TC")</f>
        <v>TC</v>
      </c>
      <c r="W21" s="84" t="str">
        <f>IFERROR(__xludf.DUMMYFUNCTION("""COMPUTED_VALUE"""),"Vida")</f>
        <v>Vida</v>
      </c>
    </row>
    <row r="22">
      <c r="C22" s="84" t="str">
        <f t="array" ref="C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Asesor'!A24, "")
</f>
        <v>ANDREA HERNANDEZ MERCADO</v>
      </c>
      <c r="D22" s="84" t="str">
        <f t="array" ref="D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Asesor'!B24, "")
</f>
        <v>M</v>
      </c>
      <c r="E22" s="212" t="str">
        <f t="array" ref="E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Asesor'!C24, "")
</f>
        <v>Activo</v>
      </c>
      <c r="F22" s="213">
        <f t="array" ref="F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Asesor'!D24, "")
</f>
        <v>44278</v>
      </c>
      <c r="G22" s="212" t="str">
        <f t="array" ref="G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Asesor'!E24, "")
</f>
        <v>VI0002591407</v>
      </c>
      <c r="H22" s="76">
        <f t="array" ref="H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Asesor'!F24, "")
</f>
        <v>15254.72816</v>
      </c>
      <c r="I22" s="84" t="str">
        <f t="array" ref="I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Asesor'!G24, "")
</f>
        <v>UDIS</v>
      </c>
      <c r="J22" s="84" t="str">
        <f t="array" ref="J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Asesor'!H24, "")
</f>
        <v>ANUAL</v>
      </c>
      <c r="K22" s="84" t="str">
        <f t="array" ref="K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Asesor'!K24, "")
</f>
        <v>TC</v>
      </c>
      <c r="L22" s="84" t="str">
        <f t="array" ref="L22">IF(OR(
    AND('BD Asesor'!H24="Mensual", MATCH($B$2, {"Enero", "Febrero", "Marzo", "Abril", "Mayo", "Junio", "Julio", "Agosto", "Septiembre", "Octubre", "Noviembre", "Diciembre"}, 0)&gt;=1),
    AND('BD Asesor'!H24="Trimestral", MOD(MATCH($B$2, {"Enero", "Febrero", "Marzo", "Abril", "Mayo", "Junio", "Julio", "Agosto", "Septiembre", "Octubre", "Noviembre"}, 0)-MONTH('BD Asesor'!D24), 3)=0),
    AND('BD Asesor'!H24="Semestral", MOD(MATCH($B$2, {"Enero", "Febrero", "Marzo", "Abril", "Mayo", "Junio", "Julio", "Agosto", "Septiembre", "Octubre", "Noviembre"}, 0)-MONTH('BD Asesor'!D24), 6)=0),
    AND('BD Asesor'!H24="Anual", MONTH('BD Asesor'!D24)=MATCH($B$2, {"Enero", "Febrero", "Marzo", "Abril", "Mayo", "Junio", "Julio", "Agosto", "Septiembre", "Octubre", "Noviembre"}, 0))
), 'BD Asesor'!L24, "")
</f>
        <v>Vida</v>
      </c>
      <c r="N22" s="84" t="str">
        <f>IFERROR(__xludf.DUMMYFUNCTION("""COMPUTED_VALUE"""),"CARLOS VERDUZO FAVELA")</f>
        <v>CARLOS VERDUZO FAVELA</v>
      </c>
      <c r="O22" s="84" t="str">
        <f>IFERROR(__xludf.DUMMYFUNCTION("""COMPUTED_VALUE"""),"H")</f>
        <v>H</v>
      </c>
      <c r="P22" s="84" t="str">
        <f>IFERROR(__xludf.DUMMYFUNCTION("""COMPUTED_VALUE"""),"Activo")</f>
        <v>Activo</v>
      </c>
      <c r="Q22" s="199">
        <f>IFERROR(__xludf.DUMMYFUNCTION("""COMPUTED_VALUE"""),44831.0)</f>
        <v>44831</v>
      </c>
      <c r="R22" s="84" t="str">
        <f>IFERROR(__xludf.DUMMYFUNCTION("""COMPUTED_VALUE"""),"VI0002692302")</f>
        <v>VI0002692302</v>
      </c>
      <c r="S22" s="76">
        <f>IFERROR(__xludf.DUMMYFUNCTION("""COMPUTED_VALUE"""),38869.956)</f>
        <v>38869.956</v>
      </c>
      <c r="T22" s="84" t="str">
        <f>IFERROR(__xludf.DUMMYFUNCTION("""COMPUTED_VALUE"""),"UDIS")</f>
        <v>UDIS</v>
      </c>
      <c r="U22" s="84" t="str">
        <f>IFERROR(__xludf.DUMMYFUNCTION("""COMPUTED_VALUE"""),"Semestral")</f>
        <v>Semestral</v>
      </c>
      <c r="V22" s="84" t="str">
        <f>IFERROR(__xludf.DUMMYFUNCTION("""COMPUTED_VALUE"""),"TD")</f>
        <v>TD</v>
      </c>
      <c r="W22" s="84" t="str">
        <f>IFERROR(__xludf.DUMMYFUNCTION("""COMPUTED_VALUE"""),"Vida")</f>
        <v>Vida</v>
      </c>
    </row>
    <row r="23">
      <c r="C23" s="84" t="str">
        <f t="array" ref="C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Asesor'!A25, "")
</f>
        <v>ANGELICA ALEJANDRA SANCHEZ DURAN</v>
      </c>
      <c r="D23" s="84" t="str">
        <f t="array" ref="D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Asesor'!B25, "")
</f>
        <v>M</v>
      </c>
      <c r="E23" s="212" t="str">
        <f t="array" ref="E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Asesor'!C25, "")
</f>
        <v>Activo</v>
      </c>
      <c r="F23" s="213">
        <f t="array" ref="F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Asesor'!D25, "")
</f>
        <v>44185</v>
      </c>
      <c r="G23" s="212" t="str">
        <f t="array" ref="G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Asesor'!E25, "")
</f>
        <v>VI0002573965</v>
      </c>
      <c r="H23" s="76">
        <f t="array" ref="H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Asesor'!F25, "")
</f>
        <v>20190.06464</v>
      </c>
      <c r="I23" s="84" t="str">
        <f t="array" ref="I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Asesor'!G25, "")
</f>
        <v>UDIS</v>
      </c>
      <c r="J23" s="84" t="str">
        <f t="array" ref="J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Asesor'!H25, "")
</f>
        <v>Trimestral</v>
      </c>
      <c r="K23" s="84" t="str">
        <f t="array" ref="K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Asesor'!K25, "")
</f>
        <v>TC</v>
      </c>
      <c r="L23" s="84" t="str">
        <f t="array" ref="L23">IF(OR(
    AND('BD Asesor'!H25="Mensual", MATCH($B$2, {"Enero", "Febrero", "Marzo", "Abril", "Mayo", "Junio", "Julio", "Agosto", "Septiembre", "Octubre", "Noviembre", "Diciembre"}, 0)&gt;=1),
    AND('BD Asesor'!H25="Trimestral", MOD(MATCH($B$2, {"Enero", "Febrero", "Marzo", "Abril", "Mayo", "Junio", "Julio", "Agosto", "Septiembre", "Octubre", "Noviembre"}, 0)-MONTH('BD Asesor'!D25), 3)=0),
    AND('BD Asesor'!H25="Semestral", MOD(MATCH($B$2, {"Enero", "Febrero", "Marzo", "Abril", "Mayo", "Junio", "Julio", "Agosto", "Septiembre", "Octubre", "Noviembre"}, 0)-MONTH('BD Asesor'!D25), 6)=0),
    AND('BD Asesor'!H25="Anual", MONTH('BD Asesor'!D25)=MATCH($B$2, {"Enero", "Febrero", "Marzo", "Abril", "Mayo", "Junio", "Julio", "Agosto", "Septiembre", "Octubre", "Noviembre"}, 0))
), 'BD Asesor'!L25, "")
</f>
        <v>Vida</v>
      </c>
      <c r="N23" s="84" t="str">
        <f>IFERROR(__xludf.DUMMYFUNCTION("""COMPUTED_VALUE"""),"CARLOS XAVIER BARBA LOPEZ")</f>
        <v>CARLOS XAVIER BARBA LOPEZ</v>
      </c>
      <c r="O23" s="84" t="str">
        <f>IFERROR(__xludf.DUMMYFUNCTION("""COMPUTED_VALUE"""),"H")</f>
        <v>H</v>
      </c>
      <c r="P23" s="84" t="str">
        <f>IFERROR(__xludf.DUMMYFUNCTION("""COMPUTED_VALUE"""),"Activo")</f>
        <v>Activo</v>
      </c>
      <c r="Q23" s="199">
        <f>IFERROR(__xludf.DUMMYFUNCTION("""COMPUTED_VALUE"""),44560.0)</f>
        <v>44560</v>
      </c>
      <c r="R23" s="84" t="str">
        <f>IFERROR(__xludf.DUMMYFUNCTION("""COMPUTED_VALUE"""),"GM0000549543")</f>
        <v>GM0000549543</v>
      </c>
      <c r="S23" s="76">
        <f>IFERROR(__xludf.DUMMYFUNCTION("""COMPUTED_VALUE"""),18327.44)</f>
        <v>18327.44</v>
      </c>
      <c r="T23" s="84" t="str">
        <f>IFERROR(__xludf.DUMMYFUNCTION("""COMPUTED_VALUE"""),"MXN")</f>
        <v>MXN</v>
      </c>
      <c r="U23" s="84" t="str">
        <f>IFERROR(__xludf.DUMMYFUNCTION("""COMPUTED_VALUE"""),"Trimestral")</f>
        <v>Trimestral</v>
      </c>
      <c r="V23" s="84" t="str">
        <f>IFERROR(__xludf.DUMMYFUNCTION("""COMPUTED_VALUE"""),"TD")</f>
        <v>TD</v>
      </c>
      <c r="W23" s="84" t="str">
        <f>IFERROR(__xludf.DUMMYFUNCTION("""COMPUTED_VALUE"""),"Gastos Médicos ")</f>
        <v>Gastos Médicos </v>
      </c>
    </row>
    <row r="24">
      <c r="C24" s="84" t="str">
        <f t="array" ref="C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Asesor'!A26, "")
</f>
        <v>ARNOLD SANCHEZ SANCHEZ</v>
      </c>
      <c r="D24" s="84" t="str">
        <f t="array" ref="D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Asesor'!B26, "")
</f>
        <v>H</v>
      </c>
      <c r="E24" s="212" t="str">
        <f t="array" ref="E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Asesor'!C26, "")
</f>
        <v>Activo</v>
      </c>
      <c r="F24" s="213">
        <f t="array" ref="F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Asesor'!D26, "")
</f>
        <v>43878</v>
      </c>
      <c r="G24" s="212" t="str">
        <f t="array" ref="G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Asesor'!E26, "")
</f>
        <v>VI0002517934</v>
      </c>
      <c r="H24" s="76">
        <f t="array" ref="H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Asesor'!F26, "")
</f>
        <v>13927.0788</v>
      </c>
      <c r="I24" s="84" t="str">
        <f t="array" ref="I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Asesor'!G26, "")
</f>
        <v>UDIS</v>
      </c>
      <c r="J24" s="84" t="str">
        <f t="array" ref="J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Asesor'!H26, "")
</f>
        <v>Mensual</v>
      </c>
      <c r="K24" s="84" t="str">
        <f t="array" ref="K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Asesor'!K26, "")
</f>
        <v>TC</v>
      </c>
      <c r="L24" s="84" t="str">
        <f t="array" ref="L24">IF(OR(
    AND('BD Asesor'!H26="Mensual", MATCH($B$2, {"Enero", "Febrero", "Marzo", "Abril", "Mayo", "Junio", "Julio", "Agosto", "Septiembre", "Octubre", "Noviembre", "Diciembre"}, 0)&gt;=1),
    AND('BD Asesor'!H26="Trimestral", MOD(MATCH($B$2, {"Enero", "Febrero", "Marzo", "Abril", "Mayo", "Junio", "Julio", "Agosto", "Septiembre", "Octubre", "Noviembre"}, 0)-MONTH('BD Asesor'!D26), 3)=0),
    AND('BD Asesor'!H26="Semestral", MOD(MATCH($B$2, {"Enero", "Febrero", "Marzo", "Abril", "Mayo", "Junio", "Julio", "Agosto", "Septiembre", "Octubre", "Noviembre"}, 0)-MONTH('BD Asesor'!D26), 6)=0),
    AND('BD Asesor'!H26="Anual", MONTH('BD Asesor'!D26)=MATCH($B$2, {"Enero", "Febrero", "Marzo", "Abril", "Mayo", "Junio", "Julio", "Agosto", "Septiembre", "Octubre", "Noviembre"}, 0))
), 'BD Asesor'!L26, "")
</f>
        <v>Vida</v>
      </c>
      <c r="N24" s="84" t="str">
        <f>IFERROR(__xludf.DUMMYFUNCTION("""COMPUTED_VALUE"""),"CESAR ISRRAEL HERNANDEZ SANCHEZ")</f>
        <v>CESAR ISRRAEL HERNANDEZ SANCHEZ</v>
      </c>
      <c r="O24" s="84" t="str">
        <f>IFERROR(__xludf.DUMMYFUNCTION("""COMPUTED_VALUE"""),"H")</f>
        <v>H</v>
      </c>
      <c r="P24" s="84" t="str">
        <f>IFERROR(__xludf.DUMMYFUNCTION("""COMPUTED_VALUE"""),"Activo")</f>
        <v>Activo</v>
      </c>
      <c r="Q24" s="199">
        <f>IFERROR(__xludf.DUMMYFUNCTION("""COMPUTED_VALUE"""),44728.0)</f>
        <v>44728</v>
      </c>
      <c r="R24" s="84" t="str">
        <f>IFERROR(__xludf.DUMMYFUNCTION("""COMPUTED_VALUE"""),"VI0002672529")</f>
        <v>VI0002672529</v>
      </c>
      <c r="S24" s="76">
        <f>IFERROR(__xludf.DUMMYFUNCTION("""COMPUTED_VALUE"""),94684.68359999999)</f>
        <v>94684.6836</v>
      </c>
      <c r="T24" s="84" t="str">
        <f>IFERROR(__xludf.DUMMYFUNCTION("""COMPUTED_VALUE"""),"UDIS")</f>
        <v>UDIS</v>
      </c>
      <c r="U24" s="84" t="str">
        <f>IFERROR(__xludf.DUMMYFUNCTION("""COMPUTED_VALUE"""),"Trimestral")</f>
        <v>Trimestral</v>
      </c>
      <c r="V24" s="84" t="str">
        <f>IFERROR(__xludf.DUMMYFUNCTION("""COMPUTED_VALUE"""),"TD")</f>
        <v>TD</v>
      </c>
      <c r="W24" s="84" t="str">
        <f>IFERROR(__xludf.DUMMYFUNCTION("""COMPUTED_VALUE"""),"Vida")</f>
        <v>Vida</v>
      </c>
    </row>
    <row r="25">
      <c r="C25" s="84" t="str">
        <f t="array" ref="C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Asesor'!A27, "")
</f>
        <v/>
      </c>
      <c r="D25" s="84" t="str">
        <f t="array" ref="D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Asesor'!B27, "")
</f>
        <v/>
      </c>
      <c r="E25" s="212" t="str">
        <f t="array" ref="E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Asesor'!C27, "")
</f>
        <v/>
      </c>
      <c r="F25" s="212" t="str">
        <f t="array" ref="F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Asesor'!D27, "")
</f>
        <v/>
      </c>
      <c r="G25" s="212" t="str">
        <f t="array" ref="G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Asesor'!E27, "")
</f>
        <v/>
      </c>
      <c r="H25" s="84" t="str">
        <f t="array" ref="H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Asesor'!F27, "")
</f>
        <v/>
      </c>
      <c r="I25" s="84" t="str">
        <f t="array" ref="I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Asesor'!G27, "")
</f>
        <v/>
      </c>
      <c r="J25" s="84" t="str">
        <f t="array" ref="J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Asesor'!H27, "")
</f>
        <v/>
      </c>
      <c r="K25" s="84" t="str">
        <f t="array" ref="K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Asesor'!K27, "")
</f>
        <v/>
      </c>
      <c r="L25" s="84" t="str">
        <f t="array" ref="L25">IF(OR(
    AND('BD Asesor'!H27="Mensual", MATCH($B$2, {"Enero", "Febrero", "Marzo", "Abril", "Mayo", "Junio", "Julio", "Agosto", "Septiembre", "Octubre", "Noviembre", "Diciembre"}, 0)&gt;=1),
    AND('BD Asesor'!H27="Trimestral", MOD(MATCH($B$2, {"Enero", "Febrero", "Marzo", "Abril", "Mayo", "Junio", "Julio", "Agosto", "Septiembre", "Octubre", "Noviembre"}, 0)-MONTH('BD Asesor'!D27), 3)=0),
    AND('BD Asesor'!H27="Semestral", MOD(MATCH($B$2, {"Enero", "Febrero", "Marzo", "Abril", "Mayo", "Junio", "Julio", "Agosto", "Septiembre", "Octubre", "Noviembre"}, 0)-MONTH('BD Asesor'!D27), 6)=0),
    AND('BD Asesor'!H27="Anual", MONTH('BD Asesor'!D27)=MATCH($B$2, {"Enero", "Febrero", "Marzo", "Abril", "Mayo", "Junio", "Julio", "Agosto", "Septiembre", "Octubre", "Noviembre"}, 0))
), 'BD Asesor'!L27, "")
</f>
        <v/>
      </c>
      <c r="N25" s="84" t="str">
        <f>IFERROR(__xludf.DUMMYFUNCTION("""COMPUTED_VALUE"""),"CINTHIA NOEMI JASSO TORRES")</f>
        <v>CINTHIA NOEMI JASSO TORRES</v>
      </c>
      <c r="O25" s="84" t="str">
        <f>IFERROR(__xludf.DUMMYFUNCTION("""COMPUTED_VALUE"""),"M")</f>
        <v>M</v>
      </c>
      <c r="P25" s="84" t="str">
        <f>IFERROR(__xludf.DUMMYFUNCTION("""COMPUTED_VALUE"""),"Activo")</f>
        <v>Activo</v>
      </c>
      <c r="Q25" s="199">
        <f>IFERROR(__xludf.DUMMYFUNCTION("""COMPUTED_VALUE"""),44826.0)</f>
        <v>44826</v>
      </c>
      <c r="R25" s="84" t="str">
        <f>IFERROR(__xludf.DUMMYFUNCTION("""COMPUTED_VALUE"""),"VI0002690934")</f>
        <v>VI0002690934</v>
      </c>
      <c r="S25" s="76">
        <f>IFERROR(__xludf.DUMMYFUNCTION("""COMPUTED_VALUE"""),39051.72)</f>
        <v>39051.72</v>
      </c>
      <c r="T25" s="84" t="str">
        <f>IFERROR(__xludf.DUMMYFUNCTION("""COMPUTED_VALUE"""),"UDIS")</f>
        <v>UDIS</v>
      </c>
      <c r="U25" s="84" t="str">
        <f>IFERROR(__xludf.DUMMYFUNCTION("""COMPUTED_VALUE"""),"Mensual")</f>
        <v>Mensual</v>
      </c>
      <c r="V25" s="84" t="str">
        <f>IFERROR(__xludf.DUMMYFUNCTION("""COMPUTED_VALUE"""),"TC")</f>
        <v>TC</v>
      </c>
      <c r="W25" s="84" t="str">
        <f>IFERROR(__xludf.DUMMYFUNCTION("""COMPUTED_VALUE"""),"Vida")</f>
        <v>Vida</v>
      </c>
    </row>
    <row r="26">
      <c r="C26" s="84" t="str">
        <f t="array" ref="C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Asesor'!A28, "")
</f>
        <v/>
      </c>
      <c r="D26" s="84" t="str">
        <f t="array" ref="D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Asesor'!B28, "")
</f>
        <v/>
      </c>
      <c r="E26" s="212" t="str">
        <f t="array" ref="E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Asesor'!C28, "")
</f>
        <v/>
      </c>
      <c r="F26" s="212" t="str">
        <f t="array" ref="F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Asesor'!D28, "")
</f>
        <v/>
      </c>
      <c r="G26" s="212" t="str">
        <f t="array" ref="G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Asesor'!E28, "")
</f>
        <v/>
      </c>
      <c r="H26" s="84" t="str">
        <f t="array" ref="H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Asesor'!F28, "")
</f>
        <v/>
      </c>
      <c r="I26" s="84" t="str">
        <f t="array" ref="I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Asesor'!G28, "")
</f>
        <v/>
      </c>
      <c r="J26" s="84" t="str">
        <f t="array" ref="J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Asesor'!H28, "")
</f>
        <v/>
      </c>
      <c r="K26" s="84" t="str">
        <f t="array" ref="K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Asesor'!K28, "")
</f>
        <v/>
      </c>
      <c r="L26" s="84" t="str">
        <f t="array" ref="L26">IF(OR(
    AND('BD Asesor'!H28="Mensual", MATCH($B$2, {"Enero", "Febrero", "Marzo", "Abril", "Mayo", "Junio", "Julio", "Agosto", "Septiembre", "Octubre", "Noviembre", "Diciembre"}, 0)&gt;=1),
    AND('BD Asesor'!H28="Trimestral", MOD(MATCH($B$2, {"Enero", "Febrero", "Marzo", "Abril", "Mayo", "Junio", "Julio", "Agosto", "Septiembre", "Octubre", "Noviembre"}, 0)-MONTH('BD Asesor'!D28), 3)=0),
    AND('BD Asesor'!H28="Semestral", MOD(MATCH($B$2, {"Enero", "Febrero", "Marzo", "Abril", "Mayo", "Junio", "Julio", "Agosto", "Septiembre", "Octubre", "Noviembre"}, 0)-MONTH('BD Asesor'!D28), 6)=0),
    AND('BD Asesor'!H28="Anual", MONTH('BD Asesor'!D28)=MATCH($B$2, {"Enero", "Febrero", "Marzo", "Abril", "Mayo", "Junio", "Julio", "Agosto", "Septiembre", "Octubre", "Noviembre"}, 0))
), 'BD Asesor'!L28, "")
</f>
        <v/>
      </c>
      <c r="N26" s="84" t="str">
        <f>IFERROR(__xludf.DUMMYFUNCTION("""COMPUTED_VALUE"""),"DANIELA CABRAL ROMO")</f>
        <v>DANIELA CABRAL ROMO</v>
      </c>
      <c r="O26" s="84" t="str">
        <f>IFERROR(__xludf.DUMMYFUNCTION("""COMPUTED_VALUE"""),"M")</f>
        <v>M</v>
      </c>
      <c r="P26" s="84" t="str">
        <f>IFERROR(__xludf.DUMMYFUNCTION("""COMPUTED_VALUE"""),"Activo")</f>
        <v>Activo</v>
      </c>
      <c r="Q26" s="199">
        <f>IFERROR(__xludf.DUMMYFUNCTION("""COMPUTED_VALUE"""),44413.0)</f>
        <v>44413</v>
      </c>
      <c r="R26" s="84" t="str">
        <f>IFERROR(__xludf.DUMMYFUNCTION("""COMPUTED_VALUE"""),"VI0002617376")</f>
        <v>VI0002617376</v>
      </c>
      <c r="S26" s="76">
        <f>IFERROR(__xludf.DUMMYFUNCTION("""COMPUTED_VALUE"""),23177.631600000004)</f>
        <v>23177.6316</v>
      </c>
      <c r="T26" s="84" t="str">
        <f>IFERROR(__xludf.DUMMYFUNCTION("""COMPUTED_VALUE"""),"UDIS")</f>
        <v>UDIS</v>
      </c>
      <c r="U26" s="84" t="str">
        <f>IFERROR(__xludf.DUMMYFUNCTION("""COMPUTED_VALUE"""),"Mensual")</f>
        <v>Mensual</v>
      </c>
      <c r="V26" s="84" t="str">
        <f>IFERROR(__xludf.DUMMYFUNCTION("""COMPUTED_VALUE"""),"TC")</f>
        <v>TC</v>
      </c>
      <c r="W26" s="84" t="str">
        <f>IFERROR(__xludf.DUMMYFUNCTION("""COMPUTED_VALUE"""),"Vida")</f>
        <v>Vida</v>
      </c>
    </row>
    <row r="27">
      <c r="C27" s="84" t="str">
        <f t="array" ref="C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Asesor'!A29, "")
</f>
        <v/>
      </c>
      <c r="D27" s="84" t="str">
        <f t="array" ref="D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Asesor'!B29, "")
</f>
        <v/>
      </c>
      <c r="E27" s="212" t="str">
        <f t="array" ref="E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Asesor'!C29, "")
</f>
        <v/>
      </c>
      <c r="F27" s="212" t="str">
        <f t="array" ref="F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Asesor'!D29, "")
</f>
        <v/>
      </c>
      <c r="G27" s="212" t="str">
        <f t="array" ref="G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Asesor'!E29, "")
</f>
        <v/>
      </c>
      <c r="H27" s="84" t="str">
        <f t="array" ref="H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Asesor'!F29, "")
</f>
        <v/>
      </c>
      <c r="I27" s="84" t="str">
        <f t="array" ref="I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Asesor'!G29, "")
</f>
        <v/>
      </c>
      <c r="J27" s="84" t="str">
        <f t="array" ref="J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Asesor'!H29, "")
</f>
        <v/>
      </c>
      <c r="K27" s="84" t="str">
        <f t="array" ref="K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Asesor'!K29, "")
</f>
        <v/>
      </c>
      <c r="L27" s="84" t="str">
        <f t="array" ref="L27">IF(OR(
    AND('BD Asesor'!H29="Mensual", MATCH($B$2, {"Enero", "Febrero", "Marzo", "Abril", "Mayo", "Junio", "Julio", "Agosto", "Septiembre", "Octubre", "Noviembre", "Diciembre"}, 0)&gt;=1),
    AND('BD Asesor'!H29="Trimestral", MOD(MATCH($B$2, {"Enero", "Febrero", "Marzo", "Abril", "Mayo", "Junio", "Julio", "Agosto", "Septiembre", "Octubre", "Noviembre"}, 0)-MONTH('BD Asesor'!D29), 3)=0),
    AND('BD Asesor'!H29="Semestral", MOD(MATCH($B$2, {"Enero", "Febrero", "Marzo", "Abril", "Mayo", "Junio", "Julio", "Agosto", "Septiembre", "Octubre", "Noviembre"}, 0)-MONTH('BD Asesor'!D29), 6)=0),
    AND('BD Asesor'!H29="Anual", MONTH('BD Asesor'!D29)=MATCH($B$2, {"Enero", "Febrero", "Marzo", "Abril", "Mayo", "Junio", "Julio", "Agosto", "Septiembre", "Octubre", "Noviembre"}, 0))
), 'BD Asesor'!L29, "")
</f>
        <v/>
      </c>
      <c r="N27" s="84" t="str">
        <f>IFERROR(__xludf.DUMMYFUNCTION("""COMPUTED_VALUE"""),"DANIELA NIETO MORAN")</f>
        <v>DANIELA NIETO MORAN</v>
      </c>
      <c r="O27" s="84" t="str">
        <f>IFERROR(__xludf.DUMMYFUNCTION("""COMPUTED_VALUE"""),"M")</f>
        <v>M</v>
      </c>
      <c r="P27" s="84" t="str">
        <f>IFERROR(__xludf.DUMMYFUNCTION("""COMPUTED_VALUE"""),"Activo")</f>
        <v>Activo</v>
      </c>
      <c r="Q27" s="199">
        <f>IFERROR(__xludf.DUMMYFUNCTION("""COMPUTED_VALUE"""),44235.0)</f>
        <v>44235</v>
      </c>
      <c r="R27" s="84" t="str">
        <f>IFERROR(__xludf.DUMMYFUNCTION("""COMPUTED_VALUE"""),"VI0002583535")</f>
        <v>VI0002583535</v>
      </c>
      <c r="S27" s="76">
        <f>IFERROR(__xludf.DUMMYFUNCTION("""COMPUTED_VALUE"""),31768.77288)</f>
        <v>31768.77288</v>
      </c>
      <c r="T27" s="84" t="str">
        <f>IFERROR(__xludf.DUMMYFUNCTION("""COMPUTED_VALUE"""),"UDIS")</f>
        <v>UDIS</v>
      </c>
      <c r="U27" s="84" t="str">
        <f>IFERROR(__xludf.DUMMYFUNCTION("""COMPUTED_VALUE"""),"Mensual")</f>
        <v>Mensual</v>
      </c>
      <c r="V27" s="84" t="str">
        <f>IFERROR(__xludf.DUMMYFUNCTION("""COMPUTED_VALUE"""),"TC")</f>
        <v>TC</v>
      </c>
      <c r="W27" s="84" t="str">
        <f>IFERROR(__xludf.DUMMYFUNCTION("""COMPUTED_VALUE"""),"Vida")</f>
        <v>Vida</v>
      </c>
    </row>
    <row r="28">
      <c r="C28" s="84" t="str">
        <f t="array" ref="C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Asesor'!A30, "")
</f>
        <v/>
      </c>
      <c r="D28" s="84" t="str">
        <f t="array" ref="D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Asesor'!B30, "")
</f>
        <v/>
      </c>
      <c r="E28" s="212" t="str">
        <f t="array" ref="E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Asesor'!C30, "")
</f>
        <v/>
      </c>
      <c r="F28" s="212" t="str">
        <f t="array" ref="F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Asesor'!D30, "")
</f>
        <v/>
      </c>
      <c r="G28" s="212" t="str">
        <f t="array" ref="G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Asesor'!E30, "")
</f>
        <v/>
      </c>
      <c r="H28" s="84" t="str">
        <f t="array" ref="H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Asesor'!F30, "")
</f>
        <v/>
      </c>
      <c r="I28" s="84" t="str">
        <f t="array" ref="I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Asesor'!G30, "")
</f>
        <v/>
      </c>
      <c r="J28" s="84" t="str">
        <f t="array" ref="J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Asesor'!H30, "")
</f>
        <v/>
      </c>
      <c r="K28" s="84" t="str">
        <f t="array" ref="K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Asesor'!K30, "")
</f>
        <v/>
      </c>
      <c r="L28" s="84" t="str">
        <f t="array" ref="L28">IF(OR(
    AND('BD Asesor'!H30="Mensual", MATCH($B$2, {"Enero", "Febrero", "Marzo", "Abril", "Mayo", "Junio", "Julio", "Agosto", "Septiembre", "Octubre", "Noviembre", "Diciembre"}, 0)&gt;=1),
    AND('BD Asesor'!H30="Trimestral", MOD(MATCH($B$2, {"Enero", "Febrero", "Marzo", "Abril", "Mayo", "Junio", "Julio", "Agosto", "Septiembre", "Octubre", "Noviembre"}, 0)-MONTH('BD Asesor'!D30), 3)=0),
    AND('BD Asesor'!H30="Semestral", MOD(MATCH($B$2, {"Enero", "Febrero", "Marzo", "Abril", "Mayo", "Junio", "Julio", "Agosto", "Septiembre", "Octubre", "Noviembre"}, 0)-MONTH('BD Asesor'!D30), 6)=0),
    AND('BD Asesor'!H30="Anual", MONTH('BD Asesor'!D30)=MATCH($B$2, {"Enero", "Febrero", "Marzo", "Abril", "Mayo", "Junio", "Julio", "Agosto", "Septiembre", "Octubre", "Noviembre"}, 0))
), 'BD Asesor'!L30, "")
</f>
        <v/>
      </c>
      <c r="N28" s="84" t="str">
        <f>IFERROR(__xludf.DUMMYFUNCTION("""COMPUTED_VALUE"""),"DARINKA UREÑA CASILLAS")</f>
        <v>DARINKA UREÑA CASILLAS</v>
      </c>
      <c r="O28" s="84" t="str">
        <f>IFERROR(__xludf.DUMMYFUNCTION("""COMPUTED_VALUE"""),"M")</f>
        <v>M</v>
      </c>
      <c r="P28" s="84" t="str">
        <f>IFERROR(__xludf.DUMMYFUNCTION("""COMPUTED_VALUE"""),"Activo")</f>
        <v>Activo</v>
      </c>
      <c r="Q28" s="199">
        <f>IFERROR(__xludf.DUMMYFUNCTION("""COMPUTED_VALUE"""),44343.0)</f>
        <v>44343</v>
      </c>
      <c r="R28" s="84" t="str">
        <f>IFERROR(__xludf.DUMMYFUNCTION("""COMPUTED_VALUE"""),"GM0000526123")</f>
        <v>GM0000526123</v>
      </c>
      <c r="S28" s="76">
        <f>IFERROR(__xludf.DUMMYFUNCTION("""COMPUTED_VALUE"""),17055.12)</f>
        <v>17055.12</v>
      </c>
      <c r="T28" s="84" t="str">
        <f>IFERROR(__xludf.DUMMYFUNCTION("""COMPUTED_VALUE"""),"MXN")</f>
        <v>MXN</v>
      </c>
      <c r="U28" s="84" t="str">
        <f>IFERROR(__xludf.DUMMYFUNCTION("""COMPUTED_VALUE"""),"Mensual")</f>
        <v>Mensual</v>
      </c>
      <c r="V28" s="84" t="str">
        <f>IFERROR(__xludf.DUMMYFUNCTION("""COMPUTED_VALUE"""),"TC")</f>
        <v>TC</v>
      </c>
      <c r="W28" s="84" t="str">
        <f>IFERROR(__xludf.DUMMYFUNCTION("""COMPUTED_VALUE"""),"Gastos Médicos ")</f>
        <v>Gastos Médicos </v>
      </c>
    </row>
    <row r="29">
      <c r="C29" s="84" t="str">
        <f t="array" ref="C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Asesor'!A31, "")
</f>
        <v>CARLA ANDREA MARTINEZ LAGOS</v>
      </c>
      <c r="D29" s="84" t="str">
        <f t="array" ref="D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Asesor'!B31, "")
</f>
        <v>M</v>
      </c>
      <c r="E29" s="212" t="str">
        <f t="array" ref="E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Asesor'!C31, "")
</f>
        <v>Activo</v>
      </c>
      <c r="F29" s="213">
        <f t="array" ref="F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Asesor'!D31, "")
</f>
        <v>44632</v>
      </c>
      <c r="G29" s="212" t="str">
        <f t="array" ref="G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Asesor'!E31, "")
</f>
        <v>VI0002654798</v>
      </c>
      <c r="H29" s="76">
        <f t="array" ref="H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Asesor'!F31, "")
</f>
        <v>36597.6746</v>
      </c>
      <c r="I29" s="84" t="str">
        <f t="array" ref="I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Asesor'!G31, "")
</f>
        <v>UDIS</v>
      </c>
      <c r="J29" s="84" t="str">
        <f t="array" ref="J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Asesor'!H31, "")
</f>
        <v>Anual</v>
      </c>
      <c r="K29" s="84" t="str">
        <f t="array" ref="K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Asesor'!K31, "")
</f>
        <v>TD</v>
      </c>
      <c r="L29" s="84" t="str">
        <f t="array" ref="L29">IF(OR(
    AND('BD Asesor'!H31="Mensual", MATCH($B$2, {"Enero", "Febrero", "Marzo", "Abril", "Mayo", "Junio", "Julio", "Agosto", "Septiembre", "Octubre", "Noviembre", "Diciembre"}, 0)&gt;=1),
    AND('BD Asesor'!H31="Trimestral", MOD(MATCH($B$2, {"Enero", "Febrero", "Marzo", "Abril", "Mayo", "Junio", "Julio", "Agosto", "Septiembre", "Octubre", "Noviembre"}, 0)-MONTH('BD Asesor'!D31), 3)=0),
    AND('BD Asesor'!H31="Semestral", MOD(MATCH($B$2, {"Enero", "Febrero", "Marzo", "Abril", "Mayo", "Junio", "Julio", "Agosto", "Septiembre", "Octubre", "Noviembre"}, 0)-MONTH('BD Asesor'!D31), 6)=0),
    AND('BD Asesor'!H31="Anual", MONTH('BD Asesor'!D31)=MATCH($B$2, {"Enero", "Febrero", "Marzo", "Abril", "Mayo", "Junio", "Julio", "Agosto", "Septiembre", "Octubre", "Noviembre"}, 0))
), 'BD Asesor'!L31, "")
</f>
        <v>Vida</v>
      </c>
      <c r="N29" s="84" t="str">
        <f>IFERROR(__xludf.DUMMYFUNCTION("""COMPUTED_VALUE"""),"DAVID MORENO NERI")</f>
        <v>DAVID MORENO NERI</v>
      </c>
      <c r="O29" s="84" t="str">
        <f>IFERROR(__xludf.DUMMYFUNCTION("""COMPUTED_VALUE"""),"H")</f>
        <v>H</v>
      </c>
      <c r="P29" s="84" t="str">
        <f>IFERROR(__xludf.DUMMYFUNCTION("""COMPUTED_VALUE"""),"Activo")</f>
        <v>Activo</v>
      </c>
      <c r="Q29" s="199">
        <f>IFERROR(__xludf.DUMMYFUNCTION("""COMPUTED_VALUE"""),42982.0)</f>
        <v>42982</v>
      </c>
      <c r="R29" s="84" t="str">
        <f>IFERROR(__xludf.DUMMYFUNCTION("""COMPUTED_VALUE"""),"GM0000351999")</f>
        <v>GM0000351999</v>
      </c>
      <c r="S29" s="76">
        <f>IFERROR(__xludf.DUMMYFUNCTION("""COMPUTED_VALUE"""),17836.199999999997)</f>
        <v>17836.2</v>
      </c>
      <c r="T29" s="84" t="str">
        <f>IFERROR(__xludf.DUMMYFUNCTION("""COMPUTED_VALUE"""),"MXN")</f>
        <v>MXN</v>
      </c>
      <c r="U29" s="84" t="str">
        <f>IFERROR(__xludf.DUMMYFUNCTION("""COMPUTED_VALUE"""),"Mensual")</f>
        <v>Mensual</v>
      </c>
      <c r="V29" s="84" t="str">
        <f>IFERROR(__xludf.DUMMYFUNCTION("""COMPUTED_VALUE"""),"TC")</f>
        <v>TC</v>
      </c>
      <c r="W29" s="84" t="str">
        <f>IFERROR(__xludf.DUMMYFUNCTION("""COMPUTED_VALUE"""),"Gastos Médicos ")</f>
        <v>Gastos Médicos </v>
      </c>
    </row>
    <row r="30">
      <c r="C30" s="84" t="str">
        <f t="array" ref="C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Asesor'!A32, "")
</f>
        <v/>
      </c>
      <c r="D30" s="84" t="str">
        <f t="array" ref="D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Asesor'!B32, "")
</f>
        <v/>
      </c>
      <c r="E30" s="212" t="str">
        <f t="array" ref="E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Asesor'!C32, "")
</f>
        <v/>
      </c>
      <c r="F30" s="212" t="str">
        <f t="array" ref="F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Asesor'!D32, "")
</f>
        <v/>
      </c>
      <c r="G30" s="212" t="str">
        <f t="array" ref="G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Asesor'!E32, "")
</f>
        <v/>
      </c>
      <c r="H30" s="84" t="str">
        <f t="array" ref="H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Asesor'!F32, "")
</f>
        <v/>
      </c>
      <c r="I30" s="84" t="str">
        <f t="array" ref="I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Asesor'!G32, "")
</f>
        <v/>
      </c>
      <c r="J30" s="84" t="str">
        <f t="array" ref="J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Asesor'!H32, "")
</f>
        <v/>
      </c>
      <c r="K30" s="84" t="str">
        <f t="array" ref="K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Asesor'!K32, "")
</f>
        <v/>
      </c>
      <c r="L30" s="84" t="str">
        <f t="array" ref="L30">IF(OR(
    AND('BD Asesor'!H32="Mensual", MATCH($B$2, {"Enero", "Febrero", "Marzo", "Abril", "Mayo", "Junio", "Julio", "Agosto", "Septiembre", "Octubre", "Noviembre", "Diciembre"}, 0)&gt;=1),
    AND('BD Asesor'!H32="Trimestral", MOD(MATCH($B$2, {"Enero", "Febrero", "Marzo", "Abril", "Mayo", "Junio", "Julio", "Agosto", "Septiembre", "Octubre", "Noviembre"}, 0)-MONTH('BD Asesor'!D32), 3)=0),
    AND('BD Asesor'!H32="Semestral", MOD(MATCH($B$2, {"Enero", "Febrero", "Marzo", "Abril", "Mayo", "Junio", "Julio", "Agosto", "Septiembre", "Octubre", "Noviembre"}, 0)-MONTH('BD Asesor'!D32), 6)=0),
    AND('BD Asesor'!H32="Anual", MONTH('BD Asesor'!D32)=MATCH($B$2, {"Enero", "Febrero", "Marzo", "Abril", "Mayo", "Junio", "Julio", "Agosto", "Septiembre", "Octubre", "Noviembre"}, 0))
), 'BD Asesor'!L32, "")
</f>
        <v/>
      </c>
      <c r="N30" s="84" t="str">
        <f>IFERROR(__xludf.DUMMYFUNCTION("""COMPUTED_VALUE"""),"DAVID MORENO NERI")</f>
        <v>DAVID MORENO NERI</v>
      </c>
      <c r="O30" s="84" t="str">
        <f>IFERROR(__xludf.DUMMYFUNCTION("""COMPUTED_VALUE"""),"H")</f>
        <v>H</v>
      </c>
      <c r="P30" s="84" t="str">
        <f>IFERROR(__xludf.DUMMYFUNCTION("""COMPUTED_VALUE"""),"Activo")</f>
        <v>Activo</v>
      </c>
      <c r="Q30" s="199">
        <f>IFERROR(__xludf.DUMMYFUNCTION("""COMPUTED_VALUE"""),44064.0)</f>
        <v>44064</v>
      </c>
      <c r="R30" s="84" t="str">
        <f>IFERROR(__xludf.DUMMYFUNCTION("""COMPUTED_VALUE"""),"VI0002550138")</f>
        <v>VI0002550138</v>
      </c>
      <c r="S30" s="76">
        <f>IFERROR(__xludf.DUMMYFUNCTION("""COMPUTED_VALUE"""),34835.20728)</f>
        <v>34835.20728</v>
      </c>
      <c r="T30" s="84" t="str">
        <f>IFERROR(__xludf.DUMMYFUNCTION("""COMPUTED_VALUE"""),"UDIS")</f>
        <v>UDIS</v>
      </c>
      <c r="U30" s="84" t="str">
        <f>IFERROR(__xludf.DUMMYFUNCTION("""COMPUTED_VALUE"""),"Mensual")</f>
        <v>Mensual</v>
      </c>
      <c r="V30" s="84" t="str">
        <f>IFERROR(__xludf.DUMMYFUNCTION("""COMPUTED_VALUE"""),"TC")</f>
        <v>TC</v>
      </c>
      <c r="W30" s="84" t="str">
        <f>IFERROR(__xludf.DUMMYFUNCTION("""COMPUTED_VALUE"""),"Vida")</f>
        <v>Vida</v>
      </c>
    </row>
    <row r="31">
      <c r="C31" s="84" t="str">
        <f t="array" ref="C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Asesor'!A33, "")
</f>
        <v>CARLOS CASTRO PALAZUELOS</v>
      </c>
      <c r="D31" s="84" t="str">
        <f t="array" ref="D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Asesor'!B33, "")
</f>
        <v>H</v>
      </c>
      <c r="E31" s="212" t="str">
        <f t="array" ref="E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Asesor'!C33, "")
</f>
        <v>Activo</v>
      </c>
      <c r="F31" s="213">
        <f t="array" ref="F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Asesor'!D33, "")
</f>
        <v>44677</v>
      </c>
      <c r="G31" s="212" t="str">
        <f t="array" ref="G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Asesor'!E33, "")
</f>
        <v>VI0002662475</v>
      </c>
      <c r="H31" s="76">
        <f t="array" ref="H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Asesor'!F33, "")
</f>
        <v>38745.0468</v>
      </c>
      <c r="I31" s="84" t="str">
        <f t="array" ref="I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Asesor'!G33, "")
</f>
        <v>UDIS</v>
      </c>
      <c r="J31" s="84" t="str">
        <f t="array" ref="J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Asesor'!H33, "")
</f>
        <v>Mensual</v>
      </c>
      <c r="K31" s="84" t="str">
        <f t="array" ref="K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Asesor'!K33, "")
</f>
        <v>TC</v>
      </c>
      <c r="L31" s="84" t="str">
        <f t="array" ref="L31">IF(OR(
    AND('BD Asesor'!H33="Mensual", MATCH($B$2, {"Enero", "Febrero", "Marzo", "Abril", "Mayo", "Junio", "Julio", "Agosto", "Septiembre", "Octubre", "Noviembre", "Diciembre"}, 0)&gt;=1),
    AND('BD Asesor'!H33="Trimestral", MOD(MATCH($B$2, {"Enero", "Febrero", "Marzo", "Abril", "Mayo", "Junio", "Julio", "Agosto", "Septiembre", "Octubre", "Noviembre"}, 0)-MONTH('BD Asesor'!D33), 3)=0),
    AND('BD Asesor'!H33="Semestral", MOD(MATCH($B$2, {"Enero", "Febrero", "Marzo", "Abril", "Mayo", "Junio", "Julio", "Agosto", "Septiembre", "Octubre", "Noviembre"}, 0)-MONTH('BD Asesor'!D33), 6)=0),
    AND('BD Asesor'!H33="Anual", MONTH('BD Asesor'!D33)=MATCH($B$2, {"Enero", "Febrero", "Marzo", "Abril", "Mayo", "Junio", "Julio", "Agosto", "Septiembre", "Octubre", "Noviembre"}, 0))
), 'BD Asesor'!L33, "")
</f>
        <v>Vida</v>
      </c>
      <c r="N31" s="84" t="str">
        <f>IFERROR(__xludf.DUMMYFUNCTION("""COMPUTED_VALUE"""),"DENISSE CARDENAS GONZALEZ")</f>
        <v>DENISSE CARDENAS GONZALEZ</v>
      </c>
      <c r="O31" s="84" t="str">
        <f>IFERROR(__xludf.DUMMYFUNCTION("""COMPUTED_VALUE"""),"M")</f>
        <v>M</v>
      </c>
      <c r="P31" s="84" t="str">
        <f>IFERROR(__xludf.DUMMYFUNCTION("""COMPUTED_VALUE"""),"Activo")</f>
        <v>Activo</v>
      </c>
      <c r="Q31" s="199">
        <f>IFERROR(__xludf.DUMMYFUNCTION("""COMPUTED_VALUE"""),44173.0)</f>
        <v>44173</v>
      </c>
      <c r="R31" s="84" t="str">
        <f>IFERROR(__xludf.DUMMYFUNCTION("""COMPUTED_VALUE"""),"VI0002571494")</f>
        <v>VI0002571494</v>
      </c>
      <c r="S31" s="76">
        <f>IFERROR(__xludf.DUMMYFUNCTION("""COMPUTED_VALUE"""),25934.860080000002)</f>
        <v>25934.86008</v>
      </c>
      <c r="T31" s="84" t="str">
        <f>IFERROR(__xludf.DUMMYFUNCTION("""COMPUTED_VALUE"""),"UDIS")</f>
        <v>UDIS</v>
      </c>
      <c r="U31" s="84" t="str">
        <f>IFERROR(__xludf.DUMMYFUNCTION("""COMPUTED_VALUE"""),"Trimestral")</f>
        <v>Trimestral</v>
      </c>
      <c r="V31" s="84" t="str">
        <f>IFERROR(__xludf.DUMMYFUNCTION("""COMPUTED_VALUE"""),"TC")</f>
        <v>TC</v>
      </c>
      <c r="W31" s="84" t="str">
        <f>IFERROR(__xludf.DUMMYFUNCTION("""COMPUTED_VALUE"""),"Vida")</f>
        <v>Vida</v>
      </c>
    </row>
    <row r="32">
      <c r="C32" s="84" t="str">
        <f t="array" ref="C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Asesor'!A34, "")
</f>
        <v>CARLOS DAVID AVILA URRUCHUA</v>
      </c>
      <c r="D32" s="84" t="str">
        <f t="array" ref="D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Asesor'!B34, "")
</f>
        <v>H</v>
      </c>
      <c r="E32" s="212" t="str">
        <f t="array" ref="E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Asesor'!C34, "")
</f>
        <v>Activo</v>
      </c>
      <c r="F32" s="213">
        <f t="array" ref="F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Asesor'!D34, "")
</f>
        <v>44389</v>
      </c>
      <c r="G32" s="212" t="str">
        <f t="array" ref="G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Asesor'!E34, "")
</f>
        <v>VI0002613039</v>
      </c>
      <c r="H32" s="76">
        <f t="array" ref="H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Asesor'!F34, "")
</f>
        <v>67785.28344</v>
      </c>
      <c r="I32" s="84" t="str">
        <f t="array" ref="I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Asesor'!G34, "")
</f>
        <v>UDIS</v>
      </c>
      <c r="J32" s="84" t="str">
        <f t="array" ref="J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Asesor'!H34, "")
</f>
        <v>Mensual</v>
      </c>
      <c r="K32" s="84" t="str">
        <f t="array" ref="K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Asesor'!K34, "")
</f>
        <v>TD</v>
      </c>
      <c r="L32" s="84" t="str">
        <f t="array" ref="L32">IF(OR(
    AND('BD Asesor'!H34="Mensual", MATCH($B$2, {"Enero", "Febrero", "Marzo", "Abril", "Mayo", "Junio", "Julio", "Agosto", "Septiembre", "Octubre", "Noviembre", "Diciembre"}, 0)&gt;=1),
    AND('BD Asesor'!H34="Trimestral", MOD(MATCH($B$2, {"Enero", "Febrero", "Marzo", "Abril", "Mayo", "Junio", "Julio", "Agosto", "Septiembre", "Octubre", "Noviembre"}, 0)-MONTH('BD Asesor'!D34), 3)=0),
    AND('BD Asesor'!H34="Semestral", MOD(MATCH($B$2, {"Enero", "Febrero", "Marzo", "Abril", "Mayo", "Junio", "Julio", "Agosto", "Septiembre", "Octubre", "Noviembre"}, 0)-MONTH('BD Asesor'!D34), 6)=0),
    AND('BD Asesor'!H34="Anual", MONTH('BD Asesor'!D34)=MATCH($B$2, {"Enero", "Febrero", "Marzo", "Abril", "Mayo", "Junio", "Julio", "Agosto", "Septiembre", "Octubre", "Noviembre"}, 0))
), 'BD Asesor'!L34, "")
</f>
        <v>Vida</v>
      </c>
      <c r="N32" s="84" t="str">
        <f>IFERROR(__xludf.DUMMYFUNCTION("""COMPUTED_VALUE"""),"EDGAR SANCHEZ GONZALEZ")</f>
        <v>EDGAR SANCHEZ GONZALEZ</v>
      </c>
      <c r="O32" s="84" t="str">
        <f>IFERROR(__xludf.DUMMYFUNCTION("""COMPUTED_VALUE"""),"H")</f>
        <v>H</v>
      </c>
      <c r="P32" s="84" t="str">
        <f>IFERROR(__xludf.DUMMYFUNCTION("""COMPUTED_VALUE"""),"Activo")</f>
        <v>Activo</v>
      </c>
      <c r="Q32" s="199">
        <f>IFERROR(__xludf.DUMMYFUNCTION("""COMPUTED_VALUE"""),44923.0)</f>
        <v>44923</v>
      </c>
      <c r="R32" s="84" t="str">
        <f>IFERROR(__xludf.DUMMYFUNCTION("""COMPUTED_VALUE"""),"VI0002711484")</f>
        <v>VI0002711484</v>
      </c>
      <c r="S32" s="76">
        <f>IFERROR(__xludf.DUMMYFUNCTION("""COMPUTED_VALUE"""),18979.65)</f>
        <v>18979.65</v>
      </c>
      <c r="T32" s="84" t="str">
        <f>IFERROR(__xludf.DUMMYFUNCTION("""COMPUTED_VALUE"""),"UDIS")</f>
        <v>UDIS</v>
      </c>
      <c r="U32" s="84" t="str">
        <f>IFERROR(__xludf.DUMMYFUNCTION("""COMPUTED_VALUE"""),"Mensual")</f>
        <v>Mensual</v>
      </c>
      <c r="V32" s="84" t="str">
        <f>IFERROR(__xludf.DUMMYFUNCTION("""COMPUTED_VALUE"""),"TD")</f>
        <v>TD</v>
      </c>
      <c r="W32" s="84" t="str">
        <f>IFERROR(__xludf.DUMMYFUNCTION("""COMPUTED_VALUE"""),"Vida")</f>
        <v>Vida</v>
      </c>
    </row>
    <row r="33">
      <c r="C33" s="84" t="str">
        <f t="array" ref="C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Asesor'!A35, "")
</f>
        <v>CARLOS HUMBERTO VILLANUEVA CARMONA</v>
      </c>
      <c r="D33" s="84" t="str">
        <f t="array" ref="D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Asesor'!B35, "")
</f>
        <v>H</v>
      </c>
      <c r="E33" s="212" t="str">
        <f t="array" ref="E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Asesor'!C35, "")
</f>
        <v>Activo</v>
      </c>
      <c r="F33" s="213">
        <f t="array" ref="F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Asesor'!D35, "")
</f>
        <v>44646</v>
      </c>
      <c r="G33" s="212" t="str">
        <f t="array" ref="G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Asesor'!E35, "")
</f>
        <v>VI0002657416</v>
      </c>
      <c r="H33" s="76">
        <f t="array" ref="H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Asesor'!F35, "")
</f>
        <v>19822.5408</v>
      </c>
      <c r="I33" s="84" t="str">
        <f t="array" ref="I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Asesor'!G35, "")
</f>
        <v>UDIS</v>
      </c>
      <c r="J33" s="84" t="str">
        <f t="array" ref="J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Asesor'!H35, "")
</f>
        <v>Mensual</v>
      </c>
      <c r="K33" s="84" t="str">
        <f t="array" ref="K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Asesor'!K35, "")
</f>
        <v>TC</v>
      </c>
      <c r="L33" s="84" t="str">
        <f t="array" ref="L33">IF(OR(
    AND('BD Asesor'!H35="Mensual", MATCH($B$2, {"Enero", "Febrero", "Marzo", "Abril", "Mayo", "Junio", "Julio", "Agosto", "Septiembre", "Octubre", "Noviembre", "Diciembre"}, 0)&gt;=1),
    AND('BD Asesor'!H35="Trimestral", MOD(MATCH($B$2, {"Enero", "Febrero", "Marzo", "Abril", "Mayo", "Junio", "Julio", "Agosto", "Septiembre", "Octubre", "Noviembre"}, 0)-MONTH('BD Asesor'!D35), 3)=0),
    AND('BD Asesor'!H35="Semestral", MOD(MATCH($B$2, {"Enero", "Febrero", "Marzo", "Abril", "Mayo", "Junio", "Julio", "Agosto", "Septiembre", "Octubre", "Noviembre"}, 0)-MONTH('BD Asesor'!D35), 6)=0),
    AND('BD Asesor'!H35="Anual", MONTH('BD Asesor'!D35)=MATCH($B$2, {"Enero", "Febrero", "Marzo", "Abril", "Mayo", "Junio", "Julio", "Agosto", "Septiembre", "Octubre", "Noviembre"}, 0))
), 'BD Asesor'!L35, "")
</f>
        <v>Vida</v>
      </c>
      <c r="N33" s="84" t="str">
        <f>IFERROR(__xludf.DUMMYFUNCTION("""COMPUTED_VALUE"""),"EDUARDO ERNESTO VALLES JARILLO")</f>
        <v>EDUARDO ERNESTO VALLES JARILLO</v>
      </c>
      <c r="O33" s="84" t="str">
        <f>IFERROR(__xludf.DUMMYFUNCTION("""COMPUTED_VALUE"""),"H")</f>
        <v>H</v>
      </c>
      <c r="P33" s="84" t="str">
        <f>IFERROR(__xludf.DUMMYFUNCTION("""COMPUTED_VALUE"""),"Activo")</f>
        <v>Activo</v>
      </c>
      <c r="Q33" s="199">
        <f>IFERROR(__xludf.DUMMYFUNCTION("""COMPUTED_VALUE"""),44622.0)</f>
        <v>44622</v>
      </c>
      <c r="R33" s="84" t="str">
        <f>IFERROR(__xludf.DUMMYFUNCTION("""COMPUTED_VALUE"""),"GM0000556025")</f>
        <v>GM0000556025</v>
      </c>
      <c r="S33" s="76">
        <f>IFERROR(__xludf.DUMMYFUNCTION("""COMPUTED_VALUE"""),38717.24)</f>
        <v>38717.24</v>
      </c>
      <c r="T33" s="84" t="str">
        <f>IFERROR(__xludf.DUMMYFUNCTION("""COMPUTED_VALUE"""),"MXN")</f>
        <v>MXN</v>
      </c>
      <c r="U33" s="84" t="str">
        <f>IFERROR(__xludf.DUMMYFUNCTION("""COMPUTED_VALUE"""),"Semestral")</f>
        <v>Semestral</v>
      </c>
      <c r="V33" s="84" t="str">
        <f>IFERROR(__xludf.DUMMYFUNCTION("""COMPUTED_VALUE"""),"TC")</f>
        <v>TC</v>
      </c>
      <c r="W33" s="84" t="str">
        <f>IFERROR(__xludf.DUMMYFUNCTION("""COMPUTED_VALUE"""),"Gastos Médicos ")</f>
        <v>Gastos Médicos </v>
      </c>
    </row>
    <row r="34">
      <c r="C34" s="84" t="str">
        <f t="array" ref="C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Asesor'!A36, "")
</f>
        <v>CARLOS VERDUZO FAVELA</v>
      </c>
      <c r="D34" s="84" t="str">
        <f t="array" ref="D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Asesor'!B36, "")
</f>
        <v>H</v>
      </c>
      <c r="E34" s="212" t="str">
        <f t="array" ref="E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Asesor'!C36, "")
</f>
        <v>Activo</v>
      </c>
      <c r="F34" s="213">
        <f t="array" ref="F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Asesor'!D36, "")
</f>
        <v>44831</v>
      </c>
      <c r="G34" s="212" t="str">
        <f t="array" ref="G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Asesor'!E36, "")
</f>
        <v>VI0002692302</v>
      </c>
      <c r="H34" s="76">
        <f t="array" ref="H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Asesor'!F36, "")
</f>
        <v>38869.956</v>
      </c>
      <c r="I34" s="84" t="str">
        <f t="array" ref="I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Asesor'!G36, "")
</f>
        <v>UDIS</v>
      </c>
      <c r="J34" s="84" t="str">
        <f t="array" ref="J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Asesor'!H36, "")
</f>
        <v>Semestral</v>
      </c>
      <c r="K34" s="84" t="str">
        <f t="array" ref="K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Asesor'!K36, "")
</f>
        <v>TD</v>
      </c>
      <c r="L34" s="84" t="str">
        <f t="array" ref="L34">IF(OR(
    AND('BD Asesor'!H36="Mensual", MATCH($B$2, {"Enero", "Febrero", "Marzo", "Abril", "Mayo", "Junio", "Julio", "Agosto", "Septiembre", "Octubre", "Noviembre", "Diciembre"}, 0)&gt;=1),
    AND('BD Asesor'!H36="Trimestral", MOD(MATCH($B$2, {"Enero", "Febrero", "Marzo", "Abril", "Mayo", "Junio", "Julio", "Agosto", "Septiembre", "Octubre", "Noviembre"}, 0)-MONTH('BD Asesor'!D36), 3)=0),
    AND('BD Asesor'!H36="Semestral", MOD(MATCH($B$2, {"Enero", "Febrero", "Marzo", "Abril", "Mayo", "Junio", "Julio", "Agosto", "Septiembre", "Octubre", "Noviembre"}, 0)-MONTH('BD Asesor'!D36), 6)=0),
    AND('BD Asesor'!H36="Anual", MONTH('BD Asesor'!D36)=MATCH($B$2, {"Enero", "Febrero", "Marzo", "Abril", "Mayo", "Junio", "Julio", "Agosto", "Septiembre", "Octubre", "Noviembre"}, 0))
), 'BD Asesor'!L36, "")
</f>
        <v>Vida</v>
      </c>
      <c r="N34" s="84" t="str">
        <f>IFERROR(__xludf.DUMMYFUNCTION("""COMPUTED_VALUE"""),"EDUARDO RAMIRO TORRES ALVAREZ")</f>
        <v>EDUARDO RAMIRO TORRES ALVAREZ</v>
      </c>
      <c r="O34" s="84" t="str">
        <f>IFERROR(__xludf.DUMMYFUNCTION("""COMPUTED_VALUE"""),"H")</f>
        <v>H</v>
      </c>
      <c r="P34" s="84" t="str">
        <f>IFERROR(__xludf.DUMMYFUNCTION("""COMPUTED_VALUE"""),"Activo")</f>
        <v>Activo</v>
      </c>
      <c r="Q34" s="199">
        <f>IFERROR(__xludf.DUMMYFUNCTION("""COMPUTED_VALUE"""),44053.0)</f>
        <v>44053</v>
      </c>
      <c r="R34" s="84" t="str">
        <f>IFERROR(__xludf.DUMMYFUNCTION("""COMPUTED_VALUE"""),"VI0002548210")</f>
        <v>VI0002548210</v>
      </c>
      <c r="S34" s="76">
        <f>IFERROR(__xludf.DUMMYFUNCTION("""COMPUTED_VALUE"""),27696.138000000003)</f>
        <v>27696.138</v>
      </c>
      <c r="T34" s="84" t="str">
        <f>IFERROR(__xludf.DUMMYFUNCTION("""COMPUTED_VALUE"""),"UDIS")</f>
        <v>UDIS</v>
      </c>
      <c r="U34" s="84" t="str">
        <f>IFERROR(__xludf.DUMMYFUNCTION("""COMPUTED_VALUE"""),"Mensual")</f>
        <v>Mensual</v>
      </c>
      <c r="V34" s="84" t="str">
        <f>IFERROR(__xludf.DUMMYFUNCTION("""COMPUTED_VALUE"""),"TC")</f>
        <v>TC</v>
      </c>
      <c r="W34" s="84" t="str">
        <f>IFERROR(__xludf.DUMMYFUNCTION("""COMPUTED_VALUE"""),"Vida")</f>
        <v>Vida</v>
      </c>
    </row>
    <row r="35">
      <c r="C35" s="84" t="str">
        <f t="array" ref="C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Asesor'!A37, "")
</f>
        <v>CARLOS XAVIER BARBA LOPEZ</v>
      </c>
      <c r="D35" s="84" t="str">
        <f t="array" ref="D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Asesor'!B37, "")
</f>
        <v>H</v>
      </c>
      <c r="E35" s="212" t="str">
        <f t="array" ref="E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Asesor'!C37, "")
</f>
        <v>Activo</v>
      </c>
      <c r="F35" s="213">
        <f t="array" ref="F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Asesor'!D37, "")
</f>
        <v>44560</v>
      </c>
      <c r="G35" s="212" t="str">
        <f t="array" ref="G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Asesor'!E37, "")
</f>
        <v>GM0000549543</v>
      </c>
      <c r="H35" s="76">
        <f t="array" ref="H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Asesor'!F37, "")
</f>
        <v>18327.44</v>
      </c>
      <c r="I35" s="84" t="str">
        <f t="array" ref="I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Asesor'!G37, "")
</f>
        <v>MXN</v>
      </c>
      <c r="J35" s="84" t="str">
        <f t="array" ref="J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Asesor'!H37, "")
</f>
        <v>Trimestral</v>
      </c>
      <c r="K35" s="84" t="str">
        <f t="array" ref="K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Asesor'!K37, "")
</f>
        <v>TD</v>
      </c>
      <c r="L35" s="84" t="str">
        <f t="array" ref="L35">IF(OR(
    AND('BD Asesor'!H37="Mensual", MATCH($B$2, {"Enero", "Febrero", "Marzo", "Abril", "Mayo", "Junio", "Julio", "Agosto", "Septiembre", "Octubre", "Noviembre", "Diciembre"}, 0)&gt;=1),
    AND('BD Asesor'!H37="Trimestral", MOD(MATCH($B$2, {"Enero", "Febrero", "Marzo", "Abril", "Mayo", "Junio", "Julio", "Agosto", "Septiembre", "Octubre", "Noviembre"}, 0)-MONTH('BD Asesor'!D37), 3)=0),
    AND('BD Asesor'!H37="Semestral", MOD(MATCH($B$2, {"Enero", "Febrero", "Marzo", "Abril", "Mayo", "Junio", "Julio", "Agosto", "Septiembre", "Octubre", "Noviembre"}, 0)-MONTH('BD Asesor'!D37), 6)=0),
    AND('BD Asesor'!H37="Anual", MONTH('BD Asesor'!D37)=MATCH($B$2, {"Enero", "Febrero", "Marzo", "Abril", "Mayo", "Junio", "Julio", "Agosto", "Septiembre", "Octubre", "Noviembre"}, 0))
), 'BD Asesor'!L37, "")
</f>
        <v>Gastos Médicos </v>
      </c>
      <c r="N35" s="84" t="str">
        <f>IFERROR(__xludf.DUMMYFUNCTION("""COMPUTED_VALUE"""),"EMMANUEL CONTRERAS RIOS")</f>
        <v>EMMANUEL CONTRERAS RIOS</v>
      </c>
      <c r="O35" s="84" t="str">
        <f>IFERROR(__xludf.DUMMYFUNCTION("""COMPUTED_VALUE"""),"H")</f>
        <v>H</v>
      </c>
      <c r="P35" s="84" t="str">
        <f>IFERROR(__xludf.DUMMYFUNCTION("""COMPUTED_VALUE"""),"Activo")</f>
        <v>Activo</v>
      </c>
      <c r="Q35" s="199">
        <f>IFERROR(__xludf.DUMMYFUNCTION("""COMPUTED_VALUE"""),44280.0)</f>
        <v>44280</v>
      </c>
      <c r="R35" s="84" t="str">
        <f>IFERROR(__xludf.DUMMYFUNCTION("""COMPUTED_VALUE"""),"VI00025924219")</f>
        <v>VI00025924219</v>
      </c>
      <c r="S35" s="76">
        <f>IFERROR(__xludf.DUMMYFUNCTION("""COMPUTED_VALUE"""),26030.95308)</f>
        <v>26030.95308</v>
      </c>
      <c r="T35" s="84" t="str">
        <f>IFERROR(__xludf.DUMMYFUNCTION("""COMPUTED_VALUE"""),"UDIS")</f>
        <v>UDIS</v>
      </c>
      <c r="U35" s="84" t="str">
        <f>IFERROR(__xludf.DUMMYFUNCTION("""COMPUTED_VALUE"""),"Semestral")</f>
        <v>Semestral</v>
      </c>
      <c r="V35" s="84" t="str">
        <f>IFERROR(__xludf.DUMMYFUNCTION("""COMPUTED_VALUE"""),"TD")</f>
        <v>TD</v>
      </c>
      <c r="W35" s="84" t="str">
        <f>IFERROR(__xludf.DUMMYFUNCTION("""COMPUTED_VALUE"""),"Vida")</f>
        <v>Vida</v>
      </c>
    </row>
    <row r="36">
      <c r="C36" s="84" t="str">
        <f t="array" ref="C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Asesor'!A38, "")
</f>
        <v/>
      </c>
      <c r="D36" s="84" t="str">
        <f t="array" ref="D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Asesor'!B38, "")
</f>
        <v/>
      </c>
      <c r="E36" s="212" t="str">
        <f t="array" ref="E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Asesor'!C38, "")
</f>
        <v/>
      </c>
      <c r="F36" s="212" t="str">
        <f t="array" ref="F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Asesor'!D38, "")
</f>
        <v/>
      </c>
      <c r="G36" s="212" t="str">
        <f t="array" ref="G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Asesor'!E38, "")
</f>
        <v/>
      </c>
      <c r="H36" s="84" t="str">
        <f t="array" ref="H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Asesor'!F38, "")
</f>
        <v/>
      </c>
      <c r="I36" s="84" t="str">
        <f t="array" ref="I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Asesor'!G38, "")
</f>
        <v/>
      </c>
      <c r="J36" s="84" t="str">
        <f t="array" ref="J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Asesor'!H38, "")
</f>
        <v/>
      </c>
      <c r="K36" s="84" t="str">
        <f t="array" ref="K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Asesor'!K38, "")
</f>
        <v/>
      </c>
      <c r="L36" s="84" t="str">
        <f t="array" ref="L36">IF(OR(
    AND('BD Asesor'!H38="Mensual", MATCH($B$2, {"Enero", "Febrero", "Marzo", "Abril", "Mayo", "Junio", "Julio", "Agosto", "Septiembre", "Octubre", "Noviembre", "Diciembre"}, 0)&gt;=1),
    AND('BD Asesor'!H38="Trimestral", MOD(MATCH($B$2, {"Enero", "Febrero", "Marzo", "Abril", "Mayo", "Junio", "Julio", "Agosto", "Septiembre", "Octubre", "Noviembre"}, 0)-MONTH('BD Asesor'!D38), 3)=0),
    AND('BD Asesor'!H38="Semestral", MOD(MATCH($B$2, {"Enero", "Febrero", "Marzo", "Abril", "Mayo", "Junio", "Julio", "Agosto", "Septiembre", "Octubre", "Noviembre"}, 0)-MONTH('BD Asesor'!D38), 6)=0),
    AND('BD Asesor'!H38="Anual", MONTH('BD Asesor'!D38)=MATCH($B$2, {"Enero", "Febrero", "Marzo", "Abril", "Mayo", "Junio", "Julio", "Agosto", "Septiembre", "Octubre", "Noviembre"}, 0))
), 'BD Asesor'!L38, "")
</f>
        <v/>
      </c>
      <c r="N36" s="84" t="str">
        <f>IFERROR(__xludf.DUMMYFUNCTION("""COMPUTED_VALUE"""),"EMMANUEL ORTEGA GUTIERREZ")</f>
        <v>EMMANUEL ORTEGA GUTIERREZ</v>
      </c>
      <c r="O36" s="84" t="str">
        <f>IFERROR(__xludf.DUMMYFUNCTION("""COMPUTED_VALUE"""),"H")</f>
        <v>H</v>
      </c>
      <c r="P36" s="84" t="str">
        <f>IFERROR(__xludf.DUMMYFUNCTION("""COMPUTED_VALUE"""),"Activo")</f>
        <v>Activo</v>
      </c>
      <c r="Q36" s="199">
        <f>IFERROR(__xludf.DUMMYFUNCTION("""COMPUTED_VALUE"""),44096.0)</f>
        <v>44096</v>
      </c>
      <c r="R36" s="84" t="str">
        <f>IFERROR(__xludf.DUMMYFUNCTION("""COMPUTED_VALUE"""),"GM0000492375")</f>
        <v>GM0000492375</v>
      </c>
      <c r="S36" s="76">
        <f>IFERROR(__xludf.DUMMYFUNCTION("""COMPUTED_VALUE"""),59203.92)</f>
        <v>59203.92</v>
      </c>
      <c r="T36" s="84" t="str">
        <f>IFERROR(__xludf.DUMMYFUNCTION("""COMPUTED_VALUE"""),"MXN")</f>
        <v>MXN</v>
      </c>
      <c r="U36" s="84" t="str">
        <f>IFERROR(__xludf.DUMMYFUNCTION("""COMPUTED_VALUE"""),"Trimestral")</f>
        <v>Trimestral</v>
      </c>
      <c r="V36" s="84" t="str">
        <f>IFERROR(__xludf.DUMMYFUNCTION("""COMPUTED_VALUE"""),"TC")</f>
        <v>TC</v>
      </c>
      <c r="W36" s="84" t="str">
        <f>IFERROR(__xludf.DUMMYFUNCTION("""COMPUTED_VALUE"""),"Gastos Médicos ")</f>
        <v>Gastos Médicos </v>
      </c>
    </row>
    <row r="37">
      <c r="C37" s="84" t="str">
        <f t="array" ref="C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Asesor'!A39, "")
</f>
        <v>CESAR ISRRAEL HERNANDEZ SANCHEZ</v>
      </c>
      <c r="D37" s="84" t="str">
        <f t="array" ref="D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Asesor'!B39, "")
</f>
        <v>H</v>
      </c>
      <c r="E37" s="212" t="str">
        <f t="array" ref="E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Asesor'!C39, "")
</f>
        <v>Activo</v>
      </c>
      <c r="F37" s="213">
        <f t="array" ref="F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Asesor'!D39, "")
</f>
        <v>44728</v>
      </c>
      <c r="G37" s="212" t="str">
        <f t="array" ref="G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Asesor'!E39, "")
</f>
        <v>VI0002672529</v>
      </c>
      <c r="H37" s="76">
        <f t="array" ref="H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Asesor'!F39, "")
</f>
        <v>94684.6836</v>
      </c>
      <c r="I37" s="84" t="str">
        <f t="array" ref="I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Asesor'!G39, "")
</f>
        <v>UDIS</v>
      </c>
      <c r="J37" s="84" t="str">
        <f t="array" ref="J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Asesor'!H39, "")
</f>
        <v>Trimestral</v>
      </c>
      <c r="K37" s="84" t="str">
        <f t="array" ref="K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Asesor'!K39, "")
</f>
        <v>TD</v>
      </c>
      <c r="L37" s="84" t="str">
        <f t="array" ref="L37">IF(OR(
    AND('BD Asesor'!H39="Mensual", MATCH($B$2, {"Enero", "Febrero", "Marzo", "Abril", "Mayo", "Junio", "Julio", "Agosto", "Septiembre", "Octubre", "Noviembre", "Diciembre"}, 0)&gt;=1),
    AND('BD Asesor'!H39="Trimestral", MOD(MATCH($B$2, {"Enero", "Febrero", "Marzo", "Abril", "Mayo", "Junio", "Julio", "Agosto", "Septiembre", "Octubre", "Noviembre"}, 0)-MONTH('BD Asesor'!D39), 3)=0),
    AND('BD Asesor'!H39="Semestral", MOD(MATCH($B$2, {"Enero", "Febrero", "Marzo", "Abril", "Mayo", "Junio", "Julio", "Agosto", "Septiembre", "Octubre", "Noviembre"}, 0)-MONTH('BD Asesor'!D39), 6)=0),
    AND('BD Asesor'!H39="Anual", MONTH('BD Asesor'!D39)=MATCH($B$2, {"Enero", "Febrero", "Marzo", "Abril", "Mayo", "Junio", "Julio", "Agosto", "Septiembre", "Octubre", "Noviembre"}, 0))
), 'BD Asesor'!L39, "")
</f>
        <v>Vida</v>
      </c>
      <c r="N37" s="84" t="str">
        <f>IFERROR(__xludf.DUMMYFUNCTION("""COMPUTED_VALUE"""),"ESTEFANI ALEYOIS CONTRERAS RIOS")</f>
        <v>ESTEFANI ALEYOIS CONTRERAS RIOS</v>
      </c>
      <c r="O37" s="84" t="str">
        <f>IFERROR(__xludf.DUMMYFUNCTION("""COMPUTED_VALUE"""),"M")</f>
        <v>M</v>
      </c>
      <c r="P37" s="84" t="str">
        <f>IFERROR(__xludf.DUMMYFUNCTION("""COMPUTED_VALUE"""),"Activo")</f>
        <v>Activo</v>
      </c>
      <c r="Q37" s="199">
        <f>IFERROR(__xludf.DUMMYFUNCTION("""COMPUTED_VALUE"""),44276.0)</f>
        <v>44276</v>
      </c>
      <c r="R37" s="84" t="str">
        <f>IFERROR(__xludf.DUMMYFUNCTION("""COMPUTED_VALUE"""),"VI0002591210")</f>
        <v>VI0002591210</v>
      </c>
      <c r="S37" s="76">
        <f>IFERROR(__xludf.DUMMYFUNCTION("""COMPUTED_VALUE"""),65160.59212)</f>
        <v>65160.59212</v>
      </c>
      <c r="T37" s="84" t="str">
        <f>IFERROR(__xludf.DUMMYFUNCTION("""COMPUTED_VALUE"""),"UDIS")</f>
        <v>UDIS</v>
      </c>
      <c r="U37" s="84" t="str">
        <f>IFERROR(__xludf.DUMMYFUNCTION("""COMPUTED_VALUE"""),"Semestral")</f>
        <v>Semestral</v>
      </c>
      <c r="V37" s="84" t="str">
        <f>IFERROR(__xludf.DUMMYFUNCTION("""COMPUTED_VALUE"""),"TD")</f>
        <v>TD</v>
      </c>
      <c r="W37" s="84" t="str">
        <f>IFERROR(__xludf.DUMMYFUNCTION("""COMPUTED_VALUE"""),"Vida")</f>
        <v>Vida</v>
      </c>
    </row>
    <row r="38">
      <c r="C38" s="84" t="str">
        <f t="array" ref="C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Asesor'!A40, "")
</f>
        <v/>
      </c>
      <c r="D38" s="84" t="str">
        <f t="array" ref="D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Asesor'!B40, "")
</f>
        <v/>
      </c>
      <c r="E38" s="212" t="str">
        <f t="array" ref="E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Asesor'!C40, "")
</f>
        <v/>
      </c>
      <c r="F38" s="212" t="str">
        <f t="array" ref="F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Asesor'!D40, "")
</f>
        <v/>
      </c>
      <c r="G38" s="212" t="str">
        <f t="array" ref="G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Asesor'!E40, "")
</f>
        <v/>
      </c>
      <c r="H38" s="84" t="str">
        <f t="array" ref="H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Asesor'!F40, "")
</f>
        <v/>
      </c>
      <c r="I38" s="84" t="str">
        <f t="array" ref="I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Asesor'!G40, "")
</f>
        <v/>
      </c>
      <c r="J38" s="84" t="str">
        <f t="array" ref="J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Asesor'!H40, "")
</f>
        <v/>
      </c>
      <c r="K38" s="84" t="str">
        <f t="array" ref="K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Asesor'!K40, "")
</f>
        <v/>
      </c>
      <c r="L38" s="84" t="str">
        <f t="array" ref="L38">IF(OR(
    AND('BD Asesor'!H40="Mensual", MATCH($B$2, {"Enero", "Febrero", "Marzo", "Abril", "Mayo", "Junio", "Julio", "Agosto", "Septiembre", "Octubre", "Noviembre", "Diciembre"}, 0)&gt;=1),
    AND('BD Asesor'!H40="Trimestral", MOD(MATCH($B$2, {"Enero", "Febrero", "Marzo", "Abril", "Mayo", "Junio", "Julio", "Agosto", "Septiembre", "Octubre", "Noviembre"}, 0)-MONTH('BD Asesor'!D40), 3)=0),
    AND('BD Asesor'!H40="Semestral", MOD(MATCH($B$2, {"Enero", "Febrero", "Marzo", "Abril", "Mayo", "Junio", "Julio", "Agosto", "Septiembre", "Octubre", "Noviembre"}, 0)-MONTH('BD Asesor'!D40), 6)=0),
    AND('BD Asesor'!H40="Anual", MONTH('BD Asesor'!D40)=MATCH($B$2, {"Enero", "Febrero", "Marzo", "Abril", "Mayo", "Junio", "Julio", "Agosto", "Septiembre", "Octubre", "Noviembre"}, 0))
), 'BD Asesor'!L40, "")
</f>
        <v/>
      </c>
      <c r="N38" s="84" t="str">
        <f>IFERROR(__xludf.DUMMYFUNCTION("""COMPUTED_VALUE"""),"FRANCISCO JAVIER VALENCIA PRADO")</f>
        <v>FRANCISCO JAVIER VALENCIA PRADO</v>
      </c>
      <c r="O38" s="84" t="str">
        <f>IFERROR(__xludf.DUMMYFUNCTION("""COMPUTED_VALUE"""),"H")</f>
        <v>H</v>
      </c>
      <c r="P38" s="84" t="str">
        <f>IFERROR(__xludf.DUMMYFUNCTION("""COMPUTED_VALUE"""),"Activo")</f>
        <v>Activo</v>
      </c>
      <c r="Q38" s="199">
        <f>IFERROR(__xludf.DUMMYFUNCTION("""COMPUTED_VALUE"""),44012.0)</f>
        <v>44012</v>
      </c>
      <c r="R38" s="84" t="str">
        <f>IFERROR(__xludf.DUMMYFUNCTION("""COMPUTED_VALUE"""),"GM0000479419")</f>
        <v>GM0000479419</v>
      </c>
      <c r="S38" s="76">
        <f>IFERROR(__xludf.DUMMYFUNCTION("""COMPUTED_VALUE"""),16188.72)</f>
        <v>16188.72</v>
      </c>
      <c r="T38" s="84" t="str">
        <f>IFERROR(__xludf.DUMMYFUNCTION("""COMPUTED_VALUE"""),"MXN")</f>
        <v>MXN</v>
      </c>
      <c r="U38" s="84" t="str">
        <f>IFERROR(__xludf.DUMMYFUNCTION("""COMPUTED_VALUE"""),"Mensual")</f>
        <v>Mensual</v>
      </c>
      <c r="V38" s="84" t="str">
        <f>IFERROR(__xludf.DUMMYFUNCTION("""COMPUTED_VALUE"""),"TD")</f>
        <v>TD</v>
      </c>
      <c r="W38" s="84" t="str">
        <f>IFERROR(__xludf.DUMMYFUNCTION("""COMPUTED_VALUE"""),"Gastos Médicos ")</f>
        <v>Gastos Médicos </v>
      </c>
    </row>
    <row r="39">
      <c r="C39" s="84" t="str">
        <f t="array" ref="C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Asesor'!A41, "")
</f>
        <v>CINTHIA NOEMI JASSO TORRES</v>
      </c>
      <c r="D39" s="84" t="str">
        <f t="array" ref="D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Asesor'!B41, "")
</f>
        <v>M</v>
      </c>
      <c r="E39" s="212" t="str">
        <f t="array" ref="E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Asesor'!C41, "")
</f>
        <v>Activo</v>
      </c>
      <c r="F39" s="213">
        <f t="array" ref="F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Asesor'!D41, "")
</f>
        <v>44826</v>
      </c>
      <c r="G39" s="212" t="str">
        <f t="array" ref="G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Asesor'!E41, "")
</f>
        <v>VI0002690934</v>
      </c>
      <c r="H39" s="76">
        <f t="array" ref="H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Asesor'!F41, "")
</f>
        <v>39051.72</v>
      </c>
      <c r="I39" s="84" t="str">
        <f t="array" ref="I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Asesor'!G41, "")
</f>
        <v>UDIS</v>
      </c>
      <c r="J39" s="84" t="str">
        <f t="array" ref="J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Asesor'!H41, "")
</f>
        <v>Mensual</v>
      </c>
      <c r="K39" s="84" t="str">
        <f t="array" ref="K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Asesor'!K41, "")
</f>
        <v>TC</v>
      </c>
      <c r="L39" s="84" t="str">
        <f t="array" ref="L39">IF(OR(
    AND('BD Asesor'!H41="Mensual", MATCH($B$2, {"Enero", "Febrero", "Marzo", "Abril", "Mayo", "Junio", "Julio", "Agosto", "Septiembre", "Octubre", "Noviembre", "Diciembre"}, 0)&gt;=1),
    AND('BD Asesor'!H41="Trimestral", MOD(MATCH($B$2, {"Enero", "Febrero", "Marzo", "Abril", "Mayo", "Junio", "Julio", "Agosto", "Septiembre", "Octubre", "Noviembre"}, 0)-MONTH('BD Asesor'!D41), 3)=0),
    AND('BD Asesor'!H41="Semestral", MOD(MATCH($B$2, {"Enero", "Febrero", "Marzo", "Abril", "Mayo", "Junio", "Julio", "Agosto", "Septiembre", "Octubre", "Noviembre"}, 0)-MONTH('BD Asesor'!D41), 6)=0),
    AND('BD Asesor'!H41="Anual", MONTH('BD Asesor'!D41)=MATCH($B$2, {"Enero", "Febrero", "Marzo", "Abril", "Mayo", "Junio", "Julio", "Agosto", "Septiembre", "Octubre", "Noviembre"}, 0))
), 'BD Asesor'!L41, "")
</f>
        <v>Vida</v>
      </c>
      <c r="N39" s="84" t="str">
        <f>IFERROR(__xludf.DUMMYFUNCTION("""COMPUTED_VALUE"""),"FRANCISCO JAVIER VALENCIA PRADO")</f>
        <v>FRANCISCO JAVIER VALENCIA PRADO</v>
      </c>
      <c r="O39" s="84" t="str">
        <f>IFERROR(__xludf.DUMMYFUNCTION("""COMPUTED_VALUE"""),"H")</f>
        <v>H</v>
      </c>
      <c r="P39" s="84" t="str">
        <f>IFERROR(__xludf.DUMMYFUNCTION("""COMPUTED_VALUE"""),"Activo")</f>
        <v>Activo</v>
      </c>
      <c r="Q39" s="199">
        <f>IFERROR(__xludf.DUMMYFUNCTION("""COMPUTED_VALUE"""),44019.0)</f>
        <v>44019</v>
      </c>
      <c r="R39" s="84" t="str">
        <f>IFERROR(__xludf.DUMMYFUNCTION("""COMPUTED_VALUE"""),"VI0002541931")</f>
        <v>VI0002541931</v>
      </c>
      <c r="S39" s="76">
        <f>IFERROR(__xludf.DUMMYFUNCTION("""COMPUTED_VALUE"""),27904.55304)</f>
        <v>27904.55304</v>
      </c>
      <c r="T39" s="84" t="str">
        <f>IFERROR(__xludf.DUMMYFUNCTION("""COMPUTED_VALUE"""),"UDIS")</f>
        <v>UDIS</v>
      </c>
      <c r="U39" s="84" t="str">
        <f>IFERROR(__xludf.DUMMYFUNCTION("""COMPUTED_VALUE"""),"Mensual")</f>
        <v>Mensual</v>
      </c>
      <c r="V39" s="84" t="str">
        <f>IFERROR(__xludf.DUMMYFUNCTION("""COMPUTED_VALUE"""),"TD")</f>
        <v>TD</v>
      </c>
      <c r="W39" s="84" t="str">
        <f>IFERROR(__xludf.DUMMYFUNCTION("""COMPUTED_VALUE"""),"Vida")</f>
        <v>Vida</v>
      </c>
    </row>
    <row r="40">
      <c r="C40" s="84" t="str">
        <f t="array" ref="C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Asesor'!A42, "")
</f>
        <v/>
      </c>
      <c r="D40" s="84" t="str">
        <f t="array" ref="D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Asesor'!B42, "")
</f>
        <v/>
      </c>
      <c r="E40" s="212" t="str">
        <f t="array" ref="E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Asesor'!C42, "")
</f>
        <v/>
      </c>
      <c r="F40" s="212" t="str">
        <f t="array" ref="F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Asesor'!D42, "")
</f>
        <v/>
      </c>
      <c r="G40" s="212" t="str">
        <f t="array" ref="G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Asesor'!E42, "")
</f>
        <v/>
      </c>
      <c r="H40" s="84" t="str">
        <f t="array" ref="H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Asesor'!F42, "")
</f>
        <v/>
      </c>
      <c r="I40" s="84" t="str">
        <f t="array" ref="I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Asesor'!G42, "")
</f>
        <v/>
      </c>
      <c r="J40" s="84" t="str">
        <f t="array" ref="J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Asesor'!H42, "")
</f>
        <v/>
      </c>
      <c r="K40" s="84" t="str">
        <f t="array" ref="K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Asesor'!K42, "")
</f>
        <v/>
      </c>
      <c r="L40" s="84" t="str">
        <f t="array" ref="L40">IF(OR(
    AND('BD Asesor'!H42="Mensual", MATCH($B$2, {"Enero", "Febrero", "Marzo", "Abril", "Mayo", "Junio", "Julio", "Agosto", "Septiembre", "Octubre", "Noviembre", "Diciembre"}, 0)&gt;=1),
    AND('BD Asesor'!H42="Trimestral", MOD(MATCH($B$2, {"Enero", "Febrero", "Marzo", "Abril", "Mayo", "Junio", "Julio", "Agosto", "Septiembre", "Octubre", "Noviembre"}, 0)-MONTH('BD Asesor'!D42), 3)=0),
    AND('BD Asesor'!H42="Semestral", MOD(MATCH($B$2, {"Enero", "Febrero", "Marzo", "Abril", "Mayo", "Junio", "Julio", "Agosto", "Septiembre", "Octubre", "Noviembre"}, 0)-MONTH('BD Asesor'!D42), 6)=0),
    AND('BD Asesor'!H42="Anual", MONTH('BD Asesor'!D42)=MATCH($B$2, {"Enero", "Febrero", "Marzo", "Abril", "Mayo", "Junio", "Julio", "Agosto", "Septiembre", "Octubre", "Noviembre"}, 0))
), 'BD Asesor'!L42, "")
</f>
        <v/>
      </c>
      <c r="N40" s="84" t="str">
        <f>IFERROR(__xludf.DUMMYFUNCTION("""COMPUTED_VALUE"""),"FRANCISCO JAVIER VALENCIA PRADO")</f>
        <v>FRANCISCO JAVIER VALENCIA PRADO</v>
      </c>
      <c r="O40" s="84" t="str">
        <f>IFERROR(__xludf.DUMMYFUNCTION("""COMPUTED_VALUE"""),"H")</f>
        <v>H</v>
      </c>
      <c r="P40" s="84" t="str">
        <f>IFERROR(__xludf.DUMMYFUNCTION("""COMPUTED_VALUE"""),"Activo")</f>
        <v>Activo</v>
      </c>
      <c r="Q40" s="199">
        <f>IFERROR(__xludf.DUMMYFUNCTION("""COMPUTED_VALUE"""),44467.0)</f>
        <v>44467</v>
      </c>
      <c r="R40" s="84" t="str">
        <f>IFERROR(__xludf.DUMMYFUNCTION("""COMPUTED_VALUE"""),"GM0000540124")</f>
        <v>GM0000540124</v>
      </c>
      <c r="S40" s="76">
        <f>IFERROR(__xludf.DUMMYFUNCTION("""COMPUTED_VALUE"""),18729.56)</f>
        <v>18729.56</v>
      </c>
      <c r="T40" s="84" t="str">
        <f>IFERROR(__xludf.DUMMYFUNCTION("""COMPUTED_VALUE"""),"MXN")</f>
        <v>MXN</v>
      </c>
      <c r="U40" s="84" t="str">
        <f>IFERROR(__xludf.DUMMYFUNCTION("""COMPUTED_VALUE"""),"Semestral")</f>
        <v>Semestral</v>
      </c>
      <c r="V40" s="84" t="str">
        <f>IFERROR(__xludf.DUMMYFUNCTION("""COMPUTED_VALUE"""),"TD")</f>
        <v>TD</v>
      </c>
      <c r="W40" s="84" t="str">
        <f>IFERROR(__xludf.DUMMYFUNCTION("""COMPUTED_VALUE"""),"Gastos Médicos ")</f>
        <v>Gastos Médicos </v>
      </c>
    </row>
    <row r="41">
      <c r="C41" s="84" t="str">
        <f t="array" ref="C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Asesor'!A43, "")
</f>
        <v/>
      </c>
      <c r="D41" s="84" t="str">
        <f t="array" ref="D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Asesor'!B43, "")
</f>
        <v/>
      </c>
      <c r="E41" s="212" t="str">
        <f t="array" ref="E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Asesor'!C43, "")
</f>
        <v/>
      </c>
      <c r="F41" s="212" t="str">
        <f t="array" ref="F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Asesor'!D43, "")
</f>
        <v/>
      </c>
      <c r="G41" s="212" t="str">
        <f t="array" ref="G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Asesor'!E43, "")
</f>
        <v/>
      </c>
      <c r="H41" s="84" t="str">
        <f t="array" ref="H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Asesor'!F43, "")
</f>
        <v/>
      </c>
      <c r="I41" s="84" t="str">
        <f t="array" ref="I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Asesor'!G43, "")
</f>
        <v/>
      </c>
      <c r="J41" s="84" t="str">
        <f t="array" ref="J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Asesor'!H43, "")
</f>
        <v/>
      </c>
      <c r="K41" s="84" t="str">
        <f t="array" ref="K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Asesor'!K43, "")
</f>
        <v/>
      </c>
      <c r="L41" s="84" t="str">
        <f t="array" ref="L41">IF(OR(
    AND('BD Asesor'!H43="Mensual", MATCH($B$2, {"Enero", "Febrero", "Marzo", "Abril", "Mayo", "Junio", "Julio", "Agosto", "Septiembre", "Octubre", "Noviembre", "Diciembre"}, 0)&gt;=1),
    AND('BD Asesor'!H43="Trimestral", MOD(MATCH($B$2, {"Enero", "Febrero", "Marzo", "Abril", "Mayo", "Junio", "Julio", "Agosto", "Septiembre", "Octubre", "Noviembre"}, 0)-MONTH('BD Asesor'!D43), 3)=0),
    AND('BD Asesor'!H43="Semestral", MOD(MATCH($B$2, {"Enero", "Febrero", "Marzo", "Abril", "Mayo", "Junio", "Julio", "Agosto", "Septiembre", "Octubre", "Noviembre"}, 0)-MONTH('BD Asesor'!D43), 6)=0),
    AND('BD Asesor'!H43="Anual", MONTH('BD Asesor'!D43)=MATCH($B$2, {"Enero", "Febrero", "Marzo", "Abril", "Mayo", "Junio", "Julio", "Agosto", "Septiembre", "Octubre", "Noviembre"}, 0))
), 'BD Asesor'!L43, "")
</f>
        <v/>
      </c>
      <c r="N41" s="84" t="str">
        <f>IFERROR(__xludf.DUMMYFUNCTION("""COMPUTED_VALUE"""),"FRANCISCO JOSE MARTIN LOPEZ")</f>
        <v>FRANCISCO JOSE MARTIN LOPEZ</v>
      </c>
      <c r="O41" s="84" t="str">
        <f>IFERROR(__xludf.DUMMYFUNCTION("""COMPUTED_VALUE"""),"H")</f>
        <v>H</v>
      </c>
      <c r="P41" s="84" t="str">
        <f>IFERROR(__xludf.DUMMYFUNCTION("""COMPUTED_VALUE"""),"Activo")</f>
        <v>Activo</v>
      </c>
      <c r="Q41" s="199">
        <f>IFERROR(__xludf.DUMMYFUNCTION("""COMPUTED_VALUE"""),44641.0)</f>
        <v>44641</v>
      </c>
      <c r="R41" s="84" t="str">
        <f>IFERROR(__xludf.DUMMYFUNCTION("""COMPUTED_VALUE"""),"VI0002656531")</f>
        <v>VI0002656531</v>
      </c>
      <c r="S41" s="76">
        <f>IFERROR(__xludf.DUMMYFUNCTION("""COMPUTED_VALUE"""),50638.2642)</f>
        <v>50638.2642</v>
      </c>
      <c r="T41" s="84" t="str">
        <f>IFERROR(__xludf.DUMMYFUNCTION("""COMPUTED_VALUE"""),"UDIS")</f>
        <v>UDIS</v>
      </c>
      <c r="U41" s="84" t="str">
        <f>IFERROR(__xludf.DUMMYFUNCTION("""COMPUTED_VALUE"""),"Anual")</f>
        <v>Anual</v>
      </c>
      <c r="V41" s="84" t="str">
        <f>IFERROR(__xludf.DUMMYFUNCTION("""COMPUTED_VALUE"""),"TC")</f>
        <v>TC</v>
      </c>
      <c r="W41" s="84" t="str">
        <f>IFERROR(__xludf.DUMMYFUNCTION("""COMPUTED_VALUE"""),"Vida")</f>
        <v>Vida</v>
      </c>
    </row>
    <row r="42">
      <c r="C42" s="84" t="str">
        <f t="array" ref="C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Asesor'!A44, "")
</f>
        <v/>
      </c>
      <c r="D42" s="84" t="str">
        <f t="array" ref="D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Asesor'!B44, "")
</f>
        <v/>
      </c>
      <c r="E42" s="212" t="str">
        <f t="array" ref="E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Asesor'!C44, "")
</f>
        <v/>
      </c>
      <c r="F42" s="212" t="str">
        <f t="array" ref="F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Asesor'!D44, "")
</f>
        <v/>
      </c>
      <c r="G42" s="212" t="str">
        <f t="array" ref="G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Asesor'!E44, "")
</f>
        <v/>
      </c>
      <c r="H42" s="84" t="str">
        <f t="array" ref="H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Asesor'!F44, "")
</f>
        <v/>
      </c>
      <c r="I42" s="84" t="str">
        <f t="array" ref="I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Asesor'!G44, "")
</f>
        <v/>
      </c>
      <c r="J42" s="84" t="str">
        <f t="array" ref="J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Asesor'!H44, "")
</f>
        <v/>
      </c>
      <c r="K42" s="84" t="str">
        <f t="array" ref="K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Asesor'!K44, "")
</f>
        <v/>
      </c>
      <c r="L42" s="84" t="str">
        <f t="array" ref="L42">IF(OR(
    AND('BD Asesor'!H44="Mensual", MATCH($B$2, {"Enero", "Febrero", "Marzo", "Abril", "Mayo", "Junio", "Julio", "Agosto", "Septiembre", "Octubre", "Noviembre", "Diciembre"}, 0)&gt;=1),
    AND('BD Asesor'!H44="Trimestral", MOD(MATCH($B$2, {"Enero", "Febrero", "Marzo", "Abril", "Mayo", "Junio", "Julio", "Agosto", "Septiembre", "Octubre", "Noviembre"}, 0)-MONTH('BD Asesor'!D44), 3)=0),
    AND('BD Asesor'!H44="Semestral", MOD(MATCH($B$2, {"Enero", "Febrero", "Marzo", "Abril", "Mayo", "Junio", "Julio", "Agosto", "Septiembre", "Octubre", "Noviembre"}, 0)-MONTH('BD Asesor'!D44), 6)=0),
    AND('BD Asesor'!H44="Anual", MONTH('BD Asesor'!D44)=MATCH($B$2, {"Enero", "Febrero", "Marzo", "Abril", "Mayo", "Junio", "Julio", "Agosto", "Septiembre", "Octubre", "Noviembre"}, 0))
), 'BD Asesor'!L44, "")
</f>
        <v/>
      </c>
      <c r="N42" s="84" t="str">
        <f>IFERROR(__xludf.DUMMYFUNCTION("""COMPUTED_VALUE"""),"GLENDA GISELA CASIANO VEGA")</f>
        <v>GLENDA GISELA CASIANO VEGA</v>
      </c>
      <c r="O42" s="84" t="str">
        <f>IFERROR(__xludf.DUMMYFUNCTION("""COMPUTED_VALUE"""),"M")</f>
        <v>M</v>
      </c>
      <c r="P42" s="84" t="str">
        <f>IFERROR(__xludf.DUMMYFUNCTION("""COMPUTED_VALUE"""),"Activo")</f>
        <v>Activo</v>
      </c>
      <c r="Q42" s="199">
        <f>IFERROR(__xludf.DUMMYFUNCTION("""COMPUTED_VALUE"""),43867.0)</f>
        <v>43867</v>
      </c>
      <c r="R42" s="84" t="str">
        <f>IFERROR(__xludf.DUMMYFUNCTION("""COMPUTED_VALUE"""),"GM0000452776")</f>
        <v>GM0000452776</v>
      </c>
      <c r="S42" s="76">
        <f>IFERROR(__xludf.DUMMYFUNCTION("""COMPUTED_VALUE"""),17176.32)</f>
        <v>17176.32</v>
      </c>
      <c r="T42" s="84" t="str">
        <f>IFERROR(__xludf.DUMMYFUNCTION("""COMPUTED_VALUE"""),"MXN")</f>
        <v>MXN</v>
      </c>
      <c r="U42" s="84" t="str">
        <f>IFERROR(__xludf.DUMMYFUNCTION("""COMPUTED_VALUE"""),"Mensual")</f>
        <v>Mensual</v>
      </c>
      <c r="V42" s="84" t="str">
        <f>IFERROR(__xludf.DUMMYFUNCTION("""COMPUTED_VALUE"""),"TC")</f>
        <v>TC</v>
      </c>
      <c r="W42" s="84" t="str">
        <f>IFERROR(__xludf.DUMMYFUNCTION("""COMPUTED_VALUE"""),"Gastos Médicos ")</f>
        <v>Gastos Médicos </v>
      </c>
    </row>
    <row r="43">
      <c r="C43" s="84" t="str">
        <f t="array" ref="C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Asesor'!A45, "")
</f>
        <v/>
      </c>
      <c r="D43" s="84" t="str">
        <f t="array" ref="D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Asesor'!B45, "")
</f>
        <v/>
      </c>
      <c r="E43" s="212" t="str">
        <f t="array" ref="E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Asesor'!C45, "")
</f>
        <v/>
      </c>
      <c r="F43" s="212" t="str">
        <f t="array" ref="F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Asesor'!D45, "")
</f>
        <v/>
      </c>
      <c r="G43" s="212" t="str">
        <f t="array" ref="G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Asesor'!E45, "")
</f>
        <v/>
      </c>
      <c r="H43" s="84" t="str">
        <f t="array" ref="H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Asesor'!F45, "")
</f>
        <v/>
      </c>
      <c r="I43" s="84" t="str">
        <f t="array" ref="I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Asesor'!G45, "")
</f>
        <v/>
      </c>
      <c r="J43" s="84" t="str">
        <f t="array" ref="J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Asesor'!H45, "")
</f>
        <v/>
      </c>
      <c r="K43" s="84" t="str">
        <f t="array" ref="K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Asesor'!K45, "")
</f>
        <v/>
      </c>
      <c r="L43" s="84" t="str">
        <f t="array" ref="L43">IF(OR(
    AND('BD Asesor'!H45="Mensual", MATCH($B$2, {"Enero", "Febrero", "Marzo", "Abril", "Mayo", "Junio", "Julio", "Agosto", "Septiembre", "Octubre", "Noviembre", "Diciembre"}, 0)&gt;=1),
    AND('BD Asesor'!H45="Trimestral", MOD(MATCH($B$2, {"Enero", "Febrero", "Marzo", "Abril", "Mayo", "Junio", "Julio", "Agosto", "Septiembre", "Octubre", "Noviembre"}, 0)-MONTH('BD Asesor'!D45), 3)=0),
    AND('BD Asesor'!H45="Semestral", MOD(MATCH($B$2, {"Enero", "Febrero", "Marzo", "Abril", "Mayo", "Junio", "Julio", "Agosto", "Septiembre", "Octubre", "Noviembre"}, 0)-MONTH('BD Asesor'!D45), 6)=0),
    AND('BD Asesor'!H45="Anual", MONTH('BD Asesor'!D45)=MATCH($B$2, {"Enero", "Febrero", "Marzo", "Abril", "Mayo", "Junio", "Julio", "Agosto", "Septiembre", "Octubre", "Noviembre"}, 0))
), 'BD Asesor'!L45, "")
</f>
        <v/>
      </c>
      <c r="N43" s="84" t="str">
        <f>IFERROR(__xludf.DUMMYFUNCTION("""COMPUTED_VALUE"""),"IZCHEL IRAIS GONZALEZ DIAZ")</f>
        <v>IZCHEL IRAIS GONZALEZ DIAZ</v>
      </c>
      <c r="O43" s="84" t="str">
        <f>IFERROR(__xludf.DUMMYFUNCTION("""COMPUTED_VALUE"""),"M")</f>
        <v>M</v>
      </c>
      <c r="P43" s="84" t="str">
        <f>IFERROR(__xludf.DUMMYFUNCTION("""COMPUTED_VALUE"""),"Activo")</f>
        <v>Activo</v>
      </c>
      <c r="Q43" s="199">
        <f>IFERROR(__xludf.DUMMYFUNCTION("""COMPUTED_VALUE"""),44366.0)</f>
        <v>44366</v>
      </c>
      <c r="R43" s="84" t="str">
        <f>IFERROR(__xludf.DUMMYFUNCTION("""COMPUTED_VALUE"""),"VI0002608269")</f>
        <v>VI0002608269</v>
      </c>
      <c r="S43" s="76">
        <f>IFERROR(__xludf.DUMMYFUNCTION("""COMPUTED_VALUE"""),17576.90448)</f>
        <v>17576.90448</v>
      </c>
      <c r="T43" s="84" t="str">
        <f>IFERROR(__xludf.DUMMYFUNCTION("""COMPUTED_VALUE"""),"UDIS")</f>
        <v>UDIS</v>
      </c>
      <c r="U43" s="84" t="str">
        <f>IFERROR(__xludf.DUMMYFUNCTION("""COMPUTED_VALUE"""),"Mensual")</f>
        <v>Mensual</v>
      </c>
      <c r="V43" s="84" t="str">
        <f>IFERROR(__xludf.DUMMYFUNCTION("""COMPUTED_VALUE"""),"TD")</f>
        <v>TD</v>
      </c>
      <c r="W43" s="84" t="str">
        <f>IFERROR(__xludf.DUMMYFUNCTION("""COMPUTED_VALUE"""),"Vida")</f>
        <v>Vida</v>
      </c>
    </row>
    <row r="44">
      <c r="C44" s="84" t="str">
        <f t="array" ref="C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Asesor'!A46, "")
</f>
        <v/>
      </c>
      <c r="D44" s="84" t="str">
        <f t="array" ref="D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Asesor'!B46, "")
</f>
        <v/>
      </c>
      <c r="E44" s="212" t="str">
        <f t="array" ref="E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Asesor'!C46, "")
</f>
        <v/>
      </c>
      <c r="F44" s="212" t="str">
        <f t="array" ref="F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Asesor'!D46, "")
</f>
        <v/>
      </c>
      <c r="G44" s="212" t="str">
        <f t="array" ref="G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Asesor'!E46, "")
</f>
        <v/>
      </c>
      <c r="H44" s="84" t="str">
        <f t="array" ref="H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Asesor'!F46, "")
</f>
        <v/>
      </c>
      <c r="I44" s="84" t="str">
        <f t="array" ref="I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Asesor'!G46, "")
</f>
        <v/>
      </c>
      <c r="J44" s="84" t="str">
        <f t="array" ref="J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Asesor'!H46, "")
</f>
        <v/>
      </c>
      <c r="K44" s="84" t="str">
        <f t="array" ref="K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Asesor'!K46, "")
</f>
        <v/>
      </c>
      <c r="L44" s="84" t="str">
        <f t="array" ref="L44">IF(OR(
    AND('BD Asesor'!H46="Mensual", MATCH($B$2, {"Enero", "Febrero", "Marzo", "Abril", "Mayo", "Junio", "Julio", "Agosto", "Septiembre", "Octubre", "Noviembre", "Diciembre"}, 0)&gt;=1),
    AND('BD Asesor'!H46="Trimestral", MOD(MATCH($B$2, {"Enero", "Febrero", "Marzo", "Abril", "Mayo", "Junio", "Julio", "Agosto", "Septiembre", "Octubre", "Noviembre"}, 0)-MONTH('BD Asesor'!D46), 3)=0),
    AND('BD Asesor'!H46="Semestral", MOD(MATCH($B$2, {"Enero", "Febrero", "Marzo", "Abril", "Mayo", "Junio", "Julio", "Agosto", "Septiembre", "Octubre", "Noviembre"}, 0)-MONTH('BD Asesor'!D46), 6)=0),
    AND('BD Asesor'!H46="Anual", MONTH('BD Asesor'!D46)=MATCH($B$2, {"Enero", "Febrero", "Marzo", "Abril", "Mayo", "Junio", "Julio", "Agosto", "Septiembre", "Octubre", "Noviembre"}, 0))
), 'BD Asesor'!L46, "")
</f>
        <v/>
      </c>
      <c r="N44" s="84" t="str">
        <f>IFERROR(__xludf.DUMMYFUNCTION("""COMPUTED_VALUE"""),"JAVIER ALEJANDRO OCHOA FLORES")</f>
        <v>JAVIER ALEJANDRO OCHOA FLORES</v>
      </c>
      <c r="O44" s="84" t="str">
        <f>IFERROR(__xludf.DUMMYFUNCTION("""COMPUTED_VALUE"""),"H")</f>
        <v>H</v>
      </c>
      <c r="P44" s="84" t="str">
        <f>IFERROR(__xludf.DUMMYFUNCTION("""COMPUTED_VALUE"""),"Activo")</f>
        <v>Activo</v>
      </c>
      <c r="Q44" s="199">
        <f>IFERROR(__xludf.DUMMYFUNCTION("""COMPUTED_VALUE"""),44516.0)</f>
        <v>44516</v>
      </c>
      <c r="R44" s="84" t="str">
        <f>IFERROR(__xludf.DUMMYFUNCTION("""COMPUTED_VALUE"""),"VI0002634302")</f>
        <v>VI0002634302</v>
      </c>
      <c r="S44" s="76">
        <f>IFERROR(__xludf.DUMMYFUNCTION("""COMPUTED_VALUE"""),19488.51456)</f>
        <v>19488.51456</v>
      </c>
      <c r="T44" s="84" t="str">
        <f>IFERROR(__xludf.DUMMYFUNCTION("""COMPUTED_VALUE"""),"MXN")</f>
        <v>MXN</v>
      </c>
      <c r="U44" s="84" t="str">
        <f>IFERROR(__xludf.DUMMYFUNCTION("""COMPUTED_VALUE"""),"Mensual")</f>
        <v>Mensual</v>
      </c>
      <c r="V44" s="84" t="str">
        <f>IFERROR(__xludf.DUMMYFUNCTION("""COMPUTED_VALUE"""),"TD")</f>
        <v>TD</v>
      </c>
      <c r="W44" s="84" t="str">
        <f>IFERROR(__xludf.DUMMYFUNCTION("""COMPUTED_VALUE"""),"Vida")</f>
        <v>Vida</v>
      </c>
    </row>
    <row r="45">
      <c r="C45" s="84" t="str">
        <f t="array" ref="C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Asesor'!A47, "")
</f>
        <v/>
      </c>
      <c r="D45" s="84" t="str">
        <f t="array" ref="D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Asesor'!B47, "")
</f>
        <v/>
      </c>
      <c r="E45" s="212" t="str">
        <f t="array" ref="E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Asesor'!C47, "")
</f>
        <v/>
      </c>
      <c r="F45" s="212" t="str">
        <f t="array" ref="F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Asesor'!D47, "")
</f>
        <v/>
      </c>
      <c r="G45" s="212" t="str">
        <f t="array" ref="G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Asesor'!E47, "")
</f>
        <v/>
      </c>
      <c r="H45" s="84" t="str">
        <f t="array" ref="H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Asesor'!F47, "")
</f>
        <v/>
      </c>
      <c r="I45" s="84" t="str">
        <f t="array" ref="I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Asesor'!G47, "")
</f>
        <v/>
      </c>
      <c r="J45" s="84" t="str">
        <f t="array" ref="J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Asesor'!H47, "")
</f>
        <v/>
      </c>
      <c r="K45" s="84" t="str">
        <f t="array" ref="K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Asesor'!K47, "")
</f>
        <v/>
      </c>
      <c r="L45" s="84" t="str">
        <f t="array" ref="L45">IF(OR(
    AND('BD Asesor'!H47="Mensual", MATCH($B$2, {"Enero", "Febrero", "Marzo", "Abril", "Mayo", "Junio", "Julio", "Agosto", "Septiembre", "Octubre", "Noviembre", "Diciembre"}, 0)&gt;=1),
    AND('BD Asesor'!H47="Trimestral", MOD(MATCH($B$2, {"Enero", "Febrero", "Marzo", "Abril", "Mayo", "Junio", "Julio", "Agosto", "Septiembre", "Octubre", "Noviembre"}, 0)-MONTH('BD Asesor'!D47), 3)=0),
    AND('BD Asesor'!H47="Semestral", MOD(MATCH($B$2, {"Enero", "Febrero", "Marzo", "Abril", "Mayo", "Junio", "Julio", "Agosto", "Septiembre", "Octubre", "Noviembre"}, 0)-MONTH('BD Asesor'!D47), 6)=0),
    AND('BD Asesor'!H47="Anual", MONTH('BD Asesor'!D47)=MATCH($B$2, {"Enero", "Febrero", "Marzo", "Abril", "Mayo", "Junio", "Julio", "Agosto", "Septiembre", "Octubre", "Noviembre"}, 0))
), 'BD Asesor'!L47, "")
</f>
        <v/>
      </c>
      <c r="N45" s="84" t="str">
        <f>IFERROR(__xludf.DUMMYFUNCTION("""COMPUTED_VALUE"""),"JENIFER RIVERA LIRA")</f>
        <v>JENIFER RIVERA LIRA</v>
      </c>
      <c r="O45" s="84" t="str">
        <f>IFERROR(__xludf.DUMMYFUNCTION("""COMPUTED_VALUE"""),"M")</f>
        <v>M</v>
      </c>
      <c r="P45" s="84" t="str">
        <f>IFERROR(__xludf.DUMMYFUNCTION("""COMPUTED_VALUE"""),"Activo")</f>
        <v>Activo</v>
      </c>
      <c r="Q45" s="199">
        <f>IFERROR(__xludf.DUMMYFUNCTION("""COMPUTED_VALUE"""),44848.0)</f>
        <v>44848</v>
      </c>
      <c r="R45" s="84" t="str">
        <f>IFERROR(__xludf.DUMMYFUNCTION("""COMPUTED_VALUE"""),"VI0002695547")</f>
        <v>VI0002695547</v>
      </c>
      <c r="S45" s="76">
        <f>IFERROR(__xludf.DUMMYFUNCTION("""COMPUTED_VALUE"""),22141.242)</f>
        <v>22141.242</v>
      </c>
      <c r="T45" s="84" t="str">
        <f>IFERROR(__xludf.DUMMYFUNCTION("""COMPUTED_VALUE"""),"UDIS")</f>
        <v>UDIS</v>
      </c>
      <c r="U45" s="84" t="str">
        <f>IFERROR(__xludf.DUMMYFUNCTION("""COMPUTED_VALUE"""),"Mensual")</f>
        <v>Mensual</v>
      </c>
      <c r="V45" s="84" t="str">
        <f>IFERROR(__xludf.DUMMYFUNCTION("""COMPUTED_VALUE"""),"TC")</f>
        <v>TC</v>
      </c>
      <c r="W45" s="84" t="str">
        <f>IFERROR(__xludf.DUMMYFUNCTION("""COMPUTED_VALUE"""),"Vida")</f>
        <v>Vida</v>
      </c>
    </row>
    <row r="46">
      <c r="C46" s="84" t="str">
        <f t="array" ref="C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Asesor'!A48, "")
</f>
        <v>DANIELA CABRAL ROMO</v>
      </c>
      <c r="D46" s="84" t="str">
        <f t="array" ref="D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Asesor'!B48, "")
</f>
        <v>M</v>
      </c>
      <c r="E46" s="212" t="str">
        <f t="array" ref="E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Asesor'!C48, "")
</f>
        <v>Activo</v>
      </c>
      <c r="F46" s="213">
        <f t="array" ref="F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Asesor'!D48, "")
</f>
        <v>44413</v>
      </c>
      <c r="G46" s="212" t="str">
        <f t="array" ref="G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Asesor'!E48, "")
</f>
        <v>VI0002617376</v>
      </c>
      <c r="H46" s="76">
        <f t="array" ref="H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Asesor'!F48, "")
</f>
        <v>23177.6316</v>
      </c>
      <c r="I46" s="84" t="str">
        <f t="array" ref="I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Asesor'!G48, "")
</f>
        <v>UDIS</v>
      </c>
      <c r="J46" s="84" t="str">
        <f t="array" ref="J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Asesor'!H48, "")
</f>
        <v>Mensual</v>
      </c>
      <c r="K46" s="84" t="str">
        <f t="array" ref="K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Asesor'!K48, "")
</f>
        <v>TC</v>
      </c>
      <c r="L46" s="84" t="str">
        <f t="array" ref="L46">IF(OR(
    AND('BD Asesor'!H48="Mensual", MATCH($B$2, {"Enero", "Febrero", "Marzo", "Abril", "Mayo", "Junio", "Julio", "Agosto", "Septiembre", "Octubre", "Noviembre", "Diciembre"}, 0)&gt;=1),
    AND('BD Asesor'!H48="Trimestral", MOD(MATCH($B$2, {"Enero", "Febrero", "Marzo", "Abril", "Mayo", "Junio", "Julio", "Agosto", "Septiembre", "Octubre", "Noviembre"}, 0)-MONTH('BD Asesor'!D48), 3)=0),
    AND('BD Asesor'!H48="Semestral", MOD(MATCH($B$2, {"Enero", "Febrero", "Marzo", "Abril", "Mayo", "Junio", "Julio", "Agosto", "Septiembre", "Octubre", "Noviembre"}, 0)-MONTH('BD Asesor'!D48), 6)=0),
    AND('BD Asesor'!H48="Anual", MONTH('BD Asesor'!D48)=MATCH($B$2, {"Enero", "Febrero", "Marzo", "Abril", "Mayo", "Junio", "Julio", "Agosto", "Septiembre", "Octubre", "Noviembre"}, 0))
), 'BD Asesor'!L48, "")
</f>
        <v>Vida</v>
      </c>
      <c r="N46" s="84" t="str">
        <f>IFERROR(__xludf.DUMMYFUNCTION("""COMPUTED_VALUE"""),"JENNIFER GODINEZ CASILLAS")</f>
        <v>JENNIFER GODINEZ CASILLAS</v>
      </c>
      <c r="O46" s="84" t="str">
        <f>IFERROR(__xludf.DUMMYFUNCTION("""COMPUTED_VALUE"""),"M")</f>
        <v>M</v>
      </c>
      <c r="P46" s="84" t="str">
        <f>IFERROR(__xludf.DUMMYFUNCTION("""COMPUTED_VALUE"""),"Activo")</f>
        <v>Activo</v>
      </c>
      <c r="Q46" s="199">
        <f>IFERROR(__xludf.DUMMYFUNCTION("""COMPUTED_VALUE"""),43683.0)</f>
        <v>43683</v>
      </c>
      <c r="R46" s="84" t="str">
        <f>IFERROR(__xludf.DUMMYFUNCTION("""COMPUTED_VALUE"""),"VI0002475012")</f>
        <v>VI0002475012</v>
      </c>
      <c r="S46" s="76">
        <f>IFERROR(__xludf.DUMMYFUNCTION("""COMPUTED_VALUE"""),27822.744000000002)</f>
        <v>27822.744</v>
      </c>
      <c r="T46" s="84" t="str">
        <f>IFERROR(__xludf.DUMMYFUNCTION("""COMPUTED_VALUE"""),"UDIS")</f>
        <v>UDIS</v>
      </c>
      <c r="U46" s="84" t="str">
        <f>IFERROR(__xludf.DUMMYFUNCTION("""COMPUTED_VALUE"""),"Mensual")</f>
        <v>Mensual</v>
      </c>
      <c r="V46" s="84" t="str">
        <f>IFERROR(__xludf.DUMMYFUNCTION("""COMPUTED_VALUE"""),"TC")</f>
        <v>TC</v>
      </c>
      <c r="W46" s="84" t="str">
        <f>IFERROR(__xludf.DUMMYFUNCTION("""COMPUTED_VALUE"""),"Vida")</f>
        <v>Vida</v>
      </c>
    </row>
    <row r="47">
      <c r="C47" s="84" t="str">
        <f t="array" ref="C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Asesor'!A49, "")
</f>
        <v/>
      </c>
      <c r="D47" s="84" t="str">
        <f t="array" ref="D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Asesor'!B49, "")
</f>
        <v/>
      </c>
      <c r="E47" s="212" t="str">
        <f t="array" ref="E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Asesor'!C49, "")
</f>
        <v/>
      </c>
      <c r="F47" s="212" t="str">
        <f t="array" ref="F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Asesor'!D49, "")
</f>
        <v/>
      </c>
      <c r="G47" s="212" t="str">
        <f t="array" ref="G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Asesor'!E49, "")
</f>
        <v/>
      </c>
      <c r="H47" s="84" t="str">
        <f t="array" ref="H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Asesor'!F49, "")
</f>
        <v/>
      </c>
      <c r="I47" s="84" t="str">
        <f t="array" ref="I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Asesor'!G49, "")
</f>
        <v/>
      </c>
      <c r="J47" s="84" t="str">
        <f t="array" ref="J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Asesor'!H49, "")
</f>
        <v/>
      </c>
      <c r="K47" s="84" t="str">
        <f t="array" ref="K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Asesor'!K49, "")
</f>
        <v/>
      </c>
      <c r="L47" s="84" t="str">
        <f t="array" ref="L47">IF(OR(
    AND('BD Asesor'!H49="Mensual", MATCH($B$2, {"Enero", "Febrero", "Marzo", "Abril", "Mayo", "Junio", "Julio", "Agosto", "Septiembre", "Octubre", "Noviembre", "Diciembre"}, 0)&gt;=1),
    AND('BD Asesor'!H49="Trimestral", MOD(MATCH($B$2, {"Enero", "Febrero", "Marzo", "Abril", "Mayo", "Junio", "Julio", "Agosto", "Septiembre", "Octubre", "Noviembre"}, 0)-MONTH('BD Asesor'!D49), 3)=0),
    AND('BD Asesor'!H49="Semestral", MOD(MATCH($B$2, {"Enero", "Febrero", "Marzo", "Abril", "Mayo", "Junio", "Julio", "Agosto", "Septiembre", "Octubre", "Noviembre"}, 0)-MONTH('BD Asesor'!D49), 6)=0),
    AND('BD Asesor'!H49="Anual", MONTH('BD Asesor'!D49)=MATCH($B$2, {"Enero", "Febrero", "Marzo", "Abril", "Mayo", "Junio", "Julio", "Agosto", "Septiembre", "Octubre", "Noviembre"}, 0))
), 'BD Asesor'!L49, "")
</f>
        <v/>
      </c>
      <c r="N47" s="84" t="str">
        <f>IFERROR(__xludf.DUMMYFUNCTION("""COMPUTED_VALUE"""),"JESUS ADRIAN AVILA CABRAL")</f>
        <v>JESUS ADRIAN AVILA CABRAL</v>
      </c>
      <c r="O47" s="84" t="str">
        <f>IFERROR(__xludf.DUMMYFUNCTION("""COMPUTED_VALUE"""),"H")</f>
        <v>H</v>
      </c>
      <c r="P47" s="84" t="str">
        <f>IFERROR(__xludf.DUMMYFUNCTION("""COMPUTED_VALUE"""),"Activo")</f>
        <v>Activo</v>
      </c>
      <c r="Q47" s="199">
        <f>IFERROR(__xludf.DUMMYFUNCTION("""COMPUTED_VALUE"""),44091.0)</f>
        <v>44091</v>
      </c>
      <c r="R47" s="84" t="str">
        <f>IFERROR(__xludf.DUMMYFUNCTION("""COMPUTED_VALUE"""),"VI0002554845")</f>
        <v>VI0002554845</v>
      </c>
      <c r="S47" s="76">
        <f>IFERROR(__xludf.DUMMYFUNCTION("""COMPUTED_VALUE"""),17406.641920000002)</f>
        <v>17406.64192</v>
      </c>
      <c r="T47" s="84" t="str">
        <f>IFERROR(__xludf.DUMMYFUNCTION("""COMPUTED_VALUE"""),"UDIS")</f>
        <v>UDIS</v>
      </c>
      <c r="U47" s="84" t="str">
        <f>IFERROR(__xludf.DUMMYFUNCTION("""COMPUTED_VALUE"""),"Semestral")</f>
        <v>Semestral</v>
      </c>
      <c r="V47" s="84" t="str">
        <f>IFERROR(__xludf.DUMMYFUNCTION("""COMPUTED_VALUE"""),"TC")</f>
        <v>TC</v>
      </c>
      <c r="W47" s="84" t="str">
        <f>IFERROR(__xludf.DUMMYFUNCTION("""COMPUTED_VALUE"""),"Vida")</f>
        <v>Vida</v>
      </c>
    </row>
    <row r="48">
      <c r="C48" s="84" t="str">
        <f t="array" ref="C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Asesor'!A50, "")
</f>
        <v/>
      </c>
      <c r="D48" s="84" t="str">
        <f t="array" ref="D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Asesor'!B50, "")
</f>
        <v/>
      </c>
      <c r="E48" s="212" t="str">
        <f t="array" ref="E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Asesor'!C50, "")
</f>
        <v/>
      </c>
      <c r="F48" s="212" t="str">
        <f t="array" ref="F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Asesor'!D50, "")
</f>
        <v/>
      </c>
      <c r="G48" s="212" t="str">
        <f t="array" ref="G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Asesor'!E50, "")
</f>
        <v/>
      </c>
      <c r="H48" s="84" t="str">
        <f t="array" ref="H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Asesor'!F50, "")
</f>
        <v/>
      </c>
      <c r="I48" s="84" t="str">
        <f t="array" ref="I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Asesor'!G50, "")
</f>
        <v/>
      </c>
      <c r="J48" s="84" t="str">
        <f t="array" ref="J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Asesor'!H50, "")
</f>
        <v/>
      </c>
      <c r="K48" s="84" t="str">
        <f t="array" ref="K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Asesor'!K50, "")
</f>
        <v/>
      </c>
      <c r="L48" s="84" t="str">
        <f t="array" ref="L48">IF(OR(
    AND('BD Asesor'!H50="Mensual", MATCH($B$2, {"Enero", "Febrero", "Marzo", "Abril", "Mayo", "Junio", "Julio", "Agosto", "Septiembre", "Octubre", "Noviembre", "Diciembre"}, 0)&gt;=1),
    AND('BD Asesor'!H50="Trimestral", MOD(MATCH($B$2, {"Enero", "Febrero", "Marzo", "Abril", "Mayo", "Junio", "Julio", "Agosto", "Septiembre", "Octubre", "Noviembre"}, 0)-MONTH('BD Asesor'!D50), 3)=0),
    AND('BD Asesor'!H50="Semestral", MOD(MATCH($B$2, {"Enero", "Febrero", "Marzo", "Abril", "Mayo", "Junio", "Julio", "Agosto", "Septiembre", "Octubre", "Noviembre"}, 0)-MONTH('BD Asesor'!D50), 6)=0),
    AND('BD Asesor'!H50="Anual", MONTH('BD Asesor'!D50)=MATCH($B$2, {"Enero", "Febrero", "Marzo", "Abril", "Mayo", "Junio", "Julio", "Agosto", "Septiembre", "Octubre", "Noviembre"}, 0))
), 'BD Asesor'!L50, "")
</f>
        <v/>
      </c>
      <c r="N48" s="84" t="str">
        <f>IFERROR(__xludf.DUMMYFUNCTION("""COMPUTED_VALUE"""),"JORGE FRANCISCO AREVALO CONTRERAS")</f>
        <v>JORGE FRANCISCO AREVALO CONTRERAS</v>
      </c>
      <c r="O48" s="84" t="str">
        <f>IFERROR(__xludf.DUMMYFUNCTION("""COMPUTED_VALUE"""),"H")</f>
        <v>H</v>
      </c>
      <c r="P48" s="84" t="str">
        <f>IFERROR(__xludf.DUMMYFUNCTION("""COMPUTED_VALUE"""),"Activo")</f>
        <v>Activo</v>
      </c>
      <c r="Q48" s="199">
        <f>IFERROR(__xludf.DUMMYFUNCTION("""COMPUTED_VALUE"""),44544.0)</f>
        <v>44544</v>
      </c>
      <c r="R48" s="84" t="str">
        <f>IFERROR(__xludf.DUMMYFUNCTION("""COMPUTED_VALUE"""),"VI0002639310")</f>
        <v>VI0002639310</v>
      </c>
      <c r="S48" s="76">
        <f>IFERROR(__xludf.DUMMYFUNCTION("""COMPUTED_VALUE"""),55173.61104)</f>
        <v>55173.61104</v>
      </c>
      <c r="T48" s="84" t="str">
        <f>IFERROR(__xludf.DUMMYFUNCTION("""COMPUTED_VALUE"""),"UDIS")</f>
        <v>UDIS</v>
      </c>
      <c r="U48" s="84" t="str">
        <f>IFERROR(__xludf.DUMMYFUNCTION("""COMPUTED_VALUE"""),"Trimestral")</f>
        <v>Trimestral</v>
      </c>
      <c r="V48" s="84" t="str">
        <f>IFERROR(__xludf.DUMMYFUNCTION("""COMPUTED_VALUE"""),"TD")</f>
        <v>TD</v>
      </c>
      <c r="W48" s="84" t="str">
        <f>IFERROR(__xludf.DUMMYFUNCTION("""COMPUTED_VALUE"""),"Vida")</f>
        <v>Vida</v>
      </c>
    </row>
    <row r="49">
      <c r="C49" s="84" t="str">
        <f t="array" ref="C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Asesor'!A51, "")
</f>
        <v>DANIELA NIETO MORAN</v>
      </c>
      <c r="D49" s="84" t="str">
        <f t="array" ref="D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Asesor'!B51, "")
</f>
        <v>M</v>
      </c>
      <c r="E49" s="212" t="str">
        <f t="array" ref="E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Asesor'!C51, "")
</f>
        <v>Activo</v>
      </c>
      <c r="F49" s="213">
        <f t="array" ref="F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Asesor'!D51, "")
</f>
        <v>44235</v>
      </c>
      <c r="G49" s="212" t="str">
        <f t="array" ref="G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Asesor'!E51, "")
</f>
        <v>VI0002583535</v>
      </c>
      <c r="H49" s="76">
        <f t="array" ref="H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Asesor'!F51, "")
</f>
        <v>31768.77288</v>
      </c>
      <c r="I49" s="84" t="str">
        <f t="array" ref="I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Asesor'!G51, "")
</f>
        <v>UDIS</v>
      </c>
      <c r="J49" s="84" t="str">
        <f t="array" ref="J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Asesor'!H51, "")
</f>
        <v>Mensual</v>
      </c>
      <c r="K49" s="84" t="str">
        <f t="array" ref="K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Asesor'!K51, "")
</f>
        <v>TC</v>
      </c>
      <c r="L49" s="84" t="str">
        <f t="array" ref="L49">IF(OR(
    AND('BD Asesor'!H51="Mensual", MATCH($B$2, {"Enero", "Febrero", "Marzo", "Abril", "Mayo", "Junio", "Julio", "Agosto", "Septiembre", "Octubre", "Noviembre", "Diciembre"}, 0)&gt;=1),
    AND('BD Asesor'!H51="Trimestral", MOD(MATCH($B$2, {"Enero", "Febrero", "Marzo", "Abril", "Mayo", "Junio", "Julio", "Agosto", "Septiembre", "Octubre", "Noviembre"}, 0)-MONTH('BD Asesor'!D51), 3)=0),
    AND('BD Asesor'!H51="Semestral", MOD(MATCH($B$2, {"Enero", "Febrero", "Marzo", "Abril", "Mayo", "Junio", "Julio", "Agosto", "Septiembre", "Octubre", "Noviembre"}, 0)-MONTH('BD Asesor'!D51), 6)=0),
    AND('BD Asesor'!H51="Anual", MONTH('BD Asesor'!D51)=MATCH($B$2, {"Enero", "Febrero", "Marzo", "Abril", "Mayo", "Junio", "Julio", "Agosto", "Septiembre", "Octubre", "Noviembre"}, 0))
), 'BD Asesor'!L51, "")
</f>
        <v>Vida</v>
      </c>
      <c r="N49" s="84" t="str">
        <f>IFERROR(__xludf.DUMMYFUNCTION("""COMPUTED_VALUE"""),"JOSE DANIEL FLORES ARELLANO")</f>
        <v>JOSE DANIEL FLORES ARELLANO</v>
      </c>
      <c r="O49" s="84" t="str">
        <f>IFERROR(__xludf.DUMMYFUNCTION("""COMPUTED_VALUE"""),"H")</f>
        <v>H</v>
      </c>
      <c r="P49" s="84" t="str">
        <f>IFERROR(__xludf.DUMMYFUNCTION("""COMPUTED_VALUE"""),"Activo")</f>
        <v>Activo</v>
      </c>
      <c r="Q49" s="199">
        <f>IFERROR(__xludf.DUMMYFUNCTION("""COMPUTED_VALUE"""),43878.0)</f>
        <v>43878</v>
      </c>
      <c r="R49" s="84" t="str">
        <f>IFERROR(__xludf.DUMMYFUNCTION("""COMPUTED_VALUE"""),"VI0002517688")</f>
        <v>VI0002517688</v>
      </c>
      <c r="S49" s="76">
        <f>IFERROR(__xludf.DUMMYFUNCTION("""COMPUTED_VALUE"""),19102.71896)</f>
        <v>19102.71896</v>
      </c>
      <c r="T49" s="84" t="str">
        <f>IFERROR(__xludf.DUMMYFUNCTION("""COMPUTED_VALUE"""),"UDIS")</f>
        <v>UDIS</v>
      </c>
      <c r="U49" s="84" t="str">
        <f>IFERROR(__xludf.DUMMYFUNCTION("""COMPUTED_VALUE"""),"Mensual")</f>
        <v>Mensual</v>
      </c>
      <c r="V49" s="84" t="str">
        <f>IFERROR(__xludf.DUMMYFUNCTION("""COMPUTED_VALUE"""),"TC")</f>
        <v>TC</v>
      </c>
      <c r="W49" s="84" t="str">
        <f>IFERROR(__xludf.DUMMYFUNCTION("""COMPUTED_VALUE"""),"Vida")</f>
        <v>Vida</v>
      </c>
    </row>
    <row r="50">
      <c r="C50" s="84" t="str">
        <f t="array" ref="C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Asesor'!A52, "")
</f>
        <v/>
      </c>
      <c r="D50" s="84" t="str">
        <f t="array" ref="D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Asesor'!B52, "")
</f>
        <v/>
      </c>
      <c r="E50" s="212" t="str">
        <f t="array" ref="E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Asesor'!C52, "")
</f>
        <v/>
      </c>
      <c r="F50" s="212" t="str">
        <f t="array" ref="F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Asesor'!D52, "")
</f>
        <v/>
      </c>
      <c r="G50" s="212" t="str">
        <f t="array" ref="G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Asesor'!E52, "")
</f>
        <v/>
      </c>
      <c r="H50" s="84" t="str">
        <f t="array" ref="H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Asesor'!F52, "")
</f>
        <v/>
      </c>
      <c r="I50" s="84" t="str">
        <f t="array" ref="I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Asesor'!G52, "")
</f>
        <v/>
      </c>
      <c r="J50" s="84" t="str">
        <f t="array" ref="J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Asesor'!H52, "")
</f>
        <v/>
      </c>
      <c r="K50" s="84" t="str">
        <f t="array" ref="K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Asesor'!K52, "")
</f>
        <v/>
      </c>
      <c r="L50" s="84" t="str">
        <f t="array" ref="L50">IF(OR(
    AND('BD Asesor'!H52="Mensual", MATCH($B$2, {"Enero", "Febrero", "Marzo", "Abril", "Mayo", "Junio", "Julio", "Agosto", "Septiembre", "Octubre", "Noviembre", "Diciembre"}, 0)&gt;=1),
    AND('BD Asesor'!H52="Trimestral", MOD(MATCH($B$2, {"Enero", "Febrero", "Marzo", "Abril", "Mayo", "Junio", "Julio", "Agosto", "Septiembre", "Octubre", "Noviembre"}, 0)-MONTH('BD Asesor'!D52), 3)=0),
    AND('BD Asesor'!H52="Semestral", MOD(MATCH($B$2, {"Enero", "Febrero", "Marzo", "Abril", "Mayo", "Junio", "Julio", "Agosto", "Septiembre", "Octubre", "Noviembre"}, 0)-MONTH('BD Asesor'!D52), 6)=0),
    AND('BD Asesor'!H52="Anual", MONTH('BD Asesor'!D52)=MATCH($B$2, {"Enero", "Febrero", "Marzo", "Abril", "Mayo", "Junio", "Julio", "Agosto", "Septiembre", "Octubre", "Noviembre"}, 0))
), 'BD Asesor'!L52, "")
</f>
        <v/>
      </c>
      <c r="N50" s="84" t="str">
        <f>IFERROR(__xludf.DUMMYFUNCTION("""COMPUTED_VALUE"""),"JOSEFINA GALVEZ")</f>
        <v>JOSEFINA GALVEZ</v>
      </c>
      <c r="O50" s="84" t="str">
        <f>IFERROR(__xludf.DUMMYFUNCTION("""COMPUTED_VALUE"""),"M")</f>
        <v>M</v>
      </c>
      <c r="P50" s="84" t="str">
        <f>IFERROR(__xludf.DUMMYFUNCTION("""COMPUTED_VALUE"""),"Activo")</f>
        <v>Activo</v>
      </c>
      <c r="Q50" s="199">
        <f>IFERROR(__xludf.DUMMYFUNCTION("""COMPUTED_VALUE"""),44507.0)</f>
        <v>44507</v>
      </c>
      <c r="R50" s="84" t="str">
        <f>IFERROR(__xludf.DUMMYFUNCTION("""COMPUTED_VALUE"""),"GM0000544016")</f>
        <v>GM0000544016</v>
      </c>
      <c r="S50" s="76">
        <f>IFERROR(__xludf.DUMMYFUNCTION("""COMPUTED_VALUE"""),28128.24)</f>
        <v>28128.24</v>
      </c>
      <c r="T50" s="84" t="str">
        <f>IFERROR(__xludf.DUMMYFUNCTION("""COMPUTED_VALUE"""),"UDIS")</f>
        <v>UDIS</v>
      </c>
      <c r="U50" s="84" t="str">
        <f>IFERROR(__xludf.DUMMYFUNCTION("""COMPUTED_VALUE"""),"Mensual")</f>
        <v>Mensual</v>
      </c>
      <c r="V50" s="84" t="str">
        <f>IFERROR(__xludf.DUMMYFUNCTION("""COMPUTED_VALUE"""),"TC")</f>
        <v>TC</v>
      </c>
      <c r="W50" s="84" t="str">
        <f>IFERROR(__xludf.DUMMYFUNCTION("""COMPUTED_VALUE"""),"Gastos Médicos ")</f>
        <v>Gastos Médicos </v>
      </c>
    </row>
    <row r="51">
      <c r="C51" s="84" t="str">
        <f t="array" ref="C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Asesor'!A53, "")
</f>
        <v>DARINKA UREÑA CASILLAS</v>
      </c>
      <c r="D51" s="84" t="str">
        <f t="array" ref="D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Asesor'!B53, "")
</f>
        <v>M</v>
      </c>
      <c r="E51" s="212" t="str">
        <f t="array" ref="E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Asesor'!C53, "")
</f>
        <v>Activo</v>
      </c>
      <c r="F51" s="213">
        <f t="array" ref="F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Asesor'!D53, "")
</f>
        <v>44343</v>
      </c>
      <c r="G51" s="212" t="str">
        <f t="array" ref="G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Asesor'!E53, "")
</f>
        <v>GM0000526123</v>
      </c>
      <c r="H51" s="76">
        <f t="array" ref="H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Asesor'!F53, "")
</f>
        <v>17055.12</v>
      </c>
      <c r="I51" s="84" t="str">
        <f t="array" ref="I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Asesor'!G53, "")
</f>
        <v>MXN</v>
      </c>
      <c r="J51" s="84" t="str">
        <f t="array" ref="J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Asesor'!H53, "")
</f>
        <v>Mensual</v>
      </c>
      <c r="K51" s="84" t="str">
        <f t="array" ref="K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Asesor'!K53, "")
</f>
        <v>TC</v>
      </c>
      <c r="L51" s="84" t="str">
        <f t="array" ref="L51">IF(OR(
    AND('BD Asesor'!H53="Mensual", MATCH($B$2, {"Enero", "Febrero", "Marzo", "Abril", "Mayo", "Junio", "Julio", "Agosto", "Septiembre", "Octubre", "Noviembre", "Diciembre"}, 0)&gt;=1),
    AND('BD Asesor'!H53="Trimestral", MOD(MATCH($B$2, {"Enero", "Febrero", "Marzo", "Abril", "Mayo", "Junio", "Julio", "Agosto", "Septiembre", "Octubre", "Noviembre"}, 0)-MONTH('BD Asesor'!D53), 3)=0),
    AND('BD Asesor'!H53="Semestral", MOD(MATCH($B$2, {"Enero", "Febrero", "Marzo", "Abril", "Mayo", "Junio", "Julio", "Agosto", "Septiembre", "Octubre", "Noviembre"}, 0)-MONTH('BD Asesor'!D53), 6)=0),
    AND('BD Asesor'!H53="Anual", MONTH('BD Asesor'!D53)=MATCH($B$2, {"Enero", "Febrero", "Marzo", "Abril", "Mayo", "Junio", "Julio", "Agosto", "Septiembre", "Octubre", "Noviembre"}, 0))
), 'BD Asesor'!L53, "")
</f>
        <v>Gastos Médicos </v>
      </c>
      <c r="N51" s="84" t="str">
        <f>IFERROR(__xludf.DUMMYFUNCTION("""COMPUTED_VALUE"""),"KAREN ENRIQUEZ LEDEZMA")</f>
        <v>KAREN ENRIQUEZ LEDEZMA</v>
      </c>
      <c r="O51" s="84" t="str">
        <f>IFERROR(__xludf.DUMMYFUNCTION("""COMPUTED_VALUE"""),"M")</f>
        <v>M</v>
      </c>
      <c r="P51" s="84" t="str">
        <f>IFERROR(__xludf.DUMMYFUNCTION("""COMPUTED_VALUE"""),"Activo")</f>
        <v>Activo</v>
      </c>
      <c r="Q51" s="199">
        <f>IFERROR(__xludf.DUMMYFUNCTION("""COMPUTED_VALUE"""),44678.0)</f>
        <v>44678</v>
      </c>
      <c r="R51" s="84" t="str">
        <f>IFERROR(__xludf.DUMMYFUNCTION("""COMPUTED_VALUE"""),"VI0002662801")</f>
        <v>VI0002662801</v>
      </c>
      <c r="S51" s="76">
        <f>IFERROR(__xludf.DUMMYFUNCTION("""COMPUTED_VALUE"""),19222.083599999998)</f>
        <v>19222.0836</v>
      </c>
      <c r="T51" s="84" t="str">
        <f>IFERROR(__xludf.DUMMYFUNCTION("""COMPUTED_VALUE"""),"UDIS")</f>
        <v>UDIS</v>
      </c>
      <c r="U51" s="84" t="str">
        <f>IFERROR(__xludf.DUMMYFUNCTION("""COMPUTED_VALUE"""),"Mensual")</f>
        <v>Mensual</v>
      </c>
      <c r="V51" s="84" t="str">
        <f>IFERROR(__xludf.DUMMYFUNCTION("""COMPUTED_VALUE"""),"TC")</f>
        <v>TC</v>
      </c>
      <c r="W51" s="84" t="str">
        <f>IFERROR(__xludf.DUMMYFUNCTION("""COMPUTED_VALUE"""),"Vida")</f>
        <v>Vida</v>
      </c>
    </row>
    <row r="52">
      <c r="C52" s="84" t="str">
        <f t="array" ref="C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Asesor'!A54, "")
</f>
        <v>DAVID MORENO NERI</v>
      </c>
      <c r="D52" s="84" t="str">
        <f t="array" ref="D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Asesor'!B54, "")
</f>
        <v>H</v>
      </c>
      <c r="E52" s="212" t="str">
        <f t="array" ref="E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Asesor'!C54, "")
</f>
        <v>Activo</v>
      </c>
      <c r="F52" s="213">
        <f t="array" ref="F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Asesor'!D54, "")
</f>
        <v>42982</v>
      </c>
      <c r="G52" s="212" t="str">
        <f t="array" ref="G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Asesor'!E54, "")
</f>
        <v>GM0000351999</v>
      </c>
      <c r="H52" s="76">
        <f t="array" ref="H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Asesor'!F54, "")
</f>
        <v>17836.2</v>
      </c>
      <c r="I52" s="84" t="str">
        <f t="array" ref="I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Asesor'!G54, "")
</f>
        <v>MXN</v>
      </c>
      <c r="J52" s="84" t="str">
        <f t="array" ref="J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Asesor'!H54, "")
</f>
        <v>Mensual</v>
      </c>
      <c r="K52" s="84" t="str">
        <f t="array" ref="K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Asesor'!K54, "")
</f>
        <v>TC</v>
      </c>
      <c r="L52" s="84" t="str">
        <f t="array" ref="L52">IF(OR(
    AND('BD Asesor'!H54="Mensual", MATCH($B$2, {"Enero", "Febrero", "Marzo", "Abril", "Mayo", "Junio", "Julio", "Agosto", "Septiembre", "Octubre", "Noviembre", "Diciembre"}, 0)&gt;=1),
    AND('BD Asesor'!H54="Trimestral", MOD(MATCH($B$2, {"Enero", "Febrero", "Marzo", "Abril", "Mayo", "Junio", "Julio", "Agosto", "Septiembre", "Octubre", "Noviembre"}, 0)-MONTH('BD Asesor'!D54), 3)=0),
    AND('BD Asesor'!H54="Semestral", MOD(MATCH($B$2, {"Enero", "Febrero", "Marzo", "Abril", "Mayo", "Junio", "Julio", "Agosto", "Septiembre", "Octubre", "Noviembre"}, 0)-MONTH('BD Asesor'!D54), 6)=0),
    AND('BD Asesor'!H54="Anual", MONTH('BD Asesor'!D54)=MATCH($B$2, {"Enero", "Febrero", "Marzo", "Abril", "Mayo", "Junio", "Julio", "Agosto", "Septiembre", "Octubre", "Noviembre"}, 0))
), 'BD Asesor'!L54, "")
</f>
        <v>Gastos Médicos </v>
      </c>
      <c r="N52" s="84" t="str">
        <f>IFERROR(__xludf.DUMMYFUNCTION("""COMPUTED_VALUE"""),"LUCIA ORTEGA RAMIREZ")</f>
        <v>LUCIA ORTEGA RAMIREZ</v>
      </c>
      <c r="O52" s="84" t="str">
        <f>IFERROR(__xludf.DUMMYFUNCTION("""COMPUTED_VALUE"""),"M")</f>
        <v>M</v>
      </c>
      <c r="P52" s="84" t="str">
        <f>IFERROR(__xludf.DUMMYFUNCTION("""COMPUTED_VALUE"""),"Activo")</f>
        <v>Activo</v>
      </c>
      <c r="Q52" s="199">
        <f>IFERROR(__xludf.DUMMYFUNCTION("""COMPUTED_VALUE"""),44278.0)</f>
        <v>44278</v>
      </c>
      <c r="R52" s="84" t="str">
        <f>IFERROR(__xludf.DUMMYFUNCTION("""COMPUTED_VALUE"""),"VI0002591305")</f>
        <v>VI0002591305</v>
      </c>
      <c r="S52" s="76">
        <f>IFERROR(__xludf.DUMMYFUNCTION("""COMPUTED_VALUE"""),35897.78232)</f>
        <v>35897.78232</v>
      </c>
      <c r="T52" s="84" t="str">
        <f>IFERROR(__xludf.DUMMYFUNCTION("""COMPUTED_VALUE"""),"UDIS")</f>
        <v>UDIS</v>
      </c>
      <c r="U52" s="84" t="str">
        <f>IFERROR(__xludf.DUMMYFUNCTION("""COMPUTED_VALUE"""),"Mensual")</f>
        <v>Mensual</v>
      </c>
      <c r="V52" s="84" t="str">
        <f>IFERROR(__xludf.DUMMYFUNCTION("""COMPUTED_VALUE"""),"TD")</f>
        <v>TD</v>
      </c>
      <c r="W52" s="84" t="str">
        <f>IFERROR(__xludf.DUMMYFUNCTION("""COMPUTED_VALUE"""),"Vida")</f>
        <v>Vida</v>
      </c>
    </row>
    <row r="53">
      <c r="C53" s="84" t="str">
        <f t="array" ref="C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Asesor'!A55, "")
</f>
        <v>DAVID MORENO NERI</v>
      </c>
      <c r="D53" s="84" t="str">
        <f t="array" ref="D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Asesor'!B55, "")
</f>
        <v>H</v>
      </c>
      <c r="E53" s="212" t="str">
        <f t="array" ref="E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Asesor'!C55, "")
</f>
        <v>Activo</v>
      </c>
      <c r="F53" s="213">
        <f t="array" ref="F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Asesor'!D55, "")
</f>
        <v>44064</v>
      </c>
      <c r="G53" s="212" t="str">
        <f t="array" ref="G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Asesor'!E55, "")
</f>
        <v>VI0002550138</v>
      </c>
      <c r="H53" s="76">
        <f t="array" ref="H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Asesor'!F55, "")
</f>
        <v>34835.20728</v>
      </c>
      <c r="I53" s="84" t="str">
        <f t="array" ref="I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Asesor'!G55, "")
</f>
        <v>UDIS</v>
      </c>
      <c r="J53" s="84" t="str">
        <f t="array" ref="J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Asesor'!H55, "")
</f>
        <v>Mensual</v>
      </c>
      <c r="K53" s="84" t="str">
        <f t="array" ref="K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Asesor'!K55, "")
</f>
        <v>TC</v>
      </c>
      <c r="L53" s="84" t="str">
        <f t="array" ref="L53">IF(OR(
    AND('BD Asesor'!H55="Mensual", MATCH($B$2, {"Enero", "Febrero", "Marzo", "Abril", "Mayo", "Junio", "Julio", "Agosto", "Septiembre", "Octubre", "Noviembre", "Diciembre"}, 0)&gt;=1),
    AND('BD Asesor'!H55="Trimestral", MOD(MATCH($B$2, {"Enero", "Febrero", "Marzo", "Abril", "Mayo", "Junio", "Julio", "Agosto", "Septiembre", "Octubre", "Noviembre"}, 0)-MONTH('BD Asesor'!D55), 3)=0),
    AND('BD Asesor'!H55="Semestral", MOD(MATCH($B$2, {"Enero", "Febrero", "Marzo", "Abril", "Mayo", "Junio", "Julio", "Agosto", "Septiembre", "Octubre", "Noviembre"}, 0)-MONTH('BD Asesor'!D55), 6)=0),
    AND('BD Asesor'!H55="Anual", MONTH('BD Asesor'!D55)=MATCH($B$2, {"Enero", "Febrero", "Marzo", "Abril", "Mayo", "Junio", "Julio", "Agosto", "Septiembre", "Octubre", "Noviembre"}, 0))
), 'BD Asesor'!L55, "")
</f>
        <v>Vida</v>
      </c>
      <c r="N53" s="84" t="str">
        <f>IFERROR(__xludf.DUMMYFUNCTION("""COMPUTED_VALUE"""),"MARCO ANTONIO RAMOS REYNOSO")</f>
        <v>MARCO ANTONIO RAMOS REYNOSO</v>
      </c>
      <c r="O53" s="84" t="str">
        <f>IFERROR(__xludf.DUMMYFUNCTION("""COMPUTED_VALUE"""),"H")</f>
        <v>H</v>
      </c>
      <c r="P53" s="84" t="str">
        <f>IFERROR(__xludf.DUMMYFUNCTION("""COMPUTED_VALUE"""),"Activo")</f>
        <v>Activo</v>
      </c>
      <c r="Q53" s="199">
        <f>IFERROR(__xludf.DUMMYFUNCTION("""COMPUTED_VALUE"""),44259.0)</f>
        <v>44259</v>
      </c>
      <c r="R53" s="84" t="str">
        <f>IFERROR(__xludf.DUMMYFUNCTION("""COMPUTED_VALUE"""),"VI0002588611")</f>
        <v>VI0002588611</v>
      </c>
      <c r="S53" s="76">
        <f>IFERROR(__xludf.DUMMYFUNCTION("""COMPUTED_VALUE"""),13525.76596)</f>
        <v>13525.76596</v>
      </c>
      <c r="T53" s="84" t="str">
        <f>IFERROR(__xludf.DUMMYFUNCTION("""COMPUTED_VALUE"""),"UDIS")</f>
        <v>UDIS</v>
      </c>
      <c r="U53" s="84" t="str">
        <f>IFERROR(__xludf.DUMMYFUNCTION("""COMPUTED_VALUE"""),"Anual")</f>
        <v>Anual</v>
      </c>
      <c r="V53" s="84" t="str">
        <f>IFERROR(__xludf.DUMMYFUNCTION("""COMPUTED_VALUE"""),"TC")</f>
        <v>TC</v>
      </c>
      <c r="W53" s="84" t="str">
        <f>IFERROR(__xludf.DUMMYFUNCTION("""COMPUTED_VALUE"""),"Vida")</f>
        <v>Vida</v>
      </c>
    </row>
    <row r="54">
      <c r="C54" s="84" t="str">
        <f t="array" ref="C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Asesor'!A56, "")
</f>
        <v>DENISSE CARDENAS GONZALEZ</v>
      </c>
      <c r="D54" s="84" t="str">
        <f t="array" ref="D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Asesor'!B56, "")
</f>
        <v>M</v>
      </c>
      <c r="E54" s="212" t="str">
        <f t="array" ref="E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Asesor'!C56, "")
</f>
        <v>Activo</v>
      </c>
      <c r="F54" s="213">
        <f t="array" ref="F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Asesor'!D56, "")
</f>
        <v>44173</v>
      </c>
      <c r="G54" s="212" t="str">
        <f t="array" ref="G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Asesor'!E56, "")
</f>
        <v>VI0002571494</v>
      </c>
      <c r="H54" s="76">
        <f t="array" ref="H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Asesor'!F56, "")
</f>
        <v>25934.86008</v>
      </c>
      <c r="I54" s="84" t="str">
        <f t="array" ref="I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Asesor'!G56, "")
</f>
        <v>UDIS</v>
      </c>
      <c r="J54" s="84" t="str">
        <f t="array" ref="J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Asesor'!H56, "")
</f>
        <v>Trimestral</v>
      </c>
      <c r="K54" s="84" t="str">
        <f t="array" ref="K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Asesor'!K56, "")
</f>
        <v>TC</v>
      </c>
      <c r="L54" s="84" t="str">
        <f t="array" ref="L54">IF(OR(
    AND('BD Asesor'!H56="Mensual", MATCH($B$2, {"Enero", "Febrero", "Marzo", "Abril", "Mayo", "Junio", "Julio", "Agosto", "Septiembre", "Octubre", "Noviembre", "Diciembre"}, 0)&gt;=1),
    AND('BD Asesor'!H56="Trimestral", MOD(MATCH($B$2, {"Enero", "Febrero", "Marzo", "Abril", "Mayo", "Junio", "Julio", "Agosto", "Septiembre", "Octubre", "Noviembre"}, 0)-MONTH('BD Asesor'!D56), 3)=0),
    AND('BD Asesor'!H56="Semestral", MOD(MATCH($B$2, {"Enero", "Febrero", "Marzo", "Abril", "Mayo", "Junio", "Julio", "Agosto", "Septiembre", "Octubre", "Noviembre"}, 0)-MONTH('BD Asesor'!D56), 6)=0),
    AND('BD Asesor'!H56="Anual", MONTH('BD Asesor'!D56)=MATCH($B$2, {"Enero", "Febrero", "Marzo", "Abril", "Mayo", "Junio", "Julio", "Agosto", "Septiembre", "Octubre", "Noviembre"}, 0))
), 'BD Asesor'!L56, "")
</f>
        <v>Vida</v>
      </c>
      <c r="N54" s="84" t="str">
        <f>IFERROR(__xludf.DUMMYFUNCTION("""COMPUTED_VALUE"""),"MARIA AURORA RIOS GALVAN")</f>
        <v>MARIA AURORA RIOS GALVAN</v>
      </c>
      <c r="O54" s="84" t="str">
        <f>IFERROR(__xludf.DUMMYFUNCTION("""COMPUTED_VALUE"""),"M")</f>
        <v>M</v>
      </c>
      <c r="P54" s="84" t="str">
        <f>IFERROR(__xludf.DUMMYFUNCTION("""COMPUTED_VALUE"""),"Activo")</f>
        <v>Activo</v>
      </c>
      <c r="Q54" s="199">
        <f>IFERROR(__xludf.DUMMYFUNCTION("""COMPUTED_VALUE"""),44280.0)</f>
        <v>44280</v>
      </c>
      <c r="R54" s="84" t="str">
        <f>IFERROR(__xludf.DUMMYFUNCTION("""COMPUTED_VALUE"""),"VI0002592088")</f>
        <v>VI0002592088</v>
      </c>
      <c r="S54" s="76">
        <f>IFERROR(__xludf.DUMMYFUNCTION("""COMPUTED_VALUE"""),65127.42224000001)</f>
        <v>65127.42224</v>
      </c>
      <c r="T54" s="84" t="str">
        <f>IFERROR(__xludf.DUMMYFUNCTION("""COMPUTED_VALUE"""),"UDIS")</f>
        <v>UDIS</v>
      </c>
      <c r="U54" s="84" t="str">
        <f>IFERROR(__xludf.DUMMYFUNCTION("""COMPUTED_VALUE"""),"Semestral")</f>
        <v>Semestral</v>
      </c>
      <c r="V54" s="84" t="str">
        <f>IFERROR(__xludf.DUMMYFUNCTION("""COMPUTED_VALUE"""),"TD")</f>
        <v>TD</v>
      </c>
      <c r="W54" s="84" t="str">
        <f>IFERROR(__xludf.DUMMYFUNCTION("""COMPUTED_VALUE"""),"Vida")</f>
        <v>Vida</v>
      </c>
    </row>
    <row r="55">
      <c r="C55" s="84" t="str">
        <f t="array" ref="C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Asesor'!A57, "")
</f>
        <v/>
      </c>
      <c r="D55" s="84" t="str">
        <f t="array" ref="D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Asesor'!B57, "")
</f>
        <v/>
      </c>
      <c r="E55" s="212" t="str">
        <f t="array" ref="E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Asesor'!C57, "")
</f>
        <v/>
      </c>
      <c r="F55" s="212" t="str">
        <f t="array" ref="F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Asesor'!D57, "")
</f>
        <v/>
      </c>
      <c r="G55" s="212" t="str">
        <f t="array" ref="G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Asesor'!E57, "")
</f>
        <v/>
      </c>
      <c r="H55" s="84" t="str">
        <f t="array" ref="H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Asesor'!F57, "")
</f>
        <v/>
      </c>
      <c r="I55" s="84" t="str">
        <f t="array" ref="I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Asesor'!G57, "")
</f>
        <v/>
      </c>
      <c r="J55" s="84" t="str">
        <f t="array" ref="J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Asesor'!H57, "")
</f>
        <v/>
      </c>
      <c r="K55" s="84" t="str">
        <f t="array" ref="K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Asesor'!K57, "")
</f>
        <v/>
      </c>
      <c r="L55" s="84" t="str">
        <f t="array" ref="L55">IF(OR(
    AND('BD Asesor'!H57="Mensual", MATCH($B$2, {"Enero", "Febrero", "Marzo", "Abril", "Mayo", "Junio", "Julio", "Agosto", "Septiembre", "Octubre", "Noviembre", "Diciembre"}, 0)&gt;=1),
    AND('BD Asesor'!H57="Trimestral", MOD(MATCH($B$2, {"Enero", "Febrero", "Marzo", "Abril", "Mayo", "Junio", "Julio", "Agosto", "Septiembre", "Octubre", "Noviembre"}, 0)-MONTH('BD Asesor'!D57), 3)=0),
    AND('BD Asesor'!H57="Semestral", MOD(MATCH($B$2, {"Enero", "Febrero", "Marzo", "Abril", "Mayo", "Junio", "Julio", "Agosto", "Septiembre", "Octubre", "Noviembre"}, 0)-MONTH('BD Asesor'!D57), 6)=0),
    AND('BD Asesor'!H57="Anual", MONTH('BD Asesor'!D57)=MATCH($B$2, {"Enero", "Febrero", "Marzo", "Abril", "Mayo", "Junio", "Julio", "Agosto", "Septiembre", "Octubre", "Noviembre"}, 0))
), 'BD Asesor'!L57, "")
</f>
        <v/>
      </c>
      <c r="N55" s="84" t="str">
        <f>IFERROR(__xludf.DUMMYFUNCTION("""COMPUTED_VALUE"""),"MELISSA GUADALUPE ROMERO GARCIA")</f>
        <v>MELISSA GUADALUPE ROMERO GARCIA</v>
      </c>
      <c r="O55" s="84" t="str">
        <f>IFERROR(__xludf.DUMMYFUNCTION("""COMPUTED_VALUE"""),"M")</f>
        <v>M</v>
      </c>
      <c r="P55" s="84" t="str">
        <f>IFERROR(__xludf.DUMMYFUNCTION("""COMPUTED_VALUE"""),"Activo")</f>
        <v>Activo</v>
      </c>
      <c r="Q55" s="199">
        <f>IFERROR(__xludf.DUMMYFUNCTION("""COMPUTED_VALUE"""),44071.0)</f>
        <v>44071</v>
      </c>
      <c r="R55" s="84" t="str">
        <f>IFERROR(__xludf.DUMMYFUNCTION("""COMPUTED_VALUE"""),"VI0002552195")</f>
        <v>VI0002552195</v>
      </c>
      <c r="S55" s="76">
        <f>IFERROR(__xludf.DUMMYFUNCTION("""COMPUTED_VALUE"""),39263.528620000005)</f>
        <v>39263.52862</v>
      </c>
      <c r="T55" s="84" t="str">
        <f>IFERROR(__xludf.DUMMYFUNCTION("""COMPUTED_VALUE"""),"UDIS")</f>
        <v>UDIS</v>
      </c>
      <c r="U55" s="84" t="str">
        <f>IFERROR(__xludf.DUMMYFUNCTION("""COMPUTED_VALUE"""),"Mensual")</f>
        <v>Mensual</v>
      </c>
      <c r="V55" s="84" t="str">
        <f>IFERROR(__xludf.DUMMYFUNCTION("""COMPUTED_VALUE"""),"TC")</f>
        <v>TC</v>
      </c>
      <c r="W55" s="84" t="str">
        <f>IFERROR(__xludf.DUMMYFUNCTION("""COMPUTED_VALUE"""),"Vida")</f>
        <v>Vida</v>
      </c>
    </row>
    <row r="56">
      <c r="C56" s="84" t="str">
        <f t="array" ref="C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Asesor'!A58, "")
</f>
        <v/>
      </c>
      <c r="D56" s="84" t="str">
        <f t="array" ref="D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Asesor'!B58, "")
</f>
        <v/>
      </c>
      <c r="E56" s="212" t="str">
        <f t="array" ref="E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Asesor'!C58, "")
</f>
        <v/>
      </c>
      <c r="F56" s="212" t="str">
        <f t="array" ref="F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Asesor'!D58, "")
</f>
        <v/>
      </c>
      <c r="G56" s="212" t="str">
        <f t="array" ref="G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Asesor'!E58, "")
</f>
        <v/>
      </c>
      <c r="H56" s="84" t="str">
        <f t="array" ref="H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Asesor'!F58, "")
</f>
        <v/>
      </c>
      <c r="I56" s="84" t="str">
        <f t="array" ref="I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Asesor'!G58, "")
</f>
        <v/>
      </c>
      <c r="J56" s="84" t="str">
        <f t="array" ref="J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Asesor'!H58, "")
</f>
        <v/>
      </c>
      <c r="K56" s="84" t="str">
        <f t="array" ref="K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Asesor'!K58, "")
</f>
        <v/>
      </c>
      <c r="L56" s="84" t="str">
        <f t="array" ref="L56">IF(OR(
    AND('BD Asesor'!H58="Mensual", MATCH($B$2, {"Enero", "Febrero", "Marzo", "Abril", "Mayo", "Junio", "Julio", "Agosto", "Septiembre", "Octubre", "Noviembre", "Diciembre"}, 0)&gt;=1),
    AND('BD Asesor'!H58="Trimestral", MOD(MATCH($B$2, {"Enero", "Febrero", "Marzo", "Abril", "Mayo", "Junio", "Julio", "Agosto", "Septiembre", "Octubre", "Noviembre"}, 0)-MONTH('BD Asesor'!D58), 3)=0),
    AND('BD Asesor'!H58="Semestral", MOD(MATCH($B$2, {"Enero", "Febrero", "Marzo", "Abril", "Mayo", "Junio", "Julio", "Agosto", "Septiembre", "Octubre", "Noviembre"}, 0)-MONTH('BD Asesor'!D58), 6)=0),
    AND('BD Asesor'!H58="Anual", MONTH('BD Asesor'!D58)=MATCH($B$2, {"Enero", "Febrero", "Marzo", "Abril", "Mayo", "Junio", "Julio", "Agosto", "Septiembre", "Octubre", "Noviembre"}, 0))
), 'BD Asesor'!L58, "")
</f>
        <v/>
      </c>
      <c r="N56" s="84" t="str">
        <f>IFERROR(__xludf.DUMMYFUNCTION("""COMPUTED_VALUE"""),"ORLANDA JIMENA CERVANTES NUÑEZ")</f>
        <v>ORLANDA JIMENA CERVANTES NUÑEZ</v>
      </c>
      <c r="O56" s="84" t="str">
        <f>IFERROR(__xludf.DUMMYFUNCTION("""COMPUTED_VALUE"""),"M")</f>
        <v>M</v>
      </c>
      <c r="P56" s="84" t="str">
        <f>IFERROR(__xludf.DUMMYFUNCTION("""COMPUTED_VALUE"""),"Activo")</f>
        <v>Activo</v>
      </c>
      <c r="Q56" s="199">
        <f>IFERROR(__xludf.DUMMYFUNCTION("""COMPUTED_VALUE"""),44456.0)</f>
        <v>44456</v>
      </c>
      <c r="R56" s="84" t="str">
        <f>IFERROR(__xludf.DUMMYFUNCTION("""COMPUTED_VALUE"""),"GM0000538831")</f>
        <v>GM0000538831</v>
      </c>
      <c r="S56" s="76">
        <f>IFERROR(__xludf.DUMMYFUNCTION("""COMPUTED_VALUE"""),31556.64)</f>
        <v>31556.64</v>
      </c>
      <c r="T56" s="84" t="str">
        <f>IFERROR(__xludf.DUMMYFUNCTION("""COMPUTED_VALUE"""),"MXN")</f>
        <v>MXN</v>
      </c>
      <c r="U56" s="84" t="str">
        <f>IFERROR(__xludf.DUMMYFUNCTION("""COMPUTED_VALUE"""),"Mensual")</f>
        <v>Mensual</v>
      </c>
      <c r="V56" s="84" t="str">
        <f>IFERROR(__xludf.DUMMYFUNCTION("""COMPUTED_VALUE"""),"TD")</f>
        <v>TD</v>
      </c>
      <c r="W56" s="84" t="str">
        <f>IFERROR(__xludf.DUMMYFUNCTION("""COMPUTED_VALUE"""),"Gastos Médicos ")</f>
        <v>Gastos Médicos </v>
      </c>
    </row>
    <row r="57">
      <c r="C57" s="84" t="str">
        <f t="array" ref="C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Asesor'!A59, "")
</f>
        <v/>
      </c>
      <c r="D57" s="84" t="str">
        <f t="array" ref="D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Asesor'!B59, "")
</f>
        <v/>
      </c>
      <c r="E57" s="212" t="str">
        <f t="array" ref="E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Asesor'!C59, "")
</f>
        <v/>
      </c>
      <c r="F57" s="212" t="str">
        <f t="array" ref="F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Asesor'!D59, "")
</f>
        <v/>
      </c>
      <c r="G57" s="212" t="str">
        <f t="array" ref="G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Asesor'!E59, "")
</f>
        <v/>
      </c>
      <c r="H57" s="84" t="str">
        <f t="array" ref="H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Asesor'!F59, "")
</f>
        <v/>
      </c>
      <c r="I57" s="84" t="str">
        <f t="array" ref="I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Asesor'!G59, "")
</f>
        <v/>
      </c>
      <c r="J57" s="84" t="str">
        <f t="array" ref="J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Asesor'!H59, "")
</f>
        <v/>
      </c>
      <c r="K57" s="84" t="str">
        <f t="array" ref="K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Asesor'!K59, "")
</f>
        <v/>
      </c>
      <c r="L57" s="84" t="str">
        <f t="array" ref="L57">IF(OR(
    AND('BD Asesor'!H59="Mensual", MATCH($B$2, {"Enero", "Febrero", "Marzo", "Abril", "Mayo", "Junio", "Julio", "Agosto", "Septiembre", "Octubre", "Noviembre", "Diciembre"}, 0)&gt;=1),
    AND('BD Asesor'!H59="Trimestral", MOD(MATCH($B$2, {"Enero", "Febrero", "Marzo", "Abril", "Mayo", "Junio", "Julio", "Agosto", "Septiembre", "Octubre", "Noviembre"}, 0)-MONTH('BD Asesor'!D59), 3)=0),
    AND('BD Asesor'!H59="Semestral", MOD(MATCH($B$2, {"Enero", "Febrero", "Marzo", "Abril", "Mayo", "Junio", "Julio", "Agosto", "Septiembre", "Octubre", "Noviembre"}, 0)-MONTH('BD Asesor'!D59), 6)=0),
    AND('BD Asesor'!H59="Anual", MONTH('BD Asesor'!D59)=MATCH($B$2, {"Enero", "Febrero", "Marzo", "Abril", "Mayo", "Junio", "Julio", "Agosto", "Septiembre", "Octubre", "Noviembre"}, 0))
), 'BD Asesor'!L59, "")
</f>
        <v/>
      </c>
      <c r="N57" s="84" t="str">
        <f>IFERROR(__xludf.DUMMYFUNCTION("""COMPUTED_VALUE"""),"RICARDO GONZALEZ ARECHIGA")</f>
        <v>RICARDO GONZALEZ ARECHIGA</v>
      </c>
      <c r="O57" s="84" t="str">
        <f>IFERROR(__xludf.DUMMYFUNCTION("""COMPUTED_VALUE"""),"H")</f>
        <v>H</v>
      </c>
      <c r="P57" s="84" t="str">
        <f>IFERROR(__xludf.DUMMYFUNCTION("""COMPUTED_VALUE"""),"Activo")</f>
        <v>Activo</v>
      </c>
      <c r="Q57" s="199">
        <f>IFERROR(__xludf.DUMMYFUNCTION("""COMPUTED_VALUE"""),44147.0)</f>
        <v>44147</v>
      </c>
      <c r="R57" s="84" t="str">
        <f>IFERROR(__xludf.DUMMYFUNCTION("""COMPUTED_VALUE"""),"VI0002566243")</f>
        <v>VI0002566243</v>
      </c>
      <c r="S57" s="76">
        <f>IFERROR(__xludf.DUMMYFUNCTION("""COMPUTED_VALUE"""),57496.072080000005)</f>
        <v>57496.07208</v>
      </c>
      <c r="T57" s="84" t="str">
        <f>IFERROR(__xludf.DUMMYFUNCTION("""COMPUTED_VALUE"""),"UDIS")</f>
        <v>UDIS</v>
      </c>
      <c r="U57" s="84" t="str">
        <f>IFERROR(__xludf.DUMMYFUNCTION("""COMPUTED_VALUE"""),"Mensual")</f>
        <v>Mensual</v>
      </c>
      <c r="V57" s="84" t="str">
        <f>IFERROR(__xludf.DUMMYFUNCTION("""COMPUTED_VALUE"""),"TD")</f>
        <v>TD</v>
      </c>
      <c r="W57" s="84" t="str">
        <f>IFERROR(__xludf.DUMMYFUNCTION("""COMPUTED_VALUE"""),"Vida")</f>
        <v>Vida</v>
      </c>
    </row>
    <row r="58">
      <c r="C58" s="84" t="str">
        <f t="array" ref="C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Asesor'!A60, "")
</f>
        <v/>
      </c>
      <c r="D58" s="84" t="str">
        <f t="array" ref="D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Asesor'!B60, "")
</f>
        <v/>
      </c>
      <c r="E58" s="212" t="str">
        <f t="array" ref="E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Asesor'!C60, "")
</f>
        <v/>
      </c>
      <c r="F58" s="212" t="str">
        <f t="array" ref="F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Asesor'!D60, "")
</f>
        <v/>
      </c>
      <c r="G58" s="212" t="str">
        <f t="array" ref="G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Asesor'!E60, "")
</f>
        <v/>
      </c>
      <c r="H58" s="84" t="str">
        <f t="array" ref="H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Asesor'!F60, "")
</f>
        <v/>
      </c>
      <c r="I58" s="84" t="str">
        <f t="array" ref="I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Asesor'!G60, "")
</f>
        <v/>
      </c>
      <c r="J58" s="84" t="str">
        <f t="array" ref="J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Asesor'!H60, "")
</f>
        <v/>
      </c>
      <c r="K58" s="84" t="str">
        <f t="array" ref="K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Asesor'!K60, "")
</f>
        <v/>
      </c>
      <c r="L58" s="84" t="str">
        <f t="array" ref="L58">IF(OR(
    AND('BD Asesor'!H60="Mensual", MATCH($B$2, {"Enero", "Febrero", "Marzo", "Abril", "Mayo", "Junio", "Julio", "Agosto", "Septiembre", "Octubre", "Noviembre", "Diciembre"}, 0)&gt;=1),
    AND('BD Asesor'!H60="Trimestral", MOD(MATCH($B$2, {"Enero", "Febrero", "Marzo", "Abril", "Mayo", "Junio", "Julio", "Agosto", "Septiembre", "Octubre", "Noviembre"}, 0)-MONTH('BD Asesor'!D60), 3)=0),
    AND('BD Asesor'!H60="Semestral", MOD(MATCH($B$2, {"Enero", "Febrero", "Marzo", "Abril", "Mayo", "Junio", "Julio", "Agosto", "Septiembre", "Octubre", "Noviembre"}, 0)-MONTH('BD Asesor'!D60), 6)=0),
    AND('BD Asesor'!H60="Anual", MONTH('BD Asesor'!D60)=MATCH($B$2, {"Enero", "Febrero", "Marzo", "Abril", "Mayo", "Junio", "Julio", "Agosto", "Septiembre", "Octubre", "Noviembre"}, 0))
), 'BD Asesor'!L60, "")
</f>
        <v/>
      </c>
      <c r="N58" s="84" t="str">
        <f>IFERROR(__xludf.DUMMYFUNCTION("""COMPUTED_VALUE"""),"SANDRA LISSET TORRES HERNANDEZ")</f>
        <v>SANDRA LISSET TORRES HERNANDEZ</v>
      </c>
      <c r="O58" s="84" t="str">
        <f>IFERROR(__xludf.DUMMYFUNCTION("""COMPUTED_VALUE"""),"M")</f>
        <v>M</v>
      </c>
      <c r="P58" s="84" t="str">
        <f>IFERROR(__xludf.DUMMYFUNCTION("""COMPUTED_VALUE"""),"Activo")</f>
        <v>Activo</v>
      </c>
      <c r="Q58" s="199">
        <f>IFERROR(__xludf.DUMMYFUNCTION("""COMPUTED_VALUE"""),44117.0)</f>
        <v>44117</v>
      </c>
      <c r="R58" s="84" t="str">
        <f>IFERROR(__xludf.DUMMYFUNCTION("""COMPUTED_VALUE"""),"VI0002560246")</f>
        <v>VI0002560246</v>
      </c>
      <c r="S58" s="76">
        <f>IFERROR(__xludf.DUMMYFUNCTION("""COMPUTED_VALUE"""),17804.9652)</f>
        <v>17804.9652</v>
      </c>
      <c r="T58" s="84" t="str">
        <f>IFERROR(__xludf.DUMMYFUNCTION("""COMPUTED_VALUE"""),"UDIS")</f>
        <v>UDIS</v>
      </c>
      <c r="U58" s="84" t="str">
        <f>IFERROR(__xludf.DUMMYFUNCTION("""COMPUTED_VALUE"""),"Mensual")</f>
        <v>Mensual</v>
      </c>
      <c r="V58" s="84" t="str">
        <f>IFERROR(__xludf.DUMMYFUNCTION("""COMPUTED_VALUE"""),"TC")</f>
        <v>TC</v>
      </c>
      <c r="W58" s="84" t="str">
        <f>IFERROR(__xludf.DUMMYFUNCTION("""COMPUTED_VALUE"""),"Vida")</f>
        <v>Vida</v>
      </c>
    </row>
    <row r="59">
      <c r="C59" s="84" t="str">
        <f t="array" ref="C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Asesor'!A61, "")
</f>
        <v>EDGAR SANCHEZ GONZALEZ</v>
      </c>
      <c r="D59" s="84" t="str">
        <f t="array" ref="D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Asesor'!B61, "")
</f>
        <v>H</v>
      </c>
      <c r="E59" s="212" t="str">
        <f t="array" ref="E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Asesor'!C61, "")
</f>
        <v>Activo</v>
      </c>
      <c r="F59" s="213">
        <f t="array" ref="F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Asesor'!D61, "")
</f>
        <v>44923</v>
      </c>
      <c r="G59" s="212" t="str">
        <f t="array" ref="G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Asesor'!E61, "")
</f>
        <v>VI0002711484</v>
      </c>
      <c r="H59" s="76">
        <f t="array" ref="H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Asesor'!F61, "")
</f>
        <v>18979.65</v>
      </c>
      <c r="I59" s="84" t="str">
        <f t="array" ref="I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Asesor'!G61, "")
</f>
        <v>UDIS</v>
      </c>
      <c r="J59" s="84" t="str">
        <f t="array" ref="J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Asesor'!H61, "")
</f>
        <v>Mensual</v>
      </c>
      <c r="K59" s="84" t="str">
        <f t="array" ref="K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Asesor'!K61, "")
</f>
        <v>TD</v>
      </c>
      <c r="L59" s="84" t="str">
        <f t="array" ref="L59">IF(OR(
    AND('BD Asesor'!H61="Mensual", MATCH($B$2, {"Enero", "Febrero", "Marzo", "Abril", "Mayo", "Junio", "Julio", "Agosto", "Septiembre", "Octubre", "Noviembre", "Diciembre"}, 0)&gt;=1),
    AND('BD Asesor'!H61="Trimestral", MOD(MATCH($B$2, {"Enero", "Febrero", "Marzo", "Abril", "Mayo", "Junio", "Julio", "Agosto", "Septiembre", "Octubre", "Noviembre"}, 0)-MONTH('BD Asesor'!D61), 3)=0),
    AND('BD Asesor'!H61="Semestral", MOD(MATCH($B$2, {"Enero", "Febrero", "Marzo", "Abril", "Mayo", "Junio", "Julio", "Agosto", "Septiembre", "Octubre", "Noviembre"}, 0)-MONTH('BD Asesor'!D61), 6)=0),
    AND('BD Asesor'!H61="Anual", MONTH('BD Asesor'!D61)=MATCH($B$2, {"Enero", "Febrero", "Marzo", "Abril", "Mayo", "Junio", "Julio", "Agosto", "Septiembre", "Octubre", "Noviembre"}, 0))
), 'BD Asesor'!L61, "")
</f>
        <v>Vida</v>
      </c>
      <c r="N59" s="84" t="str">
        <f>IFERROR(__xludf.DUMMYFUNCTION("""COMPUTED_VALUE"""),"SARAHI PAULINA OROZCO MARTINEZ")</f>
        <v>SARAHI PAULINA OROZCO MARTINEZ</v>
      </c>
      <c r="O59" s="84" t="str">
        <f>IFERROR(__xludf.DUMMYFUNCTION("""COMPUTED_VALUE"""),"M")</f>
        <v>M</v>
      </c>
      <c r="P59" s="84" t="str">
        <f>IFERROR(__xludf.DUMMYFUNCTION("""COMPUTED_VALUE"""),"Activo")</f>
        <v>Activo</v>
      </c>
      <c r="Q59" s="199">
        <f>IFERROR(__xludf.DUMMYFUNCTION("""COMPUTED_VALUE"""),44161.0)</f>
        <v>44161</v>
      </c>
      <c r="R59" s="84" t="str">
        <f>IFERROR(__xludf.DUMMYFUNCTION("""COMPUTED_VALUE"""),"VI0002569421")</f>
        <v>VI0002569421</v>
      </c>
      <c r="S59" s="76">
        <f>IFERROR(__xludf.DUMMYFUNCTION("""COMPUTED_VALUE"""),26536.75816)</f>
        <v>26536.75816</v>
      </c>
      <c r="T59" s="84" t="str">
        <f>IFERROR(__xludf.DUMMYFUNCTION("""COMPUTED_VALUE"""),"UDIS")</f>
        <v>UDIS</v>
      </c>
      <c r="U59" s="84" t="str">
        <f>IFERROR(__xludf.DUMMYFUNCTION("""COMPUTED_VALUE"""),"Mensual")</f>
        <v>Mensual</v>
      </c>
      <c r="V59" s="84" t="str">
        <f>IFERROR(__xludf.DUMMYFUNCTION("""COMPUTED_VALUE"""),"TC")</f>
        <v>TC</v>
      </c>
      <c r="W59" s="84" t="str">
        <f>IFERROR(__xludf.DUMMYFUNCTION("""COMPUTED_VALUE"""),"Vida")</f>
        <v>Vida</v>
      </c>
    </row>
    <row r="60">
      <c r="C60" s="84" t="str">
        <f t="array" ref="C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Asesor'!A62, "")
</f>
        <v>EDUARDO ERNESTO VALLES JARILLO</v>
      </c>
      <c r="D60" s="84" t="str">
        <f t="array" ref="D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Asesor'!B62, "")
</f>
        <v>H</v>
      </c>
      <c r="E60" s="212" t="str">
        <f t="array" ref="E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Asesor'!C62, "")
</f>
        <v>Activo</v>
      </c>
      <c r="F60" s="213">
        <f t="array" ref="F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Asesor'!D62, "")
</f>
        <v>44622</v>
      </c>
      <c r="G60" s="212" t="str">
        <f t="array" ref="G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Asesor'!E62, "")
</f>
        <v>GM0000556025</v>
      </c>
      <c r="H60" s="76">
        <f t="array" ref="H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Asesor'!F62, "")
</f>
        <v>38717.24</v>
      </c>
      <c r="I60" s="84" t="str">
        <f t="array" ref="I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Asesor'!G62, "")
</f>
        <v>MXN</v>
      </c>
      <c r="J60" s="84" t="str">
        <f t="array" ref="J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Asesor'!H62, "")
</f>
        <v>Semestral</v>
      </c>
      <c r="K60" s="84" t="str">
        <f t="array" ref="K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Asesor'!K62, "")
</f>
        <v>TC</v>
      </c>
      <c r="L60" s="84" t="str">
        <f t="array" ref="L60">IF(OR(
    AND('BD Asesor'!H62="Mensual", MATCH($B$2, {"Enero", "Febrero", "Marzo", "Abril", "Mayo", "Junio", "Julio", "Agosto", "Septiembre", "Octubre", "Noviembre", "Diciembre"}, 0)&gt;=1),
    AND('BD Asesor'!H62="Trimestral", MOD(MATCH($B$2, {"Enero", "Febrero", "Marzo", "Abril", "Mayo", "Junio", "Julio", "Agosto", "Septiembre", "Octubre", "Noviembre"}, 0)-MONTH('BD Asesor'!D62), 3)=0),
    AND('BD Asesor'!H62="Semestral", MOD(MATCH($B$2, {"Enero", "Febrero", "Marzo", "Abril", "Mayo", "Junio", "Julio", "Agosto", "Septiembre", "Octubre", "Noviembre"}, 0)-MONTH('BD Asesor'!D62), 6)=0),
    AND('BD Asesor'!H62="Anual", MONTH('BD Asesor'!D62)=MATCH($B$2, {"Enero", "Febrero", "Marzo", "Abril", "Mayo", "Junio", "Julio", "Agosto", "Septiembre", "Octubre", "Noviembre"}, 0))
), 'BD Asesor'!L62, "")
</f>
        <v>Gastos Médicos </v>
      </c>
      <c r="N60" s="84" t="str">
        <f>IFERROR(__xludf.DUMMYFUNCTION("""COMPUTED_VALUE"""),"SUSANA RODRIGUEZ REYES")</f>
        <v>SUSANA RODRIGUEZ REYES</v>
      </c>
      <c r="O60" s="84" t="str">
        <f>IFERROR(__xludf.DUMMYFUNCTION("""COMPUTED_VALUE"""),"M")</f>
        <v>M</v>
      </c>
      <c r="P60" s="84" t="str">
        <f>IFERROR(__xludf.DUMMYFUNCTION("""COMPUTED_VALUE"""),"Activo")</f>
        <v>Activo</v>
      </c>
      <c r="Q60" s="199">
        <f>IFERROR(__xludf.DUMMYFUNCTION("""COMPUTED_VALUE"""),44565.0)</f>
        <v>44565</v>
      </c>
      <c r="R60" s="84" t="str">
        <f>IFERROR(__xludf.DUMMYFUNCTION("""COMPUTED_VALUE"""),"VI0002644574")</f>
        <v>VI0002644574</v>
      </c>
      <c r="S60" s="76">
        <f>IFERROR(__xludf.DUMMYFUNCTION("""COMPUTED_VALUE"""),17599.11264)</f>
        <v>17599.11264</v>
      </c>
      <c r="T60" s="84" t="str">
        <f>IFERROR(__xludf.DUMMYFUNCTION("""COMPUTED_VALUE"""),"UDIS")</f>
        <v>UDIS</v>
      </c>
      <c r="U60" s="84" t="str">
        <f>IFERROR(__xludf.DUMMYFUNCTION("""COMPUTED_VALUE"""),"Mensual")</f>
        <v>Mensual</v>
      </c>
      <c r="V60" s="84" t="str">
        <f>IFERROR(__xludf.DUMMYFUNCTION("""COMPUTED_VALUE"""),"TD")</f>
        <v>TD</v>
      </c>
      <c r="W60" s="84" t="str">
        <f>IFERROR(__xludf.DUMMYFUNCTION("""COMPUTED_VALUE"""),"Vida")</f>
        <v>Vida</v>
      </c>
    </row>
    <row r="61">
      <c r="C61" s="84" t="str">
        <f t="array" ref="C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Asesor'!A63, "")
</f>
        <v>EDUARDO RAMIRO TORRES ALVAREZ</v>
      </c>
      <c r="D61" s="84" t="str">
        <f t="array" ref="D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Asesor'!B63, "")
</f>
        <v>H</v>
      </c>
      <c r="E61" s="212" t="str">
        <f t="array" ref="E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Asesor'!C63, "")
</f>
        <v>Activo</v>
      </c>
      <c r="F61" s="213">
        <f t="array" ref="F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Asesor'!D63, "")
</f>
        <v>44053</v>
      </c>
      <c r="G61" s="212" t="str">
        <f t="array" ref="G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Asesor'!E63, "")
</f>
        <v>VI0002548210</v>
      </c>
      <c r="H61" s="76">
        <f t="array" ref="H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Asesor'!F63, "")
</f>
        <v>27696.138</v>
      </c>
      <c r="I61" s="84" t="str">
        <f t="array" ref="I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Asesor'!G63, "")
</f>
        <v>UDIS</v>
      </c>
      <c r="J61" s="84" t="str">
        <f t="array" ref="J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Asesor'!H63, "")
</f>
        <v>Mensual</v>
      </c>
      <c r="K61" s="84" t="str">
        <f t="array" ref="K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Asesor'!K63, "")
</f>
        <v>TC</v>
      </c>
      <c r="L61" s="84" t="str">
        <f t="array" ref="L61">IF(OR(
    AND('BD Asesor'!H63="Mensual", MATCH($B$2, {"Enero", "Febrero", "Marzo", "Abril", "Mayo", "Junio", "Julio", "Agosto", "Septiembre", "Octubre", "Noviembre", "Diciembre"}, 0)&gt;=1),
    AND('BD Asesor'!H63="Trimestral", MOD(MATCH($B$2, {"Enero", "Febrero", "Marzo", "Abril", "Mayo", "Junio", "Julio", "Agosto", "Septiembre", "Octubre", "Noviembre"}, 0)-MONTH('BD Asesor'!D63), 3)=0),
    AND('BD Asesor'!H63="Semestral", MOD(MATCH($B$2, {"Enero", "Febrero", "Marzo", "Abril", "Mayo", "Junio", "Julio", "Agosto", "Septiembre", "Octubre", "Noviembre"}, 0)-MONTH('BD Asesor'!D63), 6)=0),
    AND('BD Asesor'!H63="Anual", MONTH('BD Asesor'!D63)=MATCH($B$2, {"Enero", "Febrero", "Marzo", "Abril", "Mayo", "Junio", "Julio", "Agosto", "Septiembre", "Octubre", "Noviembre"}, 0))
), 'BD Asesor'!L63, "")
</f>
        <v>Vida</v>
      </c>
      <c r="N61" s="84" t="str">
        <f>IFERROR(__xludf.DUMMYFUNCTION("""COMPUTED_VALUE"""),"SUSANA RODRIGUEZ REYES")</f>
        <v>SUSANA RODRIGUEZ REYES</v>
      </c>
      <c r="O61" s="84" t="str">
        <f>IFERROR(__xludf.DUMMYFUNCTION("""COMPUTED_VALUE"""),"M")</f>
        <v>M</v>
      </c>
      <c r="P61" s="84" t="str">
        <f>IFERROR(__xludf.DUMMYFUNCTION("""COMPUTED_VALUE"""),"Activo")</f>
        <v>Activo</v>
      </c>
      <c r="Q61" s="199">
        <f>IFERROR(__xludf.DUMMYFUNCTION("""COMPUTED_VALUE"""),44740.0)</f>
        <v>44740</v>
      </c>
      <c r="R61" s="84" t="str">
        <f>IFERROR(__xludf.DUMMYFUNCTION("""COMPUTED_VALUE"""),"VI0002675267")</f>
        <v>VI0002675267</v>
      </c>
      <c r="S61" s="76">
        <f>IFERROR(__xludf.DUMMYFUNCTION("""COMPUTED_VALUE"""),20042.694)</f>
        <v>20042.694</v>
      </c>
      <c r="T61" s="84" t="str">
        <f>IFERROR(__xludf.DUMMYFUNCTION("""COMPUTED_VALUE"""),"UDIS")</f>
        <v>UDIS</v>
      </c>
      <c r="U61" s="84" t="str">
        <f>IFERROR(__xludf.DUMMYFUNCTION("""COMPUTED_VALUE"""),"Mensual")</f>
        <v>Mensual</v>
      </c>
      <c r="V61" s="84" t="str">
        <f>IFERROR(__xludf.DUMMYFUNCTION("""COMPUTED_VALUE"""),"TD")</f>
        <v>TD</v>
      </c>
      <c r="W61" s="84" t="str">
        <f>IFERROR(__xludf.DUMMYFUNCTION("""COMPUTED_VALUE"""),"Vida")</f>
        <v>Vida</v>
      </c>
    </row>
    <row r="62">
      <c r="C62" s="84" t="str">
        <f t="array" ref="C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Asesor'!A64, "")
</f>
        <v>EMMANUEL CONTRERAS RIOS</v>
      </c>
      <c r="D62" s="84" t="str">
        <f t="array" ref="D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Asesor'!B64, "")
</f>
        <v>H</v>
      </c>
      <c r="E62" s="212" t="str">
        <f t="array" ref="E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Asesor'!C64, "")
</f>
        <v>Activo</v>
      </c>
      <c r="F62" s="213">
        <f t="array" ref="F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Asesor'!D64, "")
</f>
        <v>44280</v>
      </c>
      <c r="G62" s="212" t="str">
        <f t="array" ref="G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Asesor'!E64, "")
</f>
        <v>VI00025924219</v>
      </c>
      <c r="H62" s="76">
        <f t="array" ref="H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Asesor'!F64, "")
</f>
        <v>26030.95308</v>
      </c>
      <c r="I62" s="84" t="str">
        <f t="array" ref="I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Asesor'!G64, "")
</f>
        <v>UDIS</v>
      </c>
      <c r="J62" s="84" t="str">
        <f t="array" ref="J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Asesor'!H64, "")
</f>
        <v>Semestral</v>
      </c>
      <c r="K62" s="84" t="str">
        <f t="array" ref="K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Asesor'!K64, "")
</f>
        <v>TD</v>
      </c>
      <c r="L62" s="84" t="str">
        <f t="array" ref="L62">IF(OR(
    AND('BD Asesor'!H64="Mensual", MATCH($B$2, {"Enero", "Febrero", "Marzo", "Abril", "Mayo", "Junio", "Julio", "Agosto", "Septiembre", "Octubre", "Noviembre", "Diciembre"}, 0)&gt;=1),
    AND('BD Asesor'!H64="Trimestral", MOD(MATCH($B$2, {"Enero", "Febrero", "Marzo", "Abril", "Mayo", "Junio", "Julio", "Agosto", "Septiembre", "Octubre", "Noviembre"}, 0)-MONTH('BD Asesor'!D64), 3)=0),
    AND('BD Asesor'!H64="Semestral", MOD(MATCH($B$2, {"Enero", "Febrero", "Marzo", "Abril", "Mayo", "Junio", "Julio", "Agosto", "Septiembre", "Octubre", "Noviembre"}, 0)-MONTH('BD Asesor'!D64), 6)=0),
    AND('BD Asesor'!H64="Anual", MONTH('BD Asesor'!D64)=MATCH($B$2, {"Enero", "Febrero", "Marzo", "Abril", "Mayo", "Junio", "Julio", "Agosto", "Septiembre", "Octubre", "Noviembre"}, 0))
), 'BD Asesor'!L64, "")
</f>
        <v>Vida</v>
      </c>
      <c r="N62" s="84" t="str">
        <f>IFERROR(__xludf.DUMMYFUNCTION("""COMPUTED_VALUE"""),"TZEITEL PAMELA GUARDIAN AVELAR")</f>
        <v>TZEITEL PAMELA GUARDIAN AVELAR</v>
      </c>
      <c r="O62" s="84" t="str">
        <f>IFERROR(__xludf.DUMMYFUNCTION("""COMPUTED_VALUE"""),"M")</f>
        <v>M</v>
      </c>
      <c r="P62" s="84" t="str">
        <f>IFERROR(__xludf.DUMMYFUNCTION("""COMPUTED_VALUE"""),"Activo")</f>
        <v>Activo</v>
      </c>
      <c r="Q62" s="199">
        <f>IFERROR(__xludf.DUMMYFUNCTION("""COMPUTED_VALUE"""),44355.0)</f>
        <v>44355</v>
      </c>
      <c r="R62" s="84" t="str">
        <f>IFERROR(__xludf.DUMMYFUNCTION("""COMPUTED_VALUE"""),"VI0002606377")</f>
        <v>VI0002606377</v>
      </c>
      <c r="S62" s="76">
        <f>IFERROR(__xludf.DUMMYFUNCTION("""COMPUTED_VALUE"""),35707.30464)</f>
        <v>35707.30464</v>
      </c>
      <c r="T62" s="84" t="str">
        <f>IFERROR(__xludf.DUMMYFUNCTION("""COMPUTED_VALUE"""),"UDIS")</f>
        <v>UDIS</v>
      </c>
      <c r="U62" s="84" t="str">
        <f>IFERROR(__xludf.DUMMYFUNCTION("""COMPUTED_VALUE"""),"Trimestral")</f>
        <v>Trimestral</v>
      </c>
      <c r="V62" s="84" t="str">
        <f>IFERROR(__xludf.DUMMYFUNCTION("""COMPUTED_VALUE"""),"TC")</f>
        <v>TC</v>
      </c>
      <c r="W62" s="84" t="str">
        <f>IFERROR(__xludf.DUMMYFUNCTION("""COMPUTED_VALUE"""),"Vida")</f>
        <v>Vida</v>
      </c>
    </row>
    <row r="63">
      <c r="C63" s="84" t="str">
        <f t="array" ref="C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Asesor'!A65, "")
</f>
        <v>EMMANUEL ORTEGA GUTIERREZ</v>
      </c>
      <c r="D63" s="84" t="str">
        <f t="array" ref="D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Asesor'!B65, "")
</f>
        <v>H</v>
      </c>
      <c r="E63" s="212" t="str">
        <f t="array" ref="E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Asesor'!C65, "")
</f>
        <v>Activo</v>
      </c>
      <c r="F63" s="213">
        <f t="array" ref="F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Asesor'!D65, "")
</f>
        <v>44096</v>
      </c>
      <c r="G63" s="212" t="str">
        <f t="array" ref="G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Asesor'!E65, "")
</f>
        <v>GM0000492375</v>
      </c>
      <c r="H63" s="76">
        <f t="array" ref="H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Asesor'!F65, "")
</f>
        <v>59203.92</v>
      </c>
      <c r="I63" s="84" t="str">
        <f t="array" ref="I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Asesor'!G65, "")
</f>
        <v>MXN</v>
      </c>
      <c r="J63" s="84" t="str">
        <f t="array" ref="J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Asesor'!H65, "")
</f>
        <v>Trimestral</v>
      </c>
      <c r="K63" s="84" t="str">
        <f t="array" ref="K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Asesor'!K65, "")
</f>
        <v>TC</v>
      </c>
      <c r="L63" s="84" t="str">
        <f t="array" ref="L63">IF(OR(
    AND('BD Asesor'!H65="Mensual", MATCH($B$2, {"Enero", "Febrero", "Marzo", "Abril", "Mayo", "Junio", "Julio", "Agosto", "Septiembre", "Octubre", "Noviembre", "Diciembre"}, 0)&gt;=1),
    AND('BD Asesor'!H65="Trimestral", MOD(MATCH($B$2, {"Enero", "Febrero", "Marzo", "Abril", "Mayo", "Junio", "Julio", "Agosto", "Septiembre", "Octubre", "Noviembre"}, 0)-MONTH('BD Asesor'!D65), 3)=0),
    AND('BD Asesor'!H65="Semestral", MOD(MATCH($B$2, {"Enero", "Febrero", "Marzo", "Abril", "Mayo", "Junio", "Julio", "Agosto", "Septiembre", "Octubre", "Noviembre"}, 0)-MONTH('BD Asesor'!D65), 6)=0),
    AND('BD Asesor'!H65="Anual", MONTH('BD Asesor'!D65)=MATCH($B$2, {"Enero", "Febrero", "Marzo", "Abril", "Mayo", "Junio", "Julio", "Agosto", "Septiembre", "Octubre", "Noviembre"}, 0))
), 'BD Asesor'!L65, "")
</f>
        <v>Gastos Médicos </v>
      </c>
      <c r="N63" s="84" t="str">
        <f>IFERROR(__xludf.DUMMYFUNCTION("""COMPUTED_VALUE"""),"VALERIA JANETH SANCHEZ MUÑOZ")</f>
        <v>VALERIA JANETH SANCHEZ MUÑOZ</v>
      </c>
      <c r="O63" s="84" t="str">
        <f>IFERROR(__xludf.DUMMYFUNCTION("""COMPUTED_VALUE"""),"M")</f>
        <v>M</v>
      </c>
      <c r="P63" s="84" t="str">
        <f>IFERROR(__xludf.DUMMYFUNCTION("""COMPUTED_VALUE"""),"Activo")</f>
        <v>Activo</v>
      </c>
      <c r="Q63" s="214">
        <f>IFERROR(__xludf.DUMMYFUNCTION("""COMPUTED_VALUE"""),44540.0)</f>
        <v>44540</v>
      </c>
      <c r="R63" s="84" t="str">
        <f>IFERROR(__xludf.DUMMYFUNCTION("""COMPUTED_VALUE"""),"GM0000547172")</f>
        <v>GM0000547172</v>
      </c>
      <c r="S63" s="76">
        <f>IFERROR(__xludf.DUMMYFUNCTION("""COMPUTED_VALUE"""),29109.96)</f>
        <v>29109.96</v>
      </c>
      <c r="T63" s="84" t="str">
        <f>IFERROR(__xludf.DUMMYFUNCTION("""COMPUTED_VALUE"""),"MXN")</f>
        <v>MXN</v>
      </c>
      <c r="U63" s="84" t="str">
        <f>IFERROR(__xludf.DUMMYFUNCTION("""COMPUTED_VALUE"""),"Trimestral")</f>
        <v>Trimestral</v>
      </c>
      <c r="V63" s="84" t="str">
        <f>IFERROR(__xludf.DUMMYFUNCTION("""COMPUTED_VALUE"""),"TD")</f>
        <v>TD</v>
      </c>
      <c r="W63" s="84" t="str">
        <f>IFERROR(__xludf.DUMMYFUNCTION("""COMPUTED_VALUE"""),"Gastos Médicos ")</f>
        <v>Gastos Médicos </v>
      </c>
    </row>
    <row r="64">
      <c r="C64" s="84" t="str">
        <f t="array" ref="C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Asesor'!A66, "")
</f>
        <v/>
      </c>
      <c r="D64" s="84" t="str">
        <f t="array" ref="D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Asesor'!B66, "")
</f>
        <v/>
      </c>
      <c r="E64" s="212" t="str">
        <f t="array" ref="E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Asesor'!C66, "")
</f>
        <v/>
      </c>
      <c r="F64" s="212" t="str">
        <f t="array" ref="F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Asesor'!D66, "")
</f>
        <v/>
      </c>
      <c r="G64" s="212" t="str">
        <f t="array" ref="G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Asesor'!E66, "")
</f>
        <v/>
      </c>
      <c r="H64" s="84" t="str">
        <f t="array" ref="H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Asesor'!F66, "")
</f>
        <v/>
      </c>
      <c r="I64" s="84" t="str">
        <f t="array" ref="I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Asesor'!G66, "")
</f>
        <v/>
      </c>
      <c r="J64" s="84" t="str">
        <f t="array" ref="J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Asesor'!H66, "")
</f>
        <v/>
      </c>
      <c r="K64" s="84" t="str">
        <f t="array" ref="K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Asesor'!K66, "")
</f>
        <v/>
      </c>
      <c r="L64" s="84" t="str">
        <f t="array" ref="L64">IF(OR(
    AND('BD Asesor'!H66="Mensual", MATCH($B$2, {"Enero", "Febrero", "Marzo", "Abril", "Mayo", "Junio", "Julio", "Agosto", "Septiembre", "Octubre", "Noviembre", "Diciembre"}, 0)&gt;=1),
    AND('BD Asesor'!H66="Trimestral", MOD(MATCH($B$2, {"Enero", "Febrero", "Marzo", "Abril", "Mayo", "Junio", "Julio", "Agosto", "Septiembre", "Octubre", "Noviembre"}, 0)-MONTH('BD Asesor'!D66), 3)=0),
    AND('BD Asesor'!H66="Semestral", MOD(MATCH($B$2, {"Enero", "Febrero", "Marzo", "Abril", "Mayo", "Junio", "Julio", "Agosto", "Septiembre", "Octubre", "Noviembre"}, 0)-MONTH('BD Asesor'!D66), 6)=0),
    AND('BD Asesor'!H66="Anual", MONTH('BD Asesor'!D66)=MATCH($B$2, {"Enero", "Febrero", "Marzo", "Abril", "Mayo", "Junio", "Julio", "Agosto", "Septiembre", "Octubre", "Noviembre"}, 0))
), 'BD Asesor'!L66, "")
</f>
        <v/>
      </c>
      <c r="N64" s="84" t="str">
        <f>IFERROR(__xludf.DUMMYFUNCTION("""COMPUTED_VALUE"""),"VICTOR GALLEGOS MARTINEZ")</f>
        <v>VICTOR GALLEGOS MARTINEZ</v>
      </c>
      <c r="O64" s="84" t="str">
        <f>IFERROR(__xludf.DUMMYFUNCTION("""COMPUTED_VALUE"""),"H")</f>
        <v>H</v>
      </c>
      <c r="P64" s="84" t="str">
        <f>IFERROR(__xludf.DUMMYFUNCTION("""COMPUTED_VALUE"""),"Activo")</f>
        <v>Activo</v>
      </c>
      <c r="Q64" s="199">
        <f>IFERROR(__xludf.DUMMYFUNCTION("""COMPUTED_VALUE"""),44862.0)</f>
        <v>44862</v>
      </c>
      <c r="R64" s="84" t="str">
        <f>IFERROR(__xludf.DUMMYFUNCTION("""COMPUTED_VALUE"""),"GM0000581018")</f>
        <v>GM0000581018</v>
      </c>
      <c r="S64" s="76">
        <f>IFERROR(__xludf.DUMMYFUNCTION("""COMPUTED_VALUE"""),72171.84)</f>
        <v>72171.84</v>
      </c>
      <c r="T64" s="84" t="str">
        <f>IFERROR(__xludf.DUMMYFUNCTION("""COMPUTED_VALUE"""),"MXN")</f>
        <v>MXN</v>
      </c>
      <c r="U64" s="84" t="str">
        <f>IFERROR(__xludf.DUMMYFUNCTION("""COMPUTED_VALUE"""),"Mensual")</f>
        <v>Mensual</v>
      </c>
      <c r="V64" s="84" t="str">
        <f>IFERROR(__xludf.DUMMYFUNCTION("""COMPUTED_VALUE"""),"TD")</f>
        <v>TD</v>
      </c>
      <c r="W64" s="84" t="str">
        <f>IFERROR(__xludf.DUMMYFUNCTION("""COMPUTED_VALUE"""),"Gastos Médicos ")</f>
        <v>Gastos Médicos </v>
      </c>
    </row>
    <row r="65">
      <c r="C65" s="84" t="str">
        <f t="array" ref="C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Asesor'!A67, "")
</f>
        <v>ESTEFANI ALEYOIS CONTRERAS RIOS</v>
      </c>
      <c r="D65" s="84" t="str">
        <f t="array" ref="D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Asesor'!B67, "")
</f>
        <v>M</v>
      </c>
      <c r="E65" s="212" t="str">
        <f t="array" ref="E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Asesor'!C67, "")
</f>
        <v>Activo</v>
      </c>
      <c r="F65" s="213">
        <f t="array" ref="F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Asesor'!D67, "")
</f>
        <v>44276</v>
      </c>
      <c r="G65" s="212" t="str">
        <f t="array" ref="G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Asesor'!E67, "")
</f>
        <v>VI0002591210</v>
      </c>
      <c r="H65" s="76">
        <f t="array" ref="H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Asesor'!F67, "")
</f>
        <v>65160.59212</v>
      </c>
      <c r="I65" s="84" t="str">
        <f t="array" ref="I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Asesor'!G67, "")
</f>
        <v>UDIS</v>
      </c>
      <c r="J65" s="84" t="str">
        <f t="array" ref="J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Asesor'!H67, "")
</f>
        <v>Semestral</v>
      </c>
      <c r="K65" s="84" t="str">
        <f t="array" ref="K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Asesor'!K67, "")
</f>
        <v>TD</v>
      </c>
      <c r="L65" s="84" t="str">
        <f t="array" ref="L65">IF(OR(
    AND('BD Asesor'!H67="Mensual", MATCH($B$2, {"Enero", "Febrero", "Marzo", "Abril", "Mayo", "Junio", "Julio", "Agosto", "Septiembre", "Octubre", "Noviembre", "Diciembre"}, 0)&gt;=1),
    AND('BD Asesor'!H67="Trimestral", MOD(MATCH($B$2, {"Enero", "Febrero", "Marzo", "Abril", "Mayo", "Junio", "Julio", "Agosto", "Septiembre", "Octubre", "Noviembre"}, 0)-MONTH('BD Asesor'!D67), 3)=0),
    AND('BD Asesor'!H67="Semestral", MOD(MATCH($B$2, {"Enero", "Febrero", "Marzo", "Abril", "Mayo", "Junio", "Julio", "Agosto", "Septiembre", "Octubre", "Noviembre"}, 0)-MONTH('BD Asesor'!D67), 6)=0),
    AND('BD Asesor'!H67="Anual", MONTH('BD Asesor'!D67)=MATCH($B$2, {"Enero", "Febrero", "Marzo", "Abril", "Mayo", "Junio", "Julio", "Agosto", "Septiembre", "Octubre", "Noviembre"}, 0))
), 'BD Asesor'!L67, "")
</f>
        <v>Vida</v>
      </c>
      <c r="N65" s="84" t="str">
        <f>IFERROR(__xludf.DUMMYFUNCTION("""COMPUTED_VALUE"""),"VICTOR GALLEGOS MARTINEZ")</f>
        <v>VICTOR GALLEGOS MARTINEZ</v>
      </c>
      <c r="O65" s="84" t="str">
        <f>IFERROR(__xludf.DUMMYFUNCTION("""COMPUTED_VALUE"""),"H")</f>
        <v>H</v>
      </c>
      <c r="P65" s="84" t="str">
        <f>IFERROR(__xludf.DUMMYFUNCTION("""COMPUTED_VALUE"""),"Activo")</f>
        <v>Activo</v>
      </c>
      <c r="Q65" s="199">
        <f>IFERROR(__xludf.DUMMYFUNCTION("""COMPUTED_VALUE"""),44862.0)</f>
        <v>44862</v>
      </c>
      <c r="R65" s="84" t="str">
        <f>IFERROR(__xludf.DUMMYFUNCTION("""COMPUTED_VALUE"""),"VI0002698126")</f>
        <v>VI0002698126</v>
      </c>
      <c r="S65" s="76">
        <f>IFERROR(__xludf.DUMMYFUNCTION("""COMPUTED_VALUE"""),30582.252)</f>
        <v>30582.252</v>
      </c>
      <c r="T65" s="84" t="str">
        <f>IFERROR(__xludf.DUMMYFUNCTION("""COMPUTED_VALUE"""),"UDIS")</f>
        <v>UDIS</v>
      </c>
      <c r="U65" s="84" t="str">
        <f>IFERROR(__xludf.DUMMYFUNCTION("""COMPUTED_VALUE"""),"Mensual")</f>
        <v>Mensual</v>
      </c>
      <c r="V65" s="84" t="str">
        <f>IFERROR(__xludf.DUMMYFUNCTION("""COMPUTED_VALUE"""),"TD")</f>
        <v>TD</v>
      </c>
      <c r="W65" s="84" t="str">
        <f>IFERROR(__xludf.DUMMYFUNCTION("""COMPUTED_VALUE"""),"Vida")</f>
        <v>Vida</v>
      </c>
    </row>
    <row r="66">
      <c r="C66" s="84" t="str">
        <f t="array" ref="C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Asesor'!A68, "")
</f>
        <v/>
      </c>
      <c r="D66" s="84" t="str">
        <f t="array" ref="D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Asesor'!B68, "")
</f>
        <v/>
      </c>
      <c r="E66" s="212" t="str">
        <f t="array" ref="E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Asesor'!C68, "")
</f>
        <v/>
      </c>
      <c r="F66" s="212" t="str">
        <f t="array" ref="F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Asesor'!D68, "")
</f>
        <v/>
      </c>
      <c r="G66" s="212" t="str">
        <f t="array" ref="G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Asesor'!E68, "")
</f>
        <v/>
      </c>
      <c r="H66" s="84" t="str">
        <f t="array" ref="H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Asesor'!F68, "")
</f>
        <v/>
      </c>
      <c r="I66" s="84" t="str">
        <f t="array" ref="I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Asesor'!G68, "")
</f>
        <v/>
      </c>
      <c r="J66" s="84" t="str">
        <f t="array" ref="J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Asesor'!H68, "")
</f>
        <v/>
      </c>
      <c r="K66" s="84" t="str">
        <f t="array" ref="K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Asesor'!K68, "")
</f>
        <v/>
      </c>
      <c r="L66" s="84" t="str">
        <f t="array" ref="L66">IF(OR(
    AND('BD Asesor'!H68="Mensual", MATCH($B$2, {"Enero", "Febrero", "Marzo", "Abril", "Mayo", "Junio", "Julio", "Agosto", "Septiembre", "Octubre", "Noviembre", "Diciembre"}, 0)&gt;=1),
    AND('BD Asesor'!H68="Trimestral", MOD(MATCH($B$2, {"Enero", "Febrero", "Marzo", "Abril", "Mayo", "Junio", "Julio", "Agosto", "Septiembre", "Octubre", "Noviembre"}, 0)-MONTH('BD Asesor'!D68), 3)=0),
    AND('BD Asesor'!H68="Semestral", MOD(MATCH($B$2, {"Enero", "Febrero", "Marzo", "Abril", "Mayo", "Junio", "Julio", "Agosto", "Septiembre", "Octubre", "Noviembre"}, 0)-MONTH('BD Asesor'!D68), 6)=0),
    AND('BD Asesor'!H68="Anual", MONTH('BD Asesor'!D68)=MATCH($B$2, {"Enero", "Febrero", "Marzo", "Abril", "Mayo", "Junio", "Julio", "Agosto", "Septiembre", "Octubre", "Noviembre"}, 0))
), 'BD Asesor'!L68, "")
</f>
        <v/>
      </c>
      <c r="N66" s="84" t="str">
        <f>IFERROR(__xludf.DUMMYFUNCTION("""COMPUTED_VALUE"""),"JENNIFER DAYANA CHAVEZ GUTIERREZ")</f>
        <v>JENNIFER DAYANA CHAVEZ GUTIERREZ</v>
      </c>
      <c r="O66" s="84" t="str">
        <f>IFERROR(__xludf.DUMMYFUNCTION("""COMPUTED_VALUE"""),"M")</f>
        <v>M</v>
      </c>
      <c r="P66" s="84" t="str">
        <f>IFERROR(__xludf.DUMMYFUNCTION("""COMPUTED_VALUE"""),"Activo")</f>
        <v>Activo</v>
      </c>
      <c r="Q66" s="199">
        <f>IFERROR(__xludf.DUMMYFUNCTION("""COMPUTED_VALUE"""),45000.0)</f>
        <v>45000</v>
      </c>
      <c r="R66" s="84" t="str">
        <f>IFERROR(__xludf.DUMMYFUNCTION("""COMPUTED_VALUE"""),"VI0002726188")</f>
        <v>VI0002726188</v>
      </c>
      <c r="S66" s="76">
        <f>IFERROR(__xludf.DUMMYFUNCTION("""COMPUTED_VALUE"""),24311.847199999997)</f>
        <v>24311.8472</v>
      </c>
      <c r="T66" s="84" t="str">
        <f>IFERROR(__xludf.DUMMYFUNCTION("""COMPUTED_VALUE"""),"UDIS")</f>
        <v>UDIS</v>
      </c>
      <c r="U66" s="84" t="str">
        <f>IFERROR(__xludf.DUMMYFUNCTION("""COMPUTED_VALUE"""),"Anual")</f>
        <v>Anual</v>
      </c>
      <c r="V66" s="84" t="str">
        <f>IFERROR(__xludf.DUMMYFUNCTION("""COMPUTED_VALUE"""),"TC")</f>
        <v>TC</v>
      </c>
      <c r="W66" s="84" t="str">
        <f>IFERROR(__xludf.DUMMYFUNCTION("""COMPUTED_VALUE"""),"Vida")</f>
        <v>Vida</v>
      </c>
    </row>
    <row r="67">
      <c r="C67" s="84" t="str">
        <f t="array" ref="C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Asesor'!A69, "")
</f>
        <v/>
      </c>
      <c r="D67" s="84" t="str">
        <f t="array" ref="D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Asesor'!B69, "")
</f>
        <v/>
      </c>
      <c r="E67" s="212" t="str">
        <f t="array" ref="E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Asesor'!C69, "")
</f>
        <v/>
      </c>
      <c r="F67" s="212" t="str">
        <f t="array" ref="F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Asesor'!D69, "")
</f>
        <v/>
      </c>
      <c r="G67" s="212" t="str">
        <f t="array" ref="G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Asesor'!E69, "")
</f>
        <v/>
      </c>
      <c r="H67" s="84" t="str">
        <f t="array" ref="H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Asesor'!F69, "")
</f>
        <v/>
      </c>
      <c r="I67" s="84" t="str">
        <f t="array" ref="I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Asesor'!G69, "")
</f>
        <v/>
      </c>
      <c r="J67" s="84" t="str">
        <f t="array" ref="J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Asesor'!H69, "")
</f>
        <v/>
      </c>
      <c r="K67" s="84" t="str">
        <f t="array" ref="K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Asesor'!K69, "")
</f>
        <v/>
      </c>
      <c r="L67" s="84" t="str">
        <f t="array" ref="L67">IF(OR(
    AND('BD Asesor'!H69="Mensual", MATCH($B$2, {"Enero", "Febrero", "Marzo", "Abril", "Mayo", "Junio", "Julio", "Agosto", "Septiembre", "Octubre", "Noviembre", "Diciembre"}, 0)&gt;=1),
    AND('BD Asesor'!H69="Trimestral", MOD(MATCH($B$2, {"Enero", "Febrero", "Marzo", "Abril", "Mayo", "Junio", "Julio", "Agosto", "Septiembre", "Octubre", "Noviembre"}, 0)-MONTH('BD Asesor'!D69), 3)=0),
    AND('BD Asesor'!H69="Semestral", MOD(MATCH($B$2, {"Enero", "Febrero", "Marzo", "Abril", "Mayo", "Junio", "Julio", "Agosto", "Septiembre", "Octubre", "Noviembre"}, 0)-MONTH('BD Asesor'!D69), 6)=0),
    AND('BD Asesor'!H69="Anual", MONTH('BD Asesor'!D69)=MATCH($B$2, {"Enero", "Febrero", "Marzo", "Abril", "Mayo", "Junio", "Julio", "Agosto", "Septiembre", "Octubre", "Noviembre"}, 0))
), 'BD Asesor'!L69, "")
</f>
        <v/>
      </c>
      <c r="N67" s="84" t="str">
        <f>IFERROR(__xludf.DUMMYFUNCTION("""COMPUTED_VALUE"""),"MICHELLE BOY ESPINOSA")</f>
        <v>MICHELLE BOY ESPINOSA</v>
      </c>
      <c r="O67" s="84" t="str">
        <f>IFERROR(__xludf.DUMMYFUNCTION("""COMPUTED_VALUE"""),"M")</f>
        <v>M</v>
      </c>
      <c r="P67" s="84" t="str">
        <f>IFERROR(__xludf.DUMMYFUNCTION("""COMPUTED_VALUE"""),"Activo")</f>
        <v>Activo</v>
      </c>
      <c r="Q67" s="199">
        <f>IFERROR(__xludf.DUMMYFUNCTION("""COMPUTED_VALUE"""),45008.0)</f>
        <v>45008</v>
      </c>
      <c r="R67" s="84" t="str">
        <f>IFERROR(__xludf.DUMMYFUNCTION("""COMPUTED_VALUE"""),"GM0000597472")</f>
        <v>GM0000597472</v>
      </c>
      <c r="S67" s="76">
        <f>IFERROR(__xludf.DUMMYFUNCTION("""COMPUTED_VALUE"""),20990.62)</f>
        <v>20990.62</v>
      </c>
      <c r="T67" s="84" t="str">
        <f>IFERROR(__xludf.DUMMYFUNCTION("""COMPUTED_VALUE"""),"MXN")</f>
        <v>MXN</v>
      </c>
      <c r="U67" s="84" t="str">
        <f>IFERROR(__xludf.DUMMYFUNCTION("""COMPUTED_VALUE"""),"Trimestral")</f>
        <v>Trimestral</v>
      </c>
      <c r="V67" s="84" t="str">
        <f>IFERROR(__xludf.DUMMYFUNCTION("""COMPUTED_VALUE"""),"TD")</f>
        <v>TD</v>
      </c>
      <c r="W67" s="84" t="str">
        <f>IFERROR(__xludf.DUMMYFUNCTION("""COMPUTED_VALUE"""),"Gastos Médicos ")</f>
        <v>Gastos Médicos </v>
      </c>
    </row>
    <row r="68">
      <c r="C68" s="84" t="str">
        <f t="array" ref="C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Asesor'!A70, "")
</f>
        <v>FRANCISCO JAVIER VALENCIA PRADO</v>
      </c>
      <c r="D68" s="84" t="str">
        <f t="array" ref="D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Asesor'!B70, "")
</f>
        <v>H</v>
      </c>
      <c r="E68" s="212" t="str">
        <f t="array" ref="E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Asesor'!C70, "")
</f>
        <v>Activo</v>
      </c>
      <c r="F68" s="213">
        <f t="array" ref="F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Asesor'!D70, "")
</f>
        <v>44012</v>
      </c>
      <c r="G68" s="212" t="str">
        <f t="array" ref="G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Asesor'!E70, "")
</f>
        <v>GM0000479419</v>
      </c>
      <c r="H68" s="76">
        <f t="array" ref="H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Asesor'!F70, "")
</f>
        <v>16188.72</v>
      </c>
      <c r="I68" s="84" t="str">
        <f t="array" ref="I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Asesor'!G70, "")
</f>
        <v>MXN</v>
      </c>
      <c r="J68" s="84" t="str">
        <f t="array" ref="J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Asesor'!H70, "")
</f>
        <v>Mensual</v>
      </c>
      <c r="K68" s="84" t="str">
        <f t="array" ref="K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Asesor'!K70, "")
</f>
        <v>TD</v>
      </c>
      <c r="L68" s="84" t="str">
        <f t="array" ref="L68">IF(OR(
    AND('BD Asesor'!H70="Mensual", MATCH($B$2, {"Enero", "Febrero", "Marzo", "Abril", "Mayo", "Junio", "Julio", "Agosto", "Septiembre", "Octubre", "Noviembre", "Diciembre"}, 0)&gt;=1),
    AND('BD Asesor'!H70="Trimestral", MOD(MATCH($B$2, {"Enero", "Febrero", "Marzo", "Abril", "Mayo", "Junio", "Julio", "Agosto", "Septiembre", "Octubre", "Noviembre"}, 0)-MONTH('BD Asesor'!D70), 3)=0),
    AND('BD Asesor'!H70="Semestral", MOD(MATCH($B$2, {"Enero", "Febrero", "Marzo", "Abril", "Mayo", "Junio", "Julio", "Agosto", "Septiembre", "Octubre", "Noviembre"}, 0)-MONTH('BD Asesor'!D70), 6)=0),
    AND('BD Asesor'!H70="Anual", MONTH('BD Asesor'!D70)=MATCH($B$2, {"Enero", "Febrero", "Marzo", "Abril", "Mayo", "Junio", "Julio", "Agosto", "Septiembre", "Octubre", "Noviembre"}, 0))
), 'BD Asesor'!L70, "")
</f>
        <v>Gastos Médicos </v>
      </c>
      <c r="N68" s="84" t="str">
        <f>IFERROR(__xludf.DUMMYFUNCTION("""COMPUTED_VALUE"""),"DIANA MONTSERRAT FLORES VERA")</f>
        <v>DIANA MONTSERRAT FLORES VERA</v>
      </c>
      <c r="O68" s="84" t="str">
        <f>IFERROR(__xludf.DUMMYFUNCTION("""COMPUTED_VALUE"""),"M")</f>
        <v>M</v>
      </c>
      <c r="P68" s="84" t="str">
        <f>IFERROR(__xludf.DUMMYFUNCTION("""COMPUTED_VALUE"""),"Activo")</f>
        <v>Activo</v>
      </c>
      <c r="Q68" s="199">
        <f>IFERROR(__xludf.DUMMYFUNCTION("""COMPUTED_VALUE"""),45071.0)</f>
        <v>45071</v>
      </c>
      <c r="R68" s="84" t="str">
        <f>IFERROR(__xludf.DUMMYFUNCTION("""COMPUTED_VALUE"""),"VI0002740454")</f>
        <v>VI0002740454</v>
      </c>
      <c r="S68" s="76">
        <f>IFERROR(__xludf.DUMMYFUNCTION("""COMPUTED_VALUE"""),16824.5304)</f>
        <v>16824.5304</v>
      </c>
      <c r="T68" s="84" t="str">
        <f>IFERROR(__xludf.DUMMYFUNCTION("""COMPUTED_VALUE"""),"UDIS")</f>
        <v>UDIS</v>
      </c>
      <c r="U68" s="84" t="str">
        <f>IFERROR(__xludf.DUMMYFUNCTION("""COMPUTED_VALUE"""),"Mensual")</f>
        <v>Mensual</v>
      </c>
      <c r="V68" s="84" t="str">
        <f>IFERROR(__xludf.DUMMYFUNCTION("""COMPUTED_VALUE"""),"TD")</f>
        <v>TD</v>
      </c>
      <c r="W68" s="84" t="str">
        <f>IFERROR(__xludf.DUMMYFUNCTION("""COMPUTED_VALUE"""),"Vida")</f>
        <v>Vida</v>
      </c>
    </row>
    <row r="69">
      <c r="C69" s="84" t="str">
        <f t="array" ref="C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Asesor'!A71, "")
</f>
        <v>FRANCISCO JAVIER VALENCIA PRADO</v>
      </c>
      <c r="D69" s="84" t="str">
        <f t="array" ref="D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Asesor'!B71, "")
</f>
        <v>H</v>
      </c>
      <c r="E69" s="212" t="str">
        <f t="array" ref="E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Asesor'!C71, "")
</f>
        <v>Activo</v>
      </c>
      <c r="F69" s="213">
        <f t="array" ref="F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Asesor'!D71, "")
</f>
        <v>44019</v>
      </c>
      <c r="G69" s="212" t="str">
        <f t="array" ref="G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Asesor'!E71, "")
</f>
        <v>VI0002541931</v>
      </c>
      <c r="H69" s="76">
        <f t="array" ref="H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Asesor'!F71, "")
</f>
        <v>27904.55304</v>
      </c>
      <c r="I69" s="84" t="str">
        <f t="array" ref="I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Asesor'!G71, "")
</f>
        <v>UDIS</v>
      </c>
      <c r="J69" s="84" t="str">
        <f t="array" ref="J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Asesor'!H71, "")
</f>
        <v>Mensual</v>
      </c>
      <c r="K69" s="84" t="str">
        <f t="array" ref="K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Asesor'!K71, "")
</f>
        <v>TD</v>
      </c>
      <c r="L69" s="84" t="str">
        <f t="array" ref="L69">IF(OR(
    AND('BD Asesor'!H71="Mensual", MATCH($B$2, {"Enero", "Febrero", "Marzo", "Abril", "Mayo", "Junio", "Julio", "Agosto", "Septiembre", "Octubre", "Noviembre", "Diciembre"}, 0)&gt;=1),
    AND('BD Asesor'!H71="Trimestral", MOD(MATCH($B$2, {"Enero", "Febrero", "Marzo", "Abril", "Mayo", "Junio", "Julio", "Agosto", "Septiembre", "Octubre", "Noviembre"}, 0)-MONTH('BD Asesor'!D71), 3)=0),
    AND('BD Asesor'!H71="Semestral", MOD(MATCH($B$2, {"Enero", "Febrero", "Marzo", "Abril", "Mayo", "Junio", "Julio", "Agosto", "Septiembre", "Octubre", "Noviembre"}, 0)-MONTH('BD Asesor'!D71), 6)=0),
    AND('BD Asesor'!H71="Anual", MONTH('BD Asesor'!D71)=MATCH($B$2, {"Enero", "Febrero", "Marzo", "Abril", "Mayo", "Junio", "Julio", "Agosto", "Septiembre", "Octubre", "Noviembre"}, 0))
), 'BD Asesor'!L71, "")
</f>
        <v>Vida</v>
      </c>
      <c r="N69" s="84" t="str">
        <f>IFERROR(__xludf.DUMMYFUNCTION("""COMPUTED_VALUE"""),"KARLA GABRIELA GARIBAY MORAN")</f>
        <v>KARLA GABRIELA GARIBAY MORAN</v>
      </c>
      <c r="O69" s="84" t="str">
        <f>IFERROR(__xludf.DUMMYFUNCTION("""COMPUTED_VALUE"""),"M")</f>
        <v>M</v>
      </c>
      <c r="P69" s="84" t="str">
        <f>IFERROR(__xludf.DUMMYFUNCTION("""COMPUTED_VALUE"""),"Activo")</f>
        <v>Activo</v>
      </c>
      <c r="Q69" s="199">
        <f>IFERROR(__xludf.DUMMYFUNCTION("""COMPUTED_VALUE"""),45103.0)</f>
        <v>45103</v>
      </c>
      <c r="R69" s="84" t="str">
        <f>IFERROR(__xludf.DUMMYFUNCTION("""COMPUTED_VALUE"""),"VI0002747846")</f>
        <v>VI0002747846</v>
      </c>
      <c r="S69" s="76">
        <f>IFERROR(__xludf.DUMMYFUNCTION("""COMPUTED_VALUE"""),20343.96)</f>
        <v>20343.96</v>
      </c>
      <c r="T69" s="84" t="str">
        <f>IFERROR(__xludf.DUMMYFUNCTION("""COMPUTED_VALUE"""),"UDIS")</f>
        <v>UDIS</v>
      </c>
      <c r="U69" s="84" t="str">
        <f>IFERROR(__xludf.DUMMYFUNCTION("""COMPUTED_VALUE"""),"Mensual")</f>
        <v>Mensual</v>
      </c>
      <c r="V69" s="84" t="str">
        <f>IFERROR(__xludf.DUMMYFUNCTION("""COMPUTED_VALUE"""),"AGENTE")</f>
        <v>AGENTE</v>
      </c>
      <c r="W69" s="84" t="str">
        <f>IFERROR(__xludf.DUMMYFUNCTION("""COMPUTED_VALUE"""),"Vida")</f>
        <v>Vida</v>
      </c>
    </row>
    <row r="70">
      <c r="C70" s="84" t="str">
        <f t="array" ref="C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Asesor'!A72, "")
</f>
        <v>FRANCISCO JAVIER VALENCIA PRADO</v>
      </c>
      <c r="D70" s="84" t="str">
        <f t="array" ref="D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Asesor'!B72, "")
</f>
        <v>H</v>
      </c>
      <c r="E70" s="212" t="str">
        <f t="array" ref="E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Asesor'!C72, "")
</f>
        <v>Activo</v>
      </c>
      <c r="F70" s="213">
        <f t="array" ref="F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Asesor'!D72, "")
</f>
        <v>44467</v>
      </c>
      <c r="G70" s="212" t="str">
        <f t="array" ref="G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Asesor'!E72, "")
</f>
        <v>GM0000540124</v>
      </c>
      <c r="H70" s="76">
        <f t="array" ref="H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Asesor'!F72, "")
</f>
        <v>18729.56</v>
      </c>
      <c r="I70" s="84" t="str">
        <f t="array" ref="I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Asesor'!G72, "")
</f>
        <v>MXN</v>
      </c>
      <c r="J70" s="84" t="str">
        <f t="array" ref="J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Asesor'!H72, "")
</f>
        <v>Semestral</v>
      </c>
      <c r="K70" s="84" t="str">
        <f t="array" ref="K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Asesor'!K72, "")
</f>
        <v>TD</v>
      </c>
      <c r="L70" s="84" t="str">
        <f t="array" ref="L70">IF(OR(
    AND('BD Asesor'!H72="Mensual", MATCH($B$2, {"Enero", "Febrero", "Marzo", "Abril", "Mayo", "Junio", "Julio", "Agosto", "Septiembre", "Octubre", "Noviembre", "Diciembre"}, 0)&gt;=1),
    AND('BD Asesor'!H72="Trimestral", MOD(MATCH($B$2, {"Enero", "Febrero", "Marzo", "Abril", "Mayo", "Junio", "Julio", "Agosto", "Septiembre", "Octubre", "Noviembre"}, 0)-MONTH('BD Asesor'!D72), 3)=0),
    AND('BD Asesor'!H72="Semestral", MOD(MATCH($B$2, {"Enero", "Febrero", "Marzo", "Abril", "Mayo", "Junio", "Julio", "Agosto", "Septiembre", "Octubre", "Noviembre"}, 0)-MONTH('BD Asesor'!D72), 6)=0),
    AND('BD Asesor'!H72="Anual", MONTH('BD Asesor'!D72)=MATCH($B$2, {"Enero", "Febrero", "Marzo", "Abril", "Mayo", "Junio", "Julio", "Agosto", "Septiembre", "Octubre", "Noviembre"}, 0))
), 'BD Asesor'!L72, "")
</f>
        <v>Gastos Médicos </v>
      </c>
      <c r="N70" s="84" t="str">
        <f>IFERROR(__xludf.DUMMYFUNCTION("""COMPUTED_VALUE"""),"OSCAR LARA SILVA")</f>
        <v>OSCAR LARA SILVA</v>
      </c>
      <c r="O70" s="84" t="str">
        <f>IFERROR(__xludf.DUMMYFUNCTION("""COMPUTED_VALUE"""),"H")</f>
        <v>H</v>
      </c>
      <c r="P70" s="84" t="str">
        <f>IFERROR(__xludf.DUMMYFUNCTION("""COMPUTED_VALUE"""),"Activo")</f>
        <v>Activo</v>
      </c>
      <c r="Q70" s="199">
        <f>IFERROR(__xludf.DUMMYFUNCTION("""COMPUTED_VALUE"""),45243.0)</f>
        <v>45243</v>
      </c>
      <c r="R70" s="84" t="str">
        <f>IFERROR(__xludf.DUMMYFUNCTION("""COMPUTED_VALUE"""),"VI0002779689")</f>
        <v>VI0002779689</v>
      </c>
      <c r="S70" s="76">
        <f>IFERROR(__xludf.DUMMYFUNCTION("""COMPUTED_VALUE"""),16472.4168)</f>
        <v>16472.4168</v>
      </c>
      <c r="T70" s="84" t="str">
        <f>IFERROR(__xludf.DUMMYFUNCTION("""COMPUTED_VALUE"""),"UDIS")</f>
        <v>UDIS</v>
      </c>
      <c r="U70" s="84" t="str">
        <f>IFERROR(__xludf.DUMMYFUNCTION("""COMPUTED_VALUE"""),"Mensual")</f>
        <v>Mensual</v>
      </c>
      <c r="V70" s="84" t="str">
        <f>IFERROR(__xludf.DUMMYFUNCTION("""COMPUTED_VALUE"""),"TC")</f>
        <v>TC</v>
      </c>
      <c r="W70" s="84" t="str">
        <f>IFERROR(__xludf.DUMMYFUNCTION("""COMPUTED_VALUE"""),"Vida")</f>
        <v>Vida</v>
      </c>
    </row>
    <row r="71">
      <c r="C71" s="84" t="str">
        <f t="array" ref="C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Asesor'!A73, "")
</f>
        <v>FRANCISCO JOSE MARTIN LOPEZ</v>
      </c>
      <c r="D71" s="84" t="str">
        <f t="array" ref="D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Asesor'!B73, "")
</f>
        <v>H</v>
      </c>
      <c r="E71" s="212" t="str">
        <f t="array" ref="E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Asesor'!C73, "")
</f>
        <v>Activo</v>
      </c>
      <c r="F71" s="213">
        <f t="array" ref="F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Asesor'!D73, "")
</f>
        <v>44641</v>
      </c>
      <c r="G71" s="212" t="str">
        <f t="array" ref="G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Asesor'!E73, "")
</f>
        <v>VI0002656531</v>
      </c>
      <c r="H71" s="76">
        <f t="array" ref="H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Asesor'!F73, "")
</f>
        <v>50638.2642</v>
      </c>
      <c r="I71" s="84" t="str">
        <f t="array" ref="I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Asesor'!G73, "")
</f>
        <v>UDIS</v>
      </c>
      <c r="J71" s="84" t="str">
        <f t="array" ref="J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Asesor'!H73, "")
</f>
        <v>Anual</v>
      </c>
      <c r="K71" s="84" t="str">
        <f t="array" ref="K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Asesor'!K73, "")
</f>
        <v>TC</v>
      </c>
      <c r="L71" s="84" t="str">
        <f t="array" ref="L71">IF(OR(
    AND('BD Asesor'!H73="Mensual", MATCH($B$2, {"Enero", "Febrero", "Marzo", "Abril", "Mayo", "Junio", "Julio", "Agosto", "Septiembre", "Octubre", "Noviembre", "Diciembre"}, 0)&gt;=1),
    AND('BD Asesor'!H73="Trimestral", MOD(MATCH($B$2, {"Enero", "Febrero", "Marzo", "Abril", "Mayo", "Junio", "Julio", "Agosto", "Septiembre", "Octubre", "Noviembre"}, 0)-MONTH('BD Asesor'!D73), 3)=0),
    AND('BD Asesor'!H73="Semestral", MOD(MATCH($B$2, {"Enero", "Febrero", "Marzo", "Abril", "Mayo", "Junio", "Julio", "Agosto", "Septiembre", "Octubre", "Noviembre"}, 0)-MONTH('BD Asesor'!D73), 6)=0),
    AND('BD Asesor'!H73="Anual", MONTH('BD Asesor'!D73)=MATCH($B$2, {"Enero", "Febrero", "Marzo", "Abril", "Mayo", "Junio", "Julio", "Agosto", "Septiembre", "Octubre", "Noviembre"}, 0))
), 'BD Asesor'!L73, "")
</f>
        <v>Vida</v>
      </c>
      <c r="N71" s="84" t="str">
        <f>IFERROR(__xludf.DUMMYFUNCTION("""COMPUTED_VALUE"""),"LILIANA VERONICA RAMIREZ ROSALES")</f>
        <v>LILIANA VERONICA RAMIREZ ROSALES</v>
      </c>
      <c r="O71" s="84" t="str">
        <f>IFERROR(__xludf.DUMMYFUNCTION("""COMPUTED_VALUE"""),"M")</f>
        <v>M</v>
      </c>
      <c r="P71" s="84" t="str">
        <f>IFERROR(__xludf.DUMMYFUNCTION("""COMPUTED_VALUE"""),"Activo")</f>
        <v>Activo</v>
      </c>
      <c r="Q71" s="199">
        <f>IFERROR(__xludf.DUMMYFUNCTION("""COMPUTED_VALUE"""),45315.0)</f>
        <v>45315</v>
      </c>
      <c r="R71" s="84" t="str">
        <f>IFERROR(__xludf.DUMMYFUNCTION("""COMPUTED_VALUE"""),"VI0002789159")</f>
        <v>VI0002789159</v>
      </c>
      <c r="S71" s="76">
        <f>IFERROR(__xludf.DUMMYFUNCTION("""COMPUTED_VALUE"""),19100.771999999997)</f>
        <v>19100.772</v>
      </c>
      <c r="T71" s="84" t="str">
        <f>IFERROR(__xludf.DUMMYFUNCTION("""COMPUTED_VALUE"""),"UDIS")</f>
        <v>UDIS</v>
      </c>
      <c r="U71" s="84" t="str">
        <f>IFERROR(__xludf.DUMMYFUNCTION("""COMPUTED_VALUE"""),"Mensual")</f>
        <v>Mensual</v>
      </c>
      <c r="V71" s="84" t="str">
        <f>IFERROR(__xludf.DUMMYFUNCTION("""COMPUTED_VALUE"""),"TD")</f>
        <v>TD</v>
      </c>
      <c r="W71" s="84" t="str">
        <f>IFERROR(__xludf.DUMMYFUNCTION("""COMPUTED_VALUE"""),"Vida")</f>
        <v>Vida</v>
      </c>
    </row>
    <row r="72">
      <c r="C72" s="84" t="str">
        <f t="array" ref="C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Asesor'!A74, "")
</f>
        <v>GLENDA GISELA CASIANO VEGA</v>
      </c>
      <c r="D72" s="84" t="str">
        <f t="array" ref="D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Asesor'!B74, "")
</f>
        <v>M</v>
      </c>
      <c r="E72" s="212" t="str">
        <f t="array" ref="E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Asesor'!C74, "")
</f>
        <v>Activo</v>
      </c>
      <c r="F72" s="213">
        <f t="array" ref="F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Asesor'!D74, "")
</f>
        <v>43867</v>
      </c>
      <c r="G72" s="212" t="str">
        <f t="array" ref="G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Asesor'!E74, "")
</f>
        <v>GM0000452776</v>
      </c>
      <c r="H72" s="76">
        <f t="array" ref="H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Asesor'!F74, "")
</f>
        <v>17176.32</v>
      </c>
      <c r="I72" s="84" t="str">
        <f t="array" ref="I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Asesor'!G74, "")
</f>
        <v>MXN</v>
      </c>
      <c r="J72" s="84" t="str">
        <f t="array" ref="J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Asesor'!H74, "")
</f>
        <v>Mensual</v>
      </c>
      <c r="K72" s="84" t="str">
        <f t="array" ref="K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Asesor'!K74, "")
</f>
        <v>TC</v>
      </c>
      <c r="L72" s="84" t="str">
        <f t="array" ref="L72">IF(OR(
    AND('BD Asesor'!H74="Mensual", MATCH($B$2, {"Enero", "Febrero", "Marzo", "Abril", "Mayo", "Junio", "Julio", "Agosto", "Septiembre", "Octubre", "Noviembre", "Diciembre"}, 0)&gt;=1),
    AND('BD Asesor'!H74="Trimestral", MOD(MATCH($B$2, {"Enero", "Febrero", "Marzo", "Abril", "Mayo", "Junio", "Julio", "Agosto", "Septiembre", "Octubre", "Noviembre"}, 0)-MONTH('BD Asesor'!D74), 3)=0),
    AND('BD Asesor'!H74="Semestral", MOD(MATCH($B$2, {"Enero", "Febrero", "Marzo", "Abril", "Mayo", "Junio", "Julio", "Agosto", "Septiembre", "Octubre", "Noviembre"}, 0)-MONTH('BD Asesor'!D74), 6)=0),
    AND('BD Asesor'!H74="Anual", MONTH('BD Asesor'!D74)=MATCH($B$2, {"Enero", "Febrero", "Marzo", "Abril", "Mayo", "Junio", "Julio", "Agosto", "Septiembre", "Octubre", "Noviembre"}, 0))
), 'BD Asesor'!L74, "")
</f>
        <v>Gastos Médicos </v>
      </c>
      <c r="N72" s="84" t="str">
        <f>IFERROR(__xludf.DUMMYFUNCTION("""COMPUTED_VALUE"""),"LILIANA VERONICA RAMIREZ ROSALES")</f>
        <v>LILIANA VERONICA RAMIREZ ROSALES</v>
      </c>
      <c r="O72" s="84" t="str">
        <f>IFERROR(__xludf.DUMMYFUNCTION("""COMPUTED_VALUE"""),"M")</f>
        <v>M</v>
      </c>
      <c r="P72" s="84" t="str">
        <f>IFERROR(__xludf.DUMMYFUNCTION("""COMPUTED_VALUE"""),"Activo")</f>
        <v>Activo</v>
      </c>
      <c r="Q72" s="199">
        <f>IFERROR(__xludf.DUMMYFUNCTION("""COMPUTED_VALUE"""),45316.0)</f>
        <v>45316</v>
      </c>
      <c r="R72" s="84" t="str">
        <f>IFERROR(__xludf.DUMMYFUNCTION("""COMPUTED_VALUE"""),"GM0000635721")</f>
        <v>GM0000635721</v>
      </c>
      <c r="S72" s="76">
        <f>IFERROR(__xludf.DUMMYFUNCTION("""COMPUTED_VALUE"""),17081.04)</f>
        <v>17081.04</v>
      </c>
      <c r="T72" s="84" t="str">
        <f>IFERROR(__xludf.DUMMYFUNCTION("""COMPUTED_VALUE"""),"MXN")</f>
        <v>MXN</v>
      </c>
      <c r="U72" s="84" t="str">
        <f>IFERROR(__xludf.DUMMYFUNCTION("""COMPUTED_VALUE"""),"Mensual")</f>
        <v>Mensual</v>
      </c>
      <c r="V72" s="84" t="str">
        <f>IFERROR(__xludf.DUMMYFUNCTION("""COMPUTED_VALUE"""),"TD")</f>
        <v>TD</v>
      </c>
      <c r="W72" s="84" t="str">
        <f>IFERROR(__xludf.DUMMYFUNCTION("""COMPUTED_VALUE"""),"Gastos Médicos ")</f>
        <v>Gastos Médicos </v>
      </c>
    </row>
    <row r="73">
      <c r="C73" s="84" t="str">
        <f t="array" ref="C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Asesor'!A75, "")
</f>
        <v/>
      </c>
      <c r="D73" s="84" t="str">
        <f t="array" ref="D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Asesor'!B75, "")
</f>
        <v/>
      </c>
      <c r="E73" s="212" t="str">
        <f t="array" ref="E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Asesor'!C75, "")
</f>
        <v/>
      </c>
      <c r="F73" s="212" t="str">
        <f t="array" ref="F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Asesor'!D75, "")
</f>
        <v/>
      </c>
      <c r="G73" s="212" t="str">
        <f t="array" ref="G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Asesor'!E75, "")
</f>
        <v/>
      </c>
      <c r="H73" s="84" t="str">
        <f t="array" ref="H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Asesor'!F75, "")
</f>
        <v/>
      </c>
      <c r="I73" s="84" t="str">
        <f t="array" ref="I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Asesor'!G75, "")
</f>
        <v/>
      </c>
      <c r="J73" s="84" t="str">
        <f t="array" ref="J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Asesor'!H75, "")
</f>
        <v/>
      </c>
      <c r="K73" s="84" t="str">
        <f t="array" ref="K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Asesor'!K75, "")
</f>
        <v/>
      </c>
      <c r="L73" s="84" t="str">
        <f t="array" ref="L73">IF(OR(
    AND('BD Asesor'!H75="Mensual", MATCH($B$2, {"Enero", "Febrero", "Marzo", "Abril", "Mayo", "Junio", "Julio", "Agosto", "Septiembre", "Octubre", "Noviembre", "Diciembre"}, 0)&gt;=1),
    AND('BD Asesor'!H75="Trimestral", MOD(MATCH($B$2, {"Enero", "Febrero", "Marzo", "Abril", "Mayo", "Junio", "Julio", "Agosto", "Septiembre", "Octubre", "Noviembre"}, 0)-MONTH('BD Asesor'!D75), 3)=0),
    AND('BD Asesor'!H75="Semestral", MOD(MATCH($B$2, {"Enero", "Febrero", "Marzo", "Abril", "Mayo", "Junio", "Julio", "Agosto", "Septiembre", "Octubre", "Noviembre"}, 0)-MONTH('BD Asesor'!D75), 6)=0),
    AND('BD Asesor'!H75="Anual", MONTH('BD Asesor'!D75)=MATCH($B$2, {"Enero", "Febrero", "Marzo", "Abril", "Mayo", "Junio", "Julio", "Agosto", "Septiembre", "Octubre", "Noviembre"}, 0))
), 'BD Asesor'!L75, "")
</f>
        <v/>
      </c>
      <c r="N73" s="84" t="str">
        <f>IFERROR(__xludf.DUMMYFUNCTION("""COMPUTED_VALUE"""),"JULIETA BEATRIZMONTAÑO MARTINEZ")</f>
        <v>JULIETA BEATRIZMONTAÑO MARTINEZ</v>
      </c>
      <c r="O73" s="84" t="str">
        <f>IFERROR(__xludf.DUMMYFUNCTION("""COMPUTED_VALUE"""),"M")</f>
        <v>M</v>
      </c>
      <c r="P73" s="84" t="str">
        <f>IFERROR(__xludf.DUMMYFUNCTION("""COMPUTED_VALUE"""),"Activo")</f>
        <v>Activo</v>
      </c>
      <c r="Q73" s="199">
        <f>IFERROR(__xludf.DUMMYFUNCTION("""COMPUTED_VALUE"""),45339.0)</f>
        <v>45339</v>
      </c>
      <c r="R73" s="84" t="str">
        <f>IFERROR(__xludf.DUMMYFUNCTION("""COMPUTED_VALUE"""),"VI0002803707")</f>
        <v>VI0002803707</v>
      </c>
      <c r="S73" s="76">
        <f>IFERROR(__xludf.DUMMYFUNCTION("""COMPUTED_VALUE"""),19073.67)</f>
        <v>19073.67</v>
      </c>
      <c r="T73" s="84" t="str">
        <f>IFERROR(__xludf.DUMMYFUNCTION("""COMPUTED_VALUE"""),"UDIS")</f>
        <v>UDIS</v>
      </c>
      <c r="U73" s="84" t="str">
        <f>IFERROR(__xludf.DUMMYFUNCTION("""COMPUTED_VALUE"""),"Mensual")</f>
        <v>Mensual</v>
      </c>
      <c r="V73" s="84" t="str">
        <f>IFERROR(__xludf.DUMMYFUNCTION("""COMPUTED_VALUE"""),"TD")</f>
        <v>TD</v>
      </c>
      <c r="W73" s="84" t="str">
        <f>IFERROR(__xludf.DUMMYFUNCTION("""COMPUTED_VALUE"""),"Vida")</f>
        <v>Vida</v>
      </c>
    </row>
    <row r="74">
      <c r="C74" s="84" t="str">
        <f t="array" ref="C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Asesor'!A76, "")
</f>
        <v/>
      </c>
      <c r="D74" s="84" t="str">
        <f t="array" ref="D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Asesor'!B76, "")
</f>
        <v/>
      </c>
      <c r="E74" s="212" t="str">
        <f t="array" ref="E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Asesor'!C76, "")
</f>
        <v/>
      </c>
      <c r="F74" s="212" t="str">
        <f t="array" ref="F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Asesor'!D76, "")
</f>
        <v/>
      </c>
      <c r="G74" s="212" t="str">
        <f t="array" ref="G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Asesor'!E76, "")
</f>
        <v/>
      </c>
      <c r="H74" s="84" t="str">
        <f t="array" ref="H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Asesor'!F76, "")
</f>
        <v/>
      </c>
      <c r="I74" s="84" t="str">
        <f t="array" ref="I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Asesor'!G76, "")
</f>
        <v/>
      </c>
      <c r="J74" s="84" t="str">
        <f t="array" ref="J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Asesor'!H76, "")
</f>
        <v/>
      </c>
      <c r="K74" s="84" t="str">
        <f t="array" ref="K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Asesor'!K76, "")
</f>
        <v/>
      </c>
      <c r="L74" s="84" t="str">
        <f t="array" ref="L74">IF(OR(
    AND('BD Asesor'!H76="Mensual", MATCH($B$2, {"Enero", "Febrero", "Marzo", "Abril", "Mayo", "Junio", "Julio", "Agosto", "Septiembre", "Octubre", "Noviembre", "Diciembre"}, 0)&gt;=1),
    AND('BD Asesor'!H76="Trimestral", MOD(MATCH($B$2, {"Enero", "Febrero", "Marzo", "Abril", "Mayo", "Junio", "Julio", "Agosto", "Septiembre", "Octubre", "Noviembre"}, 0)-MONTH('BD Asesor'!D76), 3)=0),
    AND('BD Asesor'!H76="Semestral", MOD(MATCH($B$2, {"Enero", "Febrero", "Marzo", "Abril", "Mayo", "Junio", "Julio", "Agosto", "Septiembre", "Octubre", "Noviembre"}, 0)-MONTH('BD Asesor'!D76), 6)=0),
    AND('BD Asesor'!H76="Anual", MONTH('BD Asesor'!D76)=MATCH($B$2, {"Enero", "Febrero", "Marzo", "Abril", "Mayo", "Junio", "Julio", "Agosto", "Septiembre", "Octubre", "Noviembre"}, 0))
), 'BD Asesor'!L76, "")
</f>
        <v/>
      </c>
      <c r="N74" s="84" t="str">
        <f>IFERROR(__xludf.DUMMYFUNCTION("""COMPUTED_VALUE"""),"ERIKA VALENTINA DIAZ MENDEZ
")</f>
        <v>ERIKA VALENTINA DIAZ MENDEZ
</v>
      </c>
      <c r="O74" s="84" t="str">
        <f>IFERROR(__xludf.DUMMYFUNCTION("""COMPUTED_VALUE"""),"M")</f>
        <v>M</v>
      </c>
      <c r="P74" s="84" t="str">
        <f>IFERROR(__xludf.DUMMYFUNCTION("""COMPUTED_VALUE"""),"Activo")</f>
        <v>Activo</v>
      </c>
      <c r="Q74" s="199">
        <f>IFERROR(__xludf.DUMMYFUNCTION("""COMPUTED_VALUE"""),45371.0)</f>
        <v>45371</v>
      </c>
      <c r="R74" s="84" t="str">
        <f>IFERROR(__xludf.DUMMYFUNCTION("""COMPUTED_VALUE"""),"VI0002811699")</f>
        <v>VI0002811699</v>
      </c>
      <c r="S74" s="76">
        <f>IFERROR(__xludf.DUMMYFUNCTION("""COMPUTED_VALUE"""),26535.762)</f>
        <v>26535.762</v>
      </c>
      <c r="T74" s="84" t="str">
        <f>IFERROR(__xludf.DUMMYFUNCTION("""COMPUTED_VALUE"""),"UDIS")</f>
        <v>UDIS</v>
      </c>
      <c r="U74" s="84" t="str">
        <f>IFERROR(__xludf.DUMMYFUNCTION("""COMPUTED_VALUE"""),"Semestral")</f>
        <v>Semestral</v>
      </c>
      <c r="V74" s="84" t="str">
        <f>IFERROR(__xludf.DUMMYFUNCTION("""COMPUTED_VALUE"""),"TC")</f>
        <v>TC</v>
      </c>
      <c r="W74" s="84" t="str">
        <f>IFERROR(__xludf.DUMMYFUNCTION("""COMPUTED_VALUE"""),"Vida")</f>
        <v>Vida</v>
      </c>
    </row>
    <row r="75">
      <c r="C75" s="84" t="str">
        <f t="array" ref="C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Asesor'!A77, "")
</f>
        <v>IZCHEL IRAIS GONZALEZ DIAZ</v>
      </c>
      <c r="D75" s="84" t="str">
        <f t="array" ref="D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Asesor'!B77, "")
</f>
        <v>M</v>
      </c>
      <c r="E75" s="212" t="str">
        <f t="array" ref="E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Asesor'!C77, "")
</f>
        <v>Activo</v>
      </c>
      <c r="F75" s="213">
        <f t="array" ref="F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Asesor'!D77, "")
</f>
        <v>44366</v>
      </c>
      <c r="G75" s="212" t="str">
        <f t="array" ref="G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Asesor'!E77, "")
</f>
        <v>VI0002608269</v>
      </c>
      <c r="H75" s="76">
        <f t="array" ref="H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Asesor'!F77, "")
</f>
        <v>17576.90448</v>
      </c>
      <c r="I75" s="84" t="str">
        <f t="array" ref="I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Asesor'!G77, "")
</f>
        <v>UDIS</v>
      </c>
      <c r="J75" s="84" t="str">
        <f t="array" ref="J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Asesor'!H77, "")
</f>
        <v>Mensual</v>
      </c>
      <c r="K75" s="84" t="str">
        <f t="array" ref="K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Asesor'!K77, "")
</f>
        <v>TD</v>
      </c>
      <c r="L75" s="84" t="str">
        <f t="array" ref="L75">IF(OR(
    AND('BD Asesor'!H77="Mensual", MATCH($B$2, {"Enero", "Febrero", "Marzo", "Abril", "Mayo", "Junio", "Julio", "Agosto", "Septiembre", "Octubre", "Noviembre", "Diciembre"}, 0)&gt;=1),
    AND('BD Asesor'!H77="Trimestral", MOD(MATCH($B$2, {"Enero", "Febrero", "Marzo", "Abril", "Mayo", "Junio", "Julio", "Agosto", "Septiembre", "Octubre", "Noviembre"}, 0)-MONTH('BD Asesor'!D77), 3)=0),
    AND('BD Asesor'!H77="Semestral", MOD(MATCH($B$2, {"Enero", "Febrero", "Marzo", "Abril", "Mayo", "Junio", "Julio", "Agosto", "Septiembre", "Octubre", "Noviembre"}, 0)-MONTH('BD Asesor'!D77), 6)=0),
    AND('BD Asesor'!H77="Anual", MONTH('BD Asesor'!D77)=MATCH($B$2, {"Enero", "Febrero", "Marzo", "Abril", "Mayo", "Junio", "Julio", "Agosto", "Septiembre", "Octubre", "Noviembre"}, 0))
), 'BD Asesor'!L77, "")
</f>
        <v>Vida</v>
      </c>
      <c r="N75" s="84" t="str">
        <f>IFERROR(__xludf.DUMMYFUNCTION("""COMPUTED_VALUE"""),"MICHELLE GARCIA CHAVEZ")</f>
        <v>MICHELLE GARCIA CHAVEZ</v>
      </c>
      <c r="O75" s="84" t="str">
        <f>IFERROR(__xludf.DUMMYFUNCTION("""COMPUTED_VALUE"""),"M")</f>
        <v>M</v>
      </c>
      <c r="P75" s="84" t="str">
        <f>IFERROR(__xludf.DUMMYFUNCTION("""COMPUTED_VALUE"""),"Activo")</f>
        <v>Activo</v>
      </c>
      <c r="Q75" s="199">
        <f>IFERROR(__xludf.DUMMYFUNCTION("""COMPUTED_VALUE"""),45383.0)</f>
        <v>45383</v>
      </c>
      <c r="R75" s="84" t="str">
        <f>IFERROR(__xludf.DUMMYFUNCTION("""COMPUTED_VALUE"""),"VI0002815231")</f>
        <v>VI0002815231</v>
      </c>
      <c r="S75" s="76">
        <f>IFERROR(__xludf.DUMMYFUNCTION("""COMPUTED_VALUE"""),39203.271)</f>
        <v>39203.271</v>
      </c>
      <c r="T75" s="84" t="str">
        <f>IFERROR(__xludf.DUMMYFUNCTION("""COMPUTED_VALUE"""),"UDIS")</f>
        <v>UDIS</v>
      </c>
      <c r="U75" s="84" t="str">
        <f>IFERROR(__xludf.DUMMYFUNCTION("""COMPUTED_VALUE"""),"Mensual")</f>
        <v>Mensual</v>
      </c>
      <c r="V75" s="84" t="str">
        <f>IFERROR(__xludf.DUMMYFUNCTION("""COMPUTED_VALUE"""),"TC")</f>
        <v>TC</v>
      </c>
      <c r="W75" s="84" t="str">
        <f>IFERROR(__xludf.DUMMYFUNCTION("""COMPUTED_VALUE"""),"Vida")</f>
        <v>Vida</v>
      </c>
    </row>
    <row r="76">
      <c r="C76" s="84" t="str">
        <f t="array" ref="C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Asesor'!A78, "")
</f>
        <v>JAVIER ALEJANDRO OCHOA FLORES</v>
      </c>
      <c r="D76" s="84" t="str">
        <f t="array" ref="D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Asesor'!B78, "")
</f>
        <v>H</v>
      </c>
      <c r="E76" s="212" t="str">
        <f t="array" ref="E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Asesor'!C78, "")
</f>
        <v>Activo</v>
      </c>
      <c r="F76" s="213">
        <f t="array" ref="F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Asesor'!D78, "")
</f>
        <v>44516</v>
      </c>
      <c r="G76" s="212" t="str">
        <f t="array" ref="G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Asesor'!E78, "")
</f>
        <v>VI0002634302</v>
      </c>
      <c r="H76" s="76">
        <f t="array" ref="H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Asesor'!F78, "")
</f>
        <v>19488.51456</v>
      </c>
      <c r="I76" s="84" t="str">
        <f t="array" ref="I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Asesor'!G78, "")
</f>
        <v>MXN</v>
      </c>
      <c r="J76" s="84" t="str">
        <f t="array" ref="J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Asesor'!H78, "")
</f>
        <v>Mensual</v>
      </c>
      <c r="K76" s="84" t="str">
        <f t="array" ref="K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Asesor'!K78, "")
</f>
        <v>TD</v>
      </c>
      <c r="L76" s="84" t="str">
        <f t="array" ref="L76">IF(OR(
    AND('BD Asesor'!H78="Mensual", MATCH($B$2, {"Enero", "Febrero", "Marzo", "Abril", "Mayo", "Junio", "Julio", "Agosto", "Septiembre", "Octubre", "Noviembre", "Diciembre"}, 0)&gt;=1),
    AND('BD Asesor'!H78="Trimestral", MOD(MATCH($B$2, {"Enero", "Febrero", "Marzo", "Abril", "Mayo", "Junio", "Julio", "Agosto", "Septiembre", "Octubre", "Noviembre"}, 0)-MONTH('BD Asesor'!D78), 3)=0),
    AND('BD Asesor'!H78="Semestral", MOD(MATCH($B$2, {"Enero", "Febrero", "Marzo", "Abril", "Mayo", "Junio", "Julio", "Agosto", "Septiembre", "Octubre", "Noviembre"}, 0)-MONTH('BD Asesor'!D78), 6)=0),
    AND('BD Asesor'!H78="Anual", MONTH('BD Asesor'!D78)=MATCH($B$2, {"Enero", "Febrero", "Marzo", "Abril", "Mayo", "Junio", "Julio", "Agosto", "Septiembre", "Octubre", "Noviembre"}, 0))
), 'BD Asesor'!L78, "")
</f>
        <v>Vida</v>
      </c>
      <c r="N76" s="84" t="str">
        <f>IFERROR(__xludf.DUMMYFUNCTION("""COMPUTED_VALUE"""),"VENUS ELIZABETH SILVA SANTANA")</f>
        <v>VENUS ELIZABETH SILVA SANTANA</v>
      </c>
      <c r="O76" s="84" t="str">
        <f>IFERROR(__xludf.DUMMYFUNCTION("""COMPUTED_VALUE"""),"M")</f>
        <v>M</v>
      </c>
      <c r="P76" s="84" t="str">
        <f>IFERROR(__xludf.DUMMYFUNCTION("""COMPUTED_VALUE"""),"Activo")</f>
        <v>Activo</v>
      </c>
      <c r="Q76" s="199">
        <f>IFERROR(__xludf.DUMMYFUNCTION("""COMPUTED_VALUE"""),45400.0)</f>
        <v>45400</v>
      </c>
      <c r="R76" s="84" t="str">
        <f>IFERROR(__xludf.DUMMYFUNCTION("""COMPUTED_VALUE"""),"VI0002818961")</f>
        <v>VI0002818961</v>
      </c>
      <c r="S76" s="76">
        <f>IFERROR(__xludf.DUMMYFUNCTION("""COMPUTED_VALUE"""),25546.492500000004)</f>
        <v>25546.4925</v>
      </c>
      <c r="T76" s="84" t="str">
        <f>IFERROR(__xludf.DUMMYFUNCTION("""COMPUTED_VALUE"""),"UDIS")</f>
        <v>UDIS</v>
      </c>
      <c r="U76" s="84" t="str">
        <f>IFERROR(__xludf.DUMMYFUNCTION("""COMPUTED_VALUE"""),"Mensual")</f>
        <v>Mensual</v>
      </c>
      <c r="V76" s="84" t="str">
        <f>IFERROR(__xludf.DUMMYFUNCTION("""COMPUTED_VALUE"""),"TD")</f>
        <v>TD</v>
      </c>
      <c r="W76" s="84" t="str">
        <f>IFERROR(__xludf.DUMMYFUNCTION("""COMPUTED_VALUE"""),"Vida")</f>
        <v>Vida</v>
      </c>
    </row>
    <row r="77">
      <c r="C77" s="84" t="str">
        <f t="array" ref="C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Asesor'!A79, "")
</f>
        <v/>
      </c>
      <c r="D77" s="84" t="str">
        <f t="array" ref="D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Asesor'!B79, "")
</f>
        <v/>
      </c>
      <c r="E77" s="212" t="str">
        <f t="array" ref="E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Asesor'!C79, "")
</f>
        <v/>
      </c>
      <c r="F77" s="212" t="str">
        <f t="array" ref="F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Asesor'!D79, "")
</f>
        <v/>
      </c>
      <c r="G77" s="212" t="str">
        <f t="array" ref="G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Asesor'!E79, "")
</f>
        <v/>
      </c>
      <c r="H77" s="84" t="str">
        <f t="array" ref="H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Asesor'!F79, "")
</f>
        <v/>
      </c>
      <c r="I77" s="84" t="str">
        <f t="array" ref="I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Asesor'!G79, "")
</f>
        <v/>
      </c>
      <c r="J77" s="84" t="str">
        <f t="array" ref="J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Asesor'!H79, "")
</f>
        <v/>
      </c>
      <c r="K77" s="84" t="str">
        <f t="array" ref="K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Asesor'!K79, "")
</f>
        <v/>
      </c>
      <c r="L77" s="84" t="str">
        <f t="array" ref="L77">IF(OR(
    AND('BD Asesor'!H79="Mensual", MATCH($B$2, {"Enero", "Febrero", "Marzo", "Abril", "Mayo", "Junio", "Julio", "Agosto", "Septiembre", "Octubre", "Noviembre", "Diciembre"}, 0)&gt;=1),
    AND('BD Asesor'!H79="Trimestral", MOD(MATCH($B$2, {"Enero", "Febrero", "Marzo", "Abril", "Mayo", "Junio", "Julio", "Agosto", "Septiembre", "Octubre", "Noviembre"}, 0)-MONTH('BD Asesor'!D79), 3)=0),
    AND('BD Asesor'!H79="Semestral", MOD(MATCH($B$2, {"Enero", "Febrero", "Marzo", "Abril", "Mayo", "Junio", "Julio", "Agosto", "Septiembre", "Octubre", "Noviembre"}, 0)-MONTH('BD Asesor'!D79), 6)=0),
    AND('BD Asesor'!H79="Anual", MONTH('BD Asesor'!D79)=MATCH($B$2, {"Enero", "Febrero", "Marzo", "Abril", "Mayo", "Junio", "Julio", "Agosto", "Septiembre", "Octubre", "Noviembre"}, 0))
), 'BD Asesor'!L79, "")
</f>
        <v/>
      </c>
      <c r="N77" s="84" t="str">
        <f>IFERROR(__xludf.DUMMYFUNCTION("""COMPUTED_VALUE"""),"MARIO HUMBERTO VILLANUEVA IBARRA")</f>
        <v>MARIO HUMBERTO VILLANUEVA IBARRA</v>
      </c>
      <c r="O77" s="84" t="str">
        <f>IFERROR(__xludf.DUMMYFUNCTION("""COMPUTED_VALUE"""),"H")</f>
        <v>H</v>
      </c>
      <c r="P77" s="84" t="str">
        <f>IFERROR(__xludf.DUMMYFUNCTION("""COMPUTED_VALUE"""),"Activo")</f>
        <v>Activo</v>
      </c>
      <c r="Q77" s="199">
        <f>IFERROR(__xludf.DUMMYFUNCTION("""COMPUTED_VALUE"""),45457.0)</f>
        <v>45457</v>
      </c>
      <c r="R77" s="84" t="str">
        <f>IFERROR(__xludf.DUMMYFUNCTION("""COMPUTED_VALUE"""),"VI0002832905")</f>
        <v>VI0002832905</v>
      </c>
      <c r="S77" s="76">
        <f>IFERROR(__xludf.DUMMYFUNCTION("""COMPUTED_VALUE"""),67082.9112)</f>
        <v>67082.9112</v>
      </c>
      <c r="T77" s="84" t="str">
        <f>IFERROR(__xludf.DUMMYFUNCTION("""COMPUTED_VALUE"""),"USD")</f>
        <v>USD</v>
      </c>
      <c r="U77" s="84" t="str">
        <f>IFERROR(__xludf.DUMMYFUNCTION("""COMPUTED_VALUE"""),"Mensual")</f>
        <v>Mensual</v>
      </c>
      <c r="V77" s="84" t="str">
        <f>IFERROR(__xludf.DUMMYFUNCTION("""COMPUTED_VALUE"""),"TD")</f>
        <v>TD</v>
      </c>
      <c r="W77" s="84" t="str">
        <f>IFERROR(__xludf.DUMMYFUNCTION("""COMPUTED_VALUE"""),"Vida")</f>
        <v>Vida</v>
      </c>
    </row>
    <row r="78">
      <c r="C78" s="84" t="str">
        <f t="array" ref="C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Asesor'!A80, "")
</f>
        <v/>
      </c>
      <c r="D78" s="84" t="str">
        <f t="array" ref="D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Asesor'!B80, "")
</f>
        <v/>
      </c>
      <c r="E78" s="212" t="str">
        <f t="array" ref="E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Asesor'!C80, "")
</f>
        <v/>
      </c>
      <c r="F78" s="212" t="str">
        <f t="array" ref="F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Asesor'!D80, "")
</f>
        <v/>
      </c>
      <c r="G78" s="212" t="str">
        <f t="array" ref="G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Asesor'!E80, "")
</f>
        <v/>
      </c>
      <c r="H78" s="84" t="str">
        <f t="array" ref="H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Asesor'!F80, "")
</f>
        <v/>
      </c>
      <c r="I78" s="84" t="str">
        <f t="array" ref="I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Asesor'!G80, "")
</f>
        <v/>
      </c>
      <c r="J78" s="84" t="str">
        <f t="array" ref="J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Asesor'!H80, "")
</f>
        <v/>
      </c>
      <c r="K78" s="84" t="str">
        <f t="array" ref="K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Asesor'!K80, "")
</f>
        <v/>
      </c>
      <c r="L78" s="84" t="str">
        <f t="array" ref="L78">IF(OR(
    AND('BD Asesor'!H80="Mensual", MATCH($B$2, {"Enero", "Febrero", "Marzo", "Abril", "Mayo", "Junio", "Julio", "Agosto", "Septiembre", "Octubre", "Noviembre", "Diciembre"}, 0)&gt;=1),
    AND('BD Asesor'!H80="Trimestral", MOD(MATCH($B$2, {"Enero", "Febrero", "Marzo", "Abril", "Mayo", "Junio", "Julio", "Agosto", "Septiembre", "Octubre", "Noviembre"}, 0)-MONTH('BD Asesor'!D80), 3)=0),
    AND('BD Asesor'!H80="Semestral", MOD(MATCH($B$2, {"Enero", "Febrero", "Marzo", "Abril", "Mayo", "Junio", "Julio", "Agosto", "Septiembre", "Octubre", "Noviembre"}, 0)-MONTH('BD Asesor'!D80), 6)=0),
    AND('BD Asesor'!H80="Anual", MONTH('BD Asesor'!D80)=MATCH($B$2, {"Enero", "Febrero", "Marzo", "Abril", "Mayo", "Junio", "Julio", "Agosto", "Septiembre", "Octubre", "Noviembre"}, 0))
), 'BD Asesor'!L80, "")
</f>
        <v/>
      </c>
      <c r="N78" s="84" t="str">
        <f>IFERROR(__xludf.DUMMYFUNCTION("""COMPUTED_VALUE"""),"JUDITH PAOLA DIAZ LIZARRAGA")</f>
        <v>JUDITH PAOLA DIAZ LIZARRAGA</v>
      </c>
      <c r="O78" s="84" t="str">
        <f>IFERROR(__xludf.DUMMYFUNCTION("""COMPUTED_VALUE"""),"F")</f>
        <v>F</v>
      </c>
      <c r="P78" s="84" t="str">
        <f>IFERROR(__xludf.DUMMYFUNCTION("""COMPUTED_VALUE"""),"Activo")</f>
        <v>Activo</v>
      </c>
      <c r="Q78" s="199">
        <f>IFERROR(__xludf.DUMMYFUNCTION("""COMPUTED_VALUE"""),45553.0)</f>
        <v>45553</v>
      </c>
      <c r="R78" s="84" t="str">
        <f>IFERROR(__xludf.DUMMYFUNCTION("""COMPUTED_VALUE"""),"VI0002854840")</f>
        <v>VI0002854840</v>
      </c>
      <c r="S78" s="76">
        <f>IFERROR(__xludf.DUMMYFUNCTION("""COMPUTED_VALUE"""),25364.0384)</f>
        <v>25364.0384</v>
      </c>
      <c r="T78" s="84" t="str">
        <f>IFERROR(__xludf.DUMMYFUNCTION("""COMPUTED_VALUE"""),"UDIS")</f>
        <v>UDIS</v>
      </c>
      <c r="U78" s="84" t="str">
        <f>IFERROR(__xludf.DUMMYFUNCTION("""COMPUTED_VALUE"""),"Trimestral")</f>
        <v>Trimestral</v>
      </c>
      <c r="V78" s="84" t="str">
        <f>IFERROR(__xludf.DUMMYFUNCTION("""COMPUTED_VALUE"""),"TC")</f>
        <v>TC</v>
      </c>
      <c r="W78" s="84" t="str">
        <f>IFERROR(__xludf.DUMMYFUNCTION("""COMPUTED_VALUE"""),"Vida")</f>
        <v>Vida</v>
      </c>
    </row>
    <row r="79">
      <c r="C79" s="84" t="str">
        <f t="array" ref="C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Asesor'!A81, "")
</f>
        <v/>
      </c>
      <c r="D79" s="84" t="str">
        <f t="array" ref="D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Asesor'!B81, "")
</f>
        <v/>
      </c>
      <c r="E79" s="212" t="str">
        <f t="array" ref="E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Asesor'!C81, "")
</f>
        <v/>
      </c>
      <c r="F79" s="212" t="str">
        <f t="array" ref="F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Asesor'!D81, "")
</f>
        <v/>
      </c>
      <c r="G79" s="212" t="str">
        <f t="array" ref="G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Asesor'!E81, "")
</f>
        <v/>
      </c>
      <c r="H79" s="84" t="str">
        <f t="array" ref="H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Asesor'!F81, "")
</f>
        <v/>
      </c>
      <c r="I79" s="84" t="str">
        <f t="array" ref="I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Asesor'!G81, "")
</f>
        <v/>
      </c>
      <c r="J79" s="84" t="str">
        <f t="array" ref="J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Asesor'!H81, "")
</f>
        <v/>
      </c>
      <c r="K79" s="84" t="str">
        <f t="array" ref="K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Asesor'!K81, "")
</f>
        <v/>
      </c>
      <c r="L79" s="84" t="str">
        <f t="array" ref="L79">IF(OR(
    AND('BD Asesor'!H81="Mensual", MATCH($B$2, {"Enero", "Febrero", "Marzo", "Abril", "Mayo", "Junio", "Julio", "Agosto", "Septiembre", "Octubre", "Noviembre", "Diciembre"}, 0)&gt;=1),
    AND('BD Asesor'!H81="Trimestral", MOD(MATCH($B$2, {"Enero", "Febrero", "Marzo", "Abril", "Mayo", "Junio", "Julio", "Agosto", "Septiembre", "Octubre", "Noviembre"}, 0)-MONTH('BD Asesor'!D81), 3)=0),
    AND('BD Asesor'!H81="Semestral", MOD(MATCH($B$2, {"Enero", "Febrero", "Marzo", "Abril", "Mayo", "Junio", "Julio", "Agosto", "Septiembre", "Octubre", "Noviembre"}, 0)-MONTH('BD Asesor'!D81), 6)=0),
    AND('BD Asesor'!H81="Anual", MONTH('BD Asesor'!D81)=MATCH($B$2, {"Enero", "Febrero", "Marzo", "Abril", "Mayo", "Junio", "Julio", "Agosto", "Septiembre", "Octubre", "Noviembre"}, 0))
), 'BD Asesor'!L81, "")
</f>
        <v/>
      </c>
      <c r="N79" s="84" t="str">
        <f>IFERROR(__xludf.DUMMYFUNCTION("""COMPUTED_VALUE"""),"BLANCA CAROLINA MAGAÑA CASTELLON")</f>
        <v>BLANCA CAROLINA MAGAÑA CASTELLON</v>
      </c>
      <c r="O79" s="84" t="str">
        <f>IFERROR(__xludf.DUMMYFUNCTION("""COMPUTED_VALUE"""),"F")</f>
        <v>F</v>
      </c>
      <c r="P79" s="84" t="str">
        <f>IFERROR(__xludf.DUMMYFUNCTION("""COMPUTED_VALUE"""),"Activo")</f>
        <v>Activo</v>
      </c>
      <c r="Q79" s="199">
        <f>IFERROR(__xludf.DUMMYFUNCTION("""COMPUTED_VALUE"""),43262.0)</f>
        <v>43262</v>
      </c>
      <c r="R79" s="84" t="str">
        <f>IFERROR(__xludf.DUMMYFUNCTION("""COMPUTED_VALUE"""),"VI0002382839")</f>
        <v>VI0002382839</v>
      </c>
      <c r="S79" s="76">
        <f>IFERROR(__xludf.DUMMYFUNCTION("""COMPUTED_VALUE"""),73182.46199999998)</f>
        <v>73182.462</v>
      </c>
      <c r="T79" s="84" t="str">
        <f>IFERROR(__xludf.DUMMYFUNCTION("""COMPUTED_VALUE"""),"UDIS")</f>
        <v>UDIS</v>
      </c>
      <c r="U79" s="84" t="str">
        <f>IFERROR(__xludf.DUMMYFUNCTION("""COMPUTED_VALUE"""),"Mensual")</f>
        <v>Mensual</v>
      </c>
      <c r="V79" s="84" t="str">
        <f>IFERROR(__xludf.DUMMYFUNCTION("""COMPUTED_VALUE"""),"Agente")</f>
        <v>Agente</v>
      </c>
      <c r="W79" s="84" t="str">
        <f>IFERROR(__xludf.DUMMYFUNCTION("""COMPUTED_VALUE"""),"Vida")</f>
        <v>Vida</v>
      </c>
    </row>
    <row r="80">
      <c r="C80" s="84" t="str">
        <f t="array" ref="C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Asesor'!A82, "")
</f>
        <v/>
      </c>
      <c r="D80" s="84" t="str">
        <f t="array" ref="D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Asesor'!B82, "")
</f>
        <v/>
      </c>
      <c r="E80" s="212" t="str">
        <f t="array" ref="E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Asesor'!C82, "")
</f>
        <v/>
      </c>
      <c r="F80" s="212" t="str">
        <f t="array" ref="F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Asesor'!D82, "")
</f>
        <v/>
      </c>
      <c r="G80" s="212" t="str">
        <f t="array" ref="G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Asesor'!E82, "")
</f>
        <v/>
      </c>
      <c r="H80" s="84" t="str">
        <f t="array" ref="H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Asesor'!F82, "")
</f>
        <v/>
      </c>
      <c r="I80" s="84" t="str">
        <f t="array" ref="I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Asesor'!G82, "")
</f>
        <v/>
      </c>
      <c r="J80" s="84" t="str">
        <f t="array" ref="J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Asesor'!H82, "")
</f>
        <v/>
      </c>
      <c r="K80" s="84" t="str">
        <f t="array" ref="K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Asesor'!K82, "")
</f>
        <v/>
      </c>
      <c r="L80" s="84" t="str">
        <f t="array" ref="L80">IF(OR(
    AND('BD Asesor'!H82="Mensual", MATCH($B$2, {"Enero", "Febrero", "Marzo", "Abril", "Mayo", "Junio", "Julio", "Agosto", "Septiembre", "Octubre", "Noviembre", "Diciembre"}, 0)&gt;=1),
    AND('BD Asesor'!H82="Trimestral", MOD(MATCH($B$2, {"Enero", "Febrero", "Marzo", "Abril", "Mayo", "Junio", "Julio", "Agosto", "Septiembre", "Octubre", "Noviembre"}, 0)-MONTH('BD Asesor'!D82), 3)=0),
    AND('BD Asesor'!H82="Semestral", MOD(MATCH($B$2, {"Enero", "Febrero", "Marzo", "Abril", "Mayo", "Junio", "Julio", "Agosto", "Septiembre", "Octubre", "Noviembre"}, 0)-MONTH('BD Asesor'!D82), 6)=0),
    AND('BD Asesor'!H82="Anual", MONTH('BD Asesor'!D82)=MATCH($B$2, {"Enero", "Febrero", "Marzo", "Abril", "Mayo", "Junio", "Julio", "Agosto", "Septiembre", "Octubre", "Noviembre"}, 0))
), 'BD Asesor'!L82, "")
</f>
        <v/>
      </c>
      <c r="N80" s="84" t="str">
        <f>IFERROR(__xludf.DUMMYFUNCTION("""COMPUTED_VALUE"""),"GERARDO ALBERTO QUEZADA GARCIA
")</f>
        <v>GERARDO ALBERTO QUEZADA GARCIA
</v>
      </c>
      <c r="O80" s="84" t="str">
        <f>IFERROR(__xludf.DUMMYFUNCTION("""COMPUTED_VALUE"""),"M")</f>
        <v>M</v>
      </c>
      <c r="P80" s="84" t="str">
        <f>IFERROR(__xludf.DUMMYFUNCTION("""COMPUTED_VALUE"""),"Activo")</f>
        <v>Activo</v>
      </c>
      <c r="Q80" s="199">
        <f>IFERROR(__xludf.DUMMYFUNCTION("""COMPUTED_VALUE"""),45615.0)</f>
        <v>45615</v>
      </c>
      <c r="R80" s="84" t="str">
        <f>IFERROR(__xludf.DUMMYFUNCTION("""COMPUTED_VALUE"""),"VI0002869958")</f>
        <v>VI0002869958</v>
      </c>
      <c r="S80" s="76">
        <f>IFERROR(__xludf.DUMMYFUNCTION("""COMPUTED_VALUE"""),120493.87199999999)</f>
        <v>120493.872</v>
      </c>
      <c r="T80" s="84" t="str">
        <f>IFERROR(__xludf.DUMMYFUNCTION("""COMPUTED_VALUE"""),"UDIS")</f>
        <v>UDIS</v>
      </c>
      <c r="U80" s="84" t="str">
        <f>IFERROR(__xludf.DUMMYFUNCTION("""COMPUTED_VALUE"""),"Mensual")</f>
        <v>Mensual</v>
      </c>
      <c r="V80" s="84" t="str">
        <f>IFERROR(__xludf.DUMMYFUNCTION("""COMPUTED_VALUE"""),"TD")</f>
        <v>TD</v>
      </c>
      <c r="W80" s="84" t="str">
        <f>IFERROR(__xludf.DUMMYFUNCTION("""COMPUTED_VALUE"""),"Vida")</f>
        <v>Vida</v>
      </c>
    </row>
    <row r="81">
      <c r="C81" s="84" t="str">
        <f t="array" ref="C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Asesor'!A83, "")
</f>
        <v>JENIFER RIVERA LIRA</v>
      </c>
      <c r="D81" s="84" t="str">
        <f t="array" ref="D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Asesor'!B83, "")
</f>
        <v>M</v>
      </c>
      <c r="E81" s="212" t="str">
        <f t="array" ref="E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Asesor'!C83, "")
</f>
        <v>Activo</v>
      </c>
      <c r="F81" s="213">
        <f t="array" ref="F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Asesor'!D83, "")
</f>
        <v>44848</v>
      </c>
      <c r="G81" s="212" t="str">
        <f t="array" ref="G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Asesor'!E83, "")
</f>
        <v>VI0002695547</v>
      </c>
      <c r="H81" s="76">
        <f t="array" ref="H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Asesor'!F83, "")
</f>
        <v>22141.242</v>
      </c>
      <c r="I81" s="84" t="str">
        <f t="array" ref="I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Asesor'!G83, "")
</f>
        <v>UDIS</v>
      </c>
      <c r="J81" s="84" t="str">
        <f t="array" ref="J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Asesor'!H83, "")
</f>
        <v>Mensual</v>
      </c>
      <c r="K81" s="84" t="str">
        <f t="array" ref="K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Asesor'!K83, "")
</f>
        <v>TC</v>
      </c>
      <c r="L81" s="84" t="str">
        <f t="array" ref="L81">IF(OR(
    AND('BD Asesor'!H83="Mensual", MATCH($B$2, {"Enero", "Febrero", "Marzo", "Abril", "Mayo", "Junio", "Julio", "Agosto", "Septiembre", "Octubre", "Noviembre", "Diciembre"}, 0)&gt;=1),
    AND('BD Asesor'!H83="Trimestral", MOD(MATCH($B$2, {"Enero", "Febrero", "Marzo", "Abril", "Mayo", "Junio", "Julio", "Agosto", "Septiembre", "Octubre", "Noviembre"}, 0)-MONTH('BD Asesor'!D83), 3)=0),
    AND('BD Asesor'!H83="Semestral", MOD(MATCH($B$2, {"Enero", "Febrero", "Marzo", "Abril", "Mayo", "Junio", "Julio", "Agosto", "Septiembre", "Octubre", "Noviembre"}, 0)-MONTH('BD Asesor'!D83), 6)=0),
    AND('BD Asesor'!H83="Anual", MONTH('BD Asesor'!D83)=MATCH($B$2, {"Enero", "Febrero", "Marzo", "Abril", "Mayo", "Junio", "Julio", "Agosto", "Septiembre", "Octubre", "Noviembre"}, 0))
), 'BD Asesor'!L83, "")
</f>
        <v>Vida</v>
      </c>
      <c r="N81" s="84" t="str">
        <f>IFERROR(__xludf.DUMMYFUNCTION("""COMPUTED_VALUE"""),"MARIA RAQUEL CONTRERAS ALVAREZ")</f>
        <v>MARIA RAQUEL CONTRERAS ALVAREZ</v>
      </c>
      <c r="O81" s="84" t="str">
        <f>IFERROR(__xludf.DUMMYFUNCTION("""COMPUTED_VALUE"""),"F")</f>
        <v>F</v>
      </c>
      <c r="P81" s="84" t="str">
        <f>IFERROR(__xludf.DUMMYFUNCTION("""COMPUTED_VALUE"""),"Activo")</f>
        <v>Activo</v>
      </c>
      <c r="Q81" s="199">
        <f>IFERROR(__xludf.DUMMYFUNCTION("""COMPUTED_VALUE"""),45637.0)</f>
        <v>45637</v>
      </c>
      <c r="R81" s="84" t="str">
        <f>IFERROR(__xludf.DUMMYFUNCTION("""COMPUTED_VALUE"""),"VI0002875542")</f>
        <v>VI0002875542</v>
      </c>
      <c r="S81" s="76">
        <f>IFERROR(__xludf.DUMMYFUNCTION("""COMPUTED_VALUE"""),121882.1443)</f>
        <v>121882.1443</v>
      </c>
      <c r="T81" s="84" t="str">
        <f>IFERROR(__xludf.DUMMYFUNCTION("""COMPUTED_VALUE"""),"UDIS")</f>
        <v>UDIS</v>
      </c>
      <c r="U81" s="84" t="str">
        <f>IFERROR(__xludf.DUMMYFUNCTION("""COMPUTED_VALUE"""),"Mensual")</f>
        <v>Mensual</v>
      </c>
      <c r="V81" s="84" t="str">
        <f>IFERROR(__xludf.DUMMYFUNCTION("""COMPUTED_VALUE"""),"TDD")</f>
        <v>TDD</v>
      </c>
      <c r="W81" s="84" t="str">
        <f>IFERROR(__xludf.DUMMYFUNCTION("""COMPUTED_VALUE"""),"Vida")</f>
        <v>Vida</v>
      </c>
    </row>
    <row r="82">
      <c r="C82" s="84" t="str">
        <f t="array" ref="C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Asesor'!A84, "")
</f>
        <v>JENNIFER GODINEZ CASILLAS</v>
      </c>
      <c r="D82" s="84" t="str">
        <f t="array" ref="D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Asesor'!B84, "")
</f>
        <v>M</v>
      </c>
      <c r="E82" s="212" t="str">
        <f t="array" ref="E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Asesor'!C84, "")
</f>
        <v>Activo</v>
      </c>
      <c r="F82" s="213">
        <f t="array" ref="F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Asesor'!D84, "")
</f>
        <v>43683</v>
      </c>
      <c r="G82" s="212" t="str">
        <f t="array" ref="G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Asesor'!E84, "")
</f>
        <v>VI0002475012</v>
      </c>
      <c r="H82" s="76">
        <f t="array" ref="H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Asesor'!F84, "")
</f>
        <v>27822.744</v>
      </c>
      <c r="I82" s="84" t="str">
        <f t="array" ref="I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Asesor'!G84, "")
</f>
        <v>UDIS</v>
      </c>
      <c r="J82" s="84" t="str">
        <f t="array" ref="J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Asesor'!H84, "")
</f>
        <v>Mensual</v>
      </c>
      <c r="K82" s="84" t="str">
        <f t="array" ref="K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Asesor'!K84, "")
</f>
        <v>TC</v>
      </c>
      <c r="L82" s="84" t="str">
        <f t="array" ref="L82">IF(OR(
    AND('BD Asesor'!H84="Mensual", MATCH($B$2, {"Enero", "Febrero", "Marzo", "Abril", "Mayo", "Junio", "Julio", "Agosto", "Septiembre", "Octubre", "Noviembre", "Diciembre"}, 0)&gt;=1),
    AND('BD Asesor'!H84="Trimestral", MOD(MATCH($B$2, {"Enero", "Febrero", "Marzo", "Abril", "Mayo", "Junio", "Julio", "Agosto", "Septiembre", "Octubre", "Noviembre"}, 0)-MONTH('BD Asesor'!D84), 3)=0),
    AND('BD Asesor'!H84="Semestral", MOD(MATCH($B$2, {"Enero", "Febrero", "Marzo", "Abril", "Mayo", "Junio", "Julio", "Agosto", "Septiembre", "Octubre", "Noviembre"}, 0)-MONTH('BD Asesor'!D84), 6)=0),
    AND('BD Asesor'!H84="Anual", MONTH('BD Asesor'!D84)=MATCH($B$2, {"Enero", "Febrero", "Marzo", "Abril", "Mayo", "Junio", "Julio", "Agosto", "Septiembre", "Octubre", "Noviembre"}, 0))
), 'BD Asesor'!L84, "")
</f>
        <v>Vida</v>
      </c>
      <c r="N82" s="84" t="str">
        <f>IFERROR(__xludf.DUMMYFUNCTION("""COMPUTED_VALUE"""),"DELIA CONTRERAS ALVAREZ")</f>
        <v>DELIA CONTRERAS ALVAREZ</v>
      </c>
      <c r="O82" s="84" t="str">
        <f>IFERROR(__xludf.DUMMYFUNCTION("""COMPUTED_VALUE"""),"F")</f>
        <v>F</v>
      </c>
      <c r="P82" s="84" t="str">
        <f>IFERROR(__xludf.DUMMYFUNCTION("""COMPUTED_VALUE"""),"Activo")</f>
        <v>Activo</v>
      </c>
      <c r="Q82" s="199">
        <f>IFERROR(__xludf.DUMMYFUNCTION("""COMPUTED_VALUE"""),45650.0)</f>
        <v>45650</v>
      </c>
      <c r="R82" s="84" t="str">
        <f>IFERROR(__xludf.DUMMYFUNCTION("""COMPUTED_VALUE"""),"VI0002879209")</f>
        <v>VI0002879209</v>
      </c>
      <c r="S82" s="76">
        <f>IFERROR(__xludf.DUMMYFUNCTION("""COMPUTED_VALUE"""),53020.1168)</f>
        <v>53020.1168</v>
      </c>
      <c r="T82" s="84" t="str">
        <f>IFERROR(__xludf.DUMMYFUNCTION("""COMPUTED_VALUE"""),"UDIS")</f>
        <v>UDIS</v>
      </c>
      <c r="U82" s="84" t="str">
        <f>IFERROR(__xludf.DUMMYFUNCTION("""COMPUTED_VALUE"""),"Mensual")</f>
        <v>Mensual</v>
      </c>
      <c r="V82" s="84" t="str">
        <f>IFERROR(__xludf.DUMMYFUNCTION("""COMPUTED_VALUE"""),"TC")</f>
        <v>TC</v>
      </c>
      <c r="W82" s="84" t="str">
        <f>IFERROR(__xludf.DUMMYFUNCTION("""COMPUTED_VALUE"""),"Vida")</f>
        <v>Vida</v>
      </c>
    </row>
    <row r="83">
      <c r="C83" s="84" t="str">
        <f t="array" ref="C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Asesor'!A85, "")
</f>
        <v>JESUS ADRIAN AVILA CABRAL</v>
      </c>
      <c r="D83" s="84" t="str">
        <f t="array" ref="D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Asesor'!B85, "")
</f>
        <v>H</v>
      </c>
      <c r="E83" s="212" t="str">
        <f t="array" ref="E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Asesor'!C85, "")
</f>
        <v>Activo</v>
      </c>
      <c r="F83" s="213">
        <f t="array" ref="F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Asesor'!D85, "")
</f>
        <v>44091</v>
      </c>
      <c r="G83" s="212" t="str">
        <f t="array" ref="G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Asesor'!E85, "")
</f>
        <v>VI0002554845</v>
      </c>
      <c r="H83" s="76">
        <f t="array" ref="H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Asesor'!F85, "")
</f>
        <v>17406.64192</v>
      </c>
      <c r="I83" s="84" t="str">
        <f t="array" ref="I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Asesor'!G85, "")
</f>
        <v>UDIS</v>
      </c>
      <c r="J83" s="84" t="str">
        <f t="array" ref="J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Asesor'!H85, "")
</f>
        <v>Semestral</v>
      </c>
      <c r="K83" s="84" t="str">
        <f t="array" ref="K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Asesor'!K85, "")
</f>
        <v>TC</v>
      </c>
      <c r="L83" s="84" t="str">
        <f t="array" ref="L83">IF(OR(
    AND('BD Asesor'!H85="Mensual", MATCH($B$2, {"Enero", "Febrero", "Marzo", "Abril", "Mayo", "Junio", "Julio", "Agosto", "Septiembre", "Octubre", "Noviembre", "Diciembre"}, 0)&gt;=1),
    AND('BD Asesor'!H85="Trimestral", MOD(MATCH($B$2, {"Enero", "Febrero", "Marzo", "Abril", "Mayo", "Junio", "Julio", "Agosto", "Septiembre", "Octubre", "Noviembre"}, 0)-MONTH('BD Asesor'!D85), 3)=0),
    AND('BD Asesor'!H85="Semestral", MOD(MATCH($B$2, {"Enero", "Febrero", "Marzo", "Abril", "Mayo", "Junio", "Julio", "Agosto", "Septiembre", "Octubre", "Noviembre"}, 0)-MONTH('BD Asesor'!D85), 6)=0),
    AND('BD Asesor'!H85="Anual", MONTH('BD Asesor'!D85)=MATCH($B$2, {"Enero", "Febrero", "Marzo", "Abril", "Mayo", "Junio", "Julio", "Agosto", "Septiembre", "Octubre", "Noviembre"}, 0))
), 'BD Asesor'!L85, "")
</f>
        <v>Vida</v>
      </c>
      <c r="N83" s="84" t="str">
        <f>IFERROR(__xludf.DUMMYFUNCTION("""COMPUTED_VALUE"""),"FRANCISCO JAVIER MENDOZA FARIAS")</f>
        <v>FRANCISCO JAVIER MENDOZA FARIAS</v>
      </c>
      <c r="O83" s="84" t="str">
        <f>IFERROR(__xludf.DUMMYFUNCTION("""COMPUTED_VALUE"""),"M")</f>
        <v>M</v>
      </c>
      <c r="P83" s="84" t="str">
        <f>IFERROR(__xludf.DUMMYFUNCTION("""COMPUTED_VALUE"""),"Activo")</f>
        <v>Activo</v>
      </c>
      <c r="Q83" s="199">
        <f>IFERROR(__xludf.DUMMYFUNCTION("""COMPUTED_VALUE"""),45683.0)</f>
        <v>45683</v>
      </c>
      <c r="R83" s="84" t="str">
        <f>IFERROR(__xludf.DUMMYFUNCTION("""COMPUTED_VALUE"""),"VI0002885836")</f>
        <v>VI0002885836</v>
      </c>
      <c r="S83" s="76">
        <f>IFERROR(__xludf.DUMMYFUNCTION("""COMPUTED_VALUE"""),46939.26)</f>
        <v>46939.26</v>
      </c>
      <c r="T83" s="84" t="str">
        <f>IFERROR(__xludf.DUMMYFUNCTION("""COMPUTED_VALUE"""),"USD")</f>
        <v>USD</v>
      </c>
      <c r="U83" s="84" t="str">
        <f>IFERROR(__xludf.DUMMYFUNCTION("""COMPUTED_VALUE"""),"Mensual")</f>
        <v>Mensual</v>
      </c>
      <c r="V83" s="84" t="str">
        <f>IFERROR(__xludf.DUMMYFUNCTION("""COMPUTED_VALUE"""),"TD")</f>
        <v>TD</v>
      </c>
      <c r="W83" s="84" t="str">
        <f>IFERROR(__xludf.DUMMYFUNCTION("""COMPUTED_VALUE"""),"Vida")</f>
        <v>Vida</v>
      </c>
    </row>
    <row r="84">
      <c r="C84" s="84" t="str">
        <f t="array" ref="C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Asesor'!A86, "")
</f>
        <v/>
      </c>
      <c r="D84" s="84" t="str">
        <f t="array" ref="D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Asesor'!B86, "")
</f>
        <v/>
      </c>
      <c r="E84" s="212" t="str">
        <f t="array" ref="E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Asesor'!C86, "")
</f>
        <v/>
      </c>
      <c r="F84" s="212" t="str">
        <f t="array" ref="F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Asesor'!D86, "")
</f>
        <v/>
      </c>
      <c r="G84" s="212" t="str">
        <f t="array" ref="G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Asesor'!E86, "")
</f>
        <v/>
      </c>
      <c r="H84" s="84" t="str">
        <f t="array" ref="H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Asesor'!F86, "")
</f>
        <v/>
      </c>
      <c r="I84" s="84" t="str">
        <f t="array" ref="I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Asesor'!G86, "")
</f>
        <v/>
      </c>
      <c r="J84" s="84" t="str">
        <f t="array" ref="J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Asesor'!H86, "")
</f>
        <v/>
      </c>
      <c r="K84" s="84" t="str">
        <f t="array" ref="K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Asesor'!K86, "")
</f>
        <v/>
      </c>
      <c r="L84" s="84" t="str">
        <f t="array" ref="L84">IF(OR(
    AND('BD Asesor'!H86="Mensual", MATCH($B$2, {"Enero", "Febrero", "Marzo", "Abril", "Mayo", "Junio", "Julio", "Agosto", "Septiembre", "Octubre", "Noviembre", "Diciembre"}, 0)&gt;=1),
    AND('BD Asesor'!H86="Trimestral", MOD(MATCH($B$2, {"Enero", "Febrero", "Marzo", "Abril", "Mayo", "Junio", "Julio", "Agosto", "Septiembre", "Octubre", "Noviembre"}, 0)-MONTH('BD Asesor'!D86), 3)=0),
    AND('BD Asesor'!H86="Semestral", MOD(MATCH($B$2, {"Enero", "Febrero", "Marzo", "Abril", "Mayo", "Junio", "Julio", "Agosto", "Septiembre", "Octubre", "Noviembre"}, 0)-MONTH('BD Asesor'!D86), 6)=0),
    AND('BD Asesor'!H86="Anual", MONTH('BD Asesor'!D86)=MATCH($B$2, {"Enero", "Febrero", "Marzo", "Abril", "Mayo", "Junio", "Julio", "Agosto", "Septiembre", "Octubre", "Noviembre"}, 0))
), 'BD Asesor'!L86, "")
</f>
        <v/>
      </c>
      <c r="N84" s="84" t="str">
        <f>IFERROR(__xludf.DUMMYFUNCTION("""COMPUTED_VALUE"""),"GEMA ITZEL LANDEROS CARRILLO")</f>
        <v>GEMA ITZEL LANDEROS CARRILLO</v>
      </c>
      <c r="O84" s="84" t="str">
        <f>IFERROR(__xludf.DUMMYFUNCTION("""COMPUTED_VALUE"""),"F")</f>
        <v>F</v>
      </c>
      <c r="P84" s="84" t="str">
        <f>IFERROR(__xludf.DUMMYFUNCTION("""COMPUTED_VALUE"""),"Activo")</f>
        <v>Activo</v>
      </c>
      <c r="Q84" s="199">
        <f>IFERROR(__xludf.DUMMYFUNCTION("""COMPUTED_VALUE"""),45708.0)</f>
        <v>45708</v>
      </c>
      <c r="R84" s="84" t="str">
        <f>IFERROR(__xludf.DUMMYFUNCTION("""COMPUTED_VALUE"""),"GM0000691919")</f>
        <v>GM0000691919</v>
      </c>
      <c r="S84" s="76">
        <f>IFERROR(__xludf.DUMMYFUNCTION("""COMPUTED_VALUE"""),23133.96)</f>
        <v>23133.96</v>
      </c>
      <c r="T84" s="84" t="str">
        <f>IFERROR(__xludf.DUMMYFUNCTION("""COMPUTED_VALUE"""),"MX")</f>
        <v>MX</v>
      </c>
      <c r="U84" s="84" t="str">
        <f>IFERROR(__xludf.DUMMYFUNCTION("""COMPUTED_VALUE"""),"Mensual")</f>
        <v>Mensual</v>
      </c>
      <c r="V84" s="84" t="str">
        <f>IFERROR(__xludf.DUMMYFUNCTION("""COMPUTED_VALUE"""),"TDC")</f>
        <v>TDC</v>
      </c>
      <c r="W84" s="84" t="str">
        <f>IFERROR(__xludf.DUMMYFUNCTION("""COMPUTED_VALUE"""),"Gastos Médicos ")</f>
        <v>Gastos Médicos </v>
      </c>
    </row>
    <row r="85">
      <c r="C85" s="84" t="str">
        <f t="array" ref="C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Asesor'!A87, "")
</f>
        <v>JORGE FRANCISCO AREVALO CONTRERAS</v>
      </c>
      <c r="D85" s="84" t="str">
        <f t="array" ref="D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Asesor'!B87, "")
</f>
        <v>H</v>
      </c>
      <c r="E85" s="212" t="str">
        <f t="array" ref="E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Asesor'!C87, "")
</f>
        <v>Activo</v>
      </c>
      <c r="F85" s="213">
        <f t="array" ref="F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Asesor'!D87, "")
</f>
        <v>44544</v>
      </c>
      <c r="G85" s="212" t="str">
        <f t="array" ref="G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Asesor'!E87, "")
</f>
        <v>VI0002639310</v>
      </c>
      <c r="H85" s="76">
        <f t="array" ref="H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Asesor'!F87, "")
</f>
        <v>55173.61104</v>
      </c>
      <c r="I85" s="84" t="str">
        <f t="array" ref="I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Asesor'!G87, "")
</f>
        <v>UDIS</v>
      </c>
      <c r="J85" s="84" t="str">
        <f t="array" ref="J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Asesor'!H87, "")
</f>
        <v>Trimestral</v>
      </c>
      <c r="K85" s="84" t="str">
        <f t="array" ref="K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Asesor'!K87, "")
</f>
        <v>TD</v>
      </c>
      <c r="L85" s="84" t="str">
        <f t="array" ref="L85">IF(OR(
    AND('BD Asesor'!H87="Mensual", MATCH($B$2, {"Enero", "Febrero", "Marzo", "Abril", "Mayo", "Junio", "Julio", "Agosto", "Septiembre", "Octubre", "Noviembre", "Diciembre"}, 0)&gt;=1),
    AND('BD Asesor'!H87="Trimestral", MOD(MATCH($B$2, {"Enero", "Febrero", "Marzo", "Abril", "Mayo", "Junio", "Julio", "Agosto", "Septiembre", "Octubre", "Noviembre"}, 0)-MONTH('BD Asesor'!D87), 3)=0),
    AND('BD Asesor'!H87="Semestral", MOD(MATCH($B$2, {"Enero", "Febrero", "Marzo", "Abril", "Mayo", "Junio", "Julio", "Agosto", "Septiembre", "Octubre", "Noviembre"}, 0)-MONTH('BD Asesor'!D87), 6)=0),
    AND('BD Asesor'!H87="Anual", MONTH('BD Asesor'!D87)=MATCH($B$2, {"Enero", "Febrero", "Marzo", "Abril", "Mayo", "Junio", "Julio", "Agosto", "Septiembre", "Octubre", "Noviembre"}, 0))
), 'BD Asesor'!L87, "")
</f>
        <v>Vida</v>
      </c>
      <c r="N85" s="84" t="str">
        <f>IFERROR(__xludf.DUMMYFUNCTION("""COMPUTED_VALUE"""),"ABRAHAM YAEL ALVAREZ OBRIEN")</f>
        <v>ABRAHAM YAEL ALVAREZ OBRIEN</v>
      </c>
      <c r="O85" s="84" t="str">
        <f>IFERROR(__xludf.DUMMYFUNCTION("""COMPUTED_VALUE"""),"M")</f>
        <v>M</v>
      </c>
      <c r="P85" s="84" t="str">
        <f>IFERROR(__xludf.DUMMYFUNCTION("""COMPUTED_VALUE"""),"Activo")</f>
        <v>Activo</v>
      </c>
      <c r="Q85" s="199">
        <f>IFERROR(__xludf.DUMMYFUNCTION("""COMPUTED_VALUE"""),45712.0)</f>
        <v>45712</v>
      </c>
      <c r="R85" s="84" t="str">
        <f>IFERROR(__xludf.DUMMYFUNCTION("""COMPUTED_VALUE"""),"VI0002892849")</f>
        <v>VI0002892849</v>
      </c>
      <c r="S85" s="76">
        <f>IFERROR(__xludf.DUMMYFUNCTION("""COMPUTED_VALUE"""),19020.96)</f>
        <v>19020.96</v>
      </c>
      <c r="T85" s="84" t="str">
        <f>IFERROR(__xludf.DUMMYFUNCTION("""COMPUTED_VALUE"""),"UDIS")</f>
        <v>UDIS</v>
      </c>
      <c r="U85" s="84" t="str">
        <f>IFERROR(__xludf.DUMMYFUNCTION("""COMPUTED_VALUE"""),"Mensual")</f>
        <v>Mensual</v>
      </c>
      <c r="V85" s="84" t="str">
        <f>IFERROR(__xludf.DUMMYFUNCTION("""COMPUTED_VALUE"""),"TD")</f>
        <v>TD</v>
      </c>
      <c r="W85" s="84" t="str">
        <f>IFERROR(__xludf.DUMMYFUNCTION("""COMPUTED_VALUE"""),"Vida")</f>
        <v>Vida</v>
      </c>
    </row>
    <row r="86">
      <c r="C86" s="84" t="str">
        <f t="array" ref="C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Asesor'!A88, "")
</f>
        <v>JOSE DANIEL FLORES ARELLANO</v>
      </c>
      <c r="D86" s="84" t="str">
        <f t="array" ref="D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Asesor'!B88, "")
</f>
        <v>H</v>
      </c>
      <c r="E86" s="212" t="str">
        <f t="array" ref="E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Asesor'!C88, "")
</f>
        <v>Activo</v>
      </c>
      <c r="F86" s="213">
        <f t="array" ref="F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Asesor'!D88, "")
</f>
        <v>43878</v>
      </c>
      <c r="G86" s="212" t="str">
        <f t="array" ref="G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Asesor'!E88, "")
</f>
        <v>VI0002517688</v>
      </c>
      <c r="H86" s="76">
        <f t="array" ref="H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Asesor'!F88, "")
</f>
        <v>19102.71896</v>
      </c>
      <c r="I86" s="84" t="str">
        <f t="array" ref="I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Asesor'!G88, "")
</f>
        <v>UDIS</v>
      </c>
      <c r="J86" s="84" t="str">
        <f t="array" ref="J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Asesor'!H88, "")
</f>
        <v>Mensual</v>
      </c>
      <c r="K86" s="84" t="str">
        <f t="array" ref="K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Asesor'!K88, "")
</f>
        <v>TC</v>
      </c>
      <c r="L86" s="84" t="str">
        <f t="array" ref="L86">IF(OR(
    AND('BD Asesor'!H88="Mensual", MATCH($B$2, {"Enero", "Febrero", "Marzo", "Abril", "Mayo", "Junio", "Julio", "Agosto", "Septiembre", "Octubre", "Noviembre", "Diciembre"}, 0)&gt;=1),
    AND('BD Asesor'!H88="Trimestral", MOD(MATCH($B$2, {"Enero", "Febrero", "Marzo", "Abril", "Mayo", "Junio", "Julio", "Agosto", "Septiembre", "Octubre", "Noviembre"}, 0)-MONTH('BD Asesor'!D88), 3)=0),
    AND('BD Asesor'!H88="Semestral", MOD(MATCH($B$2, {"Enero", "Febrero", "Marzo", "Abril", "Mayo", "Junio", "Julio", "Agosto", "Septiembre", "Octubre", "Noviembre"}, 0)-MONTH('BD Asesor'!D88), 6)=0),
    AND('BD Asesor'!H88="Anual", MONTH('BD Asesor'!D88)=MATCH($B$2, {"Enero", "Febrero", "Marzo", "Abril", "Mayo", "Junio", "Julio", "Agosto", "Septiembre", "Octubre", "Noviembre"}, 0))
), 'BD Asesor'!L88, "")
</f>
        <v>Vida</v>
      </c>
      <c r="N86" s="84" t="str">
        <f>IFERROR(__xludf.DUMMYFUNCTION("""COMPUTED_VALUE"""),"ANDREA ABIGAIL ALVAREZ OBRIEN")</f>
        <v>ANDREA ABIGAIL ALVAREZ OBRIEN</v>
      </c>
      <c r="O86" s="84" t="str">
        <f>IFERROR(__xludf.DUMMYFUNCTION("""COMPUTED_VALUE"""),"F")</f>
        <v>F</v>
      </c>
      <c r="P86" s="84" t="str">
        <f>IFERROR(__xludf.DUMMYFUNCTION("""COMPUTED_VALUE"""),"Activo")</f>
        <v>Activo</v>
      </c>
      <c r="Q86" s="199">
        <f>IFERROR(__xludf.DUMMYFUNCTION("""COMPUTED_VALUE"""),45715.0)</f>
        <v>45715</v>
      </c>
      <c r="R86" s="84" t="str">
        <f>IFERROR(__xludf.DUMMYFUNCTION("""COMPUTED_VALUE"""),"VI0002894340")</f>
        <v>VI0002894340</v>
      </c>
      <c r="S86" s="76">
        <f>IFERROR(__xludf.DUMMYFUNCTION("""COMPUTED_VALUE"""),19875.744000000002)</f>
        <v>19875.744</v>
      </c>
      <c r="T86" s="84" t="str">
        <f>IFERROR(__xludf.DUMMYFUNCTION("""COMPUTED_VALUE"""),"UDIS")</f>
        <v>UDIS</v>
      </c>
      <c r="U86" s="84" t="str">
        <f>IFERROR(__xludf.DUMMYFUNCTION("""COMPUTED_VALUE"""),"Mensual")</f>
        <v>Mensual</v>
      </c>
      <c r="V86" s="84" t="str">
        <f>IFERROR(__xludf.DUMMYFUNCTION("""COMPUTED_VALUE"""),"TD")</f>
        <v>TD</v>
      </c>
      <c r="W86" s="84" t="str">
        <f>IFERROR(__xludf.DUMMYFUNCTION("""COMPUTED_VALUE"""),"Vida")</f>
        <v>Vida</v>
      </c>
    </row>
    <row r="87">
      <c r="C87" s="84" t="str">
        <f t="array" ref="C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Asesor'!A89, "")
</f>
        <v/>
      </c>
      <c r="D87" s="84" t="str">
        <f t="array" ref="D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Asesor'!B89, "")
</f>
        <v/>
      </c>
      <c r="E87" s="212" t="str">
        <f t="array" ref="E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Asesor'!C89, "")
</f>
        <v/>
      </c>
      <c r="F87" s="212" t="str">
        <f t="array" ref="F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Asesor'!D89, "")
</f>
        <v/>
      </c>
      <c r="G87" s="212" t="str">
        <f t="array" ref="G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Asesor'!E89, "")
</f>
        <v/>
      </c>
      <c r="H87" s="84" t="str">
        <f t="array" ref="H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Asesor'!F89, "")
</f>
        <v/>
      </c>
      <c r="I87" s="84" t="str">
        <f t="array" ref="I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Asesor'!G89, "")
</f>
        <v/>
      </c>
      <c r="J87" s="84" t="str">
        <f t="array" ref="J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Asesor'!H89, "")
</f>
        <v/>
      </c>
      <c r="K87" s="84" t="str">
        <f t="array" ref="K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Asesor'!K89, "")
</f>
        <v/>
      </c>
      <c r="L87" s="84" t="str">
        <f t="array" ref="L87">IF(OR(
    AND('BD Asesor'!H89="Mensual", MATCH($B$2, {"Enero", "Febrero", "Marzo", "Abril", "Mayo", "Junio", "Julio", "Agosto", "Septiembre", "Octubre", "Noviembre", "Diciembre"}, 0)&gt;=1),
    AND('BD Asesor'!H89="Trimestral", MOD(MATCH($B$2, {"Enero", "Febrero", "Marzo", "Abril", "Mayo", "Junio", "Julio", "Agosto", "Septiembre", "Octubre", "Noviembre"}, 0)-MONTH('BD Asesor'!D89), 3)=0),
    AND('BD Asesor'!H89="Semestral", MOD(MATCH($B$2, {"Enero", "Febrero", "Marzo", "Abril", "Mayo", "Junio", "Julio", "Agosto", "Septiembre", "Octubre", "Noviembre"}, 0)-MONTH('BD Asesor'!D89), 6)=0),
    AND('BD Asesor'!H89="Anual", MONTH('BD Asesor'!D89)=MATCH($B$2, {"Enero", "Febrero", "Marzo", "Abril", "Mayo", "Junio", "Julio", "Agosto", "Septiembre", "Octubre", "Noviembre"}, 0))
), 'BD Asesor'!L89, "")
</f>
        <v/>
      </c>
      <c r="N87" s="84" t="str">
        <f>IFERROR(__xludf.DUMMYFUNCTION("""COMPUTED_VALUE"""),"STEPHANIE MICHELLE GUERRA RODRIGUEZ")</f>
        <v>STEPHANIE MICHELLE GUERRA RODRIGUEZ</v>
      </c>
      <c r="O87" s="84" t="str">
        <f>IFERROR(__xludf.DUMMYFUNCTION("""COMPUTED_VALUE"""),"F")</f>
        <v>F</v>
      </c>
      <c r="P87" s="84" t="str">
        <f>IFERROR(__xludf.DUMMYFUNCTION("""COMPUTED_VALUE"""),"Activo")</f>
        <v>Activo</v>
      </c>
      <c r="Q87" s="199">
        <f>IFERROR(__xludf.DUMMYFUNCTION("""COMPUTED_VALUE"""),45731.0)</f>
        <v>45731</v>
      </c>
      <c r="R87" s="84" t="str">
        <f>IFERROR(__xludf.DUMMYFUNCTION("""COMPUTED_VALUE"""),"GM0000697387")</f>
        <v>GM0000697387</v>
      </c>
      <c r="S87" s="76">
        <f>IFERROR(__xludf.DUMMYFUNCTION("""COMPUTED_VALUE"""),25983.41)</f>
        <v>25983.41</v>
      </c>
      <c r="T87" s="84" t="str">
        <f>IFERROR(__xludf.DUMMYFUNCTION("""COMPUTED_VALUE"""),"MXN")</f>
        <v>MXN</v>
      </c>
      <c r="U87" s="84" t="str">
        <f>IFERROR(__xludf.DUMMYFUNCTION("""COMPUTED_VALUE"""),"Anual")</f>
        <v>Anual</v>
      </c>
      <c r="V87" s="84" t="str">
        <f>IFERROR(__xludf.DUMMYFUNCTION("""COMPUTED_VALUE"""),"TC")</f>
        <v>TC</v>
      </c>
      <c r="W87" s="84" t="str">
        <f>IFERROR(__xludf.DUMMYFUNCTION("""COMPUTED_VALUE"""),"Gastos Médicos ")</f>
        <v>Gastos Médicos </v>
      </c>
    </row>
    <row r="88">
      <c r="C88" s="84" t="str">
        <f t="array" ref="C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Asesor'!A90, "")
</f>
        <v>JOSEFINA GALVEZ</v>
      </c>
      <c r="D88" s="84" t="str">
        <f t="array" ref="D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Asesor'!B90, "")
</f>
        <v>M</v>
      </c>
      <c r="E88" s="212" t="str">
        <f t="array" ref="E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Asesor'!C90, "")
</f>
        <v>Activo</v>
      </c>
      <c r="F88" s="213">
        <f t="array" ref="F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Asesor'!D90, "")
</f>
        <v>44507</v>
      </c>
      <c r="G88" s="212" t="str">
        <f t="array" ref="G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Asesor'!E90, "")
</f>
        <v>GM0000544016</v>
      </c>
      <c r="H88" s="76">
        <f t="array" ref="H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Asesor'!F90, "")
</f>
        <v>28128.24</v>
      </c>
      <c r="I88" s="84" t="str">
        <f t="array" ref="I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Asesor'!G90, "")
</f>
        <v>UDIS</v>
      </c>
      <c r="J88" s="84" t="str">
        <f t="array" ref="J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Asesor'!H90, "")
</f>
        <v>Mensual</v>
      </c>
      <c r="K88" s="84" t="str">
        <f t="array" ref="K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Asesor'!K90, "")
</f>
        <v>TC</v>
      </c>
      <c r="L88" s="84" t="str">
        <f t="array" ref="L88">IF(OR(
    AND('BD Asesor'!H90="Mensual", MATCH($B$2, {"Enero", "Febrero", "Marzo", "Abril", "Mayo", "Junio", "Julio", "Agosto", "Septiembre", "Octubre", "Noviembre", "Diciembre"}, 0)&gt;=1),
    AND('BD Asesor'!H90="Trimestral", MOD(MATCH($B$2, {"Enero", "Febrero", "Marzo", "Abril", "Mayo", "Junio", "Julio", "Agosto", "Septiembre", "Octubre", "Noviembre"}, 0)-MONTH('BD Asesor'!D90), 3)=0),
    AND('BD Asesor'!H90="Semestral", MOD(MATCH($B$2, {"Enero", "Febrero", "Marzo", "Abril", "Mayo", "Junio", "Julio", "Agosto", "Septiembre", "Octubre", "Noviembre"}, 0)-MONTH('BD Asesor'!D90), 6)=0),
    AND('BD Asesor'!H90="Anual", MONTH('BD Asesor'!D90)=MATCH($B$2, {"Enero", "Febrero", "Marzo", "Abril", "Mayo", "Junio", "Julio", "Agosto", "Septiembre", "Octubre", "Noviembre"}, 0))
), 'BD Asesor'!L90, "")
</f>
        <v>Gastos Médicos </v>
      </c>
      <c r="N88" s="84" t="str">
        <f>IFERROR(__xludf.DUMMYFUNCTION("""COMPUTED_VALUE"""),"MARIA SOLEDAD CONTRERAS ALVAREZ")</f>
        <v>MARIA SOLEDAD CONTRERAS ALVAREZ</v>
      </c>
      <c r="O88" s="84" t="str">
        <f>IFERROR(__xludf.DUMMYFUNCTION("""COMPUTED_VALUE"""),"F")</f>
        <v>F</v>
      </c>
      <c r="P88" s="84" t="str">
        <f>IFERROR(__xludf.DUMMYFUNCTION("""COMPUTED_VALUE"""),"Activo")</f>
        <v>Activo</v>
      </c>
      <c r="Q88" s="199">
        <f>IFERROR(__xludf.DUMMYFUNCTION("""COMPUTED_VALUE"""),43238.0)</f>
        <v>43238</v>
      </c>
      <c r="R88" s="84" t="str">
        <f>IFERROR(__xludf.DUMMYFUNCTION("""COMPUTED_VALUE"""),"VI0002377266")</f>
        <v>VI0002377266</v>
      </c>
      <c r="S88" s="76">
        <f>IFERROR(__xludf.DUMMYFUNCTION("""COMPUTED_VALUE"""),134684.89200000002)</f>
        <v>134684.892</v>
      </c>
      <c r="T88" s="84" t="str">
        <f>IFERROR(__xludf.DUMMYFUNCTION("""COMPUTED_VALUE"""),"UDIS")</f>
        <v>UDIS</v>
      </c>
      <c r="U88" s="84" t="str">
        <f>IFERROR(__xludf.DUMMYFUNCTION("""COMPUTED_VALUE"""),"Mensual")</f>
        <v>Mensual</v>
      </c>
      <c r="V88" s="84" t="str">
        <f>IFERROR(__xludf.DUMMYFUNCTION("""COMPUTED_VALUE"""),"TDD")</f>
        <v>TDD</v>
      </c>
      <c r="W88" s="84" t="str">
        <f>IFERROR(__xludf.DUMMYFUNCTION("""COMPUTED_VALUE"""),"Vida")</f>
        <v>Vida</v>
      </c>
    </row>
    <row r="89">
      <c r="C89" s="84" t="str">
        <f t="array" ref="C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Asesor'!A91, "")
</f>
        <v/>
      </c>
      <c r="D89" s="84" t="str">
        <f t="array" ref="D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Asesor'!B91, "")
</f>
        <v/>
      </c>
      <c r="E89" s="212" t="str">
        <f t="array" ref="E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Asesor'!C91, "")
</f>
        <v/>
      </c>
      <c r="F89" s="212" t="str">
        <f t="array" ref="F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Asesor'!D91, "")
</f>
        <v/>
      </c>
      <c r="G89" s="212" t="str">
        <f t="array" ref="G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Asesor'!E91, "")
</f>
        <v/>
      </c>
      <c r="H89" s="84" t="str">
        <f t="array" ref="H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Asesor'!F91, "")
</f>
        <v/>
      </c>
      <c r="I89" s="84" t="str">
        <f t="array" ref="I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Asesor'!G91, "")
</f>
        <v/>
      </c>
      <c r="J89" s="84" t="str">
        <f t="array" ref="J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Asesor'!H91, "")
</f>
        <v/>
      </c>
      <c r="K89" s="84" t="str">
        <f t="array" ref="K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Asesor'!K91, "")
</f>
        <v/>
      </c>
      <c r="L89" s="84" t="str">
        <f t="array" ref="L89">IF(OR(
    AND('BD Asesor'!H91="Mensual", MATCH($B$2, {"Enero", "Febrero", "Marzo", "Abril", "Mayo", "Junio", "Julio", "Agosto", "Septiembre", "Octubre", "Noviembre", "Diciembre"}, 0)&gt;=1),
    AND('BD Asesor'!H91="Trimestral", MOD(MATCH($B$2, {"Enero", "Febrero", "Marzo", "Abril", "Mayo", "Junio", "Julio", "Agosto", "Septiembre", "Octubre", "Noviembre"}, 0)-MONTH('BD Asesor'!D91), 3)=0),
    AND('BD Asesor'!H91="Semestral", MOD(MATCH($B$2, {"Enero", "Febrero", "Marzo", "Abril", "Mayo", "Junio", "Julio", "Agosto", "Septiembre", "Octubre", "Noviembre"}, 0)-MONTH('BD Asesor'!D91), 6)=0),
    AND('BD Asesor'!H91="Anual", MONTH('BD Asesor'!D91)=MATCH($B$2, {"Enero", "Febrero", "Marzo", "Abril", "Mayo", "Junio", "Julio", "Agosto", "Septiembre", "Octubre", "Noviembre"}, 0))
), 'BD Asesor'!L91, "")
</f>
        <v/>
      </c>
      <c r="N89" s="84" t="str">
        <f>IFERROR(__xludf.DUMMYFUNCTION("""COMPUTED_VALUE"""),"ADRIAN ALONSO CASTILLO GARCIA")</f>
        <v>ADRIAN ALONSO CASTILLO GARCIA</v>
      </c>
      <c r="O89" s="84" t="str">
        <f>IFERROR(__xludf.DUMMYFUNCTION("""COMPUTED_VALUE"""),"M")</f>
        <v>M</v>
      </c>
      <c r="P89" s="84" t="str">
        <f>IFERROR(__xludf.DUMMYFUNCTION("""COMPUTED_VALUE"""),"Activo")</f>
        <v>Activo</v>
      </c>
      <c r="Q89" s="199">
        <f>IFERROR(__xludf.DUMMYFUNCTION("""COMPUTED_VALUE"""),45819.0)</f>
        <v>45819</v>
      </c>
      <c r="R89" s="84" t="str">
        <f>IFERROR(__xludf.DUMMYFUNCTION("""COMPUTED_VALUE"""),"VI0002918199")</f>
        <v>VI0002918199</v>
      </c>
      <c r="S89" s="76">
        <f>IFERROR(__xludf.DUMMYFUNCTION("""COMPUTED_VALUE"""),156513.4944)</f>
        <v>156513.4944</v>
      </c>
      <c r="T89" s="84" t="str">
        <f>IFERROR(__xludf.DUMMYFUNCTION("""COMPUTED_VALUE"""),"UDIS")</f>
        <v>UDIS</v>
      </c>
      <c r="U89" s="84" t="str">
        <f>IFERROR(__xludf.DUMMYFUNCTION("""COMPUTED_VALUE"""),"Mensual")</f>
        <v>Mensual</v>
      </c>
      <c r="V89" s="84" t="str">
        <f>IFERROR(__xludf.DUMMYFUNCTION("""COMPUTED_VALUE"""),"TD")</f>
        <v>TD</v>
      </c>
      <c r="W89" s="84" t="str">
        <f>IFERROR(__xludf.DUMMYFUNCTION("""COMPUTED_VALUE"""),"Vida")</f>
        <v>Vida</v>
      </c>
    </row>
    <row r="90">
      <c r="C90" s="84" t="str">
        <f t="array" ref="C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Asesor'!A92, "")
</f>
        <v/>
      </c>
      <c r="D90" s="84" t="str">
        <f t="array" ref="D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Asesor'!B92, "")
</f>
        <v/>
      </c>
      <c r="E90" s="212" t="str">
        <f t="array" ref="E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Asesor'!C92, "")
</f>
        <v/>
      </c>
      <c r="F90" s="212" t="str">
        <f t="array" ref="F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Asesor'!D92, "")
</f>
        <v/>
      </c>
      <c r="G90" s="212" t="str">
        <f t="array" ref="G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Asesor'!E92, "")
</f>
        <v/>
      </c>
      <c r="H90" s="84" t="str">
        <f t="array" ref="H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Asesor'!F92, "")
</f>
        <v/>
      </c>
      <c r="I90" s="84" t="str">
        <f t="array" ref="I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Asesor'!G92, "")
</f>
        <v/>
      </c>
      <c r="J90" s="84" t="str">
        <f t="array" ref="J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Asesor'!H92, "")
</f>
        <v/>
      </c>
      <c r="K90" s="84" t="str">
        <f t="array" ref="K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Asesor'!K92, "")
</f>
        <v/>
      </c>
      <c r="L90" s="84" t="str">
        <f t="array" ref="L90">IF(OR(
    AND('BD Asesor'!H92="Mensual", MATCH($B$2, {"Enero", "Febrero", "Marzo", "Abril", "Mayo", "Junio", "Julio", "Agosto", "Septiembre", "Octubre", "Noviembre", "Diciembre"}, 0)&gt;=1),
    AND('BD Asesor'!H92="Trimestral", MOD(MATCH($B$2, {"Enero", "Febrero", "Marzo", "Abril", "Mayo", "Junio", "Julio", "Agosto", "Septiembre", "Octubre", "Noviembre"}, 0)-MONTH('BD Asesor'!D92), 3)=0),
    AND('BD Asesor'!H92="Semestral", MOD(MATCH($B$2, {"Enero", "Febrero", "Marzo", "Abril", "Mayo", "Junio", "Julio", "Agosto", "Septiembre", "Octubre", "Noviembre"}, 0)-MONTH('BD Asesor'!D92), 6)=0),
    AND('BD Asesor'!H92="Anual", MONTH('BD Asesor'!D92)=MATCH($B$2, {"Enero", "Febrero", "Marzo", "Abril", "Mayo", "Junio", "Julio", "Agosto", "Septiembre", "Octubre", "Noviembre"}, 0))
), 'BD Asesor'!L92, "")
</f>
        <v/>
      </c>
      <c r="N90" s="84" t="str">
        <f>IFERROR(__xludf.DUMMYFUNCTION("""COMPUTED_VALUE"""),"GUILLERMINA RENTERIA BRAMBILA")</f>
        <v>GUILLERMINA RENTERIA BRAMBILA</v>
      </c>
      <c r="O90" s="84" t="str">
        <f>IFERROR(__xludf.DUMMYFUNCTION("""COMPUTED_VALUE"""),"F")</f>
        <v>F</v>
      </c>
      <c r="P90" s="84" t="str">
        <f>IFERROR(__xludf.DUMMYFUNCTION("""COMPUTED_VALUE"""),"Activo")</f>
        <v>Activo</v>
      </c>
      <c r="Q90" s="199">
        <f>IFERROR(__xludf.DUMMYFUNCTION("""COMPUTED_VALUE"""),45904.0)</f>
        <v>45904</v>
      </c>
      <c r="R90" s="84" t="str">
        <f>IFERROR(__xludf.DUMMYFUNCTION("""COMPUTED_VALUE"""),"GM0000718818")</f>
        <v>GM0000718818</v>
      </c>
      <c r="S90" s="76">
        <f>IFERROR(__xludf.DUMMYFUNCTION("""COMPUTED_VALUE"""),60574.18)</f>
        <v>60574.18</v>
      </c>
      <c r="T90" s="84" t="str">
        <f>IFERROR(__xludf.DUMMYFUNCTION("""COMPUTED_VALUE"""),"MXN")</f>
        <v>MXN</v>
      </c>
      <c r="U90" s="84" t="str">
        <f>IFERROR(__xludf.DUMMYFUNCTION("""COMPUTED_VALUE"""),"Semestral")</f>
        <v>Semestral</v>
      </c>
      <c r="V90" s="84" t="str">
        <f>IFERROR(__xludf.DUMMYFUNCTION("""COMPUTED_VALUE"""),"TC")</f>
        <v>TC</v>
      </c>
      <c r="W90" s="84" t="str">
        <f>IFERROR(__xludf.DUMMYFUNCTION("""COMPUTED_VALUE"""),"Gastos Médicos ")</f>
        <v>Gastos Médicos </v>
      </c>
    </row>
    <row r="91">
      <c r="C91" s="84" t="str">
        <f t="array" ref="C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Asesor'!A93, "")
</f>
        <v/>
      </c>
      <c r="D91" s="84" t="str">
        <f t="array" ref="D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Asesor'!B93, "")
</f>
        <v/>
      </c>
      <c r="E91" s="212" t="str">
        <f t="array" ref="E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Asesor'!C93, "")
</f>
        <v/>
      </c>
      <c r="F91" s="212" t="str">
        <f t="array" ref="F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Asesor'!D93, "")
</f>
        <v/>
      </c>
      <c r="G91" s="212" t="str">
        <f t="array" ref="G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Asesor'!E93, "")
</f>
        <v/>
      </c>
      <c r="H91" s="84" t="str">
        <f t="array" ref="H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Asesor'!F93, "")
</f>
        <v/>
      </c>
      <c r="I91" s="84" t="str">
        <f t="array" ref="I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Asesor'!G93, "")
</f>
        <v/>
      </c>
      <c r="J91" s="84" t="str">
        <f t="array" ref="J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Asesor'!H93, "")
</f>
        <v/>
      </c>
      <c r="K91" s="84" t="str">
        <f t="array" ref="K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Asesor'!K93, "")
</f>
        <v/>
      </c>
      <c r="L91" s="84" t="str">
        <f t="array" ref="L91">IF(OR(
    AND('BD Asesor'!H93="Mensual", MATCH($B$2, {"Enero", "Febrero", "Marzo", "Abril", "Mayo", "Junio", "Julio", "Agosto", "Septiembre", "Octubre", "Noviembre", "Diciembre"}, 0)&gt;=1),
    AND('BD Asesor'!H93="Trimestral", MOD(MATCH($B$2, {"Enero", "Febrero", "Marzo", "Abril", "Mayo", "Junio", "Julio", "Agosto", "Septiembre", "Octubre", "Noviembre"}, 0)-MONTH('BD Asesor'!D93), 3)=0),
    AND('BD Asesor'!H93="Semestral", MOD(MATCH($B$2, {"Enero", "Febrero", "Marzo", "Abril", "Mayo", "Junio", "Julio", "Agosto", "Septiembre", "Octubre", "Noviembre"}, 0)-MONTH('BD Asesor'!D93), 6)=0),
    AND('BD Asesor'!H93="Anual", MONTH('BD Asesor'!D93)=MATCH($B$2, {"Enero", "Febrero", "Marzo", "Abril", "Mayo", "Junio", "Julio", "Agosto", "Septiembre", "Octubre", "Noviembre"}, 0))
), 'BD Asesor'!L93, "")
</f>
        <v/>
      </c>
      <c r="N91" s="84" t="str">
        <f>IFERROR(__xludf.DUMMYFUNCTION("""COMPUTED_VALUE"""),"NAYELI DEL CARMEN GONZALEZ GARCIA")</f>
        <v>NAYELI DEL CARMEN GONZALEZ GARCIA</v>
      </c>
      <c r="O91" s="84" t="str">
        <f>IFERROR(__xludf.DUMMYFUNCTION("""COMPUTED_VALUE"""),"F")</f>
        <v>F</v>
      </c>
      <c r="P91" s="84" t="str">
        <f>IFERROR(__xludf.DUMMYFUNCTION("""COMPUTED_VALUE"""),"Activo")</f>
        <v>Activo</v>
      </c>
      <c r="Q91" s="199">
        <f>IFERROR(__xludf.DUMMYFUNCTION("""COMPUTED_VALUE"""),45930.0)</f>
        <v>45930</v>
      </c>
      <c r="R91" s="84" t="str">
        <f>IFERROR(__xludf.DUMMYFUNCTION("""COMPUTED_VALUE"""),"VI0002942898")</f>
        <v>VI0002942898</v>
      </c>
      <c r="S91" s="76">
        <f>IFERROR(__xludf.DUMMYFUNCTION("""COMPUTED_VALUE"""),38312.892)</f>
        <v>38312.892</v>
      </c>
      <c r="T91" s="84" t="str">
        <f>IFERROR(__xludf.DUMMYFUNCTION("""COMPUTED_VALUE"""),"UDIS")</f>
        <v>UDIS</v>
      </c>
      <c r="U91" s="84" t="str">
        <f>IFERROR(__xludf.DUMMYFUNCTION("""COMPUTED_VALUE"""),"Mensual")</f>
        <v>Mensual</v>
      </c>
      <c r="V91" s="84" t="str">
        <f>IFERROR(__xludf.DUMMYFUNCTION("""COMPUTED_VALUE"""),"TC")</f>
        <v>TC</v>
      </c>
      <c r="W91" s="84" t="str">
        <f>IFERROR(__xludf.DUMMYFUNCTION("""COMPUTED_VALUE"""),"Vida")</f>
        <v>Vida</v>
      </c>
    </row>
    <row r="92">
      <c r="C92" s="84" t="str">
        <f t="array" ref="C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Asesor'!A94, "")
</f>
        <v>KAREN ENRIQUEZ LEDEZMA</v>
      </c>
      <c r="D92" s="84" t="str">
        <f t="array" ref="D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Asesor'!B94, "")
</f>
        <v>M</v>
      </c>
      <c r="E92" s="212" t="str">
        <f t="array" ref="E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Asesor'!C94, "")
</f>
        <v>Activo</v>
      </c>
      <c r="F92" s="213">
        <f t="array" ref="F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Asesor'!D94, "")
</f>
        <v>44678</v>
      </c>
      <c r="G92" s="212" t="str">
        <f t="array" ref="G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Asesor'!E94, "")
</f>
        <v>VI0002662801</v>
      </c>
      <c r="H92" s="76">
        <f t="array" ref="H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Asesor'!F94, "")
</f>
        <v>19222.0836</v>
      </c>
      <c r="I92" s="84" t="str">
        <f t="array" ref="I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Asesor'!G94, "")
</f>
        <v>UDIS</v>
      </c>
      <c r="J92" s="84" t="str">
        <f t="array" ref="J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Asesor'!H94, "")
</f>
        <v>Mensual</v>
      </c>
      <c r="K92" s="84" t="str">
        <f t="array" ref="K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Asesor'!K94, "")
</f>
        <v>TC</v>
      </c>
      <c r="L92" s="84" t="str">
        <f t="array" ref="L92">IF(OR(
    AND('BD Asesor'!H94="Mensual", MATCH($B$2, {"Enero", "Febrero", "Marzo", "Abril", "Mayo", "Junio", "Julio", "Agosto", "Septiembre", "Octubre", "Noviembre", "Diciembre"}, 0)&gt;=1),
    AND('BD Asesor'!H94="Trimestral", MOD(MATCH($B$2, {"Enero", "Febrero", "Marzo", "Abril", "Mayo", "Junio", "Julio", "Agosto", "Septiembre", "Octubre", "Noviembre"}, 0)-MONTH('BD Asesor'!D94), 3)=0),
    AND('BD Asesor'!H94="Semestral", MOD(MATCH($B$2, {"Enero", "Febrero", "Marzo", "Abril", "Mayo", "Junio", "Julio", "Agosto", "Septiembre", "Octubre", "Noviembre"}, 0)-MONTH('BD Asesor'!D94), 6)=0),
    AND('BD Asesor'!H94="Anual", MONTH('BD Asesor'!D94)=MATCH($B$2, {"Enero", "Febrero", "Marzo", "Abril", "Mayo", "Junio", "Julio", "Agosto", "Septiembre", "Octubre", "Noviembre"}, 0))
), 'BD Asesor'!L94, "")
</f>
        <v>Vida</v>
      </c>
      <c r="N92" s="84" t="str">
        <f>IFERROR(__xludf.DUMMYFUNCTION("""COMPUTED_VALUE"""),"FRANCISCO JAVIER PEREZ ANGUIANO")</f>
        <v>FRANCISCO JAVIER PEREZ ANGUIANO</v>
      </c>
      <c r="O92" s="84" t="str">
        <f>IFERROR(__xludf.DUMMYFUNCTION("""COMPUTED_VALUE"""),"M")</f>
        <v>M</v>
      </c>
      <c r="P92" s="84" t="str">
        <f>IFERROR(__xludf.DUMMYFUNCTION("""COMPUTED_VALUE"""),"Activo")</f>
        <v>Activo</v>
      </c>
      <c r="Q92" s="199">
        <f>IFERROR(__xludf.DUMMYFUNCTION("""COMPUTED_VALUE"""),46125.0)</f>
        <v>46125</v>
      </c>
      <c r="R92" s="84" t="str">
        <f>IFERROR(__xludf.DUMMYFUNCTION("""COMPUTED_VALUE"""),"VI0002983482")</f>
        <v>VI0002983482</v>
      </c>
      <c r="S92" s="76">
        <f>IFERROR(__xludf.DUMMYFUNCTION("""COMPUTED_VALUE"""),81409.482)</f>
        <v>81409.482</v>
      </c>
      <c r="T92" s="84" t="str">
        <f>IFERROR(__xludf.DUMMYFUNCTION("""COMPUTED_VALUE"""),"UDIS")</f>
        <v>UDIS</v>
      </c>
      <c r="U92" s="84" t="str">
        <f>IFERROR(__xludf.DUMMYFUNCTION("""COMPUTED_VALUE"""),"Mensual")</f>
        <v>Mensual</v>
      </c>
      <c r="V92" s="84" t="str">
        <f>IFERROR(__xludf.DUMMYFUNCTION("""COMPUTED_VALUE"""),"TDD")</f>
        <v>TDD</v>
      </c>
      <c r="W92" s="84" t="str">
        <f>IFERROR(__xludf.DUMMYFUNCTION("""COMPUTED_VALUE"""),"Vida")</f>
        <v>Vida</v>
      </c>
    </row>
    <row r="93">
      <c r="C93" s="84" t="str">
        <f t="array" ref="C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Asesor'!A95, "")
</f>
        <v/>
      </c>
      <c r="D93" s="84" t="str">
        <f t="array" ref="D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Asesor'!B95, "")
</f>
        <v/>
      </c>
      <c r="E93" s="212" t="str">
        <f t="array" ref="E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Asesor'!C95, "")
</f>
        <v/>
      </c>
      <c r="F93" s="212" t="str">
        <f t="array" ref="F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Asesor'!D95, "")
</f>
        <v/>
      </c>
      <c r="G93" s="212" t="str">
        <f t="array" ref="G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Asesor'!E95, "")
</f>
        <v/>
      </c>
      <c r="H93" s="84" t="str">
        <f t="array" ref="H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Asesor'!F95, "")
</f>
        <v/>
      </c>
      <c r="I93" s="84" t="str">
        <f t="array" ref="I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Asesor'!G95, "")
</f>
        <v/>
      </c>
      <c r="J93" s="84" t="str">
        <f t="array" ref="J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Asesor'!H95, "")
</f>
        <v/>
      </c>
      <c r="K93" s="84" t="str">
        <f t="array" ref="K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Asesor'!K95, "")
</f>
        <v/>
      </c>
      <c r="L93" s="84" t="str">
        <f t="array" ref="L93">IF(OR(
    AND('BD Asesor'!H95="Mensual", MATCH($B$2, {"Enero", "Febrero", "Marzo", "Abril", "Mayo", "Junio", "Julio", "Agosto", "Septiembre", "Octubre", "Noviembre", "Diciembre"}, 0)&gt;=1),
    AND('BD Asesor'!H95="Trimestral", MOD(MATCH($B$2, {"Enero", "Febrero", "Marzo", "Abril", "Mayo", "Junio", "Julio", "Agosto", "Septiembre", "Octubre", "Noviembre"}, 0)-MONTH('BD Asesor'!D95), 3)=0),
    AND('BD Asesor'!H95="Semestral", MOD(MATCH($B$2, {"Enero", "Febrero", "Marzo", "Abril", "Mayo", "Junio", "Julio", "Agosto", "Septiembre", "Octubre", "Noviembre"}, 0)-MONTH('BD Asesor'!D95), 6)=0),
    AND('BD Asesor'!H95="Anual", MONTH('BD Asesor'!D95)=MATCH($B$2, {"Enero", "Febrero", "Marzo", "Abril", "Mayo", "Junio", "Julio", "Agosto", "Septiembre", "Octubre", "Noviembre"}, 0))
), 'BD Asesor'!L95, "")
</f>
        <v/>
      </c>
      <c r="N93" s="84" t="str">
        <f>IFERROR(__xludf.DUMMYFUNCTION("""COMPUTED_VALUE"""),"FRANCISCO JAVIER PEREZ ANGUIANO")</f>
        <v>FRANCISCO JAVIER PEREZ ANGUIANO</v>
      </c>
      <c r="O93" s="84" t="str">
        <f>IFERROR(__xludf.DUMMYFUNCTION("""COMPUTED_VALUE"""),"M")</f>
        <v>M</v>
      </c>
      <c r="P93" s="84" t="str">
        <f>IFERROR(__xludf.DUMMYFUNCTION("""COMPUTED_VALUE"""),"Activo")</f>
        <v>Activo</v>
      </c>
      <c r="Q93" s="199">
        <f>IFERROR(__xludf.DUMMYFUNCTION("""COMPUTED_VALUE"""),46128.0)</f>
        <v>46128</v>
      </c>
      <c r="R93" s="84" t="str">
        <f>IFERROR(__xludf.DUMMYFUNCTION("""COMPUTED_VALUE"""),"GM0000748044")</f>
        <v>GM0000748044</v>
      </c>
      <c r="S93" s="76">
        <f>IFERROR(__xludf.DUMMYFUNCTION("""COMPUTED_VALUE"""),28077.48)</f>
        <v>28077.48</v>
      </c>
      <c r="T93" s="84" t="str">
        <f>IFERROR(__xludf.DUMMYFUNCTION("""COMPUTED_VALUE"""),"MXN")</f>
        <v>MXN</v>
      </c>
      <c r="U93" s="84" t="str">
        <f>IFERROR(__xludf.DUMMYFUNCTION("""COMPUTED_VALUE"""),"Mensual")</f>
        <v>Mensual</v>
      </c>
      <c r="V93" s="84" t="str">
        <f>IFERROR(__xludf.DUMMYFUNCTION("""COMPUTED_VALUE"""),"TC")</f>
        <v>TC</v>
      </c>
      <c r="W93" s="84" t="str">
        <f>IFERROR(__xludf.DUMMYFUNCTION("""COMPUTED_VALUE"""),"Gastos Médicos ")</f>
        <v>Gastos Médicos </v>
      </c>
    </row>
    <row r="94">
      <c r="C94" s="84" t="str">
        <f t="array" ref="C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Asesor'!A96, "")
</f>
        <v/>
      </c>
      <c r="D94" s="84" t="str">
        <f t="array" ref="D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Asesor'!B96, "")
</f>
        <v/>
      </c>
      <c r="E94" s="212" t="str">
        <f t="array" ref="E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Asesor'!C96, "")
</f>
        <v/>
      </c>
      <c r="F94" s="212" t="str">
        <f t="array" ref="F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Asesor'!D96, "")
</f>
        <v/>
      </c>
      <c r="G94" s="212" t="str">
        <f t="array" ref="G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Asesor'!E96, "")
</f>
        <v/>
      </c>
      <c r="H94" s="84" t="str">
        <f t="array" ref="H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Asesor'!F96, "")
</f>
        <v/>
      </c>
      <c r="I94" s="84" t="str">
        <f t="array" ref="I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Asesor'!G96, "")
</f>
        <v/>
      </c>
      <c r="J94" s="84" t="str">
        <f t="array" ref="J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Asesor'!H96, "")
</f>
        <v/>
      </c>
      <c r="K94" s="84" t="str">
        <f t="array" ref="K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Asesor'!K96, "")
</f>
        <v/>
      </c>
      <c r="L94" s="84" t="str">
        <f t="array" ref="L94">IF(OR(
    AND('BD Asesor'!H96="Mensual", MATCH($B$2, {"Enero", "Febrero", "Marzo", "Abril", "Mayo", "Junio", "Julio", "Agosto", "Septiembre", "Octubre", "Noviembre", "Diciembre"}, 0)&gt;=1),
    AND('BD Asesor'!H96="Trimestral", MOD(MATCH($B$2, {"Enero", "Febrero", "Marzo", "Abril", "Mayo", "Junio", "Julio", "Agosto", "Septiembre", "Octubre", "Noviembre"}, 0)-MONTH('BD Asesor'!D96), 3)=0),
    AND('BD Asesor'!H96="Semestral", MOD(MATCH($B$2, {"Enero", "Febrero", "Marzo", "Abril", "Mayo", "Junio", "Julio", "Agosto", "Septiembre", "Octubre", "Noviembre"}, 0)-MONTH('BD Asesor'!D96), 6)=0),
    AND('BD Asesor'!H96="Anual", MONTH('BD Asesor'!D96)=MATCH($B$2, {"Enero", "Febrero", "Marzo", "Abril", "Mayo", "Junio", "Julio", "Agosto", "Septiembre", "Octubre", "Noviembre"}, 0))
), 'BD Asesor'!L96, "")
</f>
        <v/>
      </c>
    </row>
    <row r="95">
      <c r="C95" s="84" t="str">
        <f t="array" ref="C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Asesor'!A97, "")
</f>
        <v>LUCIA ORTEGA RAMIREZ</v>
      </c>
      <c r="D95" s="84" t="str">
        <f t="array" ref="D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Asesor'!B97, "")
</f>
        <v>M</v>
      </c>
      <c r="E95" s="212" t="str">
        <f t="array" ref="E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Asesor'!C97, "")
</f>
        <v>Activo</v>
      </c>
      <c r="F95" s="213">
        <f t="array" ref="F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Asesor'!D97, "")
</f>
        <v>44278</v>
      </c>
      <c r="G95" s="212" t="str">
        <f t="array" ref="G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Asesor'!E97, "")
</f>
        <v>VI0002591305</v>
      </c>
      <c r="H95" s="76">
        <f t="array" ref="H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Asesor'!F97, "")
</f>
        <v>35897.78232</v>
      </c>
      <c r="I95" s="84" t="str">
        <f t="array" ref="I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Asesor'!G97, "")
</f>
        <v>UDIS</v>
      </c>
      <c r="J95" s="84" t="str">
        <f t="array" ref="J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Asesor'!H97, "")
</f>
        <v>Mensual</v>
      </c>
      <c r="K95" s="84" t="str">
        <f t="array" ref="K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Asesor'!K97, "")
</f>
        <v>TD</v>
      </c>
      <c r="L95" s="84" t="str">
        <f t="array" ref="L95">IF(OR(
    AND('BD Asesor'!H97="Mensual", MATCH($B$2, {"Enero", "Febrero", "Marzo", "Abril", "Mayo", "Junio", "Julio", "Agosto", "Septiembre", "Octubre", "Noviembre", "Diciembre"}, 0)&gt;=1),
    AND('BD Asesor'!H97="Trimestral", MOD(MATCH($B$2, {"Enero", "Febrero", "Marzo", "Abril", "Mayo", "Junio", "Julio", "Agosto", "Septiembre", "Octubre", "Noviembre"}, 0)-MONTH('BD Asesor'!D97), 3)=0),
    AND('BD Asesor'!H97="Semestral", MOD(MATCH($B$2, {"Enero", "Febrero", "Marzo", "Abril", "Mayo", "Junio", "Julio", "Agosto", "Septiembre", "Octubre", "Noviembre"}, 0)-MONTH('BD Asesor'!D97), 6)=0),
    AND('BD Asesor'!H97="Anual", MONTH('BD Asesor'!D97)=MATCH($B$2, {"Enero", "Febrero", "Marzo", "Abril", "Mayo", "Junio", "Julio", "Agosto", "Septiembre", "Octubre", "Noviembre"}, 0))
), 'BD Asesor'!L97, "")
</f>
        <v>Vida</v>
      </c>
    </row>
    <row r="96">
      <c r="C96" s="84" t="str">
        <f t="array" ref="C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Asesor'!A98, "")
</f>
        <v/>
      </c>
      <c r="D96" s="84" t="str">
        <f t="array" ref="D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Asesor'!B98, "")
</f>
        <v/>
      </c>
      <c r="E96" s="212" t="str">
        <f t="array" ref="E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Asesor'!C98, "")
</f>
        <v/>
      </c>
      <c r="F96" s="212" t="str">
        <f t="array" ref="F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Asesor'!D98, "")
</f>
        <v/>
      </c>
      <c r="G96" s="212" t="str">
        <f t="array" ref="G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Asesor'!E98, "")
</f>
        <v/>
      </c>
      <c r="H96" s="84" t="str">
        <f t="array" ref="H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Asesor'!F98, "")
</f>
        <v/>
      </c>
      <c r="I96" s="84" t="str">
        <f t="array" ref="I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Asesor'!G98, "")
</f>
        <v/>
      </c>
      <c r="J96" s="84" t="str">
        <f t="array" ref="J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Asesor'!H98, "")
</f>
        <v/>
      </c>
      <c r="K96" s="84" t="str">
        <f t="array" ref="K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Asesor'!K98, "")
</f>
        <v/>
      </c>
      <c r="L96" s="84" t="str">
        <f t="array" ref="L96">IF(OR(
    AND('BD Asesor'!H98="Mensual", MATCH($B$2, {"Enero", "Febrero", "Marzo", "Abril", "Mayo", "Junio", "Julio", "Agosto", "Septiembre", "Octubre", "Noviembre", "Diciembre"}, 0)&gt;=1),
    AND('BD Asesor'!H98="Trimestral", MOD(MATCH($B$2, {"Enero", "Febrero", "Marzo", "Abril", "Mayo", "Junio", "Julio", "Agosto", "Septiembre", "Octubre", "Noviembre"}, 0)-MONTH('BD Asesor'!D98), 3)=0),
    AND('BD Asesor'!H98="Semestral", MOD(MATCH($B$2, {"Enero", "Febrero", "Marzo", "Abril", "Mayo", "Junio", "Julio", "Agosto", "Septiembre", "Octubre", "Noviembre"}, 0)-MONTH('BD Asesor'!D98), 6)=0),
    AND('BD Asesor'!H98="Anual", MONTH('BD Asesor'!D98)=MATCH($B$2, {"Enero", "Febrero", "Marzo", "Abril", "Mayo", "Junio", "Julio", "Agosto", "Septiembre", "Octubre", "Noviembre"}, 0))
), 'BD Asesor'!L98, "")
</f>
        <v/>
      </c>
    </row>
    <row r="97">
      <c r="C97" s="84" t="str">
        <f t="array" ref="C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Asesor'!A99, "")
</f>
        <v/>
      </c>
      <c r="D97" s="84" t="str">
        <f t="array" ref="D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Asesor'!B99, "")
</f>
        <v/>
      </c>
      <c r="E97" s="212" t="str">
        <f t="array" ref="E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Asesor'!C99, "")
</f>
        <v/>
      </c>
      <c r="F97" s="212" t="str">
        <f t="array" ref="F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Asesor'!D99, "")
</f>
        <v/>
      </c>
      <c r="G97" s="212" t="str">
        <f t="array" ref="G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Asesor'!E99, "")
</f>
        <v/>
      </c>
      <c r="H97" s="84" t="str">
        <f t="array" ref="H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Asesor'!F99, "")
</f>
        <v/>
      </c>
      <c r="I97" s="84" t="str">
        <f t="array" ref="I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Asesor'!G99, "")
</f>
        <v/>
      </c>
      <c r="J97" s="84" t="str">
        <f t="array" ref="J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Asesor'!H99, "")
</f>
        <v/>
      </c>
      <c r="K97" s="84" t="str">
        <f t="array" ref="K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Asesor'!K99, "")
</f>
        <v/>
      </c>
      <c r="L97" s="84" t="str">
        <f t="array" ref="L97">IF(OR(
    AND('BD Asesor'!H99="Mensual", MATCH($B$2, {"Enero", "Febrero", "Marzo", "Abril", "Mayo", "Junio", "Julio", "Agosto", "Septiembre", "Octubre", "Noviembre", "Diciembre"}, 0)&gt;=1),
    AND('BD Asesor'!H99="Trimestral", MOD(MATCH($B$2, {"Enero", "Febrero", "Marzo", "Abril", "Mayo", "Junio", "Julio", "Agosto", "Septiembre", "Octubre", "Noviembre"}, 0)-MONTH('BD Asesor'!D99), 3)=0),
    AND('BD Asesor'!H99="Semestral", MOD(MATCH($B$2, {"Enero", "Febrero", "Marzo", "Abril", "Mayo", "Junio", "Julio", "Agosto", "Septiembre", "Octubre", "Noviembre"}, 0)-MONTH('BD Asesor'!D99), 6)=0),
    AND('BD Asesor'!H99="Anual", MONTH('BD Asesor'!D99)=MATCH($B$2, {"Enero", "Febrero", "Marzo", "Abril", "Mayo", "Junio", "Julio", "Agosto", "Septiembre", "Octubre", "Noviembre"}, 0))
), 'BD Asesor'!L99, "")
</f>
        <v/>
      </c>
    </row>
    <row r="98">
      <c r="C98" s="84" t="str">
        <f t="array" ref="C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Asesor'!A100, "")
</f>
        <v>MARCO ANTONIO RAMOS REYNOSO</v>
      </c>
      <c r="D98" s="84" t="str">
        <f t="array" ref="D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Asesor'!B100, "")
</f>
        <v>H</v>
      </c>
      <c r="E98" s="212" t="str">
        <f t="array" ref="E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Asesor'!C100, "")
</f>
        <v>Activo</v>
      </c>
      <c r="F98" s="213">
        <f t="array" ref="F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Asesor'!D100, "")
</f>
        <v>44259</v>
      </c>
      <c r="G98" s="212" t="str">
        <f t="array" ref="G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Asesor'!E100, "")
</f>
        <v>VI0002588611</v>
      </c>
      <c r="H98" s="76">
        <f t="array" ref="H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Asesor'!F100, "")
</f>
        <v>13525.76596</v>
      </c>
      <c r="I98" s="84" t="str">
        <f t="array" ref="I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Asesor'!G100, "")
</f>
        <v>UDIS</v>
      </c>
      <c r="J98" s="84" t="str">
        <f t="array" ref="J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Asesor'!H100, "")
</f>
        <v>Anual</v>
      </c>
      <c r="K98" s="84" t="str">
        <f t="array" ref="K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Asesor'!K100, "")
</f>
        <v>TC</v>
      </c>
      <c r="L98" s="84" t="str">
        <f t="array" ref="L98">IF(OR(
    AND('BD Asesor'!H100="Mensual", MATCH($B$2, {"Enero", "Febrero", "Marzo", "Abril", "Mayo", "Junio", "Julio", "Agosto", "Septiembre", "Octubre", "Noviembre", "Diciembre"}, 0)&gt;=1),
    AND('BD Asesor'!H100="Trimestral", MOD(MATCH($B$2, {"Enero", "Febrero", "Marzo", "Abril", "Mayo", "Junio", "Julio", "Agosto", "Septiembre", "Octubre", "Noviembre"}, 0)-MONTH('BD Asesor'!D100), 3)=0),
    AND('BD Asesor'!H100="Semestral", MOD(MATCH($B$2, {"Enero", "Febrero", "Marzo", "Abril", "Mayo", "Junio", "Julio", "Agosto", "Septiembre", "Octubre", "Noviembre"}, 0)-MONTH('BD Asesor'!D100), 6)=0),
    AND('BD Asesor'!H100="Anual", MONTH('BD Asesor'!D100)=MATCH($B$2, {"Enero", "Febrero", "Marzo", "Abril", "Mayo", "Junio", "Julio", "Agosto", "Septiembre", "Octubre", "Noviembre"}, 0))
), 'BD Asesor'!L100, "")
</f>
        <v>Vida</v>
      </c>
    </row>
    <row r="99">
      <c r="C99" s="84" t="str">
        <f t="array" ref="C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Asesor'!A101, "")
</f>
        <v>MARIA AURORA RIOS GALVAN</v>
      </c>
      <c r="D99" s="84" t="str">
        <f t="array" ref="D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Asesor'!B101, "")
</f>
        <v>M</v>
      </c>
      <c r="E99" s="212" t="str">
        <f t="array" ref="E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Asesor'!C101, "")
</f>
        <v>Activo</v>
      </c>
      <c r="F99" s="213">
        <f t="array" ref="F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Asesor'!D101, "")
</f>
        <v>44280</v>
      </c>
      <c r="G99" s="212" t="str">
        <f t="array" ref="G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Asesor'!E101, "")
</f>
        <v>VI0002592088</v>
      </c>
      <c r="H99" s="76">
        <f t="array" ref="H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Asesor'!F101, "")
</f>
        <v>65127.42224</v>
      </c>
      <c r="I99" s="84" t="str">
        <f t="array" ref="I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Asesor'!G101, "")
</f>
        <v>UDIS</v>
      </c>
      <c r="J99" s="84" t="str">
        <f t="array" ref="J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Asesor'!H101, "")
</f>
        <v>Semestral</v>
      </c>
      <c r="K99" s="84" t="str">
        <f t="array" ref="K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Asesor'!K101, "")
</f>
        <v>TD</v>
      </c>
      <c r="L99" s="84" t="str">
        <f t="array" ref="L99">IF(OR(
    AND('BD Asesor'!H101="Mensual", MATCH($B$2, {"Enero", "Febrero", "Marzo", "Abril", "Mayo", "Junio", "Julio", "Agosto", "Septiembre", "Octubre", "Noviembre", "Diciembre"}, 0)&gt;=1),
    AND('BD Asesor'!H101="Trimestral", MOD(MATCH($B$2, {"Enero", "Febrero", "Marzo", "Abril", "Mayo", "Junio", "Julio", "Agosto", "Septiembre", "Octubre", "Noviembre"}, 0)-MONTH('BD Asesor'!D101), 3)=0),
    AND('BD Asesor'!H101="Semestral", MOD(MATCH($B$2, {"Enero", "Febrero", "Marzo", "Abril", "Mayo", "Junio", "Julio", "Agosto", "Septiembre", "Octubre", "Noviembre"}, 0)-MONTH('BD Asesor'!D101), 6)=0),
    AND('BD Asesor'!H101="Anual", MONTH('BD Asesor'!D101)=MATCH($B$2, {"Enero", "Febrero", "Marzo", "Abril", "Mayo", "Junio", "Julio", "Agosto", "Septiembre", "Octubre", "Noviembre"}, 0))
), 'BD Asesor'!L101, "")
</f>
        <v>Vida</v>
      </c>
    </row>
    <row r="100">
      <c r="C100" s="84" t="str">
        <f t="array" ref="C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Asesor'!A102, "")
</f>
        <v/>
      </c>
      <c r="D100" s="84" t="str">
        <f t="array" ref="D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Asesor'!B102, "")
</f>
        <v/>
      </c>
      <c r="E100" s="212" t="str">
        <f t="array" ref="E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Asesor'!C102, "")
</f>
        <v/>
      </c>
      <c r="F100" s="212" t="str">
        <f t="array" ref="F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Asesor'!D102, "")
</f>
        <v/>
      </c>
      <c r="G100" s="212" t="str">
        <f t="array" ref="G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Asesor'!E102, "")
</f>
        <v/>
      </c>
      <c r="H100" s="84" t="str">
        <f t="array" ref="H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Asesor'!F102, "")
</f>
        <v/>
      </c>
      <c r="I100" s="84" t="str">
        <f t="array" ref="I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Asesor'!G102, "")
</f>
        <v/>
      </c>
      <c r="J100" s="84" t="str">
        <f t="array" ref="J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Asesor'!H102, "")
</f>
        <v/>
      </c>
      <c r="K100" s="84" t="str">
        <f t="array" ref="K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Asesor'!K102, "")
</f>
        <v/>
      </c>
      <c r="L100" s="84" t="str">
        <f t="array" ref="L100">IF(OR(
    AND('BD Asesor'!H102="Mensual", MATCH($B$2, {"Enero", "Febrero", "Marzo", "Abril", "Mayo", "Junio", "Julio", "Agosto", "Septiembre", "Octubre", "Noviembre", "Diciembre"}, 0)&gt;=1),
    AND('BD Asesor'!H102="Trimestral", MOD(MATCH($B$2, {"Enero", "Febrero", "Marzo", "Abril", "Mayo", "Junio", "Julio", "Agosto", "Septiembre", "Octubre", "Noviembre"}, 0)-MONTH('BD Asesor'!D102), 3)=0),
    AND('BD Asesor'!H102="Semestral", MOD(MATCH($B$2, {"Enero", "Febrero", "Marzo", "Abril", "Mayo", "Junio", "Julio", "Agosto", "Septiembre", "Octubre", "Noviembre"}, 0)-MONTH('BD Asesor'!D102), 6)=0),
    AND('BD Asesor'!H102="Anual", MONTH('BD Asesor'!D102)=MATCH($B$2, {"Enero", "Febrero", "Marzo", "Abril", "Mayo", "Junio", "Julio", "Agosto", "Septiembre", "Octubre", "Noviembre"}, 0))
), 'BD Asesor'!L102, "")
</f>
        <v/>
      </c>
    </row>
    <row r="101">
      <c r="C101" s="84" t="str">
        <f t="array" ref="C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Asesor'!A103, "")
</f>
        <v/>
      </c>
      <c r="D101" s="84" t="str">
        <f t="array" ref="D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Asesor'!B103, "")
</f>
        <v/>
      </c>
      <c r="E101" s="212" t="str">
        <f t="array" ref="E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Asesor'!C103, "")
</f>
        <v/>
      </c>
      <c r="F101" s="212" t="str">
        <f t="array" ref="F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Asesor'!D103, "")
</f>
        <v/>
      </c>
      <c r="G101" s="212" t="str">
        <f t="array" ref="G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Asesor'!E103, "")
</f>
        <v/>
      </c>
      <c r="H101" s="84" t="str">
        <f t="array" ref="H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Asesor'!F103, "")
</f>
        <v/>
      </c>
      <c r="I101" s="84" t="str">
        <f t="array" ref="I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Asesor'!G103, "")
</f>
        <v/>
      </c>
      <c r="J101" s="84" t="str">
        <f t="array" ref="J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Asesor'!H103, "")
</f>
        <v/>
      </c>
      <c r="K101" s="84" t="str">
        <f t="array" ref="K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Asesor'!K103, "")
</f>
        <v/>
      </c>
      <c r="L101" s="84" t="str">
        <f t="array" ref="L101">IF(OR(
    AND('BD Asesor'!H103="Mensual", MATCH($B$2, {"Enero", "Febrero", "Marzo", "Abril", "Mayo", "Junio", "Julio", "Agosto", "Septiembre", "Octubre", "Noviembre", "Diciembre"}, 0)&gt;=1),
    AND('BD Asesor'!H103="Trimestral", MOD(MATCH($B$2, {"Enero", "Febrero", "Marzo", "Abril", "Mayo", "Junio", "Julio", "Agosto", "Septiembre", "Octubre", "Noviembre"}, 0)-MONTH('BD Asesor'!D103), 3)=0),
    AND('BD Asesor'!H103="Semestral", MOD(MATCH($B$2, {"Enero", "Febrero", "Marzo", "Abril", "Mayo", "Junio", "Julio", "Agosto", "Septiembre", "Octubre", "Noviembre"}, 0)-MONTH('BD Asesor'!D103), 6)=0),
    AND('BD Asesor'!H103="Anual", MONTH('BD Asesor'!D103)=MATCH($B$2, {"Enero", "Febrero", "Marzo", "Abril", "Mayo", "Junio", "Julio", "Agosto", "Septiembre", "Octubre", "Noviembre"}, 0))
), 'BD Asesor'!L103, "")
</f>
        <v/>
      </c>
    </row>
    <row r="102">
      <c r="C102" s="84" t="str">
        <f t="array" ref="C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Asesor'!A104, "")
</f>
        <v/>
      </c>
      <c r="D102" s="84" t="str">
        <f t="array" ref="D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Asesor'!B104, "")
</f>
        <v/>
      </c>
      <c r="E102" s="212" t="str">
        <f t="array" ref="E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Asesor'!C104, "")
</f>
        <v/>
      </c>
      <c r="F102" s="212" t="str">
        <f t="array" ref="F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Asesor'!D104, "")
</f>
        <v/>
      </c>
      <c r="G102" s="212" t="str">
        <f t="array" ref="G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Asesor'!E104, "")
</f>
        <v/>
      </c>
      <c r="H102" s="84" t="str">
        <f t="array" ref="H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Asesor'!F104, "")
</f>
        <v/>
      </c>
      <c r="I102" s="84" t="str">
        <f t="array" ref="I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Asesor'!G104, "")
</f>
        <v/>
      </c>
      <c r="J102" s="84" t="str">
        <f t="array" ref="J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Asesor'!H104, "")
</f>
        <v/>
      </c>
      <c r="K102" s="84" t="str">
        <f t="array" ref="K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Asesor'!K104, "")
</f>
        <v/>
      </c>
      <c r="L102" s="84" t="str">
        <f t="array" ref="L102">IF(OR(
    AND('BD Asesor'!H104="Mensual", MATCH($B$2, {"Enero", "Febrero", "Marzo", "Abril", "Mayo", "Junio", "Julio", "Agosto", "Septiembre", "Octubre", "Noviembre", "Diciembre"}, 0)&gt;=1),
    AND('BD Asesor'!H104="Trimestral", MOD(MATCH($B$2, {"Enero", "Febrero", "Marzo", "Abril", "Mayo", "Junio", "Julio", "Agosto", "Septiembre", "Octubre", "Noviembre"}, 0)-MONTH('BD Asesor'!D104), 3)=0),
    AND('BD Asesor'!H104="Semestral", MOD(MATCH($B$2, {"Enero", "Febrero", "Marzo", "Abril", "Mayo", "Junio", "Julio", "Agosto", "Septiembre", "Octubre", "Noviembre"}, 0)-MONTH('BD Asesor'!D104), 6)=0),
    AND('BD Asesor'!H104="Anual", MONTH('BD Asesor'!D104)=MATCH($B$2, {"Enero", "Febrero", "Marzo", "Abril", "Mayo", "Junio", "Julio", "Agosto", "Septiembre", "Octubre", "Noviembre"}, 0))
), 'BD Asesor'!L104, "")
</f>
        <v/>
      </c>
    </row>
    <row r="103">
      <c r="C103" s="84" t="str">
        <f t="array" ref="C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Asesor'!A105, "")
</f>
        <v/>
      </c>
      <c r="D103" s="84" t="str">
        <f t="array" ref="D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Asesor'!B105, "")
</f>
        <v/>
      </c>
      <c r="E103" s="212" t="str">
        <f t="array" ref="E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Asesor'!C105, "")
</f>
        <v/>
      </c>
      <c r="F103" s="212" t="str">
        <f t="array" ref="F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Asesor'!D105, "")
</f>
        <v/>
      </c>
      <c r="G103" s="212" t="str">
        <f t="array" ref="G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Asesor'!E105, "")
</f>
        <v/>
      </c>
      <c r="H103" s="84" t="str">
        <f t="array" ref="H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Asesor'!F105, "")
</f>
        <v/>
      </c>
      <c r="I103" s="84" t="str">
        <f t="array" ref="I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Asesor'!G105, "")
</f>
        <v/>
      </c>
      <c r="J103" s="84" t="str">
        <f t="array" ref="J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Asesor'!H105, "")
</f>
        <v/>
      </c>
      <c r="K103" s="84" t="str">
        <f t="array" ref="K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Asesor'!K105, "")
</f>
        <v/>
      </c>
      <c r="L103" s="84" t="str">
        <f t="array" ref="L103">IF(OR(
    AND('BD Asesor'!H105="Mensual", MATCH($B$2, {"Enero", "Febrero", "Marzo", "Abril", "Mayo", "Junio", "Julio", "Agosto", "Septiembre", "Octubre", "Noviembre", "Diciembre"}, 0)&gt;=1),
    AND('BD Asesor'!H105="Trimestral", MOD(MATCH($B$2, {"Enero", "Febrero", "Marzo", "Abril", "Mayo", "Junio", "Julio", "Agosto", "Septiembre", "Octubre", "Noviembre"}, 0)-MONTH('BD Asesor'!D105), 3)=0),
    AND('BD Asesor'!H105="Semestral", MOD(MATCH($B$2, {"Enero", "Febrero", "Marzo", "Abril", "Mayo", "Junio", "Julio", "Agosto", "Septiembre", "Octubre", "Noviembre"}, 0)-MONTH('BD Asesor'!D105), 6)=0),
    AND('BD Asesor'!H105="Anual", MONTH('BD Asesor'!D105)=MATCH($B$2, {"Enero", "Febrero", "Marzo", "Abril", "Mayo", "Junio", "Julio", "Agosto", "Septiembre", "Octubre", "Noviembre"}, 0))
), 'BD Asesor'!L105, "")
</f>
        <v/>
      </c>
    </row>
    <row r="104">
      <c r="C104" s="84" t="str">
        <f t="array" ref="C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Asesor'!A106, "")
</f>
        <v>MELISSA GUADALUPE ROMERO GARCIA</v>
      </c>
      <c r="D104" s="84" t="str">
        <f t="array" ref="D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Asesor'!B106, "")
</f>
        <v>M</v>
      </c>
      <c r="E104" s="212" t="str">
        <f t="array" ref="E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Asesor'!C106, "")
</f>
        <v>Activo</v>
      </c>
      <c r="F104" s="213">
        <f t="array" ref="F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Asesor'!D106, "")
</f>
        <v>44071</v>
      </c>
      <c r="G104" s="212" t="str">
        <f t="array" ref="G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Asesor'!E106, "")
</f>
        <v>VI0002552195</v>
      </c>
      <c r="H104" s="76">
        <f t="array" ref="H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Asesor'!F106, "")
</f>
        <v>39263.52862</v>
      </c>
      <c r="I104" s="84" t="str">
        <f t="array" ref="I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Asesor'!G106, "")
</f>
        <v>UDIS</v>
      </c>
      <c r="J104" s="84" t="str">
        <f t="array" ref="J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Asesor'!H106, "")
</f>
        <v>Mensual</v>
      </c>
      <c r="K104" s="84" t="str">
        <f t="array" ref="K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Asesor'!K106, "")
</f>
        <v>TC</v>
      </c>
      <c r="L104" s="84" t="str">
        <f t="array" ref="L104">IF(OR(
    AND('BD Asesor'!H106="Mensual", MATCH($B$2, {"Enero", "Febrero", "Marzo", "Abril", "Mayo", "Junio", "Julio", "Agosto", "Septiembre", "Octubre", "Noviembre", "Diciembre"}, 0)&gt;=1),
    AND('BD Asesor'!H106="Trimestral", MOD(MATCH($B$2, {"Enero", "Febrero", "Marzo", "Abril", "Mayo", "Junio", "Julio", "Agosto", "Septiembre", "Octubre", "Noviembre"}, 0)-MONTH('BD Asesor'!D106), 3)=0),
    AND('BD Asesor'!H106="Semestral", MOD(MATCH($B$2, {"Enero", "Febrero", "Marzo", "Abril", "Mayo", "Junio", "Julio", "Agosto", "Septiembre", "Octubre", "Noviembre"}, 0)-MONTH('BD Asesor'!D106), 6)=0),
    AND('BD Asesor'!H106="Anual", MONTH('BD Asesor'!D106)=MATCH($B$2, {"Enero", "Febrero", "Marzo", "Abril", "Mayo", "Junio", "Julio", "Agosto", "Septiembre", "Octubre", "Noviembre"}, 0))
), 'BD Asesor'!L106, "")
</f>
        <v>Vida</v>
      </c>
    </row>
    <row r="105">
      <c r="C105" s="84" t="str">
        <f t="array" ref="C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Asesor'!A107, "")
</f>
        <v/>
      </c>
      <c r="D105" s="84" t="str">
        <f t="array" ref="D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Asesor'!B107, "")
</f>
        <v/>
      </c>
      <c r="E105" s="212" t="str">
        <f t="array" ref="E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Asesor'!C107, "")
</f>
        <v/>
      </c>
      <c r="F105" s="212" t="str">
        <f t="array" ref="F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Asesor'!D107, "")
</f>
        <v/>
      </c>
      <c r="G105" s="212" t="str">
        <f t="array" ref="G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Asesor'!E107, "")
</f>
        <v/>
      </c>
      <c r="H105" s="84" t="str">
        <f t="array" ref="H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Asesor'!F107, "")
</f>
        <v/>
      </c>
      <c r="I105" s="84" t="str">
        <f t="array" ref="I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Asesor'!G107, "")
</f>
        <v/>
      </c>
      <c r="J105" s="84" t="str">
        <f t="array" ref="J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Asesor'!H107, "")
</f>
        <v/>
      </c>
      <c r="K105" s="84" t="str">
        <f t="array" ref="K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Asesor'!K107, "")
</f>
        <v/>
      </c>
      <c r="L105" s="84" t="str">
        <f t="array" ref="L105">IF(OR(
    AND('BD Asesor'!H107="Mensual", MATCH($B$2, {"Enero", "Febrero", "Marzo", "Abril", "Mayo", "Junio", "Julio", "Agosto", "Septiembre", "Octubre", "Noviembre", "Diciembre"}, 0)&gt;=1),
    AND('BD Asesor'!H107="Trimestral", MOD(MATCH($B$2, {"Enero", "Febrero", "Marzo", "Abril", "Mayo", "Junio", "Julio", "Agosto", "Septiembre", "Octubre", "Noviembre"}, 0)-MONTH('BD Asesor'!D107), 3)=0),
    AND('BD Asesor'!H107="Semestral", MOD(MATCH($B$2, {"Enero", "Febrero", "Marzo", "Abril", "Mayo", "Junio", "Julio", "Agosto", "Septiembre", "Octubre", "Noviembre"}, 0)-MONTH('BD Asesor'!D107), 6)=0),
    AND('BD Asesor'!H107="Anual", MONTH('BD Asesor'!D107)=MATCH($B$2, {"Enero", "Febrero", "Marzo", "Abril", "Mayo", "Junio", "Julio", "Agosto", "Septiembre", "Octubre", "Noviembre"}, 0))
), 'BD Asesor'!L107, "")
</f>
        <v/>
      </c>
    </row>
    <row r="106">
      <c r="C106" s="84" t="str">
        <f t="array" ref="C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Asesor'!A108, "")
</f>
        <v/>
      </c>
      <c r="D106" s="84" t="str">
        <f t="array" ref="D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Asesor'!B108, "")
</f>
        <v/>
      </c>
      <c r="E106" s="212" t="str">
        <f t="array" ref="E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Asesor'!C108, "")
</f>
        <v/>
      </c>
      <c r="F106" s="212" t="str">
        <f t="array" ref="F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Asesor'!D108, "")
</f>
        <v/>
      </c>
      <c r="G106" s="212" t="str">
        <f t="array" ref="G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Asesor'!E108, "")
</f>
        <v/>
      </c>
      <c r="H106" s="84" t="str">
        <f t="array" ref="H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Asesor'!F108, "")
</f>
        <v/>
      </c>
      <c r="I106" s="84" t="str">
        <f t="array" ref="I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Asesor'!G108, "")
</f>
        <v/>
      </c>
      <c r="J106" s="84" t="str">
        <f t="array" ref="J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Asesor'!H108, "")
</f>
        <v/>
      </c>
      <c r="K106" s="84" t="str">
        <f t="array" ref="K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Asesor'!K108, "")
</f>
        <v/>
      </c>
      <c r="L106" s="84" t="str">
        <f t="array" ref="L106">IF(OR(
    AND('BD Asesor'!H108="Mensual", MATCH($B$2, {"Enero", "Febrero", "Marzo", "Abril", "Mayo", "Junio", "Julio", "Agosto", "Septiembre", "Octubre", "Noviembre", "Diciembre"}, 0)&gt;=1),
    AND('BD Asesor'!H108="Trimestral", MOD(MATCH($B$2, {"Enero", "Febrero", "Marzo", "Abril", "Mayo", "Junio", "Julio", "Agosto", "Septiembre", "Octubre", "Noviembre"}, 0)-MONTH('BD Asesor'!D108), 3)=0),
    AND('BD Asesor'!H108="Semestral", MOD(MATCH($B$2, {"Enero", "Febrero", "Marzo", "Abril", "Mayo", "Junio", "Julio", "Agosto", "Septiembre", "Octubre", "Noviembre"}, 0)-MONTH('BD Asesor'!D108), 6)=0),
    AND('BD Asesor'!H108="Anual", MONTH('BD Asesor'!D108)=MATCH($B$2, {"Enero", "Febrero", "Marzo", "Abril", "Mayo", "Junio", "Julio", "Agosto", "Septiembre", "Octubre", "Noviembre"}, 0))
), 'BD Asesor'!L108, "")
</f>
        <v/>
      </c>
    </row>
    <row r="107">
      <c r="C107" s="84" t="str">
        <f t="array" ref="C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Asesor'!A109, "")
</f>
        <v/>
      </c>
      <c r="D107" s="84" t="str">
        <f t="array" ref="D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Asesor'!B109, "")
</f>
        <v/>
      </c>
      <c r="E107" s="212" t="str">
        <f t="array" ref="E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Asesor'!C109, "")
</f>
        <v/>
      </c>
      <c r="F107" s="212" t="str">
        <f t="array" ref="F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Asesor'!D109, "")
</f>
        <v/>
      </c>
      <c r="G107" s="212" t="str">
        <f t="array" ref="G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Asesor'!E109, "")
</f>
        <v/>
      </c>
      <c r="H107" s="84" t="str">
        <f t="array" ref="H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Asesor'!F109, "")
</f>
        <v/>
      </c>
      <c r="I107" s="84" t="str">
        <f t="array" ref="I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Asesor'!G109, "")
</f>
        <v/>
      </c>
      <c r="J107" s="84" t="str">
        <f t="array" ref="J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Asesor'!H109, "")
</f>
        <v/>
      </c>
      <c r="K107" s="84" t="str">
        <f t="array" ref="K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Asesor'!K109, "")
</f>
        <v/>
      </c>
      <c r="L107" s="84" t="str">
        <f t="array" ref="L107">IF(OR(
    AND('BD Asesor'!H109="Mensual", MATCH($B$2, {"Enero", "Febrero", "Marzo", "Abril", "Mayo", "Junio", "Julio", "Agosto", "Septiembre", "Octubre", "Noviembre", "Diciembre"}, 0)&gt;=1),
    AND('BD Asesor'!H109="Trimestral", MOD(MATCH($B$2, {"Enero", "Febrero", "Marzo", "Abril", "Mayo", "Junio", "Julio", "Agosto", "Septiembre", "Octubre", "Noviembre"}, 0)-MONTH('BD Asesor'!D109), 3)=0),
    AND('BD Asesor'!H109="Semestral", MOD(MATCH($B$2, {"Enero", "Febrero", "Marzo", "Abril", "Mayo", "Junio", "Julio", "Agosto", "Septiembre", "Octubre", "Noviembre"}, 0)-MONTH('BD Asesor'!D109), 6)=0),
    AND('BD Asesor'!H109="Anual", MONTH('BD Asesor'!D109)=MATCH($B$2, {"Enero", "Febrero", "Marzo", "Abril", "Mayo", "Junio", "Julio", "Agosto", "Septiembre", "Octubre", "Noviembre"}, 0))
), 'BD Asesor'!L109, "")
</f>
        <v/>
      </c>
    </row>
    <row r="108">
      <c r="C108" s="84" t="str">
        <f t="array" ref="C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Asesor'!A110, "")
</f>
        <v/>
      </c>
      <c r="D108" s="84" t="str">
        <f t="array" ref="D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Asesor'!B110, "")
</f>
        <v/>
      </c>
      <c r="E108" s="212" t="str">
        <f t="array" ref="E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Asesor'!C110, "")
</f>
        <v/>
      </c>
      <c r="F108" s="212" t="str">
        <f t="array" ref="F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Asesor'!D110, "")
</f>
        <v/>
      </c>
      <c r="G108" s="212" t="str">
        <f t="array" ref="G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Asesor'!E110, "")
</f>
        <v/>
      </c>
      <c r="H108" s="84" t="str">
        <f t="array" ref="H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Asesor'!F110, "")
</f>
        <v/>
      </c>
      <c r="I108" s="84" t="str">
        <f t="array" ref="I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Asesor'!G110, "")
</f>
        <v/>
      </c>
      <c r="J108" s="84" t="str">
        <f t="array" ref="J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Asesor'!H110, "")
</f>
        <v/>
      </c>
      <c r="K108" s="84" t="str">
        <f t="array" ref="K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Asesor'!K110, "")
</f>
        <v/>
      </c>
      <c r="L108" s="84" t="str">
        <f t="array" ref="L108">IF(OR(
    AND('BD Asesor'!H110="Mensual", MATCH($B$2, {"Enero", "Febrero", "Marzo", "Abril", "Mayo", "Junio", "Julio", "Agosto", "Septiembre", "Octubre", "Noviembre", "Diciembre"}, 0)&gt;=1),
    AND('BD Asesor'!H110="Trimestral", MOD(MATCH($B$2, {"Enero", "Febrero", "Marzo", "Abril", "Mayo", "Junio", "Julio", "Agosto", "Septiembre", "Octubre", "Noviembre"}, 0)-MONTH('BD Asesor'!D110), 3)=0),
    AND('BD Asesor'!H110="Semestral", MOD(MATCH($B$2, {"Enero", "Febrero", "Marzo", "Abril", "Mayo", "Junio", "Julio", "Agosto", "Septiembre", "Octubre", "Noviembre"}, 0)-MONTH('BD Asesor'!D110), 6)=0),
    AND('BD Asesor'!H110="Anual", MONTH('BD Asesor'!D110)=MATCH($B$2, {"Enero", "Febrero", "Marzo", "Abril", "Mayo", "Junio", "Julio", "Agosto", "Septiembre", "Octubre", "Noviembre"}, 0))
), 'BD Asesor'!L110, "")
</f>
        <v/>
      </c>
    </row>
    <row r="109">
      <c r="C109" s="84" t="str">
        <f t="array" ref="C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Asesor'!A111, "")
</f>
        <v/>
      </c>
      <c r="D109" s="84" t="str">
        <f t="array" ref="D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Asesor'!B111, "")
</f>
        <v/>
      </c>
      <c r="E109" s="212" t="str">
        <f t="array" ref="E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Asesor'!C111, "")
</f>
        <v/>
      </c>
      <c r="F109" s="212" t="str">
        <f t="array" ref="F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Asesor'!D111, "")
</f>
        <v/>
      </c>
      <c r="G109" s="212" t="str">
        <f t="array" ref="G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Asesor'!E111, "")
</f>
        <v/>
      </c>
      <c r="H109" s="84" t="str">
        <f t="array" ref="H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Asesor'!F111, "")
</f>
        <v/>
      </c>
      <c r="I109" s="84" t="str">
        <f t="array" ref="I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Asesor'!G111, "")
</f>
        <v/>
      </c>
      <c r="J109" s="84" t="str">
        <f t="array" ref="J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Asesor'!H111, "")
</f>
        <v/>
      </c>
      <c r="K109" s="84" t="str">
        <f t="array" ref="K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Asesor'!K111, "")
</f>
        <v/>
      </c>
      <c r="L109" s="84" t="str">
        <f t="array" ref="L109">IF(OR(
    AND('BD Asesor'!H111="Mensual", MATCH($B$2, {"Enero", "Febrero", "Marzo", "Abril", "Mayo", "Junio", "Julio", "Agosto", "Septiembre", "Octubre", "Noviembre", "Diciembre"}, 0)&gt;=1),
    AND('BD Asesor'!H111="Trimestral", MOD(MATCH($B$2, {"Enero", "Febrero", "Marzo", "Abril", "Mayo", "Junio", "Julio", "Agosto", "Septiembre", "Octubre", "Noviembre"}, 0)-MONTH('BD Asesor'!D111), 3)=0),
    AND('BD Asesor'!H111="Semestral", MOD(MATCH($B$2, {"Enero", "Febrero", "Marzo", "Abril", "Mayo", "Junio", "Julio", "Agosto", "Septiembre", "Octubre", "Noviembre"}, 0)-MONTH('BD Asesor'!D111), 6)=0),
    AND('BD Asesor'!H111="Anual", MONTH('BD Asesor'!D111)=MATCH($B$2, {"Enero", "Febrero", "Marzo", "Abril", "Mayo", "Junio", "Julio", "Agosto", "Septiembre", "Octubre", "Noviembre"}, 0))
), 'BD Asesor'!L111, "")
</f>
        <v/>
      </c>
    </row>
    <row r="110">
      <c r="C110" s="84" t="str">
        <f t="array" ref="C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Asesor'!A112, "")
</f>
        <v>ORLANDA JIMENA CERVANTES NUÑEZ</v>
      </c>
      <c r="D110" s="84" t="str">
        <f t="array" ref="D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Asesor'!B112, "")
</f>
        <v>M</v>
      </c>
      <c r="E110" s="212" t="str">
        <f t="array" ref="E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Asesor'!C112, "")
</f>
        <v>Activo</v>
      </c>
      <c r="F110" s="213">
        <f t="array" ref="F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Asesor'!D112, "")
</f>
        <v>44456</v>
      </c>
      <c r="G110" s="212" t="str">
        <f t="array" ref="G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Asesor'!E112, "")
</f>
        <v>GM0000538831</v>
      </c>
      <c r="H110" s="76">
        <f t="array" ref="H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Asesor'!F112, "")
</f>
        <v>31556.64</v>
      </c>
      <c r="I110" s="84" t="str">
        <f t="array" ref="I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Asesor'!G112, "")
</f>
        <v>MXN</v>
      </c>
      <c r="J110" s="84" t="str">
        <f t="array" ref="J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Asesor'!H112, "")
</f>
        <v>Mensual</v>
      </c>
      <c r="K110" s="84" t="str">
        <f t="array" ref="K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Asesor'!K112, "")
</f>
        <v>TD</v>
      </c>
      <c r="L110" s="84" t="str">
        <f t="array" ref="L110">IF(OR(
    AND('BD Asesor'!H112="Mensual", MATCH($B$2, {"Enero", "Febrero", "Marzo", "Abril", "Mayo", "Junio", "Julio", "Agosto", "Septiembre", "Octubre", "Noviembre", "Diciembre"}, 0)&gt;=1),
    AND('BD Asesor'!H112="Trimestral", MOD(MATCH($B$2, {"Enero", "Febrero", "Marzo", "Abril", "Mayo", "Junio", "Julio", "Agosto", "Septiembre", "Octubre", "Noviembre"}, 0)-MONTH('BD Asesor'!D112), 3)=0),
    AND('BD Asesor'!H112="Semestral", MOD(MATCH($B$2, {"Enero", "Febrero", "Marzo", "Abril", "Mayo", "Junio", "Julio", "Agosto", "Septiembre", "Octubre", "Noviembre"}, 0)-MONTH('BD Asesor'!D112), 6)=0),
    AND('BD Asesor'!H112="Anual", MONTH('BD Asesor'!D112)=MATCH($B$2, {"Enero", "Febrero", "Marzo", "Abril", "Mayo", "Junio", "Julio", "Agosto", "Septiembre", "Octubre", "Noviembre"}, 0))
), 'BD Asesor'!L112, "")
</f>
        <v>Gastos Médicos </v>
      </c>
    </row>
    <row r="111">
      <c r="C111" s="84" t="str">
        <f t="array" ref="C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Asesor'!A113, "")
</f>
        <v/>
      </c>
      <c r="D111" s="84" t="str">
        <f t="array" ref="D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Asesor'!B113, "")
</f>
        <v/>
      </c>
      <c r="E111" s="212" t="str">
        <f t="array" ref="E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Asesor'!C113, "")
</f>
        <v/>
      </c>
      <c r="F111" s="212" t="str">
        <f t="array" ref="F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Asesor'!D113, "")
</f>
        <v/>
      </c>
      <c r="G111" s="212" t="str">
        <f t="array" ref="G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Asesor'!E113, "")
</f>
        <v/>
      </c>
      <c r="H111" s="84" t="str">
        <f t="array" ref="H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Asesor'!F113, "")
</f>
        <v/>
      </c>
      <c r="I111" s="84" t="str">
        <f t="array" ref="I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Asesor'!G113, "")
</f>
        <v/>
      </c>
      <c r="J111" s="84" t="str">
        <f t="array" ref="J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Asesor'!H113, "")
</f>
        <v/>
      </c>
      <c r="K111" s="84" t="str">
        <f t="array" ref="K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Asesor'!K113, "")
</f>
        <v/>
      </c>
      <c r="L111" s="84" t="str">
        <f t="array" ref="L111">IF(OR(
    AND('BD Asesor'!H113="Mensual", MATCH($B$2, {"Enero", "Febrero", "Marzo", "Abril", "Mayo", "Junio", "Julio", "Agosto", "Septiembre", "Octubre", "Noviembre", "Diciembre"}, 0)&gt;=1),
    AND('BD Asesor'!H113="Trimestral", MOD(MATCH($B$2, {"Enero", "Febrero", "Marzo", "Abril", "Mayo", "Junio", "Julio", "Agosto", "Septiembre", "Octubre", "Noviembre"}, 0)-MONTH('BD Asesor'!D113), 3)=0),
    AND('BD Asesor'!H113="Semestral", MOD(MATCH($B$2, {"Enero", "Febrero", "Marzo", "Abril", "Mayo", "Junio", "Julio", "Agosto", "Septiembre", "Octubre", "Noviembre"}, 0)-MONTH('BD Asesor'!D113), 6)=0),
    AND('BD Asesor'!H113="Anual", MONTH('BD Asesor'!D113)=MATCH($B$2, {"Enero", "Febrero", "Marzo", "Abril", "Mayo", "Junio", "Julio", "Agosto", "Septiembre", "Octubre", "Noviembre"}, 0))
), 'BD Asesor'!L113, "")
</f>
        <v/>
      </c>
    </row>
    <row r="112">
      <c r="C112" s="84" t="str">
        <f t="array" ref="C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Asesor'!A114, "")
</f>
        <v/>
      </c>
      <c r="D112" s="84" t="str">
        <f t="array" ref="D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Asesor'!B114, "")
</f>
        <v/>
      </c>
      <c r="E112" s="212" t="str">
        <f t="array" ref="E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Asesor'!C114, "")
</f>
        <v/>
      </c>
      <c r="F112" s="212" t="str">
        <f t="array" ref="F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Asesor'!D114, "")
</f>
        <v/>
      </c>
      <c r="G112" s="212" t="str">
        <f t="array" ref="G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Asesor'!E114, "")
</f>
        <v/>
      </c>
      <c r="H112" s="84" t="str">
        <f t="array" ref="H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Asesor'!F114, "")
</f>
        <v/>
      </c>
      <c r="I112" s="84" t="str">
        <f t="array" ref="I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Asesor'!G114, "")
</f>
        <v/>
      </c>
      <c r="J112" s="84" t="str">
        <f t="array" ref="J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Asesor'!H114, "")
</f>
        <v/>
      </c>
      <c r="K112" s="84" t="str">
        <f t="array" ref="K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Asesor'!K114, "")
</f>
        <v/>
      </c>
      <c r="L112" s="84" t="str">
        <f t="array" ref="L112">IF(OR(
    AND('BD Asesor'!H114="Mensual", MATCH($B$2, {"Enero", "Febrero", "Marzo", "Abril", "Mayo", "Junio", "Julio", "Agosto", "Septiembre", "Octubre", "Noviembre", "Diciembre"}, 0)&gt;=1),
    AND('BD Asesor'!H114="Trimestral", MOD(MATCH($B$2, {"Enero", "Febrero", "Marzo", "Abril", "Mayo", "Junio", "Julio", "Agosto", "Septiembre", "Octubre", "Noviembre"}, 0)-MONTH('BD Asesor'!D114), 3)=0),
    AND('BD Asesor'!H114="Semestral", MOD(MATCH($B$2, {"Enero", "Febrero", "Marzo", "Abril", "Mayo", "Junio", "Julio", "Agosto", "Septiembre", "Octubre", "Noviembre"}, 0)-MONTH('BD Asesor'!D114), 6)=0),
    AND('BD Asesor'!H114="Anual", MONTH('BD Asesor'!D114)=MATCH($B$2, {"Enero", "Febrero", "Marzo", "Abril", "Mayo", "Junio", "Julio", "Agosto", "Septiembre", "Octubre", "Noviembre"}, 0))
), 'BD Asesor'!L114, "")
</f>
        <v/>
      </c>
    </row>
    <row r="113">
      <c r="C113" s="84" t="str">
        <f t="array" ref="C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Asesor'!A115, "")
</f>
        <v/>
      </c>
      <c r="D113" s="84" t="str">
        <f t="array" ref="D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Asesor'!B115, "")
</f>
        <v/>
      </c>
      <c r="E113" s="212" t="str">
        <f t="array" ref="E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Asesor'!C115, "")
</f>
        <v/>
      </c>
      <c r="F113" s="212" t="str">
        <f t="array" ref="F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Asesor'!D115, "")
</f>
        <v/>
      </c>
      <c r="G113" s="212" t="str">
        <f t="array" ref="G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Asesor'!E115, "")
</f>
        <v/>
      </c>
      <c r="H113" s="84" t="str">
        <f t="array" ref="H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Asesor'!F115, "")
</f>
        <v/>
      </c>
      <c r="I113" s="84" t="str">
        <f t="array" ref="I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Asesor'!G115, "")
</f>
        <v/>
      </c>
      <c r="J113" s="84" t="str">
        <f t="array" ref="J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Asesor'!H115, "")
</f>
        <v/>
      </c>
      <c r="K113" s="84" t="str">
        <f t="array" ref="K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Asesor'!K115, "")
</f>
        <v/>
      </c>
      <c r="L113" s="84" t="str">
        <f t="array" ref="L113">IF(OR(
    AND('BD Asesor'!H115="Mensual", MATCH($B$2, {"Enero", "Febrero", "Marzo", "Abril", "Mayo", "Junio", "Julio", "Agosto", "Septiembre", "Octubre", "Noviembre", "Diciembre"}, 0)&gt;=1),
    AND('BD Asesor'!H115="Trimestral", MOD(MATCH($B$2, {"Enero", "Febrero", "Marzo", "Abril", "Mayo", "Junio", "Julio", "Agosto", "Septiembre", "Octubre", "Noviembre"}, 0)-MONTH('BD Asesor'!D115), 3)=0),
    AND('BD Asesor'!H115="Semestral", MOD(MATCH($B$2, {"Enero", "Febrero", "Marzo", "Abril", "Mayo", "Junio", "Julio", "Agosto", "Septiembre", "Octubre", "Noviembre"}, 0)-MONTH('BD Asesor'!D115), 6)=0),
    AND('BD Asesor'!H115="Anual", MONTH('BD Asesor'!D115)=MATCH($B$2, {"Enero", "Febrero", "Marzo", "Abril", "Mayo", "Junio", "Julio", "Agosto", "Septiembre", "Octubre", "Noviembre"}, 0))
), 'BD Asesor'!L115, "")
</f>
        <v/>
      </c>
    </row>
    <row r="114">
      <c r="C114" s="84" t="str">
        <f t="array" ref="C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Asesor'!A116, "")
</f>
        <v/>
      </c>
      <c r="D114" s="84" t="str">
        <f t="array" ref="D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Asesor'!B116, "")
</f>
        <v/>
      </c>
      <c r="E114" s="212" t="str">
        <f t="array" ref="E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Asesor'!C116, "")
</f>
        <v/>
      </c>
      <c r="F114" s="212" t="str">
        <f t="array" ref="F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Asesor'!D116, "")
</f>
        <v/>
      </c>
      <c r="G114" s="212" t="str">
        <f t="array" ref="G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Asesor'!E116, "")
</f>
        <v/>
      </c>
      <c r="H114" s="84" t="str">
        <f t="array" ref="H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Asesor'!F116, "")
</f>
        <v/>
      </c>
      <c r="I114" s="84" t="str">
        <f t="array" ref="I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Asesor'!G116, "")
</f>
        <v/>
      </c>
      <c r="J114" s="84" t="str">
        <f t="array" ref="J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Asesor'!H116, "")
</f>
        <v/>
      </c>
      <c r="K114" s="84" t="str">
        <f t="array" ref="K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Asesor'!K116, "")
</f>
        <v/>
      </c>
      <c r="L114" s="84" t="str">
        <f t="array" ref="L114">IF(OR(
    AND('BD Asesor'!H116="Mensual", MATCH($B$2, {"Enero", "Febrero", "Marzo", "Abril", "Mayo", "Junio", "Julio", "Agosto", "Septiembre", "Octubre", "Noviembre", "Diciembre"}, 0)&gt;=1),
    AND('BD Asesor'!H116="Trimestral", MOD(MATCH($B$2, {"Enero", "Febrero", "Marzo", "Abril", "Mayo", "Junio", "Julio", "Agosto", "Septiembre", "Octubre", "Noviembre"}, 0)-MONTH('BD Asesor'!D116), 3)=0),
    AND('BD Asesor'!H116="Semestral", MOD(MATCH($B$2, {"Enero", "Febrero", "Marzo", "Abril", "Mayo", "Junio", "Julio", "Agosto", "Septiembre", "Octubre", "Noviembre"}, 0)-MONTH('BD Asesor'!D116), 6)=0),
    AND('BD Asesor'!H116="Anual", MONTH('BD Asesor'!D116)=MATCH($B$2, {"Enero", "Febrero", "Marzo", "Abril", "Mayo", "Junio", "Julio", "Agosto", "Septiembre", "Octubre", "Noviembre"}, 0))
), 'BD Asesor'!L116, "")
</f>
        <v/>
      </c>
    </row>
    <row r="115">
      <c r="C115" s="84" t="str">
        <f t="array" ref="C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Asesor'!A117, "")
</f>
        <v/>
      </c>
      <c r="D115" s="84" t="str">
        <f t="array" ref="D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Asesor'!B117, "")
</f>
        <v/>
      </c>
      <c r="E115" s="212" t="str">
        <f t="array" ref="E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Asesor'!C117, "")
</f>
        <v/>
      </c>
      <c r="F115" s="212" t="str">
        <f t="array" ref="F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Asesor'!D117, "")
</f>
        <v/>
      </c>
      <c r="G115" s="212" t="str">
        <f t="array" ref="G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Asesor'!E117, "")
</f>
        <v/>
      </c>
      <c r="H115" s="84" t="str">
        <f t="array" ref="H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Asesor'!F117, "")
</f>
        <v/>
      </c>
      <c r="I115" s="84" t="str">
        <f t="array" ref="I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Asesor'!G117, "")
</f>
        <v/>
      </c>
      <c r="J115" s="84" t="str">
        <f t="array" ref="J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Asesor'!H117, "")
</f>
        <v/>
      </c>
      <c r="K115" s="84" t="str">
        <f t="array" ref="K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Asesor'!K117, "")
</f>
        <v/>
      </c>
      <c r="L115" s="84" t="str">
        <f t="array" ref="L115">IF(OR(
    AND('BD Asesor'!H117="Mensual", MATCH($B$2, {"Enero", "Febrero", "Marzo", "Abril", "Mayo", "Junio", "Julio", "Agosto", "Septiembre", "Octubre", "Noviembre", "Diciembre"}, 0)&gt;=1),
    AND('BD Asesor'!H117="Trimestral", MOD(MATCH($B$2, {"Enero", "Febrero", "Marzo", "Abril", "Mayo", "Junio", "Julio", "Agosto", "Septiembre", "Octubre", "Noviembre"}, 0)-MONTH('BD Asesor'!D117), 3)=0),
    AND('BD Asesor'!H117="Semestral", MOD(MATCH($B$2, {"Enero", "Febrero", "Marzo", "Abril", "Mayo", "Junio", "Julio", "Agosto", "Septiembre", "Octubre", "Noviembre"}, 0)-MONTH('BD Asesor'!D117), 6)=0),
    AND('BD Asesor'!H117="Anual", MONTH('BD Asesor'!D117)=MATCH($B$2, {"Enero", "Febrero", "Marzo", "Abril", "Mayo", "Junio", "Julio", "Agosto", "Septiembre", "Octubre", "Noviembre"}, 0))
), 'BD Asesor'!L117, "")
</f>
        <v/>
      </c>
    </row>
    <row r="116">
      <c r="C116" s="84" t="str">
        <f t="array" ref="C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Asesor'!A118, "")
</f>
        <v/>
      </c>
      <c r="D116" s="84" t="str">
        <f t="array" ref="D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Asesor'!B118, "")
</f>
        <v/>
      </c>
      <c r="E116" s="212" t="str">
        <f t="array" ref="E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Asesor'!C118, "")
</f>
        <v/>
      </c>
      <c r="F116" s="212" t="str">
        <f t="array" ref="F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Asesor'!D118, "")
</f>
        <v/>
      </c>
      <c r="G116" s="212" t="str">
        <f t="array" ref="G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Asesor'!E118, "")
</f>
        <v/>
      </c>
      <c r="H116" s="84" t="str">
        <f t="array" ref="H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Asesor'!F118, "")
</f>
        <v/>
      </c>
      <c r="I116" s="84" t="str">
        <f t="array" ref="I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Asesor'!G118, "")
</f>
        <v/>
      </c>
      <c r="J116" s="84" t="str">
        <f t="array" ref="J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Asesor'!H118, "")
</f>
        <v/>
      </c>
      <c r="K116" s="84" t="str">
        <f t="array" ref="K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Asesor'!K118, "")
</f>
        <v/>
      </c>
      <c r="L116" s="84" t="str">
        <f t="array" ref="L116">IF(OR(
    AND('BD Asesor'!H118="Mensual", MATCH($B$2, {"Enero", "Febrero", "Marzo", "Abril", "Mayo", "Junio", "Julio", "Agosto", "Septiembre", "Octubre", "Noviembre", "Diciembre"}, 0)&gt;=1),
    AND('BD Asesor'!H118="Trimestral", MOD(MATCH($B$2, {"Enero", "Febrero", "Marzo", "Abril", "Mayo", "Junio", "Julio", "Agosto", "Septiembre", "Octubre", "Noviembre"}, 0)-MONTH('BD Asesor'!D118), 3)=0),
    AND('BD Asesor'!H118="Semestral", MOD(MATCH($B$2, {"Enero", "Febrero", "Marzo", "Abril", "Mayo", "Junio", "Julio", "Agosto", "Septiembre", "Octubre", "Noviembre"}, 0)-MONTH('BD Asesor'!D118), 6)=0),
    AND('BD Asesor'!H118="Anual", MONTH('BD Asesor'!D118)=MATCH($B$2, {"Enero", "Febrero", "Marzo", "Abril", "Mayo", "Junio", "Julio", "Agosto", "Septiembre", "Octubre", "Noviembre"}, 0))
), 'BD Asesor'!L118, "")
</f>
        <v/>
      </c>
    </row>
    <row r="117">
      <c r="C117" s="84" t="str">
        <f t="array" ref="C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Asesor'!A119, "")
</f>
        <v/>
      </c>
      <c r="D117" s="84" t="str">
        <f t="array" ref="D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Asesor'!B119, "")
</f>
        <v/>
      </c>
      <c r="E117" s="212" t="str">
        <f t="array" ref="E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Asesor'!C119, "")
</f>
        <v/>
      </c>
      <c r="F117" s="212" t="str">
        <f t="array" ref="F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Asesor'!D119, "")
</f>
        <v/>
      </c>
      <c r="G117" s="212" t="str">
        <f t="array" ref="G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Asesor'!E119, "")
</f>
        <v/>
      </c>
      <c r="H117" s="84" t="str">
        <f t="array" ref="H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Asesor'!F119, "")
</f>
        <v/>
      </c>
      <c r="I117" s="84" t="str">
        <f t="array" ref="I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Asesor'!G119, "")
</f>
        <v/>
      </c>
      <c r="J117" s="84" t="str">
        <f t="array" ref="J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Asesor'!H119, "")
</f>
        <v/>
      </c>
      <c r="K117" s="84" t="str">
        <f t="array" ref="K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Asesor'!K119, "")
</f>
        <v/>
      </c>
      <c r="L117" s="84" t="str">
        <f t="array" ref="L117">IF(OR(
    AND('BD Asesor'!H119="Mensual", MATCH($B$2, {"Enero", "Febrero", "Marzo", "Abril", "Mayo", "Junio", "Julio", "Agosto", "Septiembre", "Octubre", "Noviembre", "Diciembre"}, 0)&gt;=1),
    AND('BD Asesor'!H119="Trimestral", MOD(MATCH($B$2, {"Enero", "Febrero", "Marzo", "Abril", "Mayo", "Junio", "Julio", "Agosto", "Septiembre", "Octubre", "Noviembre"}, 0)-MONTH('BD Asesor'!D119), 3)=0),
    AND('BD Asesor'!H119="Semestral", MOD(MATCH($B$2, {"Enero", "Febrero", "Marzo", "Abril", "Mayo", "Junio", "Julio", "Agosto", "Septiembre", "Octubre", "Noviembre"}, 0)-MONTH('BD Asesor'!D119), 6)=0),
    AND('BD Asesor'!H119="Anual", MONTH('BD Asesor'!D119)=MATCH($B$2, {"Enero", "Febrero", "Marzo", "Abril", "Mayo", "Junio", "Julio", "Agosto", "Septiembre", "Octubre", "Noviembre"}, 0))
), 'BD Asesor'!L119, "")
</f>
        <v/>
      </c>
    </row>
    <row r="118">
      <c r="C118" s="84" t="str">
        <f t="array" ref="C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Asesor'!A120, "")
</f>
        <v/>
      </c>
      <c r="D118" s="84" t="str">
        <f t="array" ref="D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Asesor'!B120, "")
</f>
        <v/>
      </c>
      <c r="E118" s="212" t="str">
        <f t="array" ref="E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Asesor'!C120, "")
</f>
        <v/>
      </c>
      <c r="F118" s="212" t="str">
        <f t="array" ref="F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Asesor'!D120, "")
</f>
        <v/>
      </c>
      <c r="G118" s="212" t="str">
        <f t="array" ref="G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Asesor'!E120, "")
</f>
        <v/>
      </c>
      <c r="H118" s="84" t="str">
        <f t="array" ref="H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Asesor'!F120, "")
</f>
        <v/>
      </c>
      <c r="I118" s="84" t="str">
        <f t="array" ref="I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Asesor'!G120, "")
</f>
        <v/>
      </c>
      <c r="J118" s="84" t="str">
        <f t="array" ref="J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Asesor'!H120, "")
</f>
        <v/>
      </c>
      <c r="K118" s="84" t="str">
        <f t="array" ref="K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Asesor'!K120, "")
</f>
        <v/>
      </c>
      <c r="L118" s="84" t="str">
        <f t="array" ref="L118">IF(OR(
    AND('BD Asesor'!H120="Mensual", MATCH($B$2, {"Enero", "Febrero", "Marzo", "Abril", "Mayo", "Junio", "Julio", "Agosto", "Septiembre", "Octubre", "Noviembre", "Diciembre"}, 0)&gt;=1),
    AND('BD Asesor'!H120="Trimestral", MOD(MATCH($B$2, {"Enero", "Febrero", "Marzo", "Abril", "Mayo", "Junio", "Julio", "Agosto", "Septiembre", "Octubre", "Noviembre"}, 0)-MONTH('BD Asesor'!D120), 3)=0),
    AND('BD Asesor'!H120="Semestral", MOD(MATCH($B$2, {"Enero", "Febrero", "Marzo", "Abril", "Mayo", "Junio", "Julio", "Agosto", "Septiembre", "Octubre", "Noviembre"}, 0)-MONTH('BD Asesor'!D120), 6)=0),
    AND('BD Asesor'!H120="Anual", MONTH('BD Asesor'!D120)=MATCH($B$2, {"Enero", "Febrero", "Marzo", "Abril", "Mayo", "Junio", "Julio", "Agosto", "Septiembre", "Octubre", "Noviembre"}, 0))
), 'BD Asesor'!L120, "")
</f>
        <v/>
      </c>
    </row>
    <row r="119">
      <c r="C119" s="84" t="str">
        <f t="array" ref="C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Asesor'!A121, "")
</f>
        <v/>
      </c>
      <c r="D119" s="84" t="str">
        <f t="array" ref="D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Asesor'!B121, "")
</f>
        <v/>
      </c>
      <c r="E119" s="212" t="str">
        <f t="array" ref="E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Asesor'!C121, "")
</f>
        <v/>
      </c>
      <c r="F119" s="212" t="str">
        <f t="array" ref="F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Asesor'!D121, "")
</f>
        <v/>
      </c>
      <c r="G119" s="212" t="str">
        <f t="array" ref="G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Asesor'!E121, "")
</f>
        <v/>
      </c>
      <c r="H119" s="84" t="str">
        <f t="array" ref="H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Asesor'!F121, "")
</f>
        <v/>
      </c>
      <c r="I119" s="84" t="str">
        <f t="array" ref="I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Asesor'!G121, "")
</f>
        <v/>
      </c>
      <c r="J119" s="84" t="str">
        <f t="array" ref="J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Asesor'!H121, "")
</f>
        <v/>
      </c>
      <c r="K119" s="84" t="str">
        <f t="array" ref="K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Asesor'!K121, "")
</f>
        <v/>
      </c>
      <c r="L119" s="84" t="str">
        <f t="array" ref="L119">IF(OR(
    AND('BD Asesor'!H121="Mensual", MATCH($B$2, {"Enero", "Febrero", "Marzo", "Abril", "Mayo", "Junio", "Julio", "Agosto", "Septiembre", "Octubre", "Noviembre", "Diciembre"}, 0)&gt;=1),
    AND('BD Asesor'!H121="Trimestral", MOD(MATCH($B$2, {"Enero", "Febrero", "Marzo", "Abril", "Mayo", "Junio", "Julio", "Agosto", "Septiembre", "Octubre", "Noviembre"}, 0)-MONTH('BD Asesor'!D121), 3)=0),
    AND('BD Asesor'!H121="Semestral", MOD(MATCH($B$2, {"Enero", "Febrero", "Marzo", "Abril", "Mayo", "Junio", "Julio", "Agosto", "Septiembre", "Octubre", "Noviembre"}, 0)-MONTH('BD Asesor'!D121), 6)=0),
    AND('BD Asesor'!H121="Anual", MONTH('BD Asesor'!D121)=MATCH($B$2, {"Enero", "Febrero", "Marzo", "Abril", "Mayo", "Junio", "Julio", "Agosto", "Septiembre", "Octubre", "Noviembre"}, 0))
), 'BD Asesor'!L121, "")
</f>
        <v/>
      </c>
    </row>
    <row r="120">
      <c r="C120" s="84" t="str">
        <f t="array" ref="C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Asesor'!A122, "")
</f>
        <v>RICARDO GONZALEZ ARECHIGA</v>
      </c>
      <c r="D120" s="84" t="str">
        <f t="array" ref="D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Asesor'!B122, "")
</f>
        <v>H</v>
      </c>
      <c r="E120" s="212" t="str">
        <f t="array" ref="E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Asesor'!C122, "")
</f>
        <v>Activo</v>
      </c>
      <c r="F120" s="213">
        <f t="array" ref="F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Asesor'!D122, "")
</f>
        <v>44147</v>
      </c>
      <c r="G120" s="212" t="str">
        <f t="array" ref="G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Asesor'!E122, "")
</f>
        <v>VI0002566243</v>
      </c>
      <c r="H120" s="76">
        <f t="array" ref="H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Asesor'!F122, "")
</f>
        <v>57496.07208</v>
      </c>
      <c r="I120" s="84" t="str">
        <f t="array" ref="I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Asesor'!G122, "")
</f>
        <v>UDIS</v>
      </c>
      <c r="J120" s="84" t="str">
        <f t="array" ref="J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Asesor'!H122, "")
</f>
        <v>Mensual</v>
      </c>
      <c r="K120" s="84" t="str">
        <f t="array" ref="K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Asesor'!K122, "")
</f>
        <v>TD</v>
      </c>
      <c r="L120" s="84" t="str">
        <f t="array" ref="L120">IF(OR(
    AND('BD Asesor'!H122="Mensual", MATCH($B$2, {"Enero", "Febrero", "Marzo", "Abril", "Mayo", "Junio", "Julio", "Agosto", "Septiembre", "Octubre", "Noviembre", "Diciembre"}, 0)&gt;=1),
    AND('BD Asesor'!H122="Trimestral", MOD(MATCH($B$2, {"Enero", "Febrero", "Marzo", "Abril", "Mayo", "Junio", "Julio", "Agosto", "Septiembre", "Octubre", "Noviembre"}, 0)-MONTH('BD Asesor'!D122), 3)=0),
    AND('BD Asesor'!H122="Semestral", MOD(MATCH($B$2, {"Enero", "Febrero", "Marzo", "Abril", "Mayo", "Junio", "Julio", "Agosto", "Septiembre", "Octubre", "Noviembre"}, 0)-MONTH('BD Asesor'!D122), 6)=0),
    AND('BD Asesor'!H122="Anual", MONTH('BD Asesor'!D122)=MATCH($B$2, {"Enero", "Febrero", "Marzo", "Abril", "Mayo", "Junio", "Julio", "Agosto", "Septiembre", "Octubre", "Noviembre"}, 0))
), 'BD Asesor'!L122, "")
</f>
        <v>Vida</v>
      </c>
    </row>
    <row r="121">
      <c r="C121" s="84" t="str">
        <f t="array" ref="C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Asesor'!A123, "")
</f>
        <v/>
      </c>
      <c r="D121" s="84" t="str">
        <f t="array" ref="D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Asesor'!B123, "")
</f>
        <v/>
      </c>
      <c r="E121" s="212" t="str">
        <f t="array" ref="E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Asesor'!C123, "")
</f>
        <v/>
      </c>
      <c r="F121" s="212" t="str">
        <f t="array" ref="F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Asesor'!D123, "")
</f>
        <v/>
      </c>
      <c r="G121" s="212" t="str">
        <f t="array" ref="G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Asesor'!E123, "")
</f>
        <v/>
      </c>
      <c r="H121" s="84" t="str">
        <f t="array" ref="H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Asesor'!F123, "")
</f>
        <v/>
      </c>
      <c r="I121" s="84" t="str">
        <f t="array" ref="I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Asesor'!G123, "")
</f>
        <v/>
      </c>
      <c r="J121" s="84" t="str">
        <f t="array" ref="J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Asesor'!H123, "")
</f>
        <v/>
      </c>
      <c r="K121" s="84" t="str">
        <f t="array" ref="K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Asesor'!K123, "")
</f>
        <v/>
      </c>
      <c r="L121" s="84" t="str">
        <f t="array" ref="L121">IF(OR(
    AND('BD Asesor'!H123="Mensual", MATCH($B$2, {"Enero", "Febrero", "Marzo", "Abril", "Mayo", "Junio", "Julio", "Agosto", "Septiembre", "Octubre", "Noviembre", "Diciembre"}, 0)&gt;=1),
    AND('BD Asesor'!H123="Trimestral", MOD(MATCH($B$2, {"Enero", "Febrero", "Marzo", "Abril", "Mayo", "Junio", "Julio", "Agosto", "Septiembre", "Octubre", "Noviembre"}, 0)-MONTH('BD Asesor'!D123), 3)=0),
    AND('BD Asesor'!H123="Semestral", MOD(MATCH($B$2, {"Enero", "Febrero", "Marzo", "Abril", "Mayo", "Junio", "Julio", "Agosto", "Septiembre", "Octubre", "Noviembre"}, 0)-MONTH('BD Asesor'!D123), 6)=0),
    AND('BD Asesor'!H123="Anual", MONTH('BD Asesor'!D123)=MATCH($B$2, {"Enero", "Febrero", "Marzo", "Abril", "Mayo", "Junio", "Julio", "Agosto", "Septiembre", "Octubre", "Noviembre"}, 0))
), 'BD Asesor'!L123, "")
</f>
        <v/>
      </c>
    </row>
    <row r="122">
      <c r="C122" s="84" t="str">
        <f t="array" ref="C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Asesor'!A124, "")
</f>
        <v>SANDRA LISSET TORRES HERNANDEZ</v>
      </c>
      <c r="D122" s="84" t="str">
        <f t="array" ref="D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Asesor'!B124, "")
</f>
        <v>M</v>
      </c>
      <c r="E122" s="212" t="str">
        <f t="array" ref="E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Asesor'!C124, "")
</f>
        <v>Activo</v>
      </c>
      <c r="F122" s="213">
        <f t="array" ref="F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Asesor'!D124, "")
</f>
        <v>44117</v>
      </c>
      <c r="G122" s="212" t="str">
        <f t="array" ref="G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Asesor'!E124, "")
</f>
        <v>VI0002560246</v>
      </c>
      <c r="H122" s="76">
        <f t="array" ref="H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Asesor'!F124, "")
</f>
        <v>17804.9652</v>
      </c>
      <c r="I122" s="84" t="str">
        <f t="array" ref="I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Asesor'!G124, "")
</f>
        <v>UDIS</v>
      </c>
      <c r="J122" s="84" t="str">
        <f t="array" ref="J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Asesor'!H124, "")
</f>
        <v>Mensual</v>
      </c>
      <c r="K122" s="84" t="str">
        <f t="array" ref="K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Asesor'!K124, "")
</f>
        <v>TC</v>
      </c>
      <c r="L122" s="84" t="str">
        <f t="array" ref="L122">IF(OR(
    AND('BD Asesor'!H124="Mensual", MATCH($B$2, {"Enero", "Febrero", "Marzo", "Abril", "Mayo", "Junio", "Julio", "Agosto", "Septiembre", "Octubre", "Noviembre", "Diciembre"}, 0)&gt;=1),
    AND('BD Asesor'!H124="Trimestral", MOD(MATCH($B$2, {"Enero", "Febrero", "Marzo", "Abril", "Mayo", "Junio", "Julio", "Agosto", "Septiembre", "Octubre", "Noviembre"}, 0)-MONTH('BD Asesor'!D124), 3)=0),
    AND('BD Asesor'!H124="Semestral", MOD(MATCH($B$2, {"Enero", "Febrero", "Marzo", "Abril", "Mayo", "Junio", "Julio", "Agosto", "Septiembre", "Octubre", "Noviembre"}, 0)-MONTH('BD Asesor'!D124), 6)=0),
    AND('BD Asesor'!H124="Anual", MONTH('BD Asesor'!D124)=MATCH($B$2, {"Enero", "Febrero", "Marzo", "Abril", "Mayo", "Junio", "Julio", "Agosto", "Septiembre", "Octubre", "Noviembre"}, 0))
), 'BD Asesor'!L124, "")
</f>
        <v>Vida</v>
      </c>
    </row>
    <row r="123">
      <c r="C123" s="84" t="str">
        <f t="array" ref="C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Asesor'!A125, "")
</f>
        <v>SARAHI PAULINA OROZCO MARTINEZ</v>
      </c>
      <c r="D123" s="84" t="str">
        <f t="array" ref="D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Asesor'!B125, "")
</f>
        <v>M</v>
      </c>
      <c r="E123" s="212" t="str">
        <f t="array" ref="E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Asesor'!C125, "")
</f>
        <v>Activo</v>
      </c>
      <c r="F123" s="213">
        <f t="array" ref="F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Asesor'!D125, "")
</f>
        <v>44161</v>
      </c>
      <c r="G123" s="212" t="str">
        <f t="array" ref="G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Asesor'!E125, "")
</f>
        <v>VI0002569421</v>
      </c>
      <c r="H123" s="76">
        <f t="array" ref="H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Asesor'!F125, "")
</f>
        <v>26536.75816</v>
      </c>
      <c r="I123" s="84" t="str">
        <f t="array" ref="I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Asesor'!G125, "")
</f>
        <v>UDIS</v>
      </c>
      <c r="J123" s="84" t="str">
        <f t="array" ref="J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Asesor'!H125, "")
</f>
        <v>Mensual</v>
      </c>
      <c r="K123" s="84" t="str">
        <f t="array" ref="K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Asesor'!K125, "")
</f>
        <v>TC</v>
      </c>
      <c r="L123" s="84" t="str">
        <f t="array" ref="L123">IF(OR(
    AND('BD Asesor'!H125="Mensual", MATCH($B$2, {"Enero", "Febrero", "Marzo", "Abril", "Mayo", "Junio", "Julio", "Agosto", "Septiembre", "Octubre", "Noviembre", "Diciembre"}, 0)&gt;=1),
    AND('BD Asesor'!H125="Trimestral", MOD(MATCH($B$2, {"Enero", "Febrero", "Marzo", "Abril", "Mayo", "Junio", "Julio", "Agosto", "Septiembre", "Octubre", "Noviembre"}, 0)-MONTH('BD Asesor'!D125), 3)=0),
    AND('BD Asesor'!H125="Semestral", MOD(MATCH($B$2, {"Enero", "Febrero", "Marzo", "Abril", "Mayo", "Junio", "Julio", "Agosto", "Septiembre", "Octubre", "Noviembre"}, 0)-MONTH('BD Asesor'!D125), 6)=0),
    AND('BD Asesor'!H125="Anual", MONTH('BD Asesor'!D125)=MATCH($B$2, {"Enero", "Febrero", "Marzo", "Abril", "Mayo", "Junio", "Julio", "Agosto", "Septiembre", "Octubre", "Noviembre"}, 0))
), 'BD Asesor'!L125, "")
</f>
        <v>Vida</v>
      </c>
    </row>
    <row r="124">
      <c r="C124" s="84" t="str">
        <f t="array" ref="C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Asesor'!A126, "")
</f>
        <v/>
      </c>
      <c r="D124" s="84" t="str">
        <f t="array" ref="D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Asesor'!B126, "")
</f>
        <v/>
      </c>
      <c r="E124" s="212" t="str">
        <f t="array" ref="E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Asesor'!C126, "")
</f>
        <v/>
      </c>
      <c r="F124" s="212" t="str">
        <f t="array" ref="F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Asesor'!D126, "")
</f>
        <v/>
      </c>
      <c r="G124" s="212" t="str">
        <f t="array" ref="G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Asesor'!E126, "")
</f>
        <v/>
      </c>
      <c r="H124" s="84" t="str">
        <f t="array" ref="H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Asesor'!F126, "")
</f>
        <v/>
      </c>
      <c r="I124" s="84" t="str">
        <f t="array" ref="I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Asesor'!G126, "")
</f>
        <v/>
      </c>
      <c r="J124" s="84" t="str">
        <f t="array" ref="J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Asesor'!H126, "")
</f>
        <v/>
      </c>
      <c r="K124" s="84" t="str">
        <f t="array" ref="K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Asesor'!K126, "")
</f>
        <v/>
      </c>
      <c r="L124" s="84" t="str">
        <f t="array" ref="L124">IF(OR(
    AND('BD Asesor'!H126="Mensual", MATCH($B$2, {"Enero", "Febrero", "Marzo", "Abril", "Mayo", "Junio", "Julio", "Agosto", "Septiembre", "Octubre", "Noviembre", "Diciembre"}, 0)&gt;=1),
    AND('BD Asesor'!H126="Trimestral", MOD(MATCH($B$2, {"Enero", "Febrero", "Marzo", "Abril", "Mayo", "Junio", "Julio", "Agosto", "Septiembre", "Octubre", "Noviembre"}, 0)-MONTH('BD Asesor'!D126), 3)=0),
    AND('BD Asesor'!H126="Semestral", MOD(MATCH($B$2, {"Enero", "Febrero", "Marzo", "Abril", "Mayo", "Junio", "Julio", "Agosto", "Septiembre", "Octubre", "Noviembre"}, 0)-MONTH('BD Asesor'!D126), 6)=0),
    AND('BD Asesor'!H126="Anual", MONTH('BD Asesor'!D126)=MATCH($B$2, {"Enero", "Febrero", "Marzo", "Abril", "Mayo", "Junio", "Julio", "Agosto", "Septiembre", "Octubre", "Noviembre"}, 0))
), 'BD Asesor'!L126, "")
</f>
        <v/>
      </c>
    </row>
    <row r="125">
      <c r="C125" s="84" t="str">
        <f t="array" ref="C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Asesor'!A127, "")
</f>
        <v>SUSANA RODRIGUEZ REYES</v>
      </c>
      <c r="D125" s="84" t="str">
        <f t="array" ref="D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Asesor'!B127, "")
</f>
        <v>M</v>
      </c>
      <c r="E125" s="212" t="str">
        <f t="array" ref="E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Asesor'!C127, "")
</f>
        <v>Activo</v>
      </c>
      <c r="F125" s="213">
        <f t="array" ref="F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Asesor'!D127, "")
</f>
        <v>44565</v>
      </c>
      <c r="G125" s="212" t="str">
        <f t="array" ref="G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Asesor'!E127, "")
</f>
        <v>VI0002644574</v>
      </c>
      <c r="H125" s="76">
        <f t="array" ref="H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Asesor'!F127, "")
</f>
        <v>17599.11264</v>
      </c>
      <c r="I125" s="84" t="str">
        <f t="array" ref="I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Asesor'!G127, "")
</f>
        <v>UDIS</v>
      </c>
      <c r="J125" s="84" t="str">
        <f t="array" ref="J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Asesor'!H127, "")
</f>
        <v>Mensual</v>
      </c>
      <c r="K125" s="84" t="str">
        <f t="array" ref="K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Asesor'!K127, "")
</f>
        <v>TD</v>
      </c>
      <c r="L125" s="84" t="str">
        <f t="array" ref="L125">IF(OR(
    AND('BD Asesor'!H127="Mensual", MATCH($B$2, {"Enero", "Febrero", "Marzo", "Abril", "Mayo", "Junio", "Julio", "Agosto", "Septiembre", "Octubre", "Noviembre", "Diciembre"}, 0)&gt;=1),
    AND('BD Asesor'!H127="Trimestral", MOD(MATCH($B$2, {"Enero", "Febrero", "Marzo", "Abril", "Mayo", "Junio", "Julio", "Agosto", "Septiembre", "Octubre", "Noviembre"}, 0)-MONTH('BD Asesor'!D127), 3)=0),
    AND('BD Asesor'!H127="Semestral", MOD(MATCH($B$2, {"Enero", "Febrero", "Marzo", "Abril", "Mayo", "Junio", "Julio", "Agosto", "Septiembre", "Octubre", "Noviembre"}, 0)-MONTH('BD Asesor'!D127), 6)=0),
    AND('BD Asesor'!H127="Anual", MONTH('BD Asesor'!D127)=MATCH($B$2, {"Enero", "Febrero", "Marzo", "Abril", "Mayo", "Junio", "Julio", "Agosto", "Septiembre", "Octubre", "Noviembre"}, 0))
), 'BD Asesor'!L127, "")
</f>
        <v>Vida</v>
      </c>
    </row>
    <row r="126">
      <c r="C126" s="84" t="str">
        <f t="array" ref="C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Asesor'!A128, "")
</f>
        <v>SUSANA RODRIGUEZ REYES</v>
      </c>
      <c r="D126" s="84" t="str">
        <f t="array" ref="D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Asesor'!B128, "")
</f>
        <v>M</v>
      </c>
      <c r="E126" s="212" t="str">
        <f t="array" ref="E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Asesor'!C128, "")
</f>
        <v>Activo</v>
      </c>
      <c r="F126" s="213">
        <f t="array" ref="F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Asesor'!D128, "")
</f>
        <v>44740</v>
      </c>
      <c r="G126" s="212" t="str">
        <f t="array" ref="G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Asesor'!E128, "")
</f>
        <v>VI0002675267</v>
      </c>
      <c r="H126" s="76">
        <f t="array" ref="H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Asesor'!F128, "")
</f>
        <v>20042.694</v>
      </c>
      <c r="I126" s="84" t="str">
        <f t="array" ref="I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Asesor'!G128, "")
</f>
        <v>UDIS</v>
      </c>
      <c r="J126" s="84" t="str">
        <f t="array" ref="J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Asesor'!H128, "")
</f>
        <v>Mensual</v>
      </c>
      <c r="K126" s="84" t="str">
        <f t="array" ref="K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Asesor'!K128, "")
</f>
        <v>TD</v>
      </c>
      <c r="L126" s="84" t="str">
        <f t="array" ref="L126">IF(OR(
    AND('BD Asesor'!H128="Mensual", MATCH($B$2, {"Enero", "Febrero", "Marzo", "Abril", "Mayo", "Junio", "Julio", "Agosto", "Septiembre", "Octubre", "Noviembre", "Diciembre"}, 0)&gt;=1),
    AND('BD Asesor'!H128="Trimestral", MOD(MATCH($B$2, {"Enero", "Febrero", "Marzo", "Abril", "Mayo", "Junio", "Julio", "Agosto", "Septiembre", "Octubre", "Noviembre"}, 0)-MONTH('BD Asesor'!D128), 3)=0),
    AND('BD Asesor'!H128="Semestral", MOD(MATCH($B$2, {"Enero", "Febrero", "Marzo", "Abril", "Mayo", "Junio", "Julio", "Agosto", "Septiembre", "Octubre", "Noviembre"}, 0)-MONTH('BD Asesor'!D128), 6)=0),
    AND('BD Asesor'!H128="Anual", MONTH('BD Asesor'!D128)=MATCH($B$2, {"Enero", "Febrero", "Marzo", "Abril", "Mayo", "Junio", "Julio", "Agosto", "Septiembre", "Octubre", "Noviembre"}, 0))
), 'BD Asesor'!L128, "")
</f>
        <v>Vida</v>
      </c>
    </row>
    <row r="127">
      <c r="C127" s="84" t="str">
        <f t="array" ref="C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Asesor'!A129, "")
</f>
        <v>TZEITEL PAMELA GUARDIAN AVELAR</v>
      </c>
      <c r="D127" s="84" t="str">
        <f t="array" ref="D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Asesor'!B129, "")
</f>
        <v>M</v>
      </c>
      <c r="E127" s="212" t="str">
        <f t="array" ref="E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Asesor'!C129, "")
</f>
        <v>Activo</v>
      </c>
      <c r="F127" s="213">
        <f t="array" ref="F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Asesor'!D129, "")
</f>
        <v>44355</v>
      </c>
      <c r="G127" s="212" t="str">
        <f t="array" ref="G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Asesor'!E129, "")
</f>
        <v>VI0002606377</v>
      </c>
      <c r="H127" s="76">
        <f t="array" ref="H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Asesor'!F129, "")
</f>
        <v>35707.30464</v>
      </c>
      <c r="I127" s="84" t="str">
        <f t="array" ref="I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Asesor'!G129, "")
</f>
        <v>UDIS</v>
      </c>
      <c r="J127" s="84" t="str">
        <f t="array" ref="J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Asesor'!H129, "")
</f>
        <v>Trimestral</v>
      </c>
      <c r="K127" s="84" t="str">
        <f t="array" ref="K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Asesor'!K129, "")
</f>
        <v>TC</v>
      </c>
      <c r="L127" s="84" t="str">
        <f t="array" ref="L127">IF(OR(
    AND('BD Asesor'!H129="Mensual", MATCH($B$2, {"Enero", "Febrero", "Marzo", "Abril", "Mayo", "Junio", "Julio", "Agosto", "Septiembre", "Octubre", "Noviembre", "Diciembre"}, 0)&gt;=1),
    AND('BD Asesor'!H129="Trimestral", MOD(MATCH($B$2, {"Enero", "Febrero", "Marzo", "Abril", "Mayo", "Junio", "Julio", "Agosto", "Septiembre", "Octubre", "Noviembre"}, 0)-MONTH('BD Asesor'!D129), 3)=0),
    AND('BD Asesor'!H129="Semestral", MOD(MATCH($B$2, {"Enero", "Febrero", "Marzo", "Abril", "Mayo", "Junio", "Julio", "Agosto", "Septiembre", "Octubre", "Noviembre"}, 0)-MONTH('BD Asesor'!D129), 6)=0),
    AND('BD Asesor'!H129="Anual", MONTH('BD Asesor'!D129)=MATCH($B$2, {"Enero", "Febrero", "Marzo", "Abril", "Mayo", "Junio", "Julio", "Agosto", "Septiembre", "Octubre", "Noviembre"}, 0))
), 'BD Asesor'!L129, "")
</f>
        <v>Vida</v>
      </c>
    </row>
    <row r="128">
      <c r="C128" s="84" t="str">
        <f t="array" ref="C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Asesor'!A130, "")
</f>
        <v>VALERIA JANETH SANCHEZ MUÑOZ</v>
      </c>
      <c r="D128" s="84" t="str">
        <f t="array" ref="D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Asesor'!B130, "")
</f>
        <v>M</v>
      </c>
      <c r="E128" s="212" t="str">
        <f t="array" ref="E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Asesor'!C130, "")
</f>
        <v>Activo</v>
      </c>
      <c r="F128" s="215">
        <f t="array" ref="F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Asesor'!D130, "")
</f>
        <v>44540</v>
      </c>
      <c r="G128" s="212" t="str">
        <f t="array" ref="G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Asesor'!E130, "")
</f>
        <v>GM0000547172</v>
      </c>
      <c r="H128" s="76">
        <f t="array" ref="H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Asesor'!F130, "")
</f>
        <v>29109.96</v>
      </c>
      <c r="I128" s="84" t="str">
        <f t="array" ref="I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Asesor'!G130, "")
</f>
        <v>MXN</v>
      </c>
      <c r="J128" s="84" t="str">
        <f t="array" ref="J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Asesor'!H130, "")
</f>
        <v>Trimestral</v>
      </c>
      <c r="K128" s="84" t="str">
        <f t="array" ref="K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Asesor'!K130, "")
</f>
        <v>TD</v>
      </c>
      <c r="L128" s="84" t="str">
        <f t="array" ref="L128">IF(OR(
    AND('BD Asesor'!H130="Mensual", MATCH($B$2, {"Enero", "Febrero", "Marzo", "Abril", "Mayo", "Junio", "Julio", "Agosto", "Septiembre", "Octubre", "Noviembre", "Diciembre"}, 0)&gt;=1),
    AND('BD Asesor'!H130="Trimestral", MOD(MATCH($B$2, {"Enero", "Febrero", "Marzo", "Abril", "Mayo", "Junio", "Julio", "Agosto", "Septiembre", "Octubre", "Noviembre"}, 0)-MONTH('BD Asesor'!D130), 3)=0),
    AND('BD Asesor'!H130="Semestral", MOD(MATCH($B$2, {"Enero", "Febrero", "Marzo", "Abril", "Mayo", "Junio", "Julio", "Agosto", "Septiembre", "Octubre", "Noviembre"}, 0)-MONTH('BD Asesor'!D130), 6)=0),
    AND('BD Asesor'!H130="Anual", MONTH('BD Asesor'!D130)=MATCH($B$2, {"Enero", "Febrero", "Marzo", "Abril", "Mayo", "Junio", "Julio", "Agosto", "Septiembre", "Octubre", "Noviembre"}, 0))
), 'BD Asesor'!L130, "")
</f>
        <v>Gastos Médicos </v>
      </c>
    </row>
    <row r="129">
      <c r="C129" s="84" t="str">
        <f t="array" ref="C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Asesor'!A131, "")
</f>
        <v>VICTOR GALLEGOS MARTINEZ</v>
      </c>
      <c r="D129" s="84" t="str">
        <f t="array" ref="D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Asesor'!B131, "")
</f>
        <v>H</v>
      </c>
      <c r="E129" s="212" t="str">
        <f t="array" ref="E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Asesor'!C131, "")
</f>
        <v>Activo</v>
      </c>
      <c r="F129" s="213">
        <f t="array" ref="F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Asesor'!D131, "")
</f>
        <v>44862</v>
      </c>
      <c r="G129" s="212" t="str">
        <f t="array" ref="G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Asesor'!E131, "")
</f>
        <v>GM0000581018</v>
      </c>
      <c r="H129" s="76">
        <f t="array" ref="H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Asesor'!F131, "")
</f>
        <v>72171.84</v>
      </c>
      <c r="I129" s="84" t="str">
        <f t="array" ref="I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Asesor'!G131, "")
</f>
        <v>MXN</v>
      </c>
      <c r="J129" s="84" t="str">
        <f t="array" ref="J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Asesor'!H131, "")
</f>
        <v>Mensual</v>
      </c>
      <c r="K129" s="84" t="str">
        <f t="array" ref="K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Asesor'!K131, "")
</f>
        <v>TD</v>
      </c>
      <c r="L129" s="84" t="str">
        <f t="array" ref="L129">IF(OR(
    AND('BD Asesor'!H131="Mensual", MATCH($B$2, {"Enero", "Febrero", "Marzo", "Abril", "Mayo", "Junio", "Julio", "Agosto", "Septiembre", "Octubre", "Noviembre", "Diciembre"}, 0)&gt;=1),
    AND('BD Asesor'!H131="Trimestral", MOD(MATCH($B$2, {"Enero", "Febrero", "Marzo", "Abril", "Mayo", "Junio", "Julio", "Agosto", "Septiembre", "Octubre", "Noviembre"}, 0)-MONTH('BD Asesor'!D131), 3)=0),
    AND('BD Asesor'!H131="Semestral", MOD(MATCH($B$2, {"Enero", "Febrero", "Marzo", "Abril", "Mayo", "Junio", "Julio", "Agosto", "Septiembre", "Octubre", "Noviembre"}, 0)-MONTH('BD Asesor'!D131), 6)=0),
    AND('BD Asesor'!H131="Anual", MONTH('BD Asesor'!D131)=MATCH($B$2, {"Enero", "Febrero", "Marzo", "Abril", "Mayo", "Junio", "Julio", "Agosto", "Septiembre", "Octubre", "Noviembre"}, 0))
), 'BD Asesor'!L131, "")
</f>
        <v>Gastos Médicos </v>
      </c>
    </row>
    <row r="130">
      <c r="C130" s="84" t="str">
        <f t="array" ref="C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Asesor'!A132, "")
</f>
        <v>VICTOR GALLEGOS MARTINEZ</v>
      </c>
      <c r="D130" s="84" t="str">
        <f t="array" ref="D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Asesor'!B132, "")
</f>
        <v>H</v>
      </c>
      <c r="E130" s="212" t="str">
        <f t="array" ref="E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Asesor'!C132, "")
</f>
        <v>Activo</v>
      </c>
      <c r="F130" s="213">
        <f t="array" ref="F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Asesor'!D132, "")
</f>
        <v>44862</v>
      </c>
      <c r="G130" s="212" t="str">
        <f t="array" ref="G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Asesor'!E132, "")
</f>
        <v>VI0002698126</v>
      </c>
      <c r="H130" s="76">
        <f t="array" ref="H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Asesor'!F132, "")
</f>
        <v>30582.252</v>
      </c>
      <c r="I130" s="84" t="str">
        <f t="array" ref="I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Asesor'!G132, "")
</f>
        <v>UDIS</v>
      </c>
      <c r="J130" s="84" t="str">
        <f t="array" ref="J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Asesor'!H132, "")
</f>
        <v>Mensual</v>
      </c>
      <c r="K130" s="84" t="str">
        <f t="array" ref="K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Asesor'!K132, "")
</f>
        <v>TD</v>
      </c>
      <c r="L130" s="84" t="str">
        <f t="array" ref="L130">IF(OR(
    AND('BD Asesor'!H132="Mensual", MATCH($B$2, {"Enero", "Febrero", "Marzo", "Abril", "Mayo", "Junio", "Julio", "Agosto", "Septiembre", "Octubre", "Noviembre", "Diciembre"}, 0)&gt;=1),
    AND('BD Asesor'!H132="Trimestral", MOD(MATCH($B$2, {"Enero", "Febrero", "Marzo", "Abril", "Mayo", "Junio", "Julio", "Agosto", "Septiembre", "Octubre", "Noviembre"}, 0)-MONTH('BD Asesor'!D132), 3)=0),
    AND('BD Asesor'!H132="Semestral", MOD(MATCH($B$2, {"Enero", "Febrero", "Marzo", "Abril", "Mayo", "Junio", "Julio", "Agosto", "Septiembre", "Octubre", "Noviembre"}, 0)-MONTH('BD Asesor'!D132), 6)=0),
    AND('BD Asesor'!H132="Anual", MONTH('BD Asesor'!D132)=MATCH($B$2, {"Enero", "Febrero", "Marzo", "Abril", "Mayo", "Junio", "Julio", "Agosto", "Septiembre", "Octubre", "Noviembre"}, 0))
), 'BD Asesor'!L132, "")
</f>
        <v>Vida</v>
      </c>
    </row>
    <row r="131">
      <c r="C131" s="84" t="str">
        <f t="array" ref="C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Asesor'!A133, "")
</f>
        <v/>
      </c>
      <c r="D131" s="84" t="str">
        <f t="array" ref="D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Asesor'!B133, "")
</f>
        <v/>
      </c>
      <c r="E131" s="212" t="str">
        <f t="array" ref="E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Asesor'!C133, "")
</f>
        <v/>
      </c>
      <c r="F131" s="212" t="str">
        <f t="array" ref="F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Asesor'!D133, "")
</f>
        <v/>
      </c>
      <c r="G131" s="212" t="str">
        <f t="array" ref="G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Asesor'!E133, "")
</f>
        <v/>
      </c>
      <c r="H131" s="84" t="str">
        <f t="array" ref="H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Asesor'!F133, "")
</f>
        <v/>
      </c>
      <c r="I131" s="84" t="str">
        <f t="array" ref="I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Asesor'!G133, "")
</f>
        <v/>
      </c>
      <c r="J131" s="84" t="str">
        <f t="array" ref="J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Asesor'!H133, "")
</f>
        <v/>
      </c>
      <c r="K131" s="84" t="str">
        <f t="array" ref="K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Asesor'!K133, "")
</f>
        <v/>
      </c>
      <c r="L131" s="84" t="str">
        <f t="array" ref="L131">IF(OR(
    AND('BD Asesor'!H133="Mensual", MATCH($B$2, {"Enero", "Febrero", "Marzo", "Abril", "Mayo", "Junio", "Julio", "Agosto", "Septiembre", "Octubre", "Noviembre", "Diciembre"}, 0)&gt;=1),
    AND('BD Asesor'!H133="Trimestral", MOD(MATCH($B$2, {"Enero", "Febrero", "Marzo", "Abril", "Mayo", "Junio", "Julio", "Agosto", "Septiembre", "Octubre", "Noviembre"}, 0)-MONTH('BD Asesor'!D133), 3)=0),
    AND('BD Asesor'!H133="Semestral", MOD(MATCH($B$2, {"Enero", "Febrero", "Marzo", "Abril", "Mayo", "Junio", "Julio", "Agosto", "Septiembre", "Octubre", "Noviembre"}, 0)-MONTH('BD Asesor'!D133), 6)=0),
    AND('BD Asesor'!H133="Anual", MONTH('BD Asesor'!D133)=MATCH($B$2, {"Enero", "Febrero", "Marzo", "Abril", "Mayo", "Junio", "Julio", "Agosto", "Septiembre", "Octubre", "Noviembre"}, 0))
), 'BD Asesor'!L133, "")
</f>
        <v/>
      </c>
    </row>
    <row r="132">
      <c r="C132" s="84" t="str">
        <f t="array" ref="C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Asesor'!A134, "")
</f>
        <v/>
      </c>
      <c r="D132" s="84" t="str">
        <f t="array" ref="D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Asesor'!B134, "")
</f>
        <v/>
      </c>
      <c r="E132" s="212" t="str">
        <f t="array" ref="E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Asesor'!C134, "")
</f>
        <v/>
      </c>
      <c r="F132" s="212" t="str">
        <f t="array" ref="F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Asesor'!D134, "")
</f>
        <v/>
      </c>
      <c r="G132" s="212" t="str">
        <f t="array" ref="G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Asesor'!E134, "")
</f>
        <v/>
      </c>
      <c r="H132" s="84" t="str">
        <f t="array" ref="H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Asesor'!F134, "")
</f>
        <v/>
      </c>
      <c r="I132" s="84" t="str">
        <f t="array" ref="I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Asesor'!G134, "")
</f>
        <v/>
      </c>
      <c r="J132" s="84" t="str">
        <f t="array" ref="J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Asesor'!H134, "")
</f>
        <v/>
      </c>
      <c r="K132" s="84" t="str">
        <f t="array" ref="K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Asesor'!K134, "")
</f>
        <v/>
      </c>
      <c r="L132" s="84" t="str">
        <f t="array" ref="L132">IF(OR(
    AND('BD Asesor'!H134="Mensual", MATCH($B$2, {"Enero", "Febrero", "Marzo", "Abril", "Mayo", "Junio", "Julio", "Agosto", "Septiembre", "Octubre", "Noviembre", "Diciembre"}, 0)&gt;=1),
    AND('BD Asesor'!H134="Trimestral", MOD(MATCH($B$2, {"Enero", "Febrero", "Marzo", "Abril", "Mayo", "Junio", "Julio", "Agosto", "Septiembre", "Octubre", "Noviembre"}, 0)-MONTH('BD Asesor'!D134), 3)=0),
    AND('BD Asesor'!H134="Semestral", MOD(MATCH($B$2, {"Enero", "Febrero", "Marzo", "Abril", "Mayo", "Junio", "Julio", "Agosto", "Septiembre", "Octubre", "Noviembre"}, 0)-MONTH('BD Asesor'!D134), 6)=0),
    AND('BD Asesor'!H134="Anual", MONTH('BD Asesor'!D134)=MATCH($B$2, {"Enero", "Febrero", "Marzo", "Abril", "Mayo", "Junio", "Julio", "Agosto", "Septiembre", "Octubre", "Noviembre"}, 0))
), 'BD Asesor'!L134, "")
</f>
        <v/>
      </c>
    </row>
    <row r="133">
      <c r="C133" s="84" t="str">
        <f t="array" ref="C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Asesor'!A135, "")
</f>
        <v/>
      </c>
      <c r="D133" s="84" t="str">
        <f t="array" ref="D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Asesor'!B135, "")
</f>
        <v/>
      </c>
      <c r="E133" s="212" t="str">
        <f t="array" ref="E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Asesor'!C135, "")
</f>
        <v/>
      </c>
      <c r="F133" s="212" t="str">
        <f t="array" ref="F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Asesor'!D135, "")
</f>
        <v/>
      </c>
      <c r="G133" s="212" t="str">
        <f t="array" ref="G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Asesor'!E135, "")
</f>
        <v/>
      </c>
      <c r="H133" s="84" t="str">
        <f t="array" ref="H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Asesor'!F135, "")
</f>
        <v/>
      </c>
      <c r="I133" s="84" t="str">
        <f t="array" ref="I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Asesor'!G135, "")
</f>
        <v/>
      </c>
      <c r="J133" s="84" t="str">
        <f t="array" ref="J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Asesor'!H135, "")
</f>
        <v/>
      </c>
      <c r="K133" s="84" t="str">
        <f t="array" ref="K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Asesor'!K135, "")
</f>
        <v/>
      </c>
      <c r="L133" s="84" t="str">
        <f t="array" ref="L133">IF(OR(
    AND('BD Asesor'!H135="Mensual", MATCH($B$2, {"Enero", "Febrero", "Marzo", "Abril", "Mayo", "Junio", "Julio", "Agosto", "Septiembre", "Octubre", "Noviembre", "Diciembre"}, 0)&gt;=1),
    AND('BD Asesor'!H135="Trimestral", MOD(MATCH($B$2, {"Enero", "Febrero", "Marzo", "Abril", "Mayo", "Junio", "Julio", "Agosto", "Septiembre", "Octubre", "Noviembre"}, 0)-MONTH('BD Asesor'!D135), 3)=0),
    AND('BD Asesor'!H135="Semestral", MOD(MATCH($B$2, {"Enero", "Febrero", "Marzo", "Abril", "Mayo", "Junio", "Julio", "Agosto", "Septiembre", "Octubre", "Noviembre"}, 0)-MONTH('BD Asesor'!D135), 6)=0),
    AND('BD Asesor'!H135="Anual", MONTH('BD Asesor'!D135)=MATCH($B$2, {"Enero", "Febrero", "Marzo", "Abril", "Mayo", "Junio", "Julio", "Agosto", "Septiembre", "Octubre", "Noviembre"}, 0))
), 'BD Asesor'!L135, "")
</f>
        <v/>
      </c>
    </row>
    <row r="134">
      <c r="C134" s="84" t="str">
        <f t="array" ref="C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Asesor'!A136, "")
</f>
        <v/>
      </c>
      <c r="D134" s="84" t="str">
        <f t="array" ref="D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Asesor'!B136, "")
</f>
        <v/>
      </c>
      <c r="E134" s="212" t="str">
        <f t="array" ref="E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Asesor'!C136, "")
</f>
        <v/>
      </c>
      <c r="F134" s="212" t="str">
        <f t="array" ref="F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Asesor'!D136, "")
</f>
        <v/>
      </c>
      <c r="G134" s="212" t="str">
        <f t="array" ref="G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Asesor'!E136, "")
</f>
        <v/>
      </c>
      <c r="H134" s="84" t="str">
        <f t="array" ref="H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Asesor'!F136, "")
</f>
        <v/>
      </c>
      <c r="I134" s="84" t="str">
        <f t="array" ref="I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Asesor'!G136, "")
</f>
        <v/>
      </c>
      <c r="J134" s="84" t="str">
        <f t="array" ref="J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Asesor'!H136, "")
</f>
        <v/>
      </c>
      <c r="K134" s="84" t="str">
        <f t="array" ref="K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Asesor'!K136, "")
</f>
        <v/>
      </c>
      <c r="L134" s="84" t="str">
        <f t="array" ref="L134">IF(OR(
    AND('BD Asesor'!H136="Mensual", MATCH($B$2, {"Enero", "Febrero", "Marzo", "Abril", "Mayo", "Junio", "Julio", "Agosto", "Septiembre", "Octubre", "Noviembre", "Diciembre"}, 0)&gt;=1),
    AND('BD Asesor'!H136="Trimestral", MOD(MATCH($B$2, {"Enero", "Febrero", "Marzo", "Abril", "Mayo", "Junio", "Julio", "Agosto", "Septiembre", "Octubre", "Noviembre"}, 0)-MONTH('BD Asesor'!D136), 3)=0),
    AND('BD Asesor'!H136="Semestral", MOD(MATCH($B$2, {"Enero", "Febrero", "Marzo", "Abril", "Mayo", "Junio", "Julio", "Agosto", "Septiembre", "Octubre", "Noviembre"}, 0)-MONTH('BD Asesor'!D136), 6)=0),
    AND('BD Asesor'!H136="Anual", MONTH('BD Asesor'!D136)=MATCH($B$2, {"Enero", "Febrero", "Marzo", "Abril", "Mayo", "Junio", "Julio", "Agosto", "Septiembre", "Octubre", "Noviembre"}, 0))
), 'BD Asesor'!L136, "")
</f>
        <v/>
      </c>
    </row>
    <row r="135">
      <c r="C135" s="84" t="str">
        <f t="array" ref="C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Asesor'!A137, "")
</f>
        <v/>
      </c>
      <c r="D135" s="84" t="str">
        <f t="array" ref="D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Asesor'!B137, "")
</f>
        <v/>
      </c>
      <c r="E135" s="212" t="str">
        <f t="array" ref="E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Asesor'!C137, "")
</f>
        <v/>
      </c>
      <c r="F135" s="212" t="str">
        <f t="array" ref="F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Asesor'!D137, "")
</f>
        <v/>
      </c>
      <c r="G135" s="212" t="str">
        <f t="array" ref="G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Asesor'!E137, "")
</f>
        <v/>
      </c>
      <c r="H135" s="84" t="str">
        <f t="array" ref="H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Asesor'!F137, "")
</f>
        <v/>
      </c>
      <c r="I135" s="84" t="str">
        <f t="array" ref="I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Asesor'!G137, "")
</f>
        <v/>
      </c>
      <c r="J135" s="84" t="str">
        <f t="array" ref="J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Asesor'!H137, "")
</f>
        <v/>
      </c>
      <c r="K135" s="84" t="str">
        <f t="array" ref="K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Asesor'!K137, "")
</f>
        <v/>
      </c>
      <c r="L135" s="84" t="str">
        <f t="array" ref="L135">IF(OR(
    AND('BD Asesor'!H137="Mensual", MATCH($B$2, {"Enero", "Febrero", "Marzo", "Abril", "Mayo", "Junio", "Julio", "Agosto", "Septiembre", "Octubre", "Noviembre", "Diciembre"}, 0)&gt;=1),
    AND('BD Asesor'!H137="Trimestral", MOD(MATCH($B$2, {"Enero", "Febrero", "Marzo", "Abril", "Mayo", "Junio", "Julio", "Agosto", "Septiembre", "Octubre", "Noviembre"}, 0)-MONTH('BD Asesor'!D137), 3)=0),
    AND('BD Asesor'!H137="Semestral", MOD(MATCH($B$2, {"Enero", "Febrero", "Marzo", "Abril", "Mayo", "Junio", "Julio", "Agosto", "Septiembre", "Octubre", "Noviembre"}, 0)-MONTH('BD Asesor'!D137), 6)=0),
    AND('BD Asesor'!H137="Anual", MONTH('BD Asesor'!D137)=MATCH($B$2, {"Enero", "Febrero", "Marzo", "Abril", "Mayo", "Junio", "Julio", "Agosto", "Septiembre", "Octubre", "Noviembre"}, 0))
), 'BD Asesor'!L137, "")
</f>
        <v/>
      </c>
    </row>
    <row r="136">
      <c r="C136" s="84" t="str">
        <f t="array" ref="C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Asesor'!A138, "")
</f>
        <v/>
      </c>
      <c r="D136" s="84" t="str">
        <f t="array" ref="D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Asesor'!B138, "")
</f>
        <v/>
      </c>
      <c r="E136" s="212" t="str">
        <f t="array" ref="E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Asesor'!C138, "")
</f>
        <v/>
      </c>
      <c r="F136" s="212" t="str">
        <f t="array" ref="F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Asesor'!D138, "")
</f>
        <v/>
      </c>
      <c r="G136" s="212" t="str">
        <f t="array" ref="G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Asesor'!E138, "")
</f>
        <v/>
      </c>
      <c r="H136" s="84" t="str">
        <f t="array" ref="H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Asesor'!F138, "")
</f>
        <v/>
      </c>
      <c r="I136" s="84" t="str">
        <f t="array" ref="I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Asesor'!G138, "")
</f>
        <v/>
      </c>
      <c r="J136" s="84" t="str">
        <f t="array" ref="J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Asesor'!H138, "")
</f>
        <v/>
      </c>
      <c r="K136" s="84" t="str">
        <f t="array" ref="K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Asesor'!K138, "")
</f>
        <v/>
      </c>
      <c r="L136" s="84" t="str">
        <f t="array" ref="L136">IF(OR(
    AND('BD Asesor'!H138="Mensual", MATCH($B$2, {"Enero", "Febrero", "Marzo", "Abril", "Mayo", "Junio", "Julio", "Agosto", "Septiembre", "Octubre", "Noviembre", "Diciembre"}, 0)&gt;=1),
    AND('BD Asesor'!H138="Trimestral", MOD(MATCH($B$2, {"Enero", "Febrero", "Marzo", "Abril", "Mayo", "Junio", "Julio", "Agosto", "Septiembre", "Octubre", "Noviembre"}, 0)-MONTH('BD Asesor'!D138), 3)=0),
    AND('BD Asesor'!H138="Semestral", MOD(MATCH($B$2, {"Enero", "Febrero", "Marzo", "Abril", "Mayo", "Junio", "Julio", "Agosto", "Septiembre", "Octubre", "Noviembre"}, 0)-MONTH('BD Asesor'!D138), 6)=0),
    AND('BD Asesor'!H138="Anual", MONTH('BD Asesor'!D138)=MATCH($B$2, {"Enero", "Febrero", "Marzo", "Abril", "Mayo", "Junio", "Julio", "Agosto", "Septiembre", "Octubre", "Noviembre"}, 0))
), 'BD Asesor'!L138, "")
</f>
        <v/>
      </c>
    </row>
    <row r="137">
      <c r="C137" s="84" t="str">
        <f t="array" ref="C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Asesor'!A139, "")
</f>
        <v/>
      </c>
      <c r="D137" s="84" t="str">
        <f t="array" ref="D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Asesor'!B139, "")
</f>
        <v/>
      </c>
      <c r="E137" s="212" t="str">
        <f t="array" ref="E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Asesor'!C139, "")
</f>
        <v/>
      </c>
      <c r="F137" s="212" t="str">
        <f t="array" ref="F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Asesor'!D139, "")
</f>
        <v/>
      </c>
      <c r="G137" s="212" t="str">
        <f t="array" ref="G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Asesor'!E139, "")
</f>
        <v/>
      </c>
      <c r="H137" s="84" t="str">
        <f t="array" ref="H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Asesor'!F139, "")
</f>
        <v/>
      </c>
      <c r="I137" s="84" t="str">
        <f t="array" ref="I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Asesor'!G139, "")
</f>
        <v/>
      </c>
      <c r="J137" s="84" t="str">
        <f t="array" ref="J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Asesor'!H139, "")
</f>
        <v/>
      </c>
      <c r="K137" s="84" t="str">
        <f t="array" ref="K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Asesor'!K139, "")
</f>
        <v/>
      </c>
      <c r="L137" s="84" t="str">
        <f t="array" ref="L137">IF(OR(
    AND('BD Asesor'!H139="Mensual", MATCH($B$2, {"Enero", "Febrero", "Marzo", "Abril", "Mayo", "Junio", "Julio", "Agosto", "Septiembre", "Octubre", "Noviembre", "Diciembre"}, 0)&gt;=1),
    AND('BD Asesor'!H139="Trimestral", MOD(MATCH($B$2, {"Enero", "Febrero", "Marzo", "Abril", "Mayo", "Junio", "Julio", "Agosto", "Septiembre", "Octubre", "Noviembre"}, 0)-MONTH('BD Asesor'!D139), 3)=0),
    AND('BD Asesor'!H139="Semestral", MOD(MATCH($B$2, {"Enero", "Febrero", "Marzo", "Abril", "Mayo", "Junio", "Julio", "Agosto", "Septiembre", "Octubre", "Noviembre"}, 0)-MONTH('BD Asesor'!D139), 6)=0),
    AND('BD Asesor'!H139="Anual", MONTH('BD Asesor'!D139)=MATCH($B$2, {"Enero", "Febrero", "Marzo", "Abril", "Mayo", "Junio", "Julio", "Agosto", "Septiembre", "Octubre", "Noviembre"}, 0))
), 'BD Asesor'!L139, "")
</f>
        <v/>
      </c>
    </row>
    <row r="138">
      <c r="C138" s="84" t="str">
        <f t="array" ref="C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Asesor'!A140, "")
</f>
        <v/>
      </c>
      <c r="D138" s="84" t="str">
        <f t="array" ref="D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Asesor'!B140, "")
</f>
        <v/>
      </c>
      <c r="E138" s="212" t="str">
        <f t="array" ref="E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Asesor'!C140, "")
</f>
        <v/>
      </c>
      <c r="F138" s="212" t="str">
        <f t="array" ref="F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Asesor'!D140, "")
</f>
        <v/>
      </c>
      <c r="G138" s="212" t="str">
        <f t="array" ref="G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Asesor'!E140, "")
</f>
        <v/>
      </c>
      <c r="H138" s="84" t="str">
        <f t="array" ref="H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Asesor'!F140, "")
</f>
        <v/>
      </c>
      <c r="I138" s="84" t="str">
        <f t="array" ref="I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Asesor'!G140, "")
</f>
        <v/>
      </c>
      <c r="J138" s="84" t="str">
        <f t="array" ref="J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Asesor'!H140, "")
</f>
        <v/>
      </c>
      <c r="K138" s="84" t="str">
        <f t="array" ref="K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Asesor'!K140, "")
</f>
        <v/>
      </c>
      <c r="L138" s="84" t="str">
        <f t="array" ref="L138">IF(OR(
    AND('BD Asesor'!H140="Mensual", MATCH($B$2, {"Enero", "Febrero", "Marzo", "Abril", "Mayo", "Junio", "Julio", "Agosto", "Septiembre", "Octubre", "Noviembre", "Diciembre"}, 0)&gt;=1),
    AND('BD Asesor'!H140="Trimestral", MOD(MATCH($B$2, {"Enero", "Febrero", "Marzo", "Abril", "Mayo", "Junio", "Julio", "Agosto", "Septiembre", "Octubre", "Noviembre"}, 0)-MONTH('BD Asesor'!D140), 3)=0),
    AND('BD Asesor'!H140="Semestral", MOD(MATCH($B$2, {"Enero", "Febrero", "Marzo", "Abril", "Mayo", "Junio", "Julio", "Agosto", "Septiembre", "Octubre", "Noviembre"}, 0)-MONTH('BD Asesor'!D140), 6)=0),
    AND('BD Asesor'!H140="Anual", MONTH('BD Asesor'!D140)=MATCH($B$2, {"Enero", "Febrero", "Marzo", "Abril", "Mayo", "Junio", "Julio", "Agosto", "Septiembre", "Octubre", "Noviembre"}, 0))
), 'BD Asesor'!L140, "")
</f>
        <v/>
      </c>
    </row>
    <row r="139">
      <c r="C139" s="84" t="str">
        <f t="array" ref="C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Asesor'!A141, "")
</f>
        <v>JENNIFER DAYANA CHAVEZ GUTIERREZ</v>
      </c>
      <c r="D139" s="84" t="str">
        <f t="array" ref="D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Asesor'!B141, "")
</f>
        <v>M</v>
      </c>
      <c r="E139" s="212" t="str">
        <f t="array" ref="E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Asesor'!C141, "")
</f>
        <v>Activo</v>
      </c>
      <c r="F139" s="213">
        <f t="array" ref="F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Asesor'!D141, "")
</f>
        <v>45000</v>
      </c>
      <c r="G139" s="212" t="str">
        <f t="array" ref="G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Asesor'!E141, "")
</f>
        <v>VI0002726188</v>
      </c>
      <c r="H139" s="76">
        <f t="array" ref="H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Asesor'!F141, "")
</f>
        <v>24311.8472</v>
      </c>
      <c r="I139" s="84" t="str">
        <f t="array" ref="I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Asesor'!G141, "")
</f>
        <v>UDIS</v>
      </c>
      <c r="J139" s="84" t="str">
        <f t="array" ref="J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Asesor'!H141, "")
</f>
        <v>Anual</v>
      </c>
      <c r="K139" s="84" t="str">
        <f t="array" ref="K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Asesor'!K141, "")
</f>
        <v>TC</v>
      </c>
      <c r="L139" s="84" t="str">
        <f t="array" ref="L139">IF(OR(
    AND('BD Asesor'!H141="Mensual", MATCH($B$2, {"Enero", "Febrero", "Marzo", "Abril", "Mayo", "Junio", "Julio", "Agosto", "Septiembre", "Octubre", "Noviembre", "Diciembre"}, 0)&gt;=1),
    AND('BD Asesor'!H141="Trimestral", MOD(MATCH($B$2, {"Enero", "Febrero", "Marzo", "Abril", "Mayo", "Junio", "Julio", "Agosto", "Septiembre", "Octubre", "Noviembre"}, 0)-MONTH('BD Asesor'!D141), 3)=0),
    AND('BD Asesor'!H141="Semestral", MOD(MATCH($B$2, {"Enero", "Febrero", "Marzo", "Abril", "Mayo", "Junio", "Julio", "Agosto", "Septiembre", "Octubre", "Noviembre"}, 0)-MONTH('BD Asesor'!D141), 6)=0),
    AND('BD Asesor'!H141="Anual", MONTH('BD Asesor'!D141)=MATCH($B$2, {"Enero", "Febrero", "Marzo", "Abril", "Mayo", "Junio", "Julio", "Agosto", "Septiembre", "Octubre", "Noviembre"}, 0))
), 'BD Asesor'!L141, "")
</f>
        <v>Vida</v>
      </c>
    </row>
    <row r="140">
      <c r="C140" s="84" t="str">
        <f t="array" ref="C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Asesor'!A142, "")
</f>
        <v>MICHELLE BOY ESPINOSA</v>
      </c>
      <c r="D140" s="84" t="str">
        <f t="array" ref="D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Asesor'!B142, "")
</f>
        <v>M</v>
      </c>
      <c r="E140" s="212" t="str">
        <f t="array" ref="E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Asesor'!C142, "")
</f>
        <v>Activo</v>
      </c>
      <c r="F140" s="213">
        <f t="array" ref="F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Asesor'!D142, "")
</f>
        <v>45008</v>
      </c>
      <c r="G140" s="212" t="str">
        <f t="array" ref="G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Asesor'!E142, "")
</f>
        <v>GM0000597472</v>
      </c>
      <c r="H140" s="76">
        <f t="array" ref="H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Asesor'!F142, "")
</f>
        <v>20990.62</v>
      </c>
      <c r="I140" s="84" t="str">
        <f t="array" ref="I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Asesor'!G142, "")
</f>
        <v>MXN</v>
      </c>
      <c r="J140" s="84" t="str">
        <f t="array" ref="J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Asesor'!H142, "")
</f>
        <v>Trimestral</v>
      </c>
      <c r="K140" s="84" t="str">
        <f t="array" ref="K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Asesor'!K142, "")
</f>
        <v>TD</v>
      </c>
      <c r="L140" s="84" t="str">
        <f t="array" ref="L140">IF(OR(
    AND('BD Asesor'!H142="Mensual", MATCH($B$2, {"Enero", "Febrero", "Marzo", "Abril", "Mayo", "Junio", "Julio", "Agosto", "Septiembre", "Octubre", "Noviembre", "Diciembre"}, 0)&gt;=1),
    AND('BD Asesor'!H142="Trimestral", MOD(MATCH($B$2, {"Enero", "Febrero", "Marzo", "Abril", "Mayo", "Junio", "Julio", "Agosto", "Septiembre", "Octubre", "Noviembre"}, 0)-MONTH('BD Asesor'!D142), 3)=0),
    AND('BD Asesor'!H142="Semestral", MOD(MATCH($B$2, {"Enero", "Febrero", "Marzo", "Abril", "Mayo", "Junio", "Julio", "Agosto", "Septiembre", "Octubre", "Noviembre"}, 0)-MONTH('BD Asesor'!D142), 6)=0),
    AND('BD Asesor'!H142="Anual", MONTH('BD Asesor'!D142)=MATCH($B$2, {"Enero", "Febrero", "Marzo", "Abril", "Mayo", "Junio", "Julio", "Agosto", "Septiembre", "Octubre", "Noviembre"}, 0))
), 'BD Asesor'!L142, "")
</f>
        <v>Gastos Médicos </v>
      </c>
    </row>
    <row r="141">
      <c r="C141" s="84" t="str">
        <f t="array" ref="C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Asesor'!A143, "")
</f>
        <v/>
      </c>
      <c r="D141" s="84" t="str">
        <f t="array" ref="D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Asesor'!B143, "")
</f>
        <v/>
      </c>
      <c r="E141" s="212" t="str">
        <f t="array" ref="E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Asesor'!C143, "")
</f>
        <v/>
      </c>
      <c r="F141" s="212" t="str">
        <f t="array" ref="F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Asesor'!D143, "")
</f>
        <v/>
      </c>
      <c r="G141" s="212" t="str">
        <f t="array" ref="G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Asesor'!E143, "")
</f>
        <v/>
      </c>
      <c r="H141" s="84" t="str">
        <f t="array" ref="H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Asesor'!F143, "")
</f>
        <v/>
      </c>
      <c r="I141" s="84" t="str">
        <f t="array" ref="I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Asesor'!G143, "")
</f>
        <v/>
      </c>
      <c r="J141" s="84" t="str">
        <f t="array" ref="J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Asesor'!H143, "")
</f>
        <v/>
      </c>
      <c r="K141" s="84" t="str">
        <f t="array" ref="K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Asesor'!K143, "")
</f>
        <v/>
      </c>
      <c r="L141" s="84" t="str">
        <f t="array" ref="L141">IF(OR(
    AND('BD Asesor'!H143="Mensual", MATCH($B$2, {"Enero", "Febrero", "Marzo", "Abril", "Mayo", "Junio", "Julio", "Agosto", "Septiembre", "Octubre", "Noviembre", "Diciembre"}, 0)&gt;=1),
    AND('BD Asesor'!H143="Trimestral", MOD(MATCH($B$2, {"Enero", "Febrero", "Marzo", "Abril", "Mayo", "Junio", "Julio", "Agosto", "Septiembre", "Octubre", "Noviembre"}, 0)-MONTH('BD Asesor'!D143), 3)=0),
    AND('BD Asesor'!H143="Semestral", MOD(MATCH($B$2, {"Enero", "Febrero", "Marzo", "Abril", "Mayo", "Junio", "Julio", "Agosto", "Septiembre", "Octubre", "Noviembre"}, 0)-MONTH('BD Asesor'!D143), 6)=0),
    AND('BD Asesor'!H143="Anual", MONTH('BD Asesor'!D143)=MATCH($B$2, {"Enero", "Febrero", "Marzo", "Abril", "Mayo", "Junio", "Julio", "Agosto", "Septiembre", "Octubre", "Noviembre"}, 0))
), 'BD Asesor'!L143, "")
</f>
        <v/>
      </c>
    </row>
    <row r="142">
      <c r="C142" s="84" t="str">
        <f t="array" ref="C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Asesor'!A144, "")
</f>
        <v/>
      </c>
      <c r="D142" s="84" t="str">
        <f t="array" ref="D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Asesor'!B144, "")
</f>
        <v/>
      </c>
      <c r="E142" s="212" t="str">
        <f t="array" ref="E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Asesor'!C144, "")
</f>
        <v/>
      </c>
      <c r="F142" s="212" t="str">
        <f t="array" ref="F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Asesor'!D144, "")
</f>
        <v/>
      </c>
      <c r="G142" s="212" t="str">
        <f t="array" ref="G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Asesor'!E144, "")
</f>
        <v/>
      </c>
      <c r="H142" s="84" t="str">
        <f t="array" ref="H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Asesor'!F144, "")
</f>
        <v/>
      </c>
      <c r="I142" s="84" t="str">
        <f t="array" ref="I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Asesor'!G144, "")
</f>
        <v/>
      </c>
      <c r="J142" s="84" t="str">
        <f t="array" ref="J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Asesor'!H144, "")
</f>
        <v/>
      </c>
      <c r="K142" s="84" t="str">
        <f t="array" ref="K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Asesor'!K144, "")
</f>
        <v/>
      </c>
      <c r="L142" s="84" t="str">
        <f t="array" ref="L142">IF(OR(
    AND('BD Asesor'!H144="Mensual", MATCH($B$2, {"Enero", "Febrero", "Marzo", "Abril", "Mayo", "Junio", "Julio", "Agosto", "Septiembre", "Octubre", "Noviembre", "Diciembre"}, 0)&gt;=1),
    AND('BD Asesor'!H144="Trimestral", MOD(MATCH($B$2, {"Enero", "Febrero", "Marzo", "Abril", "Mayo", "Junio", "Julio", "Agosto", "Septiembre", "Octubre", "Noviembre"}, 0)-MONTH('BD Asesor'!D144), 3)=0),
    AND('BD Asesor'!H144="Semestral", MOD(MATCH($B$2, {"Enero", "Febrero", "Marzo", "Abril", "Mayo", "Junio", "Julio", "Agosto", "Septiembre", "Octubre", "Noviembre"}, 0)-MONTH('BD Asesor'!D144), 6)=0),
    AND('BD Asesor'!H144="Anual", MONTH('BD Asesor'!D144)=MATCH($B$2, {"Enero", "Febrero", "Marzo", "Abril", "Mayo", "Junio", "Julio", "Agosto", "Septiembre", "Octubre", "Noviembre"}, 0))
), 'BD Asesor'!L144, "")
</f>
        <v/>
      </c>
    </row>
    <row r="143">
      <c r="C143" s="84" t="str">
        <f t="array" ref="C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Asesor'!A145, "")
</f>
        <v/>
      </c>
      <c r="D143" s="84" t="str">
        <f t="array" ref="D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Asesor'!B145, "")
</f>
        <v/>
      </c>
      <c r="E143" s="212" t="str">
        <f t="array" ref="E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Asesor'!C145, "")
</f>
        <v/>
      </c>
      <c r="F143" s="212" t="str">
        <f t="array" ref="F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Asesor'!D145, "")
</f>
        <v/>
      </c>
      <c r="G143" s="212" t="str">
        <f t="array" ref="G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Asesor'!E145, "")
</f>
        <v/>
      </c>
      <c r="H143" s="84" t="str">
        <f t="array" ref="H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Asesor'!F145, "")
</f>
        <v/>
      </c>
      <c r="I143" s="84" t="str">
        <f t="array" ref="I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Asesor'!G145, "")
</f>
        <v/>
      </c>
      <c r="J143" s="84" t="str">
        <f t="array" ref="J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Asesor'!H145, "")
</f>
        <v/>
      </c>
      <c r="K143" s="84" t="str">
        <f t="array" ref="K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Asesor'!K145, "")
</f>
        <v/>
      </c>
      <c r="L143" s="84" t="str">
        <f t="array" ref="L143">IF(OR(
    AND('BD Asesor'!H145="Mensual", MATCH($B$2, {"Enero", "Febrero", "Marzo", "Abril", "Mayo", "Junio", "Julio", "Agosto", "Septiembre", "Octubre", "Noviembre", "Diciembre"}, 0)&gt;=1),
    AND('BD Asesor'!H145="Trimestral", MOD(MATCH($B$2, {"Enero", "Febrero", "Marzo", "Abril", "Mayo", "Junio", "Julio", "Agosto", "Septiembre", "Octubre", "Noviembre"}, 0)-MONTH('BD Asesor'!D145), 3)=0),
    AND('BD Asesor'!H145="Semestral", MOD(MATCH($B$2, {"Enero", "Febrero", "Marzo", "Abril", "Mayo", "Junio", "Julio", "Agosto", "Septiembre", "Octubre", "Noviembre"}, 0)-MONTH('BD Asesor'!D145), 6)=0),
    AND('BD Asesor'!H145="Anual", MONTH('BD Asesor'!D145)=MATCH($B$2, {"Enero", "Febrero", "Marzo", "Abril", "Mayo", "Junio", "Julio", "Agosto", "Septiembre", "Octubre", "Noviembre"}, 0))
), 'BD Asesor'!L145, "")
</f>
        <v/>
      </c>
    </row>
    <row r="144">
      <c r="C144" s="84" t="str">
        <f t="array" ref="C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Asesor'!A146, "")
</f>
        <v/>
      </c>
      <c r="D144" s="84" t="str">
        <f t="array" ref="D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Asesor'!B146, "")
</f>
        <v/>
      </c>
      <c r="E144" s="212" t="str">
        <f t="array" ref="E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Asesor'!C146, "")
</f>
        <v/>
      </c>
      <c r="F144" s="212" t="str">
        <f t="array" ref="F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Asesor'!D146, "")
</f>
        <v/>
      </c>
      <c r="G144" s="212" t="str">
        <f t="array" ref="G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Asesor'!E146, "")
</f>
        <v/>
      </c>
      <c r="H144" s="84" t="str">
        <f t="array" ref="H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Asesor'!F146, "")
</f>
        <v/>
      </c>
      <c r="I144" s="84" t="str">
        <f t="array" ref="I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Asesor'!G146, "")
</f>
        <v/>
      </c>
      <c r="J144" s="84" t="str">
        <f t="array" ref="J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Asesor'!H146, "")
</f>
        <v/>
      </c>
      <c r="K144" s="84" t="str">
        <f t="array" ref="K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Asesor'!K146, "")
</f>
        <v/>
      </c>
      <c r="L144" s="84" t="str">
        <f t="array" ref="L144">IF(OR(
    AND('BD Asesor'!H146="Mensual", MATCH($B$2, {"Enero", "Febrero", "Marzo", "Abril", "Mayo", "Junio", "Julio", "Agosto", "Septiembre", "Octubre", "Noviembre", "Diciembre"}, 0)&gt;=1),
    AND('BD Asesor'!H146="Trimestral", MOD(MATCH($B$2, {"Enero", "Febrero", "Marzo", "Abril", "Mayo", "Junio", "Julio", "Agosto", "Septiembre", "Octubre", "Noviembre"}, 0)-MONTH('BD Asesor'!D146), 3)=0),
    AND('BD Asesor'!H146="Semestral", MOD(MATCH($B$2, {"Enero", "Febrero", "Marzo", "Abril", "Mayo", "Junio", "Julio", "Agosto", "Septiembre", "Octubre", "Noviembre"}, 0)-MONTH('BD Asesor'!D146), 6)=0),
    AND('BD Asesor'!H146="Anual", MONTH('BD Asesor'!D146)=MATCH($B$2, {"Enero", "Febrero", "Marzo", "Abril", "Mayo", "Junio", "Julio", "Agosto", "Septiembre", "Octubre", "Noviembre"}, 0))
), 'BD Asesor'!L146, "")
</f>
        <v/>
      </c>
    </row>
    <row r="145">
      <c r="C145" s="84" t="str">
        <f t="array" ref="C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Asesor'!A147, "")
</f>
        <v/>
      </c>
      <c r="D145" s="84" t="str">
        <f t="array" ref="D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Asesor'!B147, "")
</f>
        <v/>
      </c>
      <c r="E145" s="212" t="str">
        <f t="array" ref="E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Asesor'!C147, "")
</f>
        <v/>
      </c>
      <c r="F145" s="212" t="str">
        <f t="array" ref="F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Asesor'!D147, "")
</f>
        <v/>
      </c>
      <c r="G145" s="212" t="str">
        <f t="array" ref="G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Asesor'!E147, "")
</f>
        <v/>
      </c>
      <c r="H145" s="84" t="str">
        <f t="array" ref="H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Asesor'!F147, "")
</f>
        <v/>
      </c>
      <c r="I145" s="84" t="str">
        <f t="array" ref="I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Asesor'!G147, "")
</f>
        <v/>
      </c>
      <c r="J145" s="84" t="str">
        <f t="array" ref="J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Asesor'!H147, "")
</f>
        <v/>
      </c>
      <c r="K145" s="84" t="str">
        <f t="array" ref="K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Asesor'!K147, "")
</f>
        <v/>
      </c>
      <c r="L145" s="84" t="str">
        <f t="array" ref="L145">IF(OR(
    AND('BD Asesor'!H147="Mensual", MATCH($B$2, {"Enero", "Febrero", "Marzo", "Abril", "Mayo", "Junio", "Julio", "Agosto", "Septiembre", "Octubre", "Noviembre", "Diciembre"}, 0)&gt;=1),
    AND('BD Asesor'!H147="Trimestral", MOD(MATCH($B$2, {"Enero", "Febrero", "Marzo", "Abril", "Mayo", "Junio", "Julio", "Agosto", "Septiembre", "Octubre", "Noviembre"}, 0)-MONTH('BD Asesor'!D147), 3)=0),
    AND('BD Asesor'!H147="Semestral", MOD(MATCH($B$2, {"Enero", "Febrero", "Marzo", "Abril", "Mayo", "Junio", "Julio", "Agosto", "Septiembre", "Octubre", "Noviembre"}, 0)-MONTH('BD Asesor'!D147), 6)=0),
    AND('BD Asesor'!H147="Anual", MONTH('BD Asesor'!D147)=MATCH($B$2, {"Enero", "Febrero", "Marzo", "Abril", "Mayo", "Junio", "Julio", "Agosto", "Septiembre", "Octubre", "Noviembre"}, 0))
), 'BD Asesor'!L147, "")
</f>
        <v/>
      </c>
    </row>
    <row r="146">
      <c r="C146" s="84" t="str">
        <f t="array" ref="C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Asesor'!A148, "")
</f>
        <v/>
      </c>
      <c r="D146" s="84" t="str">
        <f t="array" ref="D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Asesor'!B148, "")
</f>
        <v/>
      </c>
      <c r="E146" s="212" t="str">
        <f t="array" ref="E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Asesor'!C148, "")
</f>
        <v/>
      </c>
      <c r="F146" s="212" t="str">
        <f t="array" ref="F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Asesor'!D148, "")
</f>
        <v/>
      </c>
      <c r="G146" s="212" t="str">
        <f t="array" ref="G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Asesor'!E148, "")
</f>
        <v/>
      </c>
      <c r="H146" s="84" t="str">
        <f t="array" ref="H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Asesor'!F148, "")
</f>
        <v/>
      </c>
      <c r="I146" s="84" t="str">
        <f t="array" ref="I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Asesor'!G148, "")
</f>
        <v/>
      </c>
      <c r="J146" s="84" t="str">
        <f t="array" ref="J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Asesor'!H148, "")
</f>
        <v/>
      </c>
      <c r="K146" s="84" t="str">
        <f t="array" ref="K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Asesor'!K148, "")
</f>
        <v/>
      </c>
      <c r="L146" s="84" t="str">
        <f t="array" ref="L146">IF(OR(
    AND('BD Asesor'!H148="Mensual", MATCH($B$2, {"Enero", "Febrero", "Marzo", "Abril", "Mayo", "Junio", "Julio", "Agosto", "Septiembre", "Octubre", "Noviembre", "Diciembre"}, 0)&gt;=1),
    AND('BD Asesor'!H148="Trimestral", MOD(MATCH($B$2, {"Enero", "Febrero", "Marzo", "Abril", "Mayo", "Junio", "Julio", "Agosto", "Septiembre", "Octubre", "Noviembre"}, 0)-MONTH('BD Asesor'!D148), 3)=0),
    AND('BD Asesor'!H148="Semestral", MOD(MATCH($B$2, {"Enero", "Febrero", "Marzo", "Abril", "Mayo", "Junio", "Julio", "Agosto", "Septiembre", "Octubre", "Noviembre"}, 0)-MONTH('BD Asesor'!D148), 6)=0),
    AND('BD Asesor'!H148="Anual", MONTH('BD Asesor'!D148)=MATCH($B$2, {"Enero", "Febrero", "Marzo", "Abril", "Mayo", "Junio", "Julio", "Agosto", "Septiembre", "Octubre", "Noviembre"}, 0))
), 'BD Asesor'!L148, "")
</f>
        <v/>
      </c>
    </row>
    <row r="147">
      <c r="C147" s="84" t="str">
        <f t="array" ref="C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Asesor'!A149, "")
</f>
        <v>DIANA MONTSERRAT FLORES VERA</v>
      </c>
      <c r="D147" s="84" t="str">
        <f t="array" ref="D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Asesor'!B149, "")
</f>
        <v>M</v>
      </c>
      <c r="E147" s="212" t="str">
        <f t="array" ref="E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Asesor'!C149, "")
</f>
        <v>Activo</v>
      </c>
      <c r="F147" s="213">
        <f t="array" ref="F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Asesor'!D149, "")
</f>
        <v>45071</v>
      </c>
      <c r="G147" s="212" t="str">
        <f t="array" ref="G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Asesor'!E149, "")
</f>
        <v>VI0002740454</v>
      </c>
      <c r="H147" s="76">
        <f t="array" ref="H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Asesor'!F149, "")
</f>
        <v>16824.5304</v>
      </c>
      <c r="I147" s="84" t="str">
        <f t="array" ref="I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Asesor'!G149, "")
</f>
        <v>UDIS</v>
      </c>
      <c r="J147" s="84" t="str">
        <f t="array" ref="J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Asesor'!H149, "")
</f>
        <v>Mensual</v>
      </c>
      <c r="K147" s="84" t="str">
        <f t="array" ref="K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Asesor'!K149, "")
</f>
        <v>TD</v>
      </c>
      <c r="L147" s="84" t="str">
        <f t="array" ref="L147">IF(OR(
    AND('BD Asesor'!H149="Mensual", MATCH($B$2, {"Enero", "Febrero", "Marzo", "Abril", "Mayo", "Junio", "Julio", "Agosto", "Septiembre", "Octubre", "Noviembre", "Diciembre"}, 0)&gt;=1),
    AND('BD Asesor'!H149="Trimestral", MOD(MATCH($B$2, {"Enero", "Febrero", "Marzo", "Abril", "Mayo", "Junio", "Julio", "Agosto", "Septiembre", "Octubre", "Noviembre"}, 0)-MONTH('BD Asesor'!D149), 3)=0),
    AND('BD Asesor'!H149="Semestral", MOD(MATCH($B$2, {"Enero", "Febrero", "Marzo", "Abril", "Mayo", "Junio", "Julio", "Agosto", "Septiembre", "Octubre", "Noviembre"}, 0)-MONTH('BD Asesor'!D149), 6)=0),
    AND('BD Asesor'!H149="Anual", MONTH('BD Asesor'!D149)=MATCH($B$2, {"Enero", "Febrero", "Marzo", "Abril", "Mayo", "Junio", "Julio", "Agosto", "Septiembre", "Octubre", "Noviembre"}, 0))
), 'BD Asesor'!L149, "")
</f>
        <v>Vida</v>
      </c>
    </row>
    <row r="148">
      <c r="C148" s="84" t="str">
        <f t="array" ref="C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Asesor'!A150, "")
</f>
        <v/>
      </c>
      <c r="D148" s="84" t="str">
        <f t="array" ref="D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Asesor'!B150, "")
</f>
        <v/>
      </c>
      <c r="E148" s="212" t="str">
        <f t="array" ref="E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Asesor'!C150, "")
</f>
        <v/>
      </c>
      <c r="F148" s="212" t="str">
        <f t="array" ref="F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Asesor'!D150, "")
</f>
        <v/>
      </c>
      <c r="G148" s="212" t="str">
        <f t="array" ref="G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Asesor'!E150, "")
</f>
        <v/>
      </c>
      <c r="H148" s="84" t="str">
        <f t="array" ref="H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Asesor'!F150, "")
</f>
        <v/>
      </c>
      <c r="I148" s="84" t="str">
        <f t="array" ref="I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Asesor'!G150, "")
</f>
        <v/>
      </c>
      <c r="J148" s="84" t="str">
        <f t="array" ref="J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Asesor'!H150, "")
</f>
        <v/>
      </c>
      <c r="K148" s="84" t="str">
        <f t="array" ref="K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Asesor'!K150, "")
</f>
        <v/>
      </c>
      <c r="L148" s="84" t="str">
        <f t="array" ref="L148">IF(OR(
    AND('BD Asesor'!H150="Mensual", MATCH($B$2, {"Enero", "Febrero", "Marzo", "Abril", "Mayo", "Junio", "Julio", "Agosto", "Septiembre", "Octubre", "Noviembre", "Diciembre"}, 0)&gt;=1),
    AND('BD Asesor'!H150="Trimestral", MOD(MATCH($B$2, {"Enero", "Febrero", "Marzo", "Abril", "Mayo", "Junio", "Julio", "Agosto", "Septiembre", "Octubre", "Noviembre"}, 0)-MONTH('BD Asesor'!D150), 3)=0),
    AND('BD Asesor'!H150="Semestral", MOD(MATCH($B$2, {"Enero", "Febrero", "Marzo", "Abril", "Mayo", "Junio", "Julio", "Agosto", "Septiembre", "Octubre", "Noviembre"}, 0)-MONTH('BD Asesor'!D150), 6)=0),
    AND('BD Asesor'!H150="Anual", MONTH('BD Asesor'!D150)=MATCH($B$2, {"Enero", "Febrero", "Marzo", "Abril", "Mayo", "Junio", "Julio", "Agosto", "Septiembre", "Octubre", "Noviembre"}, 0))
), 'BD Asesor'!L150, "")
</f>
        <v/>
      </c>
    </row>
    <row r="149">
      <c r="C149" s="84" t="str">
        <f t="array" ref="C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Asesor'!A151, "")
</f>
        <v>KARLA GABRIELA GARIBAY MORAN</v>
      </c>
      <c r="D149" s="84" t="str">
        <f t="array" ref="D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Asesor'!B151, "")
</f>
        <v>M</v>
      </c>
      <c r="E149" s="212" t="str">
        <f t="array" ref="E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Asesor'!C151, "")
</f>
        <v>Activo</v>
      </c>
      <c r="F149" s="213">
        <f t="array" ref="F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Asesor'!D151, "")
</f>
        <v>45103</v>
      </c>
      <c r="G149" s="212" t="str">
        <f t="array" ref="G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Asesor'!E151, "")
</f>
        <v>VI0002747846</v>
      </c>
      <c r="H149" s="76">
        <f t="array" ref="H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Asesor'!F151, "")
</f>
        <v>20343.96</v>
      </c>
      <c r="I149" s="84" t="str">
        <f t="array" ref="I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Asesor'!G151, "")
</f>
        <v>UDIS</v>
      </c>
      <c r="J149" s="84" t="str">
        <f t="array" ref="J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Asesor'!H151, "")
</f>
        <v>Mensual</v>
      </c>
      <c r="K149" s="84" t="str">
        <f t="array" ref="K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Asesor'!K151, "")
</f>
        <v>AGENTE</v>
      </c>
      <c r="L149" s="84" t="str">
        <f t="array" ref="L149">IF(OR(
    AND('BD Asesor'!H151="Mensual", MATCH($B$2, {"Enero", "Febrero", "Marzo", "Abril", "Mayo", "Junio", "Julio", "Agosto", "Septiembre", "Octubre", "Noviembre", "Diciembre"}, 0)&gt;=1),
    AND('BD Asesor'!H151="Trimestral", MOD(MATCH($B$2, {"Enero", "Febrero", "Marzo", "Abril", "Mayo", "Junio", "Julio", "Agosto", "Septiembre", "Octubre", "Noviembre"}, 0)-MONTH('BD Asesor'!D151), 3)=0),
    AND('BD Asesor'!H151="Semestral", MOD(MATCH($B$2, {"Enero", "Febrero", "Marzo", "Abril", "Mayo", "Junio", "Julio", "Agosto", "Septiembre", "Octubre", "Noviembre"}, 0)-MONTH('BD Asesor'!D151), 6)=0),
    AND('BD Asesor'!H151="Anual", MONTH('BD Asesor'!D151)=MATCH($B$2, {"Enero", "Febrero", "Marzo", "Abril", "Mayo", "Junio", "Julio", "Agosto", "Septiembre", "Octubre", "Noviembre"}, 0))
), 'BD Asesor'!L151, "")
</f>
        <v>Vida</v>
      </c>
    </row>
    <row r="150">
      <c r="C150" s="84" t="str">
        <f t="array" ref="C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Asesor'!A152, "")
</f>
        <v/>
      </c>
      <c r="D150" s="84" t="str">
        <f t="array" ref="D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Asesor'!B152, "")
</f>
        <v/>
      </c>
      <c r="E150" s="212" t="str">
        <f t="array" ref="E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Asesor'!C152, "")
</f>
        <v/>
      </c>
      <c r="F150" s="212" t="str">
        <f t="array" ref="F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Asesor'!D152, "")
</f>
        <v/>
      </c>
      <c r="G150" s="212" t="str">
        <f t="array" ref="G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Asesor'!E152, "")
</f>
        <v/>
      </c>
      <c r="H150" s="84" t="str">
        <f t="array" ref="H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Asesor'!F152, "")
</f>
        <v/>
      </c>
      <c r="I150" s="84" t="str">
        <f t="array" ref="I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Asesor'!G152, "")
</f>
        <v/>
      </c>
      <c r="J150" s="84" t="str">
        <f t="array" ref="J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Asesor'!H152, "")
</f>
        <v/>
      </c>
      <c r="K150" s="84" t="str">
        <f t="array" ref="K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Asesor'!K152, "")
</f>
        <v/>
      </c>
      <c r="L150" s="84" t="str">
        <f t="array" ref="L150">IF(OR(
    AND('BD Asesor'!H152="Mensual", MATCH($B$2, {"Enero", "Febrero", "Marzo", "Abril", "Mayo", "Junio", "Julio", "Agosto", "Septiembre", "Octubre", "Noviembre", "Diciembre"}, 0)&gt;=1),
    AND('BD Asesor'!H152="Trimestral", MOD(MATCH($B$2, {"Enero", "Febrero", "Marzo", "Abril", "Mayo", "Junio", "Julio", "Agosto", "Septiembre", "Octubre", "Noviembre"}, 0)-MONTH('BD Asesor'!D152), 3)=0),
    AND('BD Asesor'!H152="Semestral", MOD(MATCH($B$2, {"Enero", "Febrero", "Marzo", "Abril", "Mayo", "Junio", "Julio", "Agosto", "Septiembre", "Octubre", "Noviembre"}, 0)-MONTH('BD Asesor'!D152), 6)=0),
    AND('BD Asesor'!H152="Anual", MONTH('BD Asesor'!D152)=MATCH($B$2, {"Enero", "Febrero", "Marzo", "Abril", "Mayo", "Junio", "Julio", "Agosto", "Septiembre", "Octubre", "Noviembre"}, 0))
), 'BD Asesor'!L152, "")
</f>
        <v/>
      </c>
    </row>
    <row r="151">
      <c r="C151" s="84" t="str">
        <f t="array" ref="C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Asesor'!A153, "")
</f>
        <v/>
      </c>
      <c r="D151" s="84" t="str">
        <f t="array" ref="D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Asesor'!B153, "")
</f>
        <v/>
      </c>
      <c r="E151" s="212" t="str">
        <f t="array" ref="E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Asesor'!C153, "")
</f>
        <v/>
      </c>
      <c r="F151" s="212" t="str">
        <f t="array" ref="F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Asesor'!D153, "")
</f>
        <v/>
      </c>
      <c r="G151" s="212" t="str">
        <f t="array" ref="G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Asesor'!E153, "")
</f>
        <v/>
      </c>
      <c r="H151" s="84" t="str">
        <f t="array" ref="H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Asesor'!F153, "")
</f>
        <v/>
      </c>
      <c r="I151" s="84" t="str">
        <f t="array" ref="I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Asesor'!G153, "")
</f>
        <v/>
      </c>
      <c r="J151" s="84" t="str">
        <f t="array" ref="J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Asesor'!H153, "")
</f>
        <v/>
      </c>
      <c r="K151" s="84" t="str">
        <f t="array" ref="K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Asesor'!K153, "")
</f>
        <v/>
      </c>
      <c r="L151" s="84" t="str">
        <f t="array" ref="L151">IF(OR(
    AND('BD Asesor'!H153="Mensual", MATCH($B$2, {"Enero", "Febrero", "Marzo", "Abril", "Mayo", "Junio", "Julio", "Agosto", "Septiembre", "Octubre", "Noviembre", "Diciembre"}, 0)&gt;=1),
    AND('BD Asesor'!H153="Trimestral", MOD(MATCH($B$2, {"Enero", "Febrero", "Marzo", "Abril", "Mayo", "Junio", "Julio", "Agosto", "Septiembre", "Octubre", "Noviembre"}, 0)-MONTH('BD Asesor'!D153), 3)=0),
    AND('BD Asesor'!H153="Semestral", MOD(MATCH($B$2, {"Enero", "Febrero", "Marzo", "Abril", "Mayo", "Junio", "Julio", "Agosto", "Septiembre", "Octubre", "Noviembre"}, 0)-MONTH('BD Asesor'!D153), 6)=0),
    AND('BD Asesor'!H153="Anual", MONTH('BD Asesor'!D153)=MATCH($B$2, {"Enero", "Febrero", "Marzo", "Abril", "Mayo", "Junio", "Julio", "Agosto", "Septiembre", "Octubre", "Noviembre"}, 0))
), 'BD Asesor'!L153, "")
</f>
        <v/>
      </c>
    </row>
    <row r="152">
      <c r="C152" s="84" t="str">
        <f t="array" ref="C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Asesor'!A154, "")
</f>
        <v/>
      </c>
      <c r="D152" s="84" t="str">
        <f t="array" ref="D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Asesor'!B154, "")
</f>
        <v/>
      </c>
      <c r="E152" s="212" t="str">
        <f t="array" ref="E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Asesor'!C154, "")
</f>
        <v/>
      </c>
      <c r="F152" s="212" t="str">
        <f t="array" ref="F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Asesor'!D154, "")
</f>
        <v/>
      </c>
      <c r="G152" s="212" t="str">
        <f t="array" ref="G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Asesor'!E154, "")
</f>
        <v/>
      </c>
      <c r="H152" s="84" t="str">
        <f t="array" ref="H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Asesor'!F154, "")
</f>
        <v/>
      </c>
      <c r="I152" s="84" t="str">
        <f t="array" ref="I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Asesor'!G154, "")
</f>
        <v/>
      </c>
      <c r="J152" s="84" t="str">
        <f t="array" ref="J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Asesor'!H154, "")
</f>
        <v/>
      </c>
      <c r="K152" s="84" t="str">
        <f t="array" ref="K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Asesor'!K154, "")
</f>
        <v/>
      </c>
      <c r="L152" s="84" t="str">
        <f t="array" ref="L152">IF(OR(
    AND('BD Asesor'!H154="Mensual", MATCH($B$2, {"Enero", "Febrero", "Marzo", "Abril", "Mayo", "Junio", "Julio", "Agosto", "Septiembre", "Octubre", "Noviembre", "Diciembre"}, 0)&gt;=1),
    AND('BD Asesor'!H154="Trimestral", MOD(MATCH($B$2, {"Enero", "Febrero", "Marzo", "Abril", "Mayo", "Junio", "Julio", "Agosto", "Septiembre", "Octubre", "Noviembre"}, 0)-MONTH('BD Asesor'!D154), 3)=0),
    AND('BD Asesor'!H154="Semestral", MOD(MATCH($B$2, {"Enero", "Febrero", "Marzo", "Abril", "Mayo", "Junio", "Julio", "Agosto", "Septiembre", "Octubre", "Noviembre"}, 0)-MONTH('BD Asesor'!D154), 6)=0),
    AND('BD Asesor'!H154="Anual", MONTH('BD Asesor'!D154)=MATCH($B$2, {"Enero", "Febrero", "Marzo", "Abril", "Mayo", "Junio", "Julio", "Agosto", "Septiembre", "Octubre", "Noviembre"}, 0))
), 'BD Asesor'!L154, "")
</f>
        <v/>
      </c>
    </row>
    <row r="153">
      <c r="C153" s="84" t="str">
        <f t="array" ref="C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Asesor'!A155, "")
</f>
        <v/>
      </c>
      <c r="D153" s="84" t="str">
        <f t="array" ref="D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Asesor'!B155, "")
</f>
        <v/>
      </c>
      <c r="E153" s="212" t="str">
        <f t="array" ref="E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Asesor'!C155, "")
</f>
        <v/>
      </c>
      <c r="F153" s="212" t="str">
        <f t="array" ref="F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Asesor'!D155, "")
</f>
        <v/>
      </c>
      <c r="G153" s="212" t="str">
        <f t="array" ref="G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Asesor'!E155, "")
</f>
        <v/>
      </c>
      <c r="H153" s="84" t="str">
        <f t="array" ref="H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Asesor'!F155, "")
</f>
        <v/>
      </c>
      <c r="I153" s="84" t="str">
        <f t="array" ref="I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Asesor'!G155, "")
</f>
        <v/>
      </c>
      <c r="J153" s="84" t="str">
        <f t="array" ref="J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Asesor'!H155, "")
</f>
        <v/>
      </c>
      <c r="K153" s="84" t="str">
        <f t="array" ref="K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Asesor'!K155, "")
</f>
        <v/>
      </c>
      <c r="L153" s="84" t="str">
        <f t="array" ref="L153">IF(OR(
    AND('BD Asesor'!H155="Mensual", MATCH($B$2, {"Enero", "Febrero", "Marzo", "Abril", "Mayo", "Junio", "Julio", "Agosto", "Septiembre", "Octubre", "Noviembre", "Diciembre"}, 0)&gt;=1),
    AND('BD Asesor'!H155="Trimestral", MOD(MATCH($B$2, {"Enero", "Febrero", "Marzo", "Abril", "Mayo", "Junio", "Julio", "Agosto", "Septiembre", "Octubre", "Noviembre"}, 0)-MONTH('BD Asesor'!D155), 3)=0),
    AND('BD Asesor'!H155="Semestral", MOD(MATCH($B$2, {"Enero", "Febrero", "Marzo", "Abril", "Mayo", "Junio", "Julio", "Agosto", "Septiembre", "Octubre", "Noviembre"}, 0)-MONTH('BD Asesor'!D155), 6)=0),
    AND('BD Asesor'!H155="Anual", MONTH('BD Asesor'!D155)=MATCH($B$2, {"Enero", "Febrero", "Marzo", "Abril", "Mayo", "Junio", "Julio", "Agosto", "Septiembre", "Octubre", "Noviembre"}, 0))
), 'BD Asesor'!L155, "")
</f>
        <v/>
      </c>
    </row>
    <row r="154">
      <c r="C154" s="84" t="str">
        <f t="array" ref="C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Asesor'!A156, "")
</f>
        <v/>
      </c>
      <c r="D154" s="84" t="str">
        <f t="array" ref="D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Asesor'!B156, "")
</f>
        <v/>
      </c>
      <c r="E154" s="212" t="str">
        <f t="array" ref="E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Asesor'!C156, "")
</f>
        <v/>
      </c>
      <c r="F154" s="212" t="str">
        <f t="array" ref="F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Asesor'!D156, "")
</f>
        <v/>
      </c>
      <c r="G154" s="212" t="str">
        <f t="array" ref="G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Asesor'!E156, "")
</f>
        <v/>
      </c>
      <c r="H154" s="84" t="str">
        <f t="array" ref="H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Asesor'!F156, "")
</f>
        <v/>
      </c>
      <c r="I154" s="84" t="str">
        <f t="array" ref="I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Asesor'!G156, "")
</f>
        <v/>
      </c>
      <c r="J154" s="84" t="str">
        <f t="array" ref="J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Asesor'!H156, "")
</f>
        <v/>
      </c>
      <c r="K154" s="84" t="str">
        <f t="array" ref="K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Asesor'!K156, "")
</f>
        <v/>
      </c>
      <c r="L154" s="84" t="str">
        <f t="array" ref="L154">IF(OR(
    AND('BD Asesor'!H156="Mensual", MATCH($B$2, {"Enero", "Febrero", "Marzo", "Abril", "Mayo", "Junio", "Julio", "Agosto", "Septiembre", "Octubre", "Noviembre", "Diciembre"}, 0)&gt;=1),
    AND('BD Asesor'!H156="Trimestral", MOD(MATCH($B$2, {"Enero", "Febrero", "Marzo", "Abril", "Mayo", "Junio", "Julio", "Agosto", "Septiembre", "Octubre", "Noviembre"}, 0)-MONTH('BD Asesor'!D156), 3)=0),
    AND('BD Asesor'!H156="Semestral", MOD(MATCH($B$2, {"Enero", "Febrero", "Marzo", "Abril", "Mayo", "Junio", "Julio", "Agosto", "Septiembre", "Octubre", "Noviembre"}, 0)-MONTH('BD Asesor'!D156), 6)=0),
    AND('BD Asesor'!H156="Anual", MONTH('BD Asesor'!D156)=MATCH($B$2, {"Enero", "Febrero", "Marzo", "Abril", "Mayo", "Junio", "Julio", "Agosto", "Septiembre", "Octubre", "Noviembre"}, 0))
), 'BD Asesor'!L156, "")
</f>
        <v/>
      </c>
    </row>
    <row r="155">
      <c r="C155" s="84" t="str">
        <f t="array" ref="C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Asesor'!A157, "")
</f>
        <v/>
      </c>
      <c r="D155" s="84" t="str">
        <f t="array" ref="D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Asesor'!B157, "")
</f>
        <v/>
      </c>
      <c r="E155" s="212" t="str">
        <f t="array" ref="E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Asesor'!C157, "")
</f>
        <v/>
      </c>
      <c r="F155" s="212" t="str">
        <f t="array" ref="F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Asesor'!D157, "")
</f>
        <v/>
      </c>
      <c r="G155" s="212" t="str">
        <f t="array" ref="G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Asesor'!E157, "")
</f>
        <v/>
      </c>
      <c r="H155" s="84" t="str">
        <f t="array" ref="H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Asesor'!F157, "")
</f>
        <v/>
      </c>
      <c r="I155" s="84" t="str">
        <f t="array" ref="I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Asesor'!G157, "")
</f>
        <v/>
      </c>
      <c r="J155" s="84" t="str">
        <f t="array" ref="J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Asesor'!H157, "")
</f>
        <v/>
      </c>
      <c r="K155" s="84" t="str">
        <f t="array" ref="K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Asesor'!K157, "")
</f>
        <v/>
      </c>
      <c r="L155" s="84" t="str">
        <f t="array" ref="L155">IF(OR(
    AND('BD Asesor'!H157="Mensual", MATCH($B$2, {"Enero", "Febrero", "Marzo", "Abril", "Mayo", "Junio", "Julio", "Agosto", "Septiembre", "Octubre", "Noviembre", "Diciembre"}, 0)&gt;=1),
    AND('BD Asesor'!H157="Trimestral", MOD(MATCH($B$2, {"Enero", "Febrero", "Marzo", "Abril", "Mayo", "Junio", "Julio", "Agosto", "Septiembre", "Octubre", "Noviembre"}, 0)-MONTH('BD Asesor'!D157), 3)=0),
    AND('BD Asesor'!H157="Semestral", MOD(MATCH($B$2, {"Enero", "Febrero", "Marzo", "Abril", "Mayo", "Junio", "Julio", "Agosto", "Septiembre", "Octubre", "Noviembre"}, 0)-MONTH('BD Asesor'!D157), 6)=0),
    AND('BD Asesor'!H157="Anual", MONTH('BD Asesor'!D157)=MATCH($B$2, {"Enero", "Febrero", "Marzo", "Abril", "Mayo", "Junio", "Julio", "Agosto", "Septiembre", "Octubre", "Noviembre"}, 0))
), 'BD Asesor'!L157, "")
</f>
        <v/>
      </c>
    </row>
    <row r="156">
      <c r="C156" s="84" t="str">
        <f t="array" ref="C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Asesor'!A158, "")
</f>
        <v/>
      </c>
      <c r="D156" s="84" t="str">
        <f t="array" ref="D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Asesor'!B158, "")
</f>
        <v/>
      </c>
      <c r="E156" s="212" t="str">
        <f t="array" ref="E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Asesor'!C158, "")
</f>
        <v/>
      </c>
      <c r="F156" s="212" t="str">
        <f t="array" ref="F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Asesor'!D158, "")
</f>
        <v/>
      </c>
      <c r="G156" s="212" t="str">
        <f t="array" ref="G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Asesor'!E158, "")
</f>
        <v/>
      </c>
      <c r="H156" s="84" t="str">
        <f t="array" ref="H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Asesor'!F158, "")
</f>
        <v/>
      </c>
      <c r="I156" s="84" t="str">
        <f t="array" ref="I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Asesor'!G158, "")
</f>
        <v/>
      </c>
      <c r="J156" s="84" t="str">
        <f t="array" ref="J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Asesor'!H158, "")
</f>
        <v/>
      </c>
      <c r="K156" s="84" t="str">
        <f t="array" ref="K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Asesor'!K158, "")
</f>
        <v/>
      </c>
      <c r="L156" s="84" t="str">
        <f t="array" ref="L156">IF(OR(
    AND('BD Asesor'!H158="Mensual", MATCH($B$2, {"Enero", "Febrero", "Marzo", "Abril", "Mayo", "Junio", "Julio", "Agosto", "Septiembre", "Octubre", "Noviembre", "Diciembre"}, 0)&gt;=1),
    AND('BD Asesor'!H158="Trimestral", MOD(MATCH($B$2, {"Enero", "Febrero", "Marzo", "Abril", "Mayo", "Junio", "Julio", "Agosto", "Septiembre", "Octubre", "Noviembre"}, 0)-MONTH('BD Asesor'!D158), 3)=0),
    AND('BD Asesor'!H158="Semestral", MOD(MATCH($B$2, {"Enero", "Febrero", "Marzo", "Abril", "Mayo", "Junio", "Julio", "Agosto", "Septiembre", "Octubre", "Noviembre"}, 0)-MONTH('BD Asesor'!D158), 6)=0),
    AND('BD Asesor'!H158="Anual", MONTH('BD Asesor'!D158)=MATCH($B$2, {"Enero", "Febrero", "Marzo", "Abril", "Mayo", "Junio", "Julio", "Agosto", "Septiembre", "Octubre", "Noviembre"}, 0))
), 'BD Asesor'!L158, "")
</f>
        <v/>
      </c>
    </row>
    <row r="157">
      <c r="C157" s="84" t="str">
        <f t="array" ref="C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Asesor'!A159, "")
</f>
        <v/>
      </c>
      <c r="D157" s="84" t="str">
        <f t="array" ref="D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Asesor'!B159, "")
</f>
        <v/>
      </c>
      <c r="E157" s="212" t="str">
        <f t="array" ref="E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Asesor'!C159, "")
</f>
        <v/>
      </c>
      <c r="F157" s="212" t="str">
        <f t="array" ref="F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Asesor'!D159, "")
</f>
        <v/>
      </c>
      <c r="G157" s="212" t="str">
        <f t="array" ref="G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Asesor'!E159, "")
</f>
        <v/>
      </c>
      <c r="H157" s="84" t="str">
        <f t="array" ref="H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Asesor'!F159, "")
</f>
        <v/>
      </c>
      <c r="I157" s="84" t="str">
        <f t="array" ref="I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Asesor'!G159, "")
</f>
        <v/>
      </c>
      <c r="J157" s="84" t="str">
        <f t="array" ref="J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Asesor'!H159, "")
</f>
        <v/>
      </c>
      <c r="K157" s="84" t="str">
        <f t="array" ref="K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Asesor'!K159, "")
</f>
        <v/>
      </c>
      <c r="L157" s="84" t="str">
        <f t="array" ref="L157">IF(OR(
    AND('BD Asesor'!H159="Mensual", MATCH($B$2, {"Enero", "Febrero", "Marzo", "Abril", "Mayo", "Junio", "Julio", "Agosto", "Septiembre", "Octubre", "Noviembre", "Diciembre"}, 0)&gt;=1),
    AND('BD Asesor'!H159="Trimestral", MOD(MATCH($B$2, {"Enero", "Febrero", "Marzo", "Abril", "Mayo", "Junio", "Julio", "Agosto", "Septiembre", "Octubre", "Noviembre"}, 0)-MONTH('BD Asesor'!D159), 3)=0),
    AND('BD Asesor'!H159="Semestral", MOD(MATCH($B$2, {"Enero", "Febrero", "Marzo", "Abril", "Mayo", "Junio", "Julio", "Agosto", "Septiembre", "Octubre", "Noviembre"}, 0)-MONTH('BD Asesor'!D159), 6)=0),
    AND('BD Asesor'!H159="Anual", MONTH('BD Asesor'!D159)=MATCH($B$2, {"Enero", "Febrero", "Marzo", "Abril", "Mayo", "Junio", "Julio", "Agosto", "Septiembre", "Octubre", "Noviembre"}, 0))
), 'BD Asesor'!L159, "")
</f>
        <v/>
      </c>
    </row>
    <row r="158">
      <c r="C158" s="84" t="str">
        <f t="array" ref="C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Asesor'!A160, "")
</f>
        <v/>
      </c>
      <c r="D158" s="84" t="str">
        <f t="array" ref="D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Asesor'!B160, "")
</f>
        <v/>
      </c>
      <c r="E158" s="212" t="str">
        <f t="array" ref="E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Asesor'!C160, "")
</f>
        <v/>
      </c>
      <c r="F158" s="212" t="str">
        <f t="array" ref="F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Asesor'!D160, "")
</f>
        <v/>
      </c>
      <c r="G158" s="212" t="str">
        <f t="array" ref="G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Asesor'!E160, "")
</f>
        <v/>
      </c>
      <c r="H158" s="84" t="str">
        <f t="array" ref="H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Asesor'!F160, "")
</f>
        <v/>
      </c>
      <c r="I158" s="84" t="str">
        <f t="array" ref="I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Asesor'!G160, "")
</f>
        <v/>
      </c>
      <c r="J158" s="84" t="str">
        <f t="array" ref="J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Asesor'!H160, "")
</f>
        <v/>
      </c>
      <c r="K158" s="84" t="str">
        <f t="array" ref="K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Asesor'!K160, "")
</f>
        <v/>
      </c>
      <c r="L158" s="84" t="str">
        <f t="array" ref="L158">IF(OR(
    AND('BD Asesor'!H160="Mensual", MATCH($B$2, {"Enero", "Febrero", "Marzo", "Abril", "Mayo", "Junio", "Julio", "Agosto", "Septiembre", "Octubre", "Noviembre", "Diciembre"}, 0)&gt;=1),
    AND('BD Asesor'!H160="Trimestral", MOD(MATCH($B$2, {"Enero", "Febrero", "Marzo", "Abril", "Mayo", "Junio", "Julio", "Agosto", "Septiembre", "Octubre", "Noviembre"}, 0)-MONTH('BD Asesor'!D160), 3)=0),
    AND('BD Asesor'!H160="Semestral", MOD(MATCH($B$2, {"Enero", "Febrero", "Marzo", "Abril", "Mayo", "Junio", "Julio", "Agosto", "Septiembre", "Octubre", "Noviembre"}, 0)-MONTH('BD Asesor'!D160), 6)=0),
    AND('BD Asesor'!H160="Anual", MONTH('BD Asesor'!D160)=MATCH($B$2, {"Enero", "Febrero", "Marzo", "Abril", "Mayo", "Junio", "Julio", "Agosto", "Septiembre", "Octubre", "Noviembre"}, 0))
), 'BD Asesor'!L160, "")
</f>
        <v/>
      </c>
    </row>
    <row r="159">
      <c r="C159" s="84" t="str">
        <f t="array" ref="C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Asesor'!A161, "")
</f>
        <v/>
      </c>
      <c r="D159" s="84" t="str">
        <f t="array" ref="D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Asesor'!B161, "")
</f>
        <v/>
      </c>
      <c r="E159" s="212" t="str">
        <f t="array" ref="E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Asesor'!C161, "")
</f>
        <v/>
      </c>
      <c r="F159" s="212" t="str">
        <f t="array" ref="F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Asesor'!D161, "")
</f>
        <v/>
      </c>
      <c r="G159" s="212" t="str">
        <f t="array" ref="G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Asesor'!E161, "")
</f>
        <v/>
      </c>
      <c r="H159" s="84" t="str">
        <f t="array" ref="H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Asesor'!F161, "")
</f>
        <v/>
      </c>
      <c r="I159" s="84" t="str">
        <f t="array" ref="I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Asesor'!G161, "")
</f>
        <v/>
      </c>
      <c r="J159" s="84" t="str">
        <f t="array" ref="J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Asesor'!H161, "")
</f>
        <v/>
      </c>
      <c r="K159" s="84" t="str">
        <f t="array" ref="K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Asesor'!K161, "")
</f>
        <v/>
      </c>
      <c r="L159" s="84" t="str">
        <f t="array" ref="L159">IF(OR(
    AND('BD Asesor'!H161="Mensual", MATCH($B$2, {"Enero", "Febrero", "Marzo", "Abril", "Mayo", "Junio", "Julio", "Agosto", "Septiembre", "Octubre", "Noviembre", "Diciembre"}, 0)&gt;=1),
    AND('BD Asesor'!H161="Trimestral", MOD(MATCH($B$2, {"Enero", "Febrero", "Marzo", "Abril", "Mayo", "Junio", "Julio", "Agosto", "Septiembre", "Octubre", "Noviembre"}, 0)-MONTH('BD Asesor'!D161), 3)=0),
    AND('BD Asesor'!H161="Semestral", MOD(MATCH($B$2, {"Enero", "Febrero", "Marzo", "Abril", "Mayo", "Junio", "Julio", "Agosto", "Septiembre", "Octubre", "Noviembre"}, 0)-MONTH('BD Asesor'!D161), 6)=0),
    AND('BD Asesor'!H161="Anual", MONTH('BD Asesor'!D161)=MATCH($B$2, {"Enero", "Febrero", "Marzo", "Abril", "Mayo", "Junio", "Julio", "Agosto", "Septiembre", "Octubre", "Noviembre"}, 0))
), 'BD Asesor'!L161, "")
</f>
        <v/>
      </c>
    </row>
    <row r="160">
      <c r="C160" s="84" t="str">
        <f t="array" ref="C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Asesor'!A162, "")
</f>
        <v/>
      </c>
      <c r="D160" s="84" t="str">
        <f t="array" ref="D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Asesor'!B162, "")
</f>
        <v/>
      </c>
      <c r="E160" s="212" t="str">
        <f t="array" ref="E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Asesor'!C162, "")
</f>
        <v/>
      </c>
      <c r="F160" s="212" t="str">
        <f t="array" ref="F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Asesor'!D162, "")
</f>
        <v/>
      </c>
      <c r="G160" s="212" t="str">
        <f t="array" ref="G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Asesor'!E162, "")
</f>
        <v/>
      </c>
      <c r="H160" s="84" t="str">
        <f t="array" ref="H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Asesor'!F162, "")
</f>
        <v/>
      </c>
      <c r="I160" s="84" t="str">
        <f t="array" ref="I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Asesor'!G162, "")
</f>
        <v/>
      </c>
      <c r="J160" s="84" t="str">
        <f t="array" ref="J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Asesor'!H162, "")
</f>
        <v/>
      </c>
      <c r="K160" s="84" t="str">
        <f t="array" ref="K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Asesor'!K162, "")
</f>
        <v/>
      </c>
      <c r="L160" s="84" t="str">
        <f t="array" ref="L160">IF(OR(
    AND('BD Asesor'!H162="Mensual", MATCH($B$2, {"Enero", "Febrero", "Marzo", "Abril", "Mayo", "Junio", "Julio", "Agosto", "Septiembre", "Octubre", "Noviembre", "Diciembre"}, 0)&gt;=1),
    AND('BD Asesor'!H162="Trimestral", MOD(MATCH($B$2, {"Enero", "Febrero", "Marzo", "Abril", "Mayo", "Junio", "Julio", "Agosto", "Septiembre", "Octubre", "Noviembre"}, 0)-MONTH('BD Asesor'!D162), 3)=0),
    AND('BD Asesor'!H162="Semestral", MOD(MATCH($B$2, {"Enero", "Febrero", "Marzo", "Abril", "Mayo", "Junio", "Julio", "Agosto", "Septiembre", "Octubre", "Noviembre"}, 0)-MONTH('BD Asesor'!D162), 6)=0),
    AND('BD Asesor'!H162="Anual", MONTH('BD Asesor'!D162)=MATCH($B$2, {"Enero", "Febrero", "Marzo", "Abril", "Mayo", "Junio", "Julio", "Agosto", "Septiembre", "Octubre", "Noviembre"}, 0))
), 'BD Asesor'!L162, "")
</f>
        <v/>
      </c>
    </row>
    <row r="161">
      <c r="C161" s="84" t="str">
        <f t="array" ref="C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Asesor'!A163, "")
</f>
        <v/>
      </c>
      <c r="D161" s="84" t="str">
        <f t="array" ref="D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Asesor'!B163, "")
</f>
        <v/>
      </c>
      <c r="E161" s="212" t="str">
        <f t="array" ref="E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Asesor'!C163, "")
</f>
        <v/>
      </c>
      <c r="F161" s="212" t="str">
        <f t="array" ref="F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Asesor'!D163, "")
</f>
        <v/>
      </c>
      <c r="G161" s="212" t="str">
        <f t="array" ref="G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Asesor'!E163, "")
</f>
        <v/>
      </c>
      <c r="H161" s="84" t="str">
        <f t="array" ref="H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Asesor'!F163, "")
</f>
        <v/>
      </c>
      <c r="I161" s="84" t="str">
        <f t="array" ref="I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Asesor'!G163, "")
</f>
        <v/>
      </c>
      <c r="J161" s="84" t="str">
        <f t="array" ref="J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Asesor'!H163, "")
</f>
        <v/>
      </c>
      <c r="K161" s="84" t="str">
        <f t="array" ref="K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Asesor'!K163, "")
</f>
        <v/>
      </c>
      <c r="L161" s="84" t="str">
        <f t="array" ref="L161">IF(OR(
    AND('BD Asesor'!H163="Mensual", MATCH($B$2, {"Enero", "Febrero", "Marzo", "Abril", "Mayo", "Junio", "Julio", "Agosto", "Septiembre", "Octubre", "Noviembre", "Diciembre"}, 0)&gt;=1),
    AND('BD Asesor'!H163="Trimestral", MOD(MATCH($B$2, {"Enero", "Febrero", "Marzo", "Abril", "Mayo", "Junio", "Julio", "Agosto", "Septiembre", "Octubre", "Noviembre"}, 0)-MONTH('BD Asesor'!D163), 3)=0),
    AND('BD Asesor'!H163="Semestral", MOD(MATCH($B$2, {"Enero", "Febrero", "Marzo", "Abril", "Mayo", "Junio", "Julio", "Agosto", "Septiembre", "Octubre", "Noviembre"}, 0)-MONTH('BD Asesor'!D163), 6)=0),
    AND('BD Asesor'!H163="Anual", MONTH('BD Asesor'!D163)=MATCH($B$2, {"Enero", "Febrero", "Marzo", "Abril", "Mayo", "Junio", "Julio", "Agosto", "Septiembre", "Octubre", "Noviembre"}, 0))
), 'BD Asesor'!L163, "")
</f>
        <v/>
      </c>
    </row>
    <row r="162">
      <c r="C162" s="84" t="str">
        <f t="array" ref="C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Asesor'!A164, "")
</f>
        <v/>
      </c>
      <c r="D162" s="84" t="str">
        <f t="array" ref="D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Asesor'!B164, "")
</f>
        <v/>
      </c>
      <c r="E162" s="212" t="str">
        <f t="array" ref="E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Asesor'!C164, "")
</f>
        <v/>
      </c>
      <c r="F162" s="212" t="str">
        <f t="array" ref="F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Asesor'!D164, "")
</f>
        <v/>
      </c>
      <c r="G162" s="212" t="str">
        <f t="array" ref="G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Asesor'!E164, "")
</f>
        <v/>
      </c>
      <c r="H162" s="84" t="str">
        <f t="array" ref="H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Asesor'!F164, "")
</f>
        <v/>
      </c>
      <c r="I162" s="84" t="str">
        <f t="array" ref="I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Asesor'!G164, "")
</f>
        <v/>
      </c>
      <c r="J162" s="84" t="str">
        <f t="array" ref="J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Asesor'!H164, "")
</f>
        <v/>
      </c>
      <c r="K162" s="84" t="str">
        <f t="array" ref="K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Asesor'!K164, "")
</f>
        <v/>
      </c>
      <c r="L162" s="84" t="str">
        <f t="array" ref="L162">IF(OR(
    AND('BD Asesor'!H164="Mensual", MATCH($B$2, {"Enero", "Febrero", "Marzo", "Abril", "Mayo", "Junio", "Julio", "Agosto", "Septiembre", "Octubre", "Noviembre", "Diciembre"}, 0)&gt;=1),
    AND('BD Asesor'!H164="Trimestral", MOD(MATCH($B$2, {"Enero", "Febrero", "Marzo", "Abril", "Mayo", "Junio", "Julio", "Agosto", "Septiembre", "Octubre", "Noviembre"}, 0)-MONTH('BD Asesor'!D164), 3)=0),
    AND('BD Asesor'!H164="Semestral", MOD(MATCH($B$2, {"Enero", "Febrero", "Marzo", "Abril", "Mayo", "Junio", "Julio", "Agosto", "Septiembre", "Octubre", "Noviembre"}, 0)-MONTH('BD Asesor'!D164), 6)=0),
    AND('BD Asesor'!H164="Anual", MONTH('BD Asesor'!D164)=MATCH($B$2, {"Enero", "Febrero", "Marzo", "Abril", "Mayo", "Junio", "Julio", "Agosto", "Septiembre", "Octubre", "Noviembre"}, 0))
), 'BD Asesor'!L164, "")
</f>
        <v/>
      </c>
    </row>
    <row r="163">
      <c r="C163" s="84" t="str">
        <f t="array" ref="C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Asesor'!A165, "")
</f>
        <v/>
      </c>
      <c r="D163" s="84" t="str">
        <f t="array" ref="D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Asesor'!B165, "")
</f>
        <v/>
      </c>
      <c r="E163" s="212" t="str">
        <f t="array" ref="E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Asesor'!C165, "")
</f>
        <v/>
      </c>
      <c r="F163" s="212" t="str">
        <f t="array" ref="F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Asesor'!D165, "")
</f>
        <v/>
      </c>
      <c r="G163" s="212" t="str">
        <f t="array" ref="G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Asesor'!E165, "")
</f>
        <v/>
      </c>
      <c r="H163" s="84" t="str">
        <f t="array" ref="H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Asesor'!F165, "")
</f>
        <v/>
      </c>
      <c r="I163" s="84" t="str">
        <f t="array" ref="I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Asesor'!G165, "")
</f>
        <v/>
      </c>
      <c r="J163" s="84" t="str">
        <f t="array" ref="J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Asesor'!H165, "")
</f>
        <v/>
      </c>
      <c r="K163" s="84" t="str">
        <f t="array" ref="K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Asesor'!K165, "")
</f>
        <v/>
      </c>
      <c r="L163" s="84" t="str">
        <f t="array" ref="L163">IF(OR(
    AND('BD Asesor'!H165="Mensual", MATCH($B$2, {"Enero", "Febrero", "Marzo", "Abril", "Mayo", "Junio", "Julio", "Agosto", "Septiembre", "Octubre", "Noviembre", "Diciembre"}, 0)&gt;=1),
    AND('BD Asesor'!H165="Trimestral", MOD(MATCH($B$2, {"Enero", "Febrero", "Marzo", "Abril", "Mayo", "Junio", "Julio", "Agosto", "Septiembre", "Octubre", "Noviembre"}, 0)-MONTH('BD Asesor'!D165), 3)=0),
    AND('BD Asesor'!H165="Semestral", MOD(MATCH($B$2, {"Enero", "Febrero", "Marzo", "Abril", "Mayo", "Junio", "Julio", "Agosto", "Septiembre", "Octubre", "Noviembre"}, 0)-MONTH('BD Asesor'!D165), 6)=0),
    AND('BD Asesor'!H165="Anual", MONTH('BD Asesor'!D165)=MATCH($B$2, {"Enero", "Febrero", "Marzo", "Abril", "Mayo", "Junio", "Julio", "Agosto", "Septiembre", "Octubre", "Noviembre"}, 0))
), 'BD Asesor'!L165, "")
</f>
        <v/>
      </c>
    </row>
    <row r="164">
      <c r="C164" s="84" t="str">
        <f t="array" ref="C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Asesor'!A166, "")
</f>
        <v/>
      </c>
      <c r="D164" s="84" t="str">
        <f t="array" ref="D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Asesor'!B166, "")
</f>
        <v/>
      </c>
      <c r="E164" s="212" t="str">
        <f t="array" ref="E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Asesor'!C166, "")
</f>
        <v/>
      </c>
      <c r="F164" s="212" t="str">
        <f t="array" ref="F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Asesor'!D166, "")
</f>
        <v/>
      </c>
      <c r="G164" s="212" t="str">
        <f t="array" ref="G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Asesor'!E166, "")
</f>
        <v/>
      </c>
      <c r="H164" s="84" t="str">
        <f t="array" ref="H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Asesor'!F166, "")
</f>
        <v/>
      </c>
      <c r="I164" s="84" t="str">
        <f t="array" ref="I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Asesor'!G166, "")
</f>
        <v/>
      </c>
      <c r="J164" s="84" t="str">
        <f t="array" ref="J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Asesor'!H166, "")
</f>
        <v/>
      </c>
      <c r="K164" s="84" t="str">
        <f t="array" ref="K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Asesor'!K166, "")
</f>
        <v/>
      </c>
      <c r="L164" s="84" t="str">
        <f t="array" ref="L164">IF(OR(
    AND('BD Asesor'!H166="Mensual", MATCH($B$2, {"Enero", "Febrero", "Marzo", "Abril", "Mayo", "Junio", "Julio", "Agosto", "Septiembre", "Octubre", "Noviembre", "Diciembre"}, 0)&gt;=1),
    AND('BD Asesor'!H166="Trimestral", MOD(MATCH($B$2, {"Enero", "Febrero", "Marzo", "Abril", "Mayo", "Junio", "Julio", "Agosto", "Septiembre", "Octubre", "Noviembre"}, 0)-MONTH('BD Asesor'!D166), 3)=0),
    AND('BD Asesor'!H166="Semestral", MOD(MATCH($B$2, {"Enero", "Febrero", "Marzo", "Abril", "Mayo", "Junio", "Julio", "Agosto", "Septiembre", "Octubre", "Noviembre"}, 0)-MONTH('BD Asesor'!D166), 6)=0),
    AND('BD Asesor'!H166="Anual", MONTH('BD Asesor'!D166)=MATCH($B$2, {"Enero", "Febrero", "Marzo", "Abril", "Mayo", "Junio", "Julio", "Agosto", "Septiembre", "Octubre", "Noviembre"}, 0))
), 'BD Asesor'!L166, "")
</f>
        <v/>
      </c>
    </row>
    <row r="165">
      <c r="C165" s="84" t="str">
        <f t="array" ref="C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Asesor'!A167, "")
</f>
        <v/>
      </c>
      <c r="D165" s="84" t="str">
        <f t="array" ref="D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Asesor'!B167, "")
</f>
        <v/>
      </c>
      <c r="E165" s="212" t="str">
        <f t="array" ref="E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Asesor'!C167, "")
</f>
        <v/>
      </c>
      <c r="F165" s="212" t="str">
        <f t="array" ref="F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Asesor'!D167, "")
</f>
        <v/>
      </c>
      <c r="G165" s="212" t="str">
        <f t="array" ref="G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Asesor'!E167, "")
</f>
        <v/>
      </c>
      <c r="H165" s="84" t="str">
        <f t="array" ref="H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Asesor'!F167, "")
</f>
        <v/>
      </c>
      <c r="I165" s="84" t="str">
        <f t="array" ref="I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Asesor'!G167, "")
</f>
        <v/>
      </c>
      <c r="J165" s="84" t="str">
        <f t="array" ref="J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Asesor'!H167, "")
</f>
        <v/>
      </c>
      <c r="K165" s="84" t="str">
        <f t="array" ref="K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Asesor'!K167, "")
</f>
        <v/>
      </c>
      <c r="L165" s="84" t="str">
        <f t="array" ref="L165">IF(OR(
    AND('BD Asesor'!H167="Mensual", MATCH($B$2, {"Enero", "Febrero", "Marzo", "Abril", "Mayo", "Junio", "Julio", "Agosto", "Septiembre", "Octubre", "Noviembre", "Diciembre"}, 0)&gt;=1),
    AND('BD Asesor'!H167="Trimestral", MOD(MATCH($B$2, {"Enero", "Febrero", "Marzo", "Abril", "Mayo", "Junio", "Julio", "Agosto", "Septiembre", "Octubre", "Noviembre"}, 0)-MONTH('BD Asesor'!D167), 3)=0),
    AND('BD Asesor'!H167="Semestral", MOD(MATCH($B$2, {"Enero", "Febrero", "Marzo", "Abril", "Mayo", "Junio", "Julio", "Agosto", "Septiembre", "Octubre", "Noviembre"}, 0)-MONTH('BD Asesor'!D167), 6)=0),
    AND('BD Asesor'!H167="Anual", MONTH('BD Asesor'!D167)=MATCH($B$2, {"Enero", "Febrero", "Marzo", "Abril", "Mayo", "Junio", "Julio", "Agosto", "Septiembre", "Octubre", "Noviembre"}, 0))
), 'BD Asesor'!L167, "")
</f>
        <v/>
      </c>
    </row>
    <row r="166">
      <c r="C166" s="84" t="str">
        <f t="array" ref="C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Asesor'!A168, "")
</f>
        <v/>
      </c>
      <c r="D166" s="84" t="str">
        <f t="array" ref="D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Asesor'!B168, "")
</f>
        <v/>
      </c>
      <c r="E166" s="212" t="str">
        <f t="array" ref="E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Asesor'!C168, "")
</f>
        <v/>
      </c>
      <c r="F166" s="212" t="str">
        <f t="array" ref="F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Asesor'!D168, "")
</f>
        <v/>
      </c>
      <c r="G166" s="212" t="str">
        <f t="array" ref="G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Asesor'!E168, "")
</f>
        <v/>
      </c>
      <c r="H166" s="84" t="str">
        <f t="array" ref="H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Asesor'!F168, "")
</f>
        <v/>
      </c>
      <c r="I166" s="84" t="str">
        <f t="array" ref="I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Asesor'!G168, "")
</f>
        <v/>
      </c>
      <c r="J166" s="84" t="str">
        <f t="array" ref="J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Asesor'!H168, "")
</f>
        <v/>
      </c>
      <c r="K166" s="84" t="str">
        <f t="array" ref="K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Asesor'!K168, "")
</f>
        <v/>
      </c>
      <c r="L166" s="84" t="str">
        <f t="array" ref="L166">IF(OR(
    AND('BD Asesor'!H168="Mensual", MATCH($B$2, {"Enero", "Febrero", "Marzo", "Abril", "Mayo", "Junio", "Julio", "Agosto", "Septiembre", "Octubre", "Noviembre", "Diciembre"}, 0)&gt;=1),
    AND('BD Asesor'!H168="Trimestral", MOD(MATCH($B$2, {"Enero", "Febrero", "Marzo", "Abril", "Mayo", "Junio", "Julio", "Agosto", "Septiembre", "Octubre", "Noviembre"}, 0)-MONTH('BD Asesor'!D168), 3)=0),
    AND('BD Asesor'!H168="Semestral", MOD(MATCH($B$2, {"Enero", "Febrero", "Marzo", "Abril", "Mayo", "Junio", "Julio", "Agosto", "Septiembre", "Octubre", "Noviembre"}, 0)-MONTH('BD Asesor'!D168), 6)=0),
    AND('BD Asesor'!H168="Anual", MONTH('BD Asesor'!D168)=MATCH($B$2, {"Enero", "Febrero", "Marzo", "Abril", "Mayo", "Junio", "Julio", "Agosto", "Septiembre", "Octubre", "Noviembre"}, 0))
), 'BD Asesor'!L168, "")
</f>
        <v/>
      </c>
    </row>
    <row r="167">
      <c r="C167" s="84" t="str">
        <f t="array" ref="C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Asesor'!A169, "")
</f>
        <v>OSCAR LARA SILVA</v>
      </c>
      <c r="D167" s="84" t="str">
        <f t="array" ref="D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Asesor'!B169, "")
</f>
        <v>H</v>
      </c>
      <c r="E167" s="212" t="str">
        <f t="array" ref="E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Asesor'!C169, "")
</f>
        <v>Activo</v>
      </c>
      <c r="F167" s="213">
        <f t="array" ref="F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Asesor'!D169, "")
</f>
        <v>45243</v>
      </c>
      <c r="G167" s="212" t="str">
        <f t="array" ref="G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Asesor'!E169, "")
</f>
        <v>VI0002779689</v>
      </c>
      <c r="H167" s="76">
        <f t="array" ref="H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Asesor'!F169, "")
</f>
        <v>16472.4168</v>
      </c>
      <c r="I167" s="84" t="str">
        <f t="array" ref="I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Asesor'!G169, "")
</f>
        <v>UDIS</v>
      </c>
      <c r="J167" s="84" t="str">
        <f t="array" ref="J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Asesor'!H169, "")
</f>
        <v>Mensual</v>
      </c>
      <c r="K167" s="84" t="str">
        <f t="array" ref="K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Asesor'!K169, "")
</f>
        <v>TC</v>
      </c>
      <c r="L167" s="84" t="str">
        <f t="array" ref="L167">IF(OR(
    AND('BD Asesor'!H169="Mensual", MATCH($B$2, {"Enero", "Febrero", "Marzo", "Abril", "Mayo", "Junio", "Julio", "Agosto", "Septiembre", "Octubre", "Noviembre", "Diciembre"}, 0)&gt;=1),
    AND('BD Asesor'!H169="Trimestral", MOD(MATCH($B$2, {"Enero", "Febrero", "Marzo", "Abril", "Mayo", "Junio", "Julio", "Agosto", "Septiembre", "Octubre", "Noviembre"}, 0)-MONTH('BD Asesor'!D169), 3)=0),
    AND('BD Asesor'!H169="Semestral", MOD(MATCH($B$2, {"Enero", "Febrero", "Marzo", "Abril", "Mayo", "Junio", "Julio", "Agosto", "Septiembre", "Octubre", "Noviembre"}, 0)-MONTH('BD Asesor'!D169), 6)=0),
    AND('BD Asesor'!H169="Anual", MONTH('BD Asesor'!D169)=MATCH($B$2, {"Enero", "Febrero", "Marzo", "Abril", "Mayo", "Junio", "Julio", "Agosto", "Septiembre", "Octubre", "Noviembre"}, 0))
), 'BD Asesor'!L169, "")
</f>
        <v>Vida</v>
      </c>
    </row>
    <row r="168">
      <c r="C168" s="84" t="str">
        <f t="array" ref="C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Asesor'!A170, "")
</f>
        <v/>
      </c>
      <c r="D168" s="84" t="str">
        <f t="array" ref="D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Asesor'!B170, "")
</f>
        <v/>
      </c>
      <c r="E168" s="212" t="str">
        <f t="array" ref="E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Asesor'!C170, "")
</f>
        <v/>
      </c>
      <c r="F168" s="212" t="str">
        <f t="array" ref="F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Asesor'!D170, "")
</f>
        <v/>
      </c>
      <c r="G168" s="212" t="str">
        <f t="array" ref="G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Asesor'!E170, "")
</f>
        <v/>
      </c>
      <c r="H168" s="84" t="str">
        <f t="array" ref="H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Asesor'!F170, "")
</f>
        <v/>
      </c>
      <c r="I168" s="84" t="str">
        <f t="array" ref="I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Asesor'!G170, "")
</f>
        <v/>
      </c>
      <c r="J168" s="84" t="str">
        <f t="array" ref="J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Asesor'!H170, "")
</f>
        <v/>
      </c>
      <c r="K168" s="84" t="str">
        <f t="array" ref="K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Asesor'!K170, "")
</f>
        <v/>
      </c>
      <c r="L168" s="84" t="str">
        <f t="array" ref="L168">IF(OR(
    AND('BD Asesor'!H170="Mensual", MATCH($B$2, {"Enero", "Febrero", "Marzo", "Abril", "Mayo", "Junio", "Julio", "Agosto", "Septiembre", "Octubre", "Noviembre", "Diciembre"}, 0)&gt;=1),
    AND('BD Asesor'!H170="Trimestral", MOD(MATCH($B$2, {"Enero", "Febrero", "Marzo", "Abril", "Mayo", "Junio", "Julio", "Agosto", "Septiembre", "Octubre", "Noviembre"}, 0)-MONTH('BD Asesor'!D170), 3)=0),
    AND('BD Asesor'!H170="Semestral", MOD(MATCH($B$2, {"Enero", "Febrero", "Marzo", "Abril", "Mayo", "Junio", "Julio", "Agosto", "Septiembre", "Octubre", "Noviembre"}, 0)-MONTH('BD Asesor'!D170), 6)=0),
    AND('BD Asesor'!H170="Anual", MONTH('BD Asesor'!D170)=MATCH($B$2, {"Enero", "Febrero", "Marzo", "Abril", "Mayo", "Junio", "Julio", "Agosto", "Septiembre", "Octubre", "Noviembre"}, 0))
), 'BD Asesor'!L170, "")
</f>
        <v/>
      </c>
    </row>
    <row r="169">
      <c r="C169" s="84" t="str">
        <f t="array" ref="C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Asesor'!A171, "")
</f>
        <v/>
      </c>
      <c r="D169" s="84" t="str">
        <f t="array" ref="D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Asesor'!B171, "")
</f>
        <v/>
      </c>
      <c r="E169" s="212" t="str">
        <f t="array" ref="E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Asesor'!C171, "")
</f>
        <v/>
      </c>
      <c r="F169" s="212" t="str">
        <f t="array" ref="F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Asesor'!D171, "")
</f>
        <v/>
      </c>
      <c r="G169" s="212" t="str">
        <f t="array" ref="G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Asesor'!E171, "")
</f>
        <v/>
      </c>
      <c r="H169" s="84" t="str">
        <f t="array" ref="H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Asesor'!F171, "")
</f>
        <v/>
      </c>
      <c r="I169" s="84" t="str">
        <f t="array" ref="I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Asesor'!G171, "")
</f>
        <v/>
      </c>
      <c r="J169" s="84" t="str">
        <f t="array" ref="J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Asesor'!H171, "")
</f>
        <v/>
      </c>
      <c r="K169" s="84" t="str">
        <f t="array" ref="K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Asesor'!K171, "")
</f>
        <v/>
      </c>
      <c r="L169" s="84" t="str">
        <f t="array" ref="L169">IF(OR(
    AND('BD Asesor'!H171="Mensual", MATCH($B$2, {"Enero", "Febrero", "Marzo", "Abril", "Mayo", "Junio", "Julio", "Agosto", "Septiembre", "Octubre", "Noviembre", "Diciembre"}, 0)&gt;=1),
    AND('BD Asesor'!H171="Trimestral", MOD(MATCH($B$2, {"Enero", "Febrero", "Marzo", "Abril", "Mayo", "Junio", "Julio", "Agosto", "Septiembre", "Octubre", "Noviembre"}, 0)-MONTH('BD Asesor'!D171), 3)=0),
    AND('BD Asesor'!H171="Semestral", MOD(MATCH($B$2, {"Enero", "Febrero", "Marzo", "Abril", "Mayo", "Junio", "Julio", "Agosto", "Septiembre", "Octubre", "Noviembre"}, 0)-MONTH('BD Asesor'!D171), 6)=0),
    AND('BD Asesor'!H171="Anual", MONTH('BD Asesor'!D171)=MATCH($B$2, {"Enero", "Febrero", "Marzo", "Abril", "Mayo", "Junio", "Julio", "Agosto", "Septiembre", "Octubre", "Noviembre"}, 0))
), 'BD Asesor'!L171, "")
</f>
        <v/>
      </c>
    </row>
    <row r="170">
      <c r="C170" s="84" t="str">
        <f t="array" ref="C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Asesor'!A172, "")
</f>
        <v/>
      </c>
      <c r="D170" s="84" t="str">
        <f t="array" ref="D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Asesor'!B172, "")
</f>
        <v/>
      </c>
      <c r="E170" s="212" t="str">
        <f t="array" ref="E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Asesor'!C172, "")
</f>
        <v/>
      </c>
      <c r="F170" s="212" t="str">
        <f t="array" ref="F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Asesor'!D172, "")
</f>
        <v/>
      </c>
      <c r="G170" s="212" t="str">
        <f t="array" ref="G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Asesor'!E172, "")
</f>
        <v/>
      </c>
      <c r="H170" s="84" t="str">
        <f t="array" ref="H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Asesor'!F172, "")
</f>
        <v/>
      </c>
      <c r="I170" s="84" t="str">
        <f t="array" ref="I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Asesor'!G172, "")
</f>
        <v/>
      </c>
      <c r="J170" s="84" t="str">
        <f t="array" ref="J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Asesor'!H172, "")
</f>
        <v/>
      </c>
      <c r="K170" s="84" t="str">
        <f t="array" ref="K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Asesor'!K172, "")
</f>
        <v/>
      </c>
      <c r="L170" s="84" t="str">
        <f t="array" ref="L170">IF(OR(
    AND('BD Asesor'!H172="Mensual", MATCH($B$2, {"Enero", "Febrero", "Marzo", "Abril", "Mayo", "Junio", "Julio", "Agosto", "Septiembre", "Octubre", "Noviembre", "Diciembre"}, 0)&gt;=1),
    AND('BD Asesor'!H172="Trimestral", MOD(MATCH($B$2, {"Enero", "Febrero", "Marzo", "Abril", "Mayo", "Junio", "Julio", "Agosto", "Septiembre", "Octubre", "Noviembre"}, 0)-MONTH('BD Asesor'!D172), 3)=0),
    AND('BD Asesor'!H172="Semestral", MOD(MATCH($B$2, {"Enero", "Febrero", "Marzo", "Abril", "Mayo", "Junio", "Julio", "Agosto", "Septiembre", "Octubre", "Noviembre"}, 0)-MONTH('BD Asesor'!D172), 6)=0),
    AND('BD Asesor'!H172="Anual", MONTH('BD Asesor'!D172)=MATCH($B$2, {"Enero", "Febrero", "Marzo", "Abril", "Mayo", "Junio", "Julio", "Agosto", "Septiembre", "Octubre", "Noviembre"}, 0))
), 'BD Asesor'!L172, "")
</f>
        <v/>
      </c>
    </row>
    <row r="171">
      <c r="C171" s="84" t="str">
        <f t="array" ref="C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Asesor'!A173, "")
</f>
        <v/>
      </c>
      <c r="D171" s="84" t="str">
        <f t="array" ref="D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Asesor'!B173, "")
</f>
        <v/>
      </c>
      <c r="E171" s="212" t="str">
        <f t="array" ref="E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Asesor'!C173, "")
</f>
        <v/>
      </c>
      <c r="F171" s="212" t="str">
        <f t="array" ref="F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Asesor'!D173, "")
</f>
        <v/>
      </c>
      <c r="G171" s="212" t="str">
        <f t="array" ref="G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Asesor'!E173, "")
</f>
        <v/>
      </c>
      <c r="H171" s="84" t="str">
        <f t="array" ref="H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Asesor'!F173, "")
</f>
        <v/>
      </c>
      <c r="I171" s="84" t="str">
        <f t="array" ref="I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Asesor'!G173, "")
</f>
        <v/>
      </c>
      <c r="J171" s="84" t="str">
        <f t="array" ref="J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Asesor'!H173, "")
</f>
        <v/>
      </c>
      <c r="K171" s="84" t="str">
        <f t="array" ref="K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Asesor'!K173, "")
</f>
        <v/>
      </c>
      <c r="L171" s="84" t="str">
        <f t="array" ref="L171">IF(OR(
    AND('BD Asesor'!H173="Mensual", MATCH($B$2, {"Enero", "Febrero", "Marzo", "Abril", "Mayo", "Junio", "Julio", "Agosto", "Septiembre", "Octubre", "Noviembre", "Diciembre"}, 0)&gt;=1),
    AND('BD Asesor'!H173="Trimestral", MOD(MATCH($B$2, {"Enero", "Febrero", "Marzo", "Abril", "Mayo", "Junio", "Julio", "Agosto", "Septiembre", "Octubre", "Noviembre"}, 0)-MONTH('BD Asesor'!D173), 3)=0),
    AND('BD Asesor'!H173="Semestral", MOD(MATCH($B$2, {"Enero", "Febrero", "Marzo", "Abril", "Mayo", "Junio", "Julio", "Agosto", "Septiembre", "Octubre", "Noviembre"}, 0)-MONTH('BD Asesor'!D173), 6)=0),
    AND('BD Asesor'!H173="Anual", MONTH('BD Asesor'!D173)=MATCH($B$2, {"Enero", "Febrero", "Marzo", "Abril", "Mayo", "Junio", "Julio", "Agosto", "Septiembre", "Octubre", "Noviembre"}, 0))
), 'BD Asesor'!L173, "")
</f>
        <v/>
      </c>
    </row>
    <row r="172">
      <c r="C172" s="84" t="str">
        <f t="array" ref="C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Asesor'!A174, "")
</f>
        <v/>
      </c>
      <c r="D172" s="84" t="str">
        <f t="array" ref="D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Asesor'!B174, "")
</f>
        <v/>
      </c>
      <c r="E172" s="212" t="str">
        <f t="array" ref="E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Asesor'!C174, "")
</f>
        <v/>
      </c>
      <c r="F172" s="212" t="str">
        <f t="array" ref="F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Asesor'!D174, "")
</f>
        <v/>
      </c>
      <c r="G172" s="212" t="str">
        <f t="array" ref="G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Asesor'!E174, "")
</f>
        <v/>
      </c>
      <c r="H172" s="84" t="str">
        <f t="array" ref="H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Asesor'!F174, "")
</f>
        <v/>
      </c>
      <c r="I172" s="84" t="str">
        <f t="array" ref="I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Asesor'!G174, "")
</f>
        <v/>
      </c>
      <c r="J172" s="84" t="str">
        <f t="array" ref="J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Asesor'!H174, "")
</f>
        <v/>
      </c>
      <c r="K172" s="84" t="str">
        <f t="array" ref="K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Asesor'!K174, "")
</f>
        <v/>
      </c>
      <c r="L172" s="84" t="str">
        <f t="array" ref="L172">IF(OR(
    AND('BD Asesor'!H174="Mensual", MATCH($B$2, {"Enero", "Febrero", "Marzo", "Abril", "Mayo", "Junio", "Julio", "Agosto", "Septiembre", "Octubre", "Noviembre", "Diciembre"}, 0)&gt;=1),
    AND('BD Asesor'!H174="Trimestral", MOD(MATCH($B$2, {"Enero", "Febrero", "Marzo", "Abril", "Mayo", "Junio", "Julio", "Agosto", "Septiembre", "Octubre", "Noviembre"}, 0)-MONTH('BD Asesor'!D174), 3)=0),
    AND('BD Asesor'!H174="Semestral", MOD(MATCH($B$2, {"Enero", "Febrero", "Marzo", "Abril", "Mayo", "Junio", "Julio", "Agosto", "Septiembre", "Octubre", "Noviembre"}, 0)-MONTH('BD Asesor'!D174), 6)=0),
    AND('BD Asesor'!H174="Anual", MONTH('BD Asesor'!D174)=MATCH($B$2, {"Enero", "Febrero", "Marzo", "Abril", "Mayo", "Junio", "Julio", "Agosto", "Septiembre", "Octubre", "Noviembre"}, 0))
), 'BD Asesor'!L174, "")
</f>
        <v/>
      </c>
    </row>
    <row r="173">
      <c r="C173" s="84" t="str">
        <f t="array" ref="C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Asesor'!A175, "")
</f>
        <v/>
      </c>
      <c r="D173" s="84" t="str">
        <f t="array" ref="D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Asesor'!B175, "")
</f>
        <v/>
      </c>
      <c r="E173" s="212" t="str">
        <f t="array" ref="E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Asesor'!C175, "")
</f>
        <v/>
      </c>
      <c r="F173" s="212" t="str">
        <f t="array" ref="F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Asesor'!D175, "")
</f>
        <v/>
      </c>
      <c r="G173" s="212" t="str">
        <f t="array" ref="G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Asesor'!E175, "")
</f>
        <v/>
      </c>
      <c r="H173" s="84" t="str">
        <f t="array" ref="H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Asesor'!F175, "")
</f>
        <v/>
      </c>
      <c r="I173" s="84" t="str">
        <f t="array" ref="I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Asesor'!G175, "")
</f>
        <v/>
      </c>
      <c r="J173" s="84" t="str">
        <f t="array" ref="J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Asesor'!H175, "")
</f>
        <v/>
      </c>
      <c r="K173" s="84" t="str">
        <f t="array" ref="K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Asesor'!K175, "")
</f>
        <v/>
      </c>
      <c r="L173" s="84" t="str">
        <f t="array" ref="L173">IF(OR(
    AND('BD Asesor'!H175="Mensual", MATCH($B$2, {"Enero", "Febrero", "Marzo", "Abril", "Mayo", "Junio", "Julio", "Agosto", "Septiembre", "Octubre", "Noviembre", "Diciembre"}, 0)&gt;=1),
    AND('BD Asesor'!H175="Trimestral", MOD(MATCH($B$2, {"Enero", "Febrero", "Marzo", "Abril", "Mayo", "Junio", "Julio", "Agosto", "Septiembre", "Octubre", "Noviembre"}, 0)-MONTH('BD Asesor'!D175), 3)=0),
    AND('BD Asesor'!H175="Semestral", MOD(MATCH($B$2, {"Enero", "Febrero", "Marzo", "Abril", "Mayo", "Junio", "Julio", "Agosto", "Septiembre", "Octubre", "Noviembre"}, 0)-MONTH('BD Asesor'!D175), 6)=0),
    AND('BD Asesor'!H175="Anual", MONTH('BD Asesor'!D175)=MATCH($B$2, {"Enero", "Febrero", "Marzo", "Abril", "Mayo", "Junio", "Julio", "Agosto", "Septiembre", "Octubre", "Noviembre"}, 0))
), 'BD Asesor'!L175, "")
</f>
        <v/>
      </c>
    </row>
    <row r="174">
      <c r="C174" s="84" t="str">
        <f t="array" ref="C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Asesor'!A176, "")
</f>
        <v/>
      </c>
      <c r="D174" s="84" t="str">
        <f t="array" ref="D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Asesor'!B176, "")
</f>
        <v/>
      </c>
      <c r="E174" s="212" t="str">
        <f t="array" ref="E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Asesor'!C176, "")
</f>
        <v/>
      </c>
      <c r="F174" s="212" t="str">
        <f t="array" ref="F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Asesor'!D176, "")
</f>
        <v/>
      </c>
      <c r="G174" s="212" t="str">
        <f t="array" ref="G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Asesor'!E176, "")
</f>
        <v/>
      </c>
      <c r="H174" s="84" t="str">
        <f t="array" ref="H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Asesor'!F176, "")
</f>
        <v/>
      </c>
      <c r="I174" s="84" t="str">
        <f t="array" ref="I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Asesor'!G176, "")
</f>
        <v/>
      </c>
      <c r="J174" s="84" t="str">
        <f t="array" ref="J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Asesor'!H176, "")
</f>
        <v/>
      </c>
      <c r="K174" s="84" t="str">
        <f t="array" ref="K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Asesor'!K176, "")
</f>
        <v/>
      </c>
      <c r="L174" s="84" t="str">
        <f t="array" ref="L174">IF(OR(
    AND('BD Asesor'!H176="Mensual", MATCH($B$2, {"Enero", "Febrero", "Marzo", "Abril", "Mayo", "Junio", "Julio", "Agosto", "Septiembre", "Octubre", "Noviembre", "Diciembre"}, 0)&gt;=1),
    AND('BD Asesor'!H176="Trimestral", MOD(MATCH($B$2, {"Enero", "Febrero", "Marzo", "Abril", "Mayo", "Junio", "Julio", "Agosto", "Septiembre", "Octubre", "Noviembre"}, 0)-MONTH('BD Asesor'!D176), 3)=0),
    AND('BD Asesor'!H176="Semestral", MOD(MATCH($B$2, {"Enero", "Febrero", "Marzo", "Abril", "Mayo", "Junio", "Julio", "Agosto", "Septiembre", "Octubre", "Noviembre"}, 0)-MONTH('BD Asesor'!D176), 6)=0),
    AND('BD Asesor'!H176="Anual", MONTH('BD Asesor'!D176)=MATCH($B$2, {"Enero", "Febrero", "Marzo", "Abril", "Mayo", "Junio", "Julio", "Agosto", "Septiembre", "Octubre", "Noviembre"}, 0))
), 'BD Asesor'!L176, "")
</f>
        <v/>
      </c>
    </row>
    <row r="175">
      <c r="C175" s="84" t="str">
        <f t="array" ref="C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Asesor'!A177, "")
</f>
        <v/>
      </c>
      <c r="D175" s="84" t="str">
        <f t="array" ref="D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Asesor'!B177, "")
</f>
        <v/>
      </c>
      <c r="E175" s="212" t="str">
        <f t="array" ref="E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Asesor'!C177, "")
</f>
        <v/>
      </c>
      <c r="F175" s="212" t="str">
        <f t="array" ref="F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Asesor'!D177, "")
</f>
        <v/>
      </c>
      <c r="G175" s="212" t="str">
        <f t="array" ref="G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Asesor'!E177, "")
</f>
        <v/>
      </c>
      <c r="H175" s="84" t="str">
        <f t="array" ref="H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Asesor'!F177, "")
</f>
        <v/>
      </c>
      <c r="I175" s="84" t="str">
        <f t="array" ref="I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Asesor'!G177, "")
</f>
        <v/>
      </c>
      <c r="J175" s="84" t="str">
        <f t="array" ref="J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Asesor'!H177, "")
</f>
        <v/>
      </c>
      <c r="K175" s="84" t="str">
        <f t="array" ref="K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Asesor'!K177, "")
</f>
        <v/>
      </c>
      <c r="L175" s="84" t="str">
        <f t="array" ref="L175">IF(OR(
    AND('BD Asesor'!H177="Mensual", MATCH($B$2, {"Enero", "Febrero", "Marzo", "Abril", "Mayo", "Junio", "Julio", "Agosto", "Septiembre", "Octubre", "Noviembre", "Diciembre"}, 0)&gt;=1),
    AND('BD Asesor'!H177="Trimestral", MOD(MATCH($B$2, {"Enero", "Febrero", "Marzo", "Abril", "Mayo", "Junio", "Julio", "Agosto", "Septiembre", "Octubre", "Noviembre"}, 0)-MONTH('BD Asesor'!D177), 3)=0),
    AND('BD Asesor'!H177="Semestral", MOD(MATCH($B$2, {"Enero", "Febrero", "Marzo", "Abril", "Mayo", "Junio", "Julio", "Agosto", "Septiembre", "Octubre", "Noviembre"}, 0)-MONTH('BD Asesor'!D177), 6)=0),
    AND('BD Asesor'!H177="Anual", MONTH('BD Asesor'!D177)=MATCH($B$2, {"Enero", "Febrero", "Marzo", "Abril", "Mayo", "Junio", "Julio", "Agosto", "Septiembre", "Octubre", "Noviembre"}, 0))
), 'BD Asesor'!L177, "")
</f>
        <v/>
      </c>
    </row>
    <row r="176">
      <c r="C176" s="84" t="str">
        <f t="array" ref="C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Asesor'!A178, "")
</f>
        <v/>
      </c>
      <c r="D176" s="84" t="str">
        <f t="array" ref="D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Asesor'!B178, "")
</f>
        <v/>
      </c>
      <c r="E176" s="212" t="str">
        <f t="array" ref="E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Asesor'!C178, "")
</f>
        <v/>
      </c>
      <c r="F176" s="212" t="str">
        <f t="array" ref="F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Asesor'!D178, "")
</f>
        <v/>
      </c>
      <c r="G176" s="212" t="str">
        <f t="array" ref="G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Asesor'!E178, "")
</f>
        <v/>
      </c>
      <c r="H176" s="84" t="str">
        <f t="array" ref="H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Asesor'!F178, "")
</f>
        <v/>
      </c>
      <c r="I176" s="84" t="str">
        <f t="array" ref="I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Asesor'!G178, "")
</f>
        <v/>
      </c>
      <c r="J176" s="84" t="str">
        <f t="array" ref="J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Asesor'!H178, "")
</f>
        <v/>
      </c>
      <c r="K176" s="84" t="str">
        <f t="array" ref="K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Asesor'!K178, "")
</f>
        <v/>
      </c>
      <c r="L176" s="84" t="str">
        <f t="array" ref="L176">IF(OR(
    AND('BD Asesor'!H178="Mensual", MATCH($B$2, {"Enero", "Febrero", "Marzo", "Abril", "Mayo", "Junio", "Julio", "Agosto", "Septiembre", "Octubre", "Noviembre", "Diciembre"}, 0)&gt;=1),
    AND('BD Asesor'!H178="Trimestral", MOD(MATCH($B$2, {"Enero", "Febrero", "Marzo", "Abril", "Mayo", "Junio", "Julio", "Agosto", "Septiembre", "Octubre", "Noviembre"}, 0)-MONTH('BD Asesor'!D178), 3)=0),
    AND('BD Asesor'!H178="Semestral", MOD(MATCH($B$2, {"Enero", "Febrero", "Marzo", "Abril", "Mayo", "Junio", "Julio", "Agosto", "Septiembre", "Octubre", "Noviembre"}, 0)-MONTH('BD Asesor'!D178), 6)=0),
    AND('BD Asesor'!H178="Anual", MONTH('BD Asesor'!D178)=MATCH($B$2, {"Enero", "Febrero", "Marzo", "Abril", "Mayo", "Junio", "Julio", "Agosto", "Septiembre", "Octubre", "Noviembre"}, 0))
), 'BD Asesor'!L178, "")
</f>
        <v/>
      </c>
    </row>
    <row r="177">
      <c r="C177" s="84" t="str">
        <f t="array" ref="C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Asesor'!A179, "")
</f>
        <v>LILIANA VERONICA RAMIREZ ROSALES</v>
      </c>
      <c r="D177" s="84" t="str">
        <f t="array" ref="D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Asesor'!B179, "")
</f>
        <v>M</v>
      </c>
      <c r="E177" s="212" t="str">
        <f t="array" ref="E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Asesor'!C179, "")
</f>
        <v>Activo</v>
      </c>
      <c r="F177" s="213">
        <f t="array" ref="F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Asesor'!D179, "")
</f>
        <v>45315</v>
      </c>
      <c r="G177" s="212" t="str">
        <f t="array" ref="G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Asesor'!E179, "")
</f>
        <v>VI0002789159</v>
      </c>
      <c r="H177" s="76">
        <f t="array" ref="H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Asesor'!F179, "")
</f>
        <v>19100.772</v>
      </c>
      <c r="I177" s="84" t="str">
        <f t="array" ref="I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Asesor'!G179, "")
</f>
        <v>UDIS</v>
      </c>
      <c r="J177" s="84" t="str">
        <f t="array" ref="J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Asesor'!H179, "")
</f>
        <v>Mensual</v>
      </c>
      <c r="K177" s="84" t="str">
        <f t="array" ref="K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Asesor'!K179, "")
</f>
        <v>TD</v>
      </c>
      <c r="L177" s="84" t="str">
        <f t="array" ref="L177">IF(OR(
    AND('BD Asesor'!H179="Mensual", MATCH($B$2, {"Enero", "Febrero", "Marzo", "Abril", "Mayo", "Junio", "Julio", "Agosto", "Septiembre", "Octubre", "Noviembre", "Diciembre"}, 0)&gt;=1),
    AND('BD Asesor'!H179="Trimestral", MOD(MATCH($B$2, {"Enero", "Febrero", "Marzo", "Abril", "Mayo", "Junio", "Julio", "Agosto", "Septiembre", "Octubre", "Noviembre"}, 0)-MONTH('BD Asesor'!D179), 3)=0),
    AND('BD Asesor'!H179="Semestral", MOD(MATCH($B$2, {"Enero", "Febrero", "Marzo", "Abril", "Mayo", "Junio", "Julio", "Agosto", "Septiembre", "Octubre", "Noviembre"}, 0)-MONTH('BD Asesor'!D179), 6)=0),
    AND('BD Asesor'!H179="Anual", MONTH('BD Asesor'!D179)=MATCH($B$2, {"Enero", "Febrero", "Marzo", "Abril", "Mayo", "Junio", "Julio", "Agosto", "Septiembre", "Octubre", "Noviembre"}, 0))
), 'BD Asesor'!L179, "")
</f>
        <v>Vida</v>
      </c>
    </row>
    <row r="178">
      <c r="C178" s="84" t="str">
        <f t="array" ref="C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Asesor'!A180, "")
</f>
        <v>LILIANA VERONICA RAMIREZ ROSALES</v>
      </c>
      <c r="D178" s="84" t="str">
        <f t="array" ref="D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Asesor'!B180, "")
</f>
        <v>M</v>
      </c>
      <c r="E178" s="212" t="str">
        <f t="array" ref="E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Asesor'!C180, "")
</f>
        <v>Activo</v>
      </c>
      <c r="F178" s="213">
        <f t="array" ref="F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Asesor'!D180, "")
</f>
        <v>45316</v>
      </c>
      <c r="G178" s="212" t="str">
        <f t="array" ref="G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Asesor'!E180, "")
</f>
        <v>GM0000635721</v>
      </c>
      <c r="H178" s="76">
        <f t="array" ref="H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Asesor'!F180, "")
</f>
        <v>17081.04</v>
      </c>
      <c r="I178" s="84" t="str">
        <f t="array" ref="I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Asesor'!G180, "")
</f>
        <v>MXN</v>
      </c>
      <c r="J178" s="84" t="str">
        <f t="array" ref="J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Asesor'!H180, "")
</f>
        <v>Mensual</v>
      </c>
      <c r="K178" s="84" t="str">
        <f t="array" ref="K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Asesor'!K180, "")
</f>
        <v>TD</v>
      </c>
      <c r="L178" s="84" t="str">
        <f t="array" ref="L178">IF(OR(
    AND('BD Asesor'!H180="Mensual", MATCH($B$2, {"Enero", "Febrero", "Marzo", "Abril", "Mayo", "Junio", "Julio", "Agosto", "Septiembre", "Octubre", "Noviembre", "Diciembre"}, 0)&gt;=1),
    AND('BD Asesor'!H180="Trimestral", MOD(MATCH($B$2, {"Enero", "Febrero", "Marzo", "Abril", "Mayo", "Junio", "Julio", "Agosto", "Septiembre", "Octubre", "Noviembre"}, 0)-MONTH('BD Asesor'!D180), 3)=0),
    AND('BD Asesor'!H180="Semestral", MOD(MATCH($B$2, {"Enero", "Febrero", "Marzo", "Abril", "Mayo", "Junio", "Julio", "Agosto", "Septiembre", "Octubre", "Noviembre"}, 0)-MONTH('BD Asesor'!D180), 6)=0),
    AND('BD Asesor'!H180="Anual", MONTH('BD Asesor'!D180)=MATCH($B$2, {"Enero", "Febrero", "Marzo", "Abril", "Mayo", "Junio", "Julio", "Agosto", "Septiembre", "Octubre", "Noviembre"}, 0))
), 'BD Asesor'!L180, "")
</f>
        <v>Gastos Médicos </v>
      </c>
    </row>
    <row r="179">
      <c r="C179" s="84" t="str">
        <f t="array" ref="C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Asesor'!A181, "")
</f>
        <v/>
      </c>
      <c r="D179" s="84" t="str">
        <f t="array" ref="D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Asesor'!B181, "")
</f>
        <v/>
      </c>
      <c r="E179" s="212" t="str">
        <f t="array" ref="E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Asesor'!C181, "")
</f>
        <v/>
      </c>
      <c r="F179" s="212" t="str">
        <f t="array" ref="F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Asesor'!D181, "")
</f>
        <v/>
      </c>
      <c r="G179" s="212" t="str">
        <f t="array" ref="G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Asesor'!E181, "")
</f>
        <v/>
      </c>
      <c r="H179" s="84" t="str">
        <f t="array" ref="H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Asesor'!F181, "")
</f>
        <v/>
      </c>
      <c r="I179" s="84" t="str">
        <f t="array" ref="I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Asesor'!G181, "")
</f>
        <v/>
      </c>
      <c r="J179" s="84" t="str">
        <f t="array" ref="J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Asesor'!H181, "")
</f>
        <v/>
      </c>
      <c r="K179" s="84" t="str">
        <f t="array" ref="K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Asesor'!K181, "")
</f>
        <v/>
      </c>
      <c r="L179" s="84" t="str">
        <f t="array" ref="L179">IF(OR(
    AND('BD Asesor'!H181="Mensual", MATCH($B$2, {"Enero", "Febrero", "Marzo", "Abril", "Mayo", "Junio", "Julio", "Agosto", "Septiembre", "Octubre", "Noviembre", "Diciembre"}, 0)&gt;=1),
    AND('BD Asesor'!H181="Trimestral", MOD(MATCH($B$2, {"Enero", "Febrero", "Marzo", "Abril", "Mayo", "Junio", "Julio", "Agosto", "Septiembre", "Octubre", "Noviembre"}, 0)-MONTH('BD Asesor'!D181), 3)=0),
    AND('BD Asesor'!H181="Semestral", MOD(MATCH($B$2, {"Enero", "Febrero", "Marzo", "Abril", "Mayo", "Junio", "Julio", "Agosto", "Septiembre", "Octubre", "Noviembre"}, 0)-MONTH('BD Asesor'!D181), 6)=0),
    AND('BD Asesor'!H181="Anual", MONTH('BD Asesor'!D181)=MATCH($B$2, {"Enero", "Febrero", "Marzo", "Abril", "Mayo", "Junio", "Julio", "Agosto", "Septiembre", "Octubre", "Noviembre"}, 0))
), 'BD Asesor'!L181, "")
</f>
        <v/>
      </c>
    </row>
    <row r="180">
      <c r="C180" s="84" t="str">
        <f t="array" ref="C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Asesor'!A182, "")
</f>
        <v/>
      </c>
      <c r="D180" s="84" t="str">
        <f t="array" ref="D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Asesor'!B182, "")
</f>
        <v/>
      </c>
      <c r="E180" s="212" t="str">
        <f t="array" ref="E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Asesor'!C182, "")
</f>
        <v/>
      </c>
      <c r="F180" s="212" t="str">
        <f t="array" ref="F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Asesor'!D182, "")
</f>
        <v/>
      </c>
      <c r="G180" s="212" t="str">
        <f t="array" ref="G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Asesor'!E182, "")
</f>
        <v/>
      </c>
      <c r="H180" s="84" t="str">
        <f t="array" ref="H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Asesor'!F182, "")
</f>
        <v/>
      </c>
      <c r="I180" s="84" t="str">
        <f t="array" ref="I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Asesor'!G182, "")
</f>
        <v/>
      </c>
      <c r="J180" s="84" t="str">
        <f t="array" ref="J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Asesor'!H182, "")
</f>
        <v/>
      </c>
      <c r="K180" s="84" t="str">
        <f t="array" ref="K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Asesor'!K182, "")
</f>
        <v/>
      </c>
      <c r="L180" s="84" t="str">
        <f t="array" ref="L180">IF(OR(
    AND('BD Asesor'!H182="Mensual", MATCH($B$2, {"Enero", "Febrero", "Marzo", "Abril", "Mayo", "Junio", "Julio", "Agosto", "Septiembre", "Octubre", "Noviembre", "Diciembre"}, 0)&gt;=1),
    AND('BD Asesor'!H182="Trimestral", MOD(MATCH($B$2, {"Enero", "Febrero", "Marzo", "Abril", "Mayo", "Junio", "Julio", "Agosto", "Septiembre", "Octubre", "Noviembre"}, 0)-MONTH('BD Asesor'!D182), 3)=0),
    AND('BD Asesor'!H182="Semestral", MOD(MATCH($B$2, {"Enero", "Febrero", "Marzo", "Abril", "Mayo", "Junio", "Julio", "Agosto", "Septiembre", "Octubre", "Noviembre"}, 0)-MONTH('BD Asesor'!D182), 6)=0),
    AND('BD Asesor'!H182="Anual", MONTH('BD Asesor'!D182)=MATCH($B$2, {"Enero", "Febrero", "Marzo", "Abril", "Mayo", "Junio", "Julio", "Agosto", "Septiembre", "Octubre", "Noviembre"}, 0))
), 'BD Asesor'!L182, "")
</f>
        <v/>
      </c>
    </row>
    <row r="181">
      <c r="C181" s="84" t="str">
        <f t="array" ref="C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Asesor'!A183, "")
</f>
        <v/>
      </c>
      <c r="D181" s="84" t="str">
        <f t="array" ref="D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Asesor'!B183, "")
</f>
        <v/>
      </c>
      <c r="E181" s="212" t="str">
        <f t="array" ref="E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Asesor'!C183, "")
</f>
        <v/>
      </c>
      <c r="F181" s="212" t="str">
        <f t="array" ref="F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Asesor'!D183, "")
</f>
        <v/>
      </c>
      <c r="G181" s="212" t="str">
        <f t="array" ref="G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Asesor'!E183, "")
</f>
        <v/>
      </c>
      <c r="H181" s="84" t="str">
        <f t="array" ref="H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Asesor'!F183, "")
</f>
        <v/>
      </c>
      <c r="I181" s="84" t="str">
        <f t="array" ref="I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Asesor'!G183, "")
</f>
        <v/>
      </c>
      <c r="J181" s="84" t="str">
        <f t="array" ref="J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Asesor'!H183, "")
</f>
        <v/>
      </c>
      <c r="K181" s="84" t="str">
        <f t="array" ref="K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Asesor'!K183, "")
</f>
        <v/>
      </c>
      <c r="L181" s="84" t="str">
        <f t="array" ref="L181">IF(OR(
    AND('BD Asesor'!H183="Mensual", MATCH($B$2, {"Enero", "Febrero", "Marzo", "Abril", "Mayo", "Junio", "Julio", "Agosto", "Septiembre", "Octubre", "Noviembre", "Diciembre"}, 0)&gt;=1),
    AND('BD Asesor'!H183="Trimestral", MOD(MATCH($B$2, {"Enero", "Febrero", "Marzo", "Abril", "Mayo", "Junio", "Julio", "Agosto", "Septiembre", "Octubre", "Noviembre"}, 0)-MONTH('BD Asesor'!D183), 3)=0),
    AND('BD Asesor'!H183="Semestral", MOD(MATCH($B$2, {"Enero", "Febrero", "Marzo", "Abril", "Mayo", "Junio", "Julio", "Agosto", "Septiembre", "Octubre", "Noviembre"}, 0)-MONTH('BD Asesor'!D183), 6)=0),
    AND('BD Asesor'!H183="Anual", MONTH('BD Asesor'!D183)=MATCH($B$2, {"Enero", "Febrero", "Marzo", "Abril", "Mayo", "Junio", "Julio", "Agosto", "Septiembre", "Octubre", "Noviembre"}, 0))
), 'BD Asesor'!L183, "")
</f>
        <v/>
      </c>
    </row>
    <row r="182">
      <c r="C182" s="84" t="str">
        <f t="array" ref="C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Asesor'!A184, "")
</f>
        <v/>
      </c>
      <c r="D182" s="84" t="str">
        <f t="array" ref="D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Asesor'!B184, "")
</f>
        <v/>
      </c>
      <c r="E182" s="212" t="str">
        <f t="array" ref="E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Asesor'!C184, "")
</f>
        <v/>
      </c>
      <c r="F182" s="212" t="str">
        <f t="array" ref="F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Asesor'!D184, "")
</f>
        <v/>
      </c>
      <c r="G182" s="212" t="str">
        <f t="array" ref="G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Asesor'!E184, "")
</f>
        <v/>
      </c>
      <c r="H182" s="84" t="str">
        <f t="array" ref="H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Asesor'!F184, "")
</f>
        <v/>
      </c>
      <c r="I182" s="84" t="str">
        <f t="array" ref="I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Asesor'!G184, "")
</f>
        <v/>
      </c>
      <c r="J182" s="84" t="str">
        <f t="array" ref="J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Asesor'!H184, "")
</f>
        <v/>
      </c>
      <c r="K182" s="84" t="str">
        <f t="array" ref="K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Asesor'!K184, "")
</f>
        <v/>
      </c>
      <c r="L182" s="84" t="str">
        <f t="array" ref="L182">IF(OR(
    AND('BD Asesor'!H184="Mensual", MATCH($B$2, {"Enero", "Febrero", "Marzo", "Abril", "Mayo", "Junio", "Julio", "Agosto", "Septiembre", "Octubre", "Noviembre", "Diciembre"}, 0)&gt;=1),
    AND('BD Asesor'!H184="Trimestral", MOD(MATCH($B$2, {"Enero", "Febrero", "Marzo", "Abril", "Mayo", "Junio", "Julio", "Agosto", "Septiembre", "Octubre", "Noviembre"}, 0)-MONTH('BD Asesor'!D184), 3)=0),
    AND('BD Asesor'!H184="Semestral", MOD(MATCH($B$2, {"Enero", "Febrero", "Marzo", "Abril", "Mayo", "Junio", "Julio", "Agosto", "Septiembre", "Octubre", "Noviembre"}, 0)-MONTH('BD Asesor'!D184), 6)=0),
    AND('BD Asesor'!H184="Anual", MONTH('BD Asesor'!D184)=MATCH($B$2, {"Enero", "Febrero", "Marzo", "Abril", "Mayo", "Junio", "Julio", "Agosto", "Septiembre", "Octubre", "Noviembre"}, 0))
), 'BD Asesor'!L184, "")
</f>
        <v/>
      </c>
    </row>
    <row r="183">
      <c r="C183" s="84" t="str">
        <f t="array" ref="C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Asesor'!A185, "")
</f>
        <v>JULIETA BEATRIZMONTAÑO MARTINEZ</v>
      </c>
      <c r="D183" s="84" t="str">
        <f t="array" ref="D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Asesor'!B185, "")
</f>
        <v>M</v>
      </c>
      <c r="E183" s="212" t="str">
        <f t="array" ref="E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Asesor'!C185, "")
</f>
        <v>Activo</v>
      </c>
      <c r="F183" s="213">
        <f t="array" ref="F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Asesor'!D185, "")
</f>
        <v>45339</v>
      </c>
      <c r="G183" s="212" t="str">
        <f t="array" ref="G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Asesor'!E185, "")
</f>
        <v>VI0002803707</v>
      </c>
      <c r="H183" s="76">
        <f t="array" ref="H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Asesor'!F185, "")
</f>
        <v>19073.67</v>
      </c>
      <c r="I183" s="84" t="str">
        <f t="array" ref="I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Asesor'!G185, "")
</f>
        <v>UDIS</v>
      </c>
      <c r="J183" s="84" t="str">
        <f t="array" ref="J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Asesor'!H185, "")
</f>
        <v>Mensual</v>
      </c>
      <c r="K183" s="84" t="str">
        <f t="array" ref="K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Asesor'!K185, "")
</f>
        <v>TD</v>
      </c>
      <c r="L183" s="84" t="str">
        <f t="array" ref="L183">IF(OR(
    AND('BD Asesor'!H185="Mensual", MATCH($B$2, {"Enero", "Febrero", "Marzo", "Abril", "Mayo", "Junio", "Julio", "Agosto", "Septiembre", "Octubre", "Noviembre", "Diciembre"}, 0)&gt;=1),
    AND('BD Asesor'!H185="Trimestral", MOD(MATCH($B$2, {"Enero", "Febrero", "Marzo", "Abril", "Mayo", "Junio", "Julio", "Agosto", "Septiembre", "Octubre", "Noviembre"}, 0)-MONTH('BD Asesor'!D185), 3)=0),
    AND('BD Asesor'!H185="Semestral", MOD(MATCH($B$2, {"Enero", "Febrero", "Marzo", "Abril", "Mayo", "Junio", "Julio", "Agosto", "Septiembre", "Octubre", "Noviembre"}, 0)-MONTH('BD Asesor'!D185), 6)=0),
    AND('BD Asesor'!H185="Anual", MONTH('BD Asesor'!D185)=MATCH($B$2, {"Enero", "Febrero", "Marzo", "Abril", "Mayo", "Junio", "Julio", "Agosto", "Septiembre", "Octubre", "Noviembre"}, 0))
), 'BD Asesor'!L185, "")
</f>
        <v>Vida</v>
      </c>
    </row>
    <row r="184">
      <c r="C184" s="84" t="str">
        <f t="array" ref="C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Asesor'!A186, "")
</f>
        <v/>
      </c>
      <c r="D184" s="84" t="str">
        <f t="array" ref="D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Asesor'!B186, "")
</f>
        <v/>
      </c>
      <c r="E184" s="212" t="str">
        <f t="array" ref="E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Asesor'!C186, "")
</f>
        <v/>
      </c>
      <c r="F184" s="212" t="str">
        <f t="array" ref="F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Asesor'!D186, "")
</f>
        <v/>
      </c>
      <c r="G184" s="212" t="str">
        <f t="array" ref="G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Asesor'!E186, "")
</f>
        <v/>
      </c>
      <c r="H184" s="84" t="str">
        <f t="array" ref="H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Asesor'!F186, "")
</f>
        <v/>
      </c>
      <c r="I184" s="84" t="str">
        <f t="array" ref="I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Asesor'!G186, "")
</f>
        <v/>
      </c>
      <c r="J184" s="84" t="str">
        <f t="array" ref="J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Asesor'!H186, "")
</f>
        <v/>
      </c>
      <c r="K184" s="84" t="str">
        <f t="array" ref="K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Asesor'!K186, "")
</f>
        <v/>
      </c>
      <c r="L184" s="84" t="str">
        <f t="array" ref="L184">IF(OR(
    AND('BD Asesor'!H186="Mensual", MATCH($B$2, {"Enero", "Febrero", "Marzo", "Abril", "Mayo", "Junio", "Julio", "Agosto", "Septiembre", "Octubre", "Noviembre", "Diciembre"}, 0)&gt;=1),
    AND('BD Asesor'!H186="Trimestral", MOD(MATCH($B$2, {"Enero", "Febrero", "Marzo", "Abril", "Mayo", "Junio", "Julio", "Agosto", "Septiembre", "Octubre", "Noviembre"}, 0)-MONTH('BD Asesor'!D186), 3)=0),
    AND('BD Asesor'!H186="Semestral", MOD(MATCH($B$2, {"Enero", "Febrero", "Marzo", "Abril", "Mayo", "Junio", "Julio", "Agosto", "Septiembre", "Octubre", "Noviembre"}, 0)-MONTH('BD Asesor'!D186), 6)=0),
    AND('BD Asesor'!H186="Anual", MONTH('BD Asesor'!D186)=MATCH($B$2, {"Enero", "Febrero", "Marzo", "Abril", "Mayo", "Junio", "Julio", "Agosto", "Septiembre", "Octubre", "Noviembre"}, 0))
), 'BD Asesor'!L186, "")
</f>
        <v/>
      </c>
    </row>
    <row r="185">
      <c r="C185" s="84" t="str">
        <f t="array" ref="C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Asesor'!A187, "")
</f>
        <v/>
      </c>
      <c r="D185" s="84" t="str">
        <f t="array" ref="D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Asesor'!B187, "")
</f>
        <v/>
      </c>
      <c r="E185" s="212" t="str">
        <f t="array" ref="E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Asesor'!C187, "")
</f>
        <v/>
      </c>
      <c r="F185" s="212" t="str">
        <f t="array" ref="F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Asesor'!D187, "")
</f>
        <v/>
      </c>
      <c r="G185" s="212" t="str">
        <f t="array" ref="G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Asesor'!E187, "")
</f>
        <v/>
      </c>
      <c r="H185" s="84" t="str">
        <f t="array" ref="H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Asesor'!F187, "")
</f>
        <v/>
      </c>
      <c r="I185" s="84" t="str">
        <f t="array" ref="I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Asesor'!G187, "")
</f>
        <v/>
      </c>
      <c r="J185" s="84" t="str">
        <f t="array" ref="J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Asesor'!H187, "")
</f>
        <v/>
      </c>
      <c r="K185" s="84" t="str">
        <f t="array" ref="K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Asesor'!K187, "")
</f>
        <v/>
      </c>
      <c r="L185" s="84" t="str">
        <f t="array" ref="L185">IF(OR(
    AND('BD Asesor'!H187="Mensual", MATCH($B$2, {"Enero", "Febrero", "Marzo", "Abril", "Mayo", "Junio", "Julio", "Agosto", "Septiembre", "Octubre", "Noviembre", "Diciembre"}, 0)&gt;=1),
    AND('BD Asesor'!H187="Trimestral", MOD(MATCH($B$2, {"Enero", "Febrero", "Marzo", "Abril", "Mayo", "Junio", "Julio", "Agosto", "Septiembre", "Octubre", "Noviembre"}, 0)-MONTH('BD Asesor'!D187), 3)=0),
    AND('BD Asesor'!H187="Semestral", MOD(MATCH($B$2, {"Enero", "Febrero", "Marzo", "Abril", "Mayo", "Junio", "Julio", "Agosto", "Septiembre", "Octubre", "Noviembre"}, 0)-MONTH('BD Asesor'!D187), 6)=0),
    AND('BD Asesor'!H187="Anual", MONTH('BD Asesor'!D187)=MATCH($B$2, {"Enero", "Febrero", "Marzo", "Abril", "Mayo", "Junio", "Julio", "Agosto", "Septiembre", "Octubre", "Noviembre"}, 0))
), 'BD Asesor'!L187, "")
</f>
        <v/>
      </c>
    </row>
    <row r="186">
      <c r="C186" s="84" t="str">
        <f t="array" ref="C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Asesor'!A188, "")
</f>
        <v>ERIKA VALENTINA DIAZ MENDEZ
</v>
      </c>
      <c r="D186" s="84" t="str">
        <f t="array" ref="D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Asesor'!B188, "")
</f>
        <v>M</v>
      </c>
      <c r="E186" s="212" t="str">
        <f t="array" ref="E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Asesor'!C188, "")
</f>
        <v>Activo</v>
      </c>
      <c r="F186" s="213">
        <f t="array" ref="F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Asesor'!D188, "")
</f>
        <v>45371</v>
      </c>
      <c r="G186" s="212" t="str">
        <f t="array" ref="G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Asesor'!E188, "")
</f>
        <v>VI0002811699</v>
      </c>
      <c r="H186" s="76">
        <f t="array" ref="H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Asesor'!F188, "")
</f>
        <v>26535.762</v>
      </c>
      <c r="I186" s="84" t="str">
        <f t="array" ref="I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Asesor'!G188, "")
</f>
        <v>UDIS</v>
      </c>
      <c r="J186" s="84" t="str">
        <f t="array" ref="J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Asesor'!H188, "")
</f>
        <v>Semestral</v>
      </c>
      <c r="K186" s="84" t="str">
        <f t="array" ref="K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Asesor'!K188, "")
</f>
        <v>TC</v>
      </c>
      <c r="L186" s="84" t="str">
        <f t="array" ref="L186">IF(OR(
    AND('BD Asesor'!H188="Mensual", MATCH($B$2, {"Enero", "Febrero", "Marzo", "Abril", "Mayo", "Junio", "Julio", "Agosto", "Septiembre", "Octubre", "Noviembre", "Diciembre"}, 0)&gt;=1),
    AND('BD Asesor'!H188="Trimestral", MOD(MATCH($B$2, {"Enero", "Febrero", "Marzo", "Abril", "Mayo", "Junio", "Julio", "Agosto", "Septiembre", "Octubre", "Noviembre"}, 0)-MONTH('BD Asesor'!D188), 3)=0),
    AND('BD Asesor'!H188="Semestral", MOD(MATCH($B$2, {"Enero", "Febrero", "Marzo", "Abril", "Mayo", "Junio", "Julio", "Agosto", "Septiembre", "Octubre", "Noviembre"}, 0)-MONTH('BD Asesor'!D188), 6)=0),
    AND('BD Asesor'!H188="Anual", MONTH('BD Asesor'!D188)=MATCH($B$2, {"Enero", "Febrero", "Marzo", "Abril", "Mayo", "Junio", "Julio", "Agosto", "Septiembre", "Octubre", "Noviembre"}, 0))
), 'BD Asesor'!L188, "")
</f>
        <v>Vida</v>
      </c>
    </row>
    <row r="187">
      <c r="C187" s="84" t="str">
        <f t="array" ref="C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Asesor'!A189, "")
</f>
        <v>MICHELLE GARCIA CHAVEZ</v>
      </c>
      <c r="D187" s="84" t="str">
        <f t="array" ref="D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Asesor'!B189, "")
</f>
        <v>M</v>
      </c>
      <c r="E187" s="212" t="str">
        <f t="array" ref="E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Asesor'!C189, "")
</f>
        <v>Activo</v>
      </c>
      <c r="F187" s="213">
        <f t="array" ref="F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Asesor'!D189, "")
</f>
        <v>45383</v>
      </c>
      <c r="G187" s="212" t="str">
        <f t="array" ref="G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Asesor'!E189, "")
</f>
        <v>VI0002815231</v>
      </c>
      <c r="H187" s="76">
        <f t="array" ref="H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Asesor'!F189, "")
</f>
        <v>39203.271</v>
      </c>
      <c r="I187" s="84" t="str">
        <f t="array" ref="I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Asesor'!G189, "")
</f>
        <v>UDIS</v>
      </c>
      <c r="J187" s="84" t="str">
        <f t="array" ref="J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Asesor'!H189, "")
</f>
        <v>Mensual</v>
      </c>
      <c r="K187" s="84" t="str">
        <f t="array" ref="K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Asesor'!K189, "")
</f>
        <v>TC</v>
      </c>
      <c r="L187" s="84" t="str">
        <f t="array" ref="L187">IF(OR(
    AND('BD Asesor'!H189="Mensual", MATCH($B$2, {"Enero", "Febrero", "Marzo", "Abril", "Mayo", "Junio", "Julio", "Agosto", "Septiembre", "Octubre", "Noviembre", "Diciembre"}, 0)&gt;=1),
    AND('BD Asesor'!H189="Trimestral", MOD(MATCH($B$2, {"Enero", "Febrero", "Marzo", "Abril", "Mayo", "Junio", "Julio", "Agosto", "Septiembre", "Octubre", "Noviembre"}, 0)-MONTH('BD Asesor'!D189), 3)=0),
    AND('BD Asesor'!H189="Semestral", MOD(MATCH($B$2, {"Enero", "Febrero", "Marzo", "Abril", "Mayo", "Junio", "Julio", "Agosto", "Septiembre", "Octubre", "Noviembre"}, 0)-MONTH('BD Asesor'!D189), 6)=0),
    AND('BD Asesor'!H189="Anual", MONTH('BD Asesor'!D189)=MATCH($B$2, {"Enero", "Febrero", "Marzo", "Abril", "Mayo", "Junio", "Julio", "Agosto", "Septiembre", "Octubre", "Noviembre"}, 0))
), 'BD Asesor'!L189, "")
</f>
        <v>Vida</v>
      </c>
    </row>
    <row r="188">
      <c r="C188" s="84" t="str">
        <f t="array" ref="C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Asesor'!A190, "")
</f>
        <v/>
      </c>
      <c r="D188" s="84" t="str">
        <f t="array" ref="D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Asesor'!B190, "")
</f>
        <v/>
      </c>
      <c r="E188" s="212" t="str">
        <f t="array" ref="E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Asesor'!C190, "")
</f>
        <v/>
      </c>
      <c r="F188" s="212" t="str">
        <f t="array" ref="F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Asesor'!D190, "")
</f>
        <v/>
      </c>
      <c r="G188" s="212" t="str">
        <f t="array" ref="G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Asesor'!E190, "")
</f>
        <v/>
      </c>
      <c r="H188" s="84" t="str">
        <f t="array" ref="H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Asesor'!F190, "")
</f>
        <v/>
      </c>
      <c r="I188" s="84" t="str">
        <f t="array" ref="I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Asesor'!G190, "")
</f>
        <v/>
      </c>
      <c r="J188" s="84" t="str">
        <f t="array" ref="J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Asesor'!H190, "")
</f>
        <v/>
      </c>
      <c r="K188" s="84" t="str">
        <f t="array" ref="K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Asesor'!K190, "")
</f>
        <v/>
      </c>
      <c r="L188" s="84" t="str">
        <f t="array" ref="L188">IF(OR(
    AND('BD Asesor'!H190="Mensual", MATCH($B$2, {"Enero", "Febrero", "Marzo", "Abril", "Mayo", "Junio", "Julio", "Agosto", "Septiembre", "Octubre", "Noviembre", "Diciembre"}, 0)&gt;=1),
    AND('BD Asesor'!H190="Trimestral", MOD(MATCH($B$2, {"Enero", "Febrero", "Marzo", "Abril", "Mayo", "Junio", "Julio", "Agosto", "Septiembre", "Octubre", "Noviembre"}, 0)-MONTH('BD Asesor'!D190), 3)=0),
    AND('BD Asesor'!H190="Semestral", MOD(MATCH($B$2, {"Enero", "Febrero", "Marzo", "Abril", "Mayo", "Junio", "Julio", "Agosto", "Septiembre", "Octubre", "Noviembre"}, 0)-MONTH('BD Asesor'!D190), 6)=0),
    AND('BD Asesor'!H190="Anual", MONTH('BD Asesor'!D190)=MATCH($B$2, {"Enero", "Febrero", "Marzo", "Abril", "Mayo", "Junio", "Julio", "Agosto", "Septiembre", "Octubre", "Noviembre"}, 0))
), 'BD Asesor'!L190, "")
</f>
        <v/>
      </c>
    </row>
    <row r="189">
      <c r="C189" s="84" t="str">
        <f t="array" ref="C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Asesor'!A191, "")
</f>
        <v>VENUS ELIZABETH SILVA SANTANA</v>
      </c>
      <c r="D189" s="84" t="str">
        <f t="array" ref="D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Asesor'!B191, "")
</f>
        <v>M</v>
      </c>
      <c r="E189" s="212" t="str">
        <f t="array" ref="E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Asesor'!C191, "")
</f>
        <v>Activo</v>
      </c>
      <c r="F189" s="213">
        <f t="array" ref="F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Asesor'!D191, "")
</f>
        <v>45400</v>
      </c>
      <c r="G189" s="212" t="str">
        <f t="array" ref="G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Asesor'!E191, "")
</f>
        <v>VI0002818961</v>
      </c>
      <c r="H189" s="76">
        <f t="array" ref="H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Asesor'!F191, "")
</f>
        <v>25546.4925</v>
      </c>
      <c r="I189" s="84" t="str">
        <f t="array" ref="I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Asesor'!G191, "")
</f>
        <v>UDIS</v>
      </c>
      <c r="J189" s="84" t="str">
        <f t="array" ref="J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Asesor'!H191, "")
</f>
        <v>Mensual</v>
      </c>
      <c r="K189" s="84" t="str">
        <f t="array" ref="K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Asesor'!K191, "")
</f>
        <v>TD</v>
      </c>
      <c r="L189" s="84" t="str">
        <f t="array" ref="L189">IF(OR(
    AND('BD Asesor'!H191="Mensual", MATCH($B$2, {"Enero", "Febrero", "Marzo", "Abril", "Mayo", "Junio", "Julio", "Agosto", "Septiembre", "Octubre", "Noviembre", "Diciembre"}, 0)&gt;=1),
    AND('BD Asesor'!H191="Trimestral", MOD(MATCH($B$2, {"Enero", "Febrero", "Marzo", "Abril", "Mayo", "Junio", "Julio", "Agosto", "Septiembre", "Octubre", "Noviembre"}, 0)-MONTH('BD Asesor'!D191), 3)=0),
    AND('BD Asesor'!H191="Semestral", MOD(MATCH($B$2, {"Enero", "Febrero", "Marzo", "Abril", "Mayo", "Junio", "Julio", "Agosto", "Septiembre", "Octubre", "Noviembre"}, 0)-MONTH('BD Asesor'!D191), 6)=0),
    AND('BD Asesor'!H191="Anual", MONTH('BD Asesor'!D191)=MATCH($B$2, {"Enero", "Febrero", "Marzo", "Abril", "Mayo", "Junio", "Julio", "Agosto", "Septiembre", "Octubre", "Noviembre"}, 0))
), 'BD Asesor'!L191, "")
</f>
        <v>Vida</v>
      </c>
    </row>
    <row r="190">
      <c r="C190" s="84" t="str">
        <f t="array" ref="C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Asesor'!A192, "")
</f>
        <v/>
      </c>
      <c r="D190" s="84" t="str">
        <f t="array" ref="D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Asesor'!B192, "")
</f>
        <v/>
      </c>
      <c r="E190" s="212" t="str">
        <f t="array" ref="E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Asesor'!C192, "")
</f>
        <v/>
      </c>
      <c r="F190" s="212" t="str">
        <f t="array" ref="F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Asesor'!D192, "")
</f>
        <v/>
      </c>
      <c r="G190" s="212" t="str">
        <f t="array" ref="G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Asesor'!E192, "")
</f>
        <v/>
      </c>
      <c r="H190" s="84" t="str">
        <f t="array" ref="H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Asesor'!F192, "")
</f>
        <v/>
      </c>
      <c r="I190" s="84" t="str">
        <f t="array" ref="I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Asesor'!G192, "")
</f>
        <v/>
      </c>
      <c r="J190" s="84" t="str">
        <f t="array" ref="J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Asesor'!H192, "")
</f>
        <v/>
      </c>
      <c r="K190" s="84" t="str">
        <f t="array" ref="K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Asesor'!K192, "")
</f>
        <v/>
      </c>
      <c r="L190" s="84" t="str">
        <f t="array" ref="L190">IF(OR(
    AND('BD Asesor'!H192="Mensual", MATCH($B$2, {"Enero", "Febrero", "Marzo", "Abril", "Mayo", "Junio", "Julio", "Agosto", "Septiembre", "Octubre", "Noviembre", "Diciembre"}, 0)&gt;=1),
    AND('BD Asesor'!H192="Trimestral", MOD(MATCH($B$2, {"Enero", "Febrero", "Marzo", "Abril", "Mayo", "Junio", "Julio", "Agosto", "Septiembre", "Octubre", "Noviembre"}, 0)-MONTH('BD Asesor'!D192), 3)=0),
    AND('BD Asesor'!H192="Semestral", MOD(MATCH($B$2, {"Enero", "Febrero", "Marzo", "Abril", "Mayo", "Junio", "Julio", "Agosto", "Septiembre", "Octubre", "Noviembre"}, 0)-MONTH('BD Asesor'!D192), 6)=0),
    AND('BD Asesor'!H192="Anual", MONTH('BD Asesor'!D192)=MATCH($B$2, {"Enero", "Febrero", "Marzo", "Abril", "Mayo", "Junio", "Julio", "Agosto", "Septiembre", "Octubre", "Noviembre"}, 0))
), 'BD Asesor'!L192, "")
</f>
        <v/>
      </c>
    </row>
    <row r="191">
      <c r="C191" s="84" t="str">
        <f t="array" ref="C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Asesor'!A193, "")
</f>
        <v/>
      </c>
      <c r="D191" s="84" t="str">
        <f t="array" ref="D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Asesor'!B193, "")
</f>
        <v/>
      </c>
      <c r="E191" s="212" t="str">
        <f t="array" ref="E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Asesor'!C193, "")
</f>
        <v/>
      </c>
      <c r="F191" s="212" t="str">
        <f t="array" ref="F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Asesor'!D193, "")
</f>
        <v/>
      </c>
      <c r="G191" s="212" t="str">
        <f t="array" ref="G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Asesor'!E193, "")
</f>
        <v/>
      </c>
      <c r="H191" s="84" t="str">
        <f t="array" ref="H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Asesor'!F193, "")
</f>
        <v/>
      </c>
      <c r="I191" s="84" t="str">
        <f t="array" ref="I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Asesor'!G193, "")
</f>
        <v/>
      </c>
      <c r="J191" s="84" t="str">
        <f t="array" ref="J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Asesor'!H193, "")
</f>
        <v/>
      </c>
      <c r="K191" s="84" t="str">
        <f t="array" ref="K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Asesor'!K193, "")
</f>
        <v/>
      </c>
      <c r="L191" s="84" t="str">
        <f t="array" ref="L191">IF(OR(
    AND('BD Asesor'!H193="Mensual", MATCH($B$2, {"Enero", "Febrero", "Marzo", "Abril", "Mayo", "Junio", "Julio", "Agosto", "Septiembre", "Octubre", "Noviembre", "Diciembre"}, 0)&gt;=1),
    AND('BD Asesor'!H193="Trimestral", MOD(MATCH($B$2, {"Enero", "Febrero", "Marzo", "Abril", "Mayo", "Junio", "Julio", "Agosto", "Septiembre", "Octubre", "Noviembre"}, 0)-MONTH('BD Asesor'!D193), 3)=0),
    AND('BD Asesor'!H193="Semestral", MOD(MATCH($B$2, {"Enero", "Febrero", "Marzo", "Abril", "Mayo", "Junio", "Julio", "Agosto", "Septiembre", "Octubre", "Noviembre"}, 0)-MONTH('BD Asesor'!D193), 6)=0),
    AND('BD Asesor'!H193="Anual", MONTH('BD Asesor'!D193)=MATCH($B$2, {"Enero", "Febrero", "Marzo", "Abril", "Mayo", "Junio", "Julio", "Agosto", "Septiembre", "Octubre", "Noviembre"}, 0))
), 'BD Asesor'!L193, "")
</f>
        <v/>
      </c>
    </row>
    <row r="192">
      <c r="C192" s="84" t="str">
        <f t="array" ref="C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Asesor'!A194, "")
</f>
        <v/>
      </c>
      <c r="D192" s="84" t="str">
        <f t="array" ref="D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Asesor'!B194, "")
</f>
        <v/>
      </c>
      <c r="E192" s="212" t="str">
        <f t="array" ref="E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Asesor'!C194, "")
</f>
        <v/>
      </c>
      <c r="F192" s="212" t="str">
        <f t="array" ref="F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Asesor'!D194, "")
</f>
        <v/>
      </c>
      <c r="G192" s="212" t="str">
        <f t="array" ref="G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Asesor'!E194, "")
</f>
        <v/>
      </c>
      <c r="H192" s="84" t="str">
        <f t="array" ref="H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Asesor'!F194, "")
</f>
        <v/>
      </c>
      <c r="I192" s="84" t="str">
        <f t="array" ref="I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Asesor'!G194, "")
</f>
        <v/>
      </c>
      <c r="J192" s="84" t="str">
        <f t="array" ref="J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Asesor'!H194, "")
</f>
        <v/>
      </c>
      <c r="K192" s="84" t="str">
        <f t="array" ref="K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Asesor'!K194, "")
</f>
        <v/>
      </c>
      <c r="L192" s="84" t="str">
        <f t="array" ref="L192">IF(OR(
    AND('BD Asesor'!H194="Mensual", MATCH($B$2, {"Enero", "Febrero", "Marzo", "Abril", "Mayo", "Junio", "Julio", "Agosto", "Septiembre", "Octubre", "Noviembre", "Diciembre"}, 0)&gt;=1),
    AND('BD Asesor'!H194="Trimestral", MOD(MATCH($B$2, {"Enero", "Febrero", "Marzo", "Abril", "Mayo", "Junio", "Julio", "Agosto", "Septiembre", "Octubre", "Noviembre"}, 0)-MONTH('BD Asesor'!D194), 3)=0),
    AND('BD Asesor'!H194="Semestral", MOD(MATCH($B$2, {"Enero", "Febrero", "Marzo", "Abril", "Mayo", "Junio", "Julio", "Agosto", "Septiembre", "Octubre", "Noviembre"}, 0)-MONTH('BD Asesor'!D194), 6)=0),
    AND('BD Asesor'!H194="Anual", MONTH('BD Asesor'!D194)=MATCH($B$2, {"Enero", "Febrero", "Marzo", "Abril", "Mayo", "Junio", "Julio", "Agosto", "Septiembre", "Octubre", "Noviembre"}, 0))
), 'BD Asesor'!L194, "")
</f>
        <v/>
      </c>
    </row>
    <row r="193">
      <c r="C193" s="84" t="str">
        <f t="array" ref="C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Asesor'!A195, "")
</f>
        <v/>
      </c>
      <c r="D193" s="84" t="str">
        <f t="array" ref="D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Asesor'!B195, "")
</f>
        <v/>
      </c>
      <c r="E193" s="212" t="str">
        <f t="array" ref="E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Asesor'!C195, "")
</f>
        <v/>
      </c>
      <c r="F193" s="212" t="str">
        <f t="array" ref="F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Asesor'!D195, "")
</f>
        <v/>
      </c>
      <c r="G193" s="212" t="str">
        <f t="array" ref="G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Asesor'!E195, "")
</f>
        <v/>
      </c>
      <c r="H193" s="84" t="str">
        <f t="array" ref="H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Asesor'!F195, "")
</f>
        <v/>
      </c>
      <c r="I193" s="84" t="str">
        <f t="array" ref="I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Asesor'!G195, "")
</f>
        <v/>
      </c>
      <c r="J193" s="84" t="str">
        <f t="array" ref="J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Asesor'!H195, "")
</f>
        <v/>
      </c>
      <c r="K193" s="84" t="str">
        <f t="array" ref="K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Asesor'!K195, "")
</f>
        <v/>
      </c>
      <c r="L193" s="84" t="str">
        <f t="array" ref="L193">IF(OR(
    AND('BD Asesor'!H195="Mensual", MATCH($B$2, {"Enero", "Febrero", "Marzo", "Abril", "Mayo", "Junio", "Julio", "Agosto", "Septiembre", "Octubre", "Noviembre", "Diciembre"}, 0)&gt;=1),
    AND('BD Asesor'!H195="Trimestral", MOD(MATCH($B$2, {"Enero", "Febrero", "Marzo", "Abril", "Mayo", "Junio", "Julio", "Agosto", "Septiembre", "Octubre", "Noviembre"}, 0)-MONTH('BD Asesor'!D195), 3)=0),
    AND('BD Asesor'!H195="Semestral", MOD(MATCH($B$2, {"Enero", "Febrero", "Marzo", "Abril", "Mayo", "Junio", "Julio", "Agosto", "Septiembre", "Octubre", "Noviembre"}, 0)-MONTH('BD Asesor'!D195), 6)=0),
    AND('BD Asesor'!H195="Anual", MONTH('BD Asesor'!D195)=MATCH($B$2, {"Enero", "Febrero", "Marzo", "Abril", "Mayo", "Junio", "Julio", "Agosto", "Septiembre", "Octubre", "Noviembre"}, 0))
), 'BD Asesor'!L195, "")
</f>
        <v/>
      </c>
    </row>
    <row r="194">
      <c r="C194" s="84" t="str">
        <f t="array" ref="C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Asesor'!A196, "")
</f>
        <v/>
      </c>
      <c r="D194" s="84" t="str">
        <f t="array" ref="D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Asesor'!B196, "")
</f>
        <v/>
      </c>
      <c r="E194" s="212" t="str">
        <f t="array" ref="E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Asesor'!C196, "")
</f>
        <v/>
      </c>
      <c r="F194" s="212" t="str">
        <f t="array" ref="F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Asesor'!D196, "")
</f>
        <v/>
      </c>
      <c r="G194" s="212" t="str">
        <f t="array" ref="G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Asesor'!E196, "")
</f>
        <v/>
      </c>
      <c r="H194" s="84" t="str">
        <f t="array" ref="H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Asesor'!F196, "")
</f>
        <v/>
      </c>
      <c r="I194" s="84" t="str">
        <f t="array" ref="I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Asesor'!G196, "")
</f>
        <v/>
      </c>
      <c r="J194" s="84" t="str">
        <f t="array" ref="J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Asesor'!H196, "")
</f>
        <v/>
      </c>
      <c r="K194" s="84" t="str">
        <f t="array" ref="K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Asesor'!K196, "")
</f>
        <v/>
      </c>
      <c r="L194" s="84" t="str">
        <f t="array" ref="L194">IF(OR(
    AND('BD Asesor'!H196="Mensual", MATCH($B$2, {"Enero", "Febrero", "Marzo", "Abril", "Mayo", "Junio", "Julio", "Agosto", "Septiembre", "Octubre", "Noviembre", "Diciembre"}, 0)&gt;=1),
    AND('BD Asesor'!H196="Trimestral", MOD(MATCH($B$2, {"Enero", "Febrero", "Marzo", "Abril", "Mayo", "Junio", "Julio", "Agosto", "Septiembre", "Octubre", "Noviembre"}, 0)-MONTH('BD Asesor'!D196), 3)=0),
    AND('BD Asesor'!H196="Semestral", MOD(MATCH($B$2, {"Enero", "Febrero", "Marzo", "Abril", "Mayo", "Junio", "Julio", "Agosto", "Septiembre", "Octubre", "Noviembre"}, 0)-MONTH('BD Asesor'!D196), 6)=0),
    AND('BD Asesor'!H196="Anual", MONTH('BD Asesor'!D196)=MATCH($B$2, {"Enero", "Febrero", "Marzo", "Abril", "Mayo", "Junio", "Julio", "Agosto", "Septiembre", "Octubre", "Noviembre"}, 0))
), 'BD Asesor'!L196, "")
</f>
        <v/>
      </c>
    </row>
    <row r="195">
      <c r="C195" s="84" t="str">
        <f t="array" ref="C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Asesor'!A197, "")
</f>
        <v/>
      </c>
      <c r="D195" s="84" t="str">
        <f t="array" ref="D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Asesor'!B197, "")
</f>
        <v/>
      </c>
      <c r="E195" s="212" t="str">
        <f t="array" ref="E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Asesor'!C197, "")
</f>
        <v/>
      </c>
      <c r="F195" s="212" t="str">
        <f t="array" ref="F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Asesor'!D197, "")
</f>
        <v/>
      </c>
      <c r="G195" s="212" t="str">
        <f t="array" ref="G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Asesor'!E197, "")
</f>
        <v/>
      </c>
      <c r="H195" s="84" t="str">
        <f t="array" ref="H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Asesor'!F197, "")
</f>
        <v/>
      </c>
      <c r="I195" s="84" t="str">
        <f t="array" ref="I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Asesor'!G197, "")
</f>
        <v/>
      </c>
      <c r="J195" s="84" t="str">
        <f t="array" ref="J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Asesor'!H197, "")
</f>
        <v/>
      </c>
      <c r="K195" s="84" t="str">
        <f t="array" ref="K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Asesor'!K197, "")
</f>
        <v/>
      </c>
      <c r="L195" s="84" t="str">
        <f t="array" ref="L195">IF(OR(
    AND('BD Asesor'!H197="Mensual", MATCH($B$2, {"Enero", "Febrero", "Marzo", "Abril", "Mayo", "Junio", "Julio", "Agosto", "Septiembre", "Octubre", "Noviembre", "Diciembre"}, 0)&gt;=1),
    AND('BD Asesor'!H197="Trimestral", MOD(MATCH($B$2, {"Enero", "Febrero", "Marzo", "Abril", "Mayo", "Junio", "Julio", "Agosto", "Septiembre", "Octubre", "Noviembre"}, 0)-MONTH('BD Asesor'!D197), 3)=0),
    AND('BD Asesor'!H197="Semestral", MOD(MATCH($B$2, {"Enero", "Febrero", "Marzo", "Abril", "Mayo", "Junio", "Julio", "Agosto", "Septiembre", "Octubre", "Noviembre"}, 0)-MONTH('BD Asesor'!D197), 6)=0),
    AND('BD Asesor'!H197="Anual", MONTH('BD Asesor'!D197)=MATCH($B$2, {"Enero", "Febrero", "Marzo", "Abril", "Mayo", "Junio", "Julio", "Agosto", "Septiembre", "Octubre", "Noviembre"}, 0))
), 'BD Asesor'!L197, "")
</f>
        <v/>
      </c>
    </row>
    <row r="196">
      <c r="C196" s="84" t="str">
        <f t="array" ref="C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Asesor'!A198, "")
</f>
        <v/>
      </c>
      <c r="D196" s="84" t="str">
        <f t="array" ref="D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Asesor'!B198, "")
</f>
        <v/>
      </c>
      <c r="E196" s="212" t="str">
        <f t="array" ref="E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Asesor'!C198, "")
</f>
        <v/>
      </c>
      <c r="F196" s="212" t="str">
        <f t="array" ref="F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Asesor'!D198, "")
</f>
        <v/>
      </c>
      <c r="G196" s="212" t="str">
        <f t="array" ref="G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Asesor'!E198, "")
</f>
        <v/>
      </c>
      <c r="H196" s="84" t="str">
        <f t="array" ref="H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Asesor'!F198, "")
</f>
        <v/>
      </c>
      <c r="I196" s="84" t="str">
        <f t="array" ref="I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Asesor'!G198, "")
</f>
        <v/>
      </c>
      <c r="J196" s="84" t="str">
        <f t="array" ref="J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Asesor'!H198, "")
</f>
        <v/>
      </c>
      <c r="K196" s="84" t="str">
        <f t="array" ref="K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Asesor'!K198, "")
</f>
        <v/>
      </c>
      <c r="L196" s="84" t="str">
        <f t="array" ref="L196">IF(OR(
    AND('BD Asesor'!H198="Mensual", MATCH($B$2, {"Enero", "Febrero", "Marzo", "Abril", "Mayo", "Junio", "Julio", "Agosto", "Septiembre", "Octubre", "Noviembre", "Diciembre"}, 0)&gt;=1),
    AND('BD Asesor'!H198="Trimestral", MOD(MATCH($B$2, {"Enero", "Febrero", "Marzo", "Abril", "Mayo", "Junio", "Julio", "Agosto", "Septiembre", "Octubre", "Noviembre"}, 0)-MONTH('BD Asesor'!D198), 3)=0),
    AND('BD Asesor'!H198="Semestral", MOD(MATCH($B$2, {"Enero", "Febrero", "Marzo", "Abril", "Mayo", "Junio", "Julio", "Agosto", "Septiembre", "Octubre", "Noviembre"}, 0)-MONTH('BD Asesor'!D198), 6)=0),
    AND('BD Asesor'!H198="Anual", MONTH('BD Asesor'!D198)=MATCH($B$2, {"Enero", "Febrero", "Marzo", "Abril", "Mayo", "Junio", "Julio", "Agosto", "Septiembre", "Octubre", "Noviembre"}, 0))
), 'BD Asesor'!L198, "")
</f>
        <v/>
      </c>
    </row>
    <row r="197">
      <c r="C197" s="84" t="str">
        <f t="array" ref="C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Asesor'!A199, "")
</f>
        <v/>
      </c>
      <c r="D197" s="84" t="str">
        <f t="array" ref="D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Asesor'!B199, "")
</f>
        <v/>
      </c>
      <c r="E197" s="212" t="str">
        <f t="array" ref="E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Asesor'!C199, "")
</f>
        <v/>
      </c>
      <c r="F197" s="212" t="str">
        <f t="array" ref="F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Asesor'!D199, "")
</f>
        <v/>
      </c>
      <c r="G197" s="212" t="str">
        <f t="array" ref="G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Asesor'!E199, "")
</f>
        <v/>
      </c>
      <c r="H197" s="84" t="str">
        <f t="array" ref="H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Asesor'!F199, "")
</f>
        <v/>
      </c>
      <c r="I197" s="84" t="str">
        <f t="array" ref="I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Asesor'!G199, "")
</f>
        <v/>
      </c>
      <c r="J197" s="84" t="str">
        <f t="array" ref="J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Asesor'!H199, "")
</f>
        <v/>
      </c>
      <c r="K197" s="84" t="str">
        <f t="array" ref="K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Asesor'!K199, "")
</f>
        <v/>
      </c>
      <c r="L197" s="84" t="str">
        <f t="array" ref="L197">IF(OR(
    AND('BD Asesor'!H199="Mensual", MATCH($B$2, {"Enero", "Febrero", "Marzo", "Abril", "Mayo", "Junio", "Julio", "Agosto", "Septiembre", "Octubre", "Noviembre", "Diciembre"}, 0)&gt;=1),
    AND('BD Asesor'!H199="Trimestral", MOD(MATCH($B$2, {"Enero", "Febrero", "Marzo", "Abril", "Mayo", "Junio", "Julio", "Agosto", "Septiembre", "Octubre", "Noviembre"}, 0)-MONTH('BD Asesor'!D199), 3)=0),
    AND('BD Asesor'!H199="Semestral", MOD(MATCH($B$2, {"Enero", "Febrero", "Marzo", "Abril", "Mayo", "Junio", "Julio", "Agosto", "Septiembre", "Octubre", "Noviembre"}, 0)-MONTH('BD Asesor'!D199), 6)=0),
    AND('BD Asesor'!H199="Anual", MONTH('BD Asesor'!D199)=MATCH($B$2, {"Enero", "Febrero", "Marzo", "Abril", "Mayo", "Junio", "Julio", "Agosto", "Septiembre", "Octubre", "Noviembre"}, 0))
), 'BD Asesor'!L199, "")
</f>
        <v/>
      </c>
    </row>
    <row r="198">
      <c r="C198" s="84" t="str">
        <f t="array" ref="C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Asesor'!A200, "")
</f>
        <v>MARIO HUMBERTO VILLANUEVA IBARRA</v>
      </c>
      <c r="D198" s="84" t="str">
        <f t="array" ref="D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Asesor'!B200, "")
</f>
        <v>H</v>
      </c>
      <c r="E198" s="212" t="str">
        <f t="array" ref="E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Asesor'!C200, "")
</f>
        <v>Activo</v>
      </c>
      <c r="F198" s="213">
        <f t="array" ref="F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Asesor'!D200, "")
</f>
        <v>45457</v>
      </c>
      <c r="G198" s="212" t="str">
        <f t="array" ref="G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Asesor'!E200, "")
</f>
        <v>VI0002832905</v>
      </c>
      <c r="H198" s="76">
        <f t="array" ref="H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Asesor'!F200, "")
</f>
        <v>67082.9112</v>
      </c>
      <c r="I198" s="84" t="str">
        <f t="array" ref="I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Asesor'!G200, "")
</f>
        <v>USD</v>
      </c>
      <c r="J198" s="84" t="str">
        <f t="array" ref="J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Asesor'!H200, "")
</f>
        <v>Mensual</v>
      </c>
      <c r="K198" s="84" t="str">
        <f t="array" ref="K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Asesor'!K200, "")
</f>
        <v>TD</v>
      </c>
      <c r="L198" s="84" t="str">
        <f t="array" ref="L198">IF(OR(
    AND('BD Asesor'!H200="Mensual", MATCH($B$2, {"Enero", "Febrero", "Marzo", "Abril", "Mayo", "Junio", "Julio", "Agosto", "Septiembre", "Octubre", "Noviembre", "Diciembre"}, 0)&gt;=1),
    AND('BD Asesor'!H200="Trimestral", MOD(MATCH($B$2, {"Enero", "Febrero", "Marzo", "Abril", "Mayo", "Junio", "Julio", "Agosto", "Septiembre", "Octubre", "Noviembre"}, 0)-MONTH('BD Asesor'!D200), 3)=0),
    AND('BD Asesor'!H200="Semestral", MOD(MATCH($B$2, {"Enero", "Febrero", "Marzo", "Abril", "Mayo", "Junio", "Julio", "Agosto", "Septiembre", "Octubre", "Noviembre"}, 0)-MONTH('BD Asesor'!D200), 6)=0),
    AND('BD Asesor'!H200="Anual", MONTH('BD Asesor'!D200)=MATCH($B$2, {"Enero", "Febrero", "Marzo", "Abril", "Mayo", "Junio", "Julio", "Agosto", "Septiembre", "Octubre", "Noviembre"}, 0))
), 'BD Asesor'!L200, "")
</f>
        <v>Vida</v>
      </c>
    </row>
    <row r="199">
      <c r="C199" s="84" t="str">
        <f t="array" ref="C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Asesor'!A201, "")
</f>
        <v/>
      </c>
      <c r="D199" s="84" t="str">
        <f t="array" ref="D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Asesor'!B201, "")
</f>
        <v/>
      </c>
      <c r="E199" s="212" t="str">
        <f t="array" ref="E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Asesor'!C201, "")
</f>
        <v/>
      </c>
      <c r="F199" s="212" t="str">
        <f t="array" ref="F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Asesor'!D201, "")
</f>
        <v/>
      </c>
      <c r="G199" s="212" t="str">
        <f t="array" ref="G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Asesor'!E201, "")
</f>
        <v/>
      </c>
      <c r="H199" s="84" t="str">
        <f t="array" ref="H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Asesor'!F201, "")
</f>
        <v/>
      </c>
      <c r="I199" s="84" t="str">
        <f t="array" ref="I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Asesor'!G201, "")
</f>
        <v/>
      </c>
      <c r="J199" s="84" t="str">
        <f t="array" ref="J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Asesor'!H201, "")
</f>
        <v/>
      </c>
      <c r="K199" s="84" t="str">
        <f t="array" ref="K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Asesor'!K201, "")
</f>
        <v/>
      </c>
      <c r="L199" s="84" t="str">
        <f t="array" ref="L199">IF(OR(
    AND('BD Asesor'!H201="Mensual", MATCH($B$2, {"Enero", "Febrero", "Marzo", "Abril", "Mayo", "Junio", "Julio", "Agosto", "Septiembre", "Octubre", "Noviembre", "Diciembre"}, 0)&gt;=1),
    AND('BD Asesor'!H201="Trimestral", MOD(MATCH($B$2, {"Enero", "Febrero", "Marzo", "Abril", "Mayo", "Junio", "Julio", "Agosto", "Septiembre", "Octubre", "Noviembre"}, 0)-MONTH('BD Asesor'!D201), 3)=0),
    AND('BD Asesor'!H201="Semestral", MOD(MATCH($B$2, {"Enero", "Febrero", "Marzo", "Abril", "Mayo", "Junio", "Julio", "Agosto", "Septiembre", "Octubre", "Noviembre"}, 0)-MONTH('BD Asesor'!D201), 6)=0),
    AND('BD Asesor'!H201="Anual", MONTH('BD Asesor'!D201)=MATCH($B$2, {"Enero", "Febrero", "Marzo", "Abril", "Mayo", "Junio", "Julio", "Agosto", "Septiembre", "Octubre", "Noviembre"}, 0))
), 'BD Asesor'!L201, "")
</f>
        <v/>
      </c>
    </row>
    <row r="200">
      <c r="C200" s="84" t="str">
        <f t="array" ref="C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Asesor'!A202, "")
</f>
        <v/>
      </c>
      <c r="D200" s="84" t="str">
        <f t="array" ref="D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Asesor'!B202, "")
</f>
        <v/>
      </c>
      <c r="E200" s="212" t="str">
        <f t="array" ref="E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Asesor'!C202, "")
</f>
        <v/>
      </c>
      <c r="F200" s="212" t="str">
        <f t="array" ref="F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Asesor'!D202, "")
</f>
        <v/>
      </c>
      <c r="G200" s="212" t="str">
        <f t="array" ref="G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Asesor'!E202, "")
</f>
        <v/>
      </c>
      <c r="H200" s="84" t="str">
        <f t="array" ref="H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Asesor'!F202, "")
</f>
        <v/>
      </c>
      <c r="I200" s="84" t="str">
        <f t="array" ref="I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Asesor'!G202, "")
</f>
        <v/>
      </c>
      <c r="J200" s="84" t="str">
        <f t="array" ref="J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Asesor'!H202, "")
</f>
        <v/>
      </c>
      <c r="K200" s="84" t="str">
        <f t="array" ref="K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Asesor'!K202, "")
</f>
        <v/>
      </c>
      <c r="L200" s="84" t="str">
        <f t="array" ref="L200">IF(OR(
    AND('BD Asesor'!H202="Mensual", MATCH($B$2, {"Enero", "Febrero", "Marzo", "Abril", "Mayo", "Junio", "Julio", "Agosto", "Septiembre", "Octubre", "Noviembre", "Diciembre"}, 0)&gt;=1),
    AND('BD Asesor'!H202="Trimestral", MOD(MATCH($B$2, {"Enero", "Febrero", "Marzo", "Abril", "Mayo", "Junio", "Julio", "Agosto", "Septiembre", "Octubre", "Noviembre"}, 0)-MONTH('BD Asesor'!D202), 3)=0),
    AND('BD Asesor'!H202="Semestral", MOD(MATCH($B$2, {"Enero", "Febrero", "Marzo", "Abril", "Mayo", "Junio", "Julio", "Agosto", "Septiembre", "Octubre", "Noviembre"}, 0)-MONTH('BD Asesor'!D202), 6)=0),
    AND('BD Asesor'!H202="Anual", MONTH('BD Asesor'!D202)=MATCH($B$2, {"Enero", "Febrero", "Marzo", "Abril", "Mayo", "Junio", "Julio", "Agosto", "Septiembre", "Octubre", "Noviembre"}, 0))
), 'BD Asesor'!L202, "")
</f>
        <v/>
      </c>
    </row>
    <row r="201">
      <c r="C201" s="84" t="str">
        <f t="array" ref="C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Asesor'!A203, "")
</f>
        <v/>
      </c>
      <c r="D201" s="84" t="str">
        <f t="array" ref="D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Asesor'!B203, "")
</f>
        <v/>
      </c>
      <c r="E201" s="212" t="str">
        <f t="array" ref="E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Asesor'!C203, "")
</f>
        <v/>
      </c>
      <c r="F201" s="212" t="str">
        <f t="array" ref="F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Asesor'!D203, "")
</f>
        <v/>
      </c>
      <c r="G201" s="212" t="str">
        <f t="array" ref="G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Asesor'!E203, "")
</f>
        <v/>
      </c>
      <c r="H201" s="84" t="str">
        <f t="array" ref="H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Asesor'!F203, "")
</f>
        <v/>
      </c>
      <c r="I201" s="84" t="str">
        <f t="array" ref="I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Asesor'!G203, "")
</f>
        <v/>
      </c>
      <c r="J201" s="84" t="str">
        <f t="array" ref="J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Asesor'!H203, "")
</f>
        <v/>
      </c>
      <c r="K201" s="84" t="str">
        <f t="array" ref="K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Asesor'!K203, "")
</f>
        <v/>
      </c>
      <c r="L201" s="84" t="str">
        <f t="array" ref="L201">IF(OR(
    AND('BD Asesor'!H203="Mensual", MATCH($B$2, {"Enero", "Febrero", "Marzo", "Abril", "Mayo", "Junio", "Julio", "Agosto", "Septiembre", "Octubre", "Noviembre", "Diciembre"}, 0)&gt;=1),
    AND('BD Asesor'!H203="Trimestral", MOD(MATCH($B$2, {"Enero", "Febrero", "Marzo", "Abril", "Mayo", "Junio", "Julio", "Agosto", "Septiembre", "Octubre", "Noviembre"}, 0)-MONTH('BD Asesor'!D203), 3)=0),
    AND('BD Asesor'!H203="Semestral", MOD(MATCH($B$2, {"Enero", "Febrero", "Marzo", "Abril", "Mayo", "Junio", "Julio", "Agosto", "Septiembre", "Octubre", "Noviembre"}, 0)-MONTH('BD Asesor'!D203), 6)=0),
    AND('BD Asesor'!H203="Anual", MONTH('BD Asesor'!D203)=MATCH($B$2, {"Enero", "Febrero", "Marzo", "Abril", "Mayo", "Junio", "Julio", "Agosto", "Septiembre", "Octubre", "Noviembre"}, 0))
), 'BD Asesor'!L203, "")
</f>
        <v/>
      </c>
    </row>
    <row r="202">
      <c r="C202" s="84" t="str">
        <f t="array" ref="C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Asesor'!A204, "")
</f>
        <v/>
      </c>
      <c r="D202" s="84" t="str">
        <f t="array" ref="D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Asesor'!B204, "")
</f>
        <v/>
      </c>
      <c r="E202" s="212" t="str">
        <f t="array" ref="E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Asesor'!C204, "")
</f>
        <v/>
      </c>
      <c r="F202" s="212" t="str">
        <f t="array" ref="F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Asesor'!D204, "")
</f>
        <v/>
      </c>
      <c r="G202" s="212" t="str">
        <f t="array" ref="G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Asesor'!E204, "")
</f>
        <v/>
      </c>
      <c r="H202" s="84" t="str">
        <f t="array" ref="H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Asesor'!F204, "")
</f>
        <v/>
      </c>
      <c r="I202" s="84" t="str">
        <f t="array" ref="I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Asesor'!G204, "")
</f>
        <v/>
      </c>
      <c r="J202" s="84" t="str">
        <f t="array" ref="J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Asesor'!H204, "")
</f>
        <v/>
      </c>
      <c r="K202" s="84" t="str">
        <f t="array" ref="K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Asesor'!K204, "")
</f>
        <v/>
      </c>
      <c r="L202" s="84" t="str">
        <f t="array" ref="L202">IF(OR(
    AND('BD Asesor'!H204="Mensual", MATCH($B$2, {"Enero", "Febrero", "Marzo", "Abril", "Mayo", "Junio", "Julio", "Agosto", "Septiembre", "Octubre", "Noviembre", "Diciembre"}, 0)&gt;=1),
    AND('BD Asesor'!H204="Trimestral", MOD(MATCH($B$2, {"Enero", "Febrero", "Marzo", "Abril", "Mayo", "Junio", "Julio", "Agosto", "Septiembre", "Octubre", "Noviembre"}, 0)-MONTH('BD Asesor'!D204), 3)=0),
    AND('BD Asesor'!H204="Semestral", MOD(MATCH($B$2, {"Enero", "Febrero", "Marzo", "Abril", "Mayo", "Junio", "Julio", "Agosto", "Septiembre", "Octubre", "Noviembre"}, 0)-MONTH('BD Asesor'!D204), 6)=0),
    AND('BD Asesor'!H204="Anual", MONTH('BD Asesor'!D204)=MATCH($B$2, {"Enero", "Febrero", "Marzo", "Abril", "Mayo", "Junio", "Julio", "Agosto", "Septiembre", "Octubre", "Noviembre"}, 0))
), 'BD Asesor'!L204, "")
</f>
        <v/>
      </c>
    </row>
    <row r="203">
      <c r="C203" s="84" t="str">
        <f t="array" ref="C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Asesor'!A205, "")
</f>
        <v/>
      </c>
      <c r="D203" s="84" t="str">
        <f t="array" ref="D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Asesor'!B205, "")
</f>
        <v/>
      </c>
      <c r="E203" s="212" t="str">
        <f t="array" ref="E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Asesor'!C205, "")
</f>
        <v/>
      </c>
      <c r="F203" s="212" t="str">
        <f t="array" ref="F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Asesor'!D205, "")
</f>
        <v/>
      </c>
      <c r="G203" s="212" t="str">
        <f t="array" ref="G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Asesor'!E205, "")
</f>
        <v/>
      </c>
      <c r="H203" s="84" t="str">
        <f t="array" ref="H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Asesor'!F205, "")
</f>
        <v/>
      </c>
      <c r="I203" s="84" t="str">
        <f t="array" ref="I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Asesor'!G205, "")
</f>
        <v/>
      </c>
      <c r="J203" s="84" t="str">
        <f t="array" ref="J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Asesor'!H205, "")
</f>
        <v/>
      </c>
      <c r="K203" s="84" t="str">
        <f t="array" ref="K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Asesor'!K205, "")
</f>
        <v/>
      </c>
      <c r="L203" s="84" t="str">
        <f t="array" ref="L203">IF(OR(
    AND('BD Asesor'!H205="Mensual", MATCH($B$2, {"Enero", "Febrero", "Marzo", "Abril", "Mayo", "Junio", "Julio", "Agosto", "Septiembre", "Octubre", "Noviembre", "Diciembre"}, 0)&gt;=1),
    AND('BD Asesor'!H205="Trimestral", MOD(MATCH($B$2, {"Enero", "Febrero", "Marzo", "Abril", "Mayo", "Junio", "Julio", "Agosto", "Septiembre", "Octubre", "Noviembre"}, 0)-MONTH('BD Asesor'!D205), 3)=0),
    AND('BD Asesor'!H205="Semestral", MOD(MATCH($B$2, {"Enero", "Febrero", "Marzo", "Abril", "Mayo", "Junio", "Julio", "Agosto", "Septiembre", "Octubre", "Noviembre"}, 0)-MONTH('BD Asesor'!D205), 6)=0),
    AND('BD Asesor'!H205="Anual", MONTH('BD Asesor'!D205)=MATCH($B$2, {"Enero", "Febrero", "Marzo", "Abril", "Mayo", "Junio", "Julio", "Agosto", "Septiembre", "Octubre", "Noviembre"}, 0))
), 'BD Asesor'!L205, "")
</f>
        <v/>
      </c>
    </row>
    <row r="204">
      <c r="C204" s="84" t="str">
        <f t="array" ref="C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Asesor'!A206, "")
</f>
        <v/>
      </c>
      <c r="D204" s="84" t="str">
        <f t="array" ref="D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Asesor'!B206, "")
</f>
        <v/>
      </c>
      <c r="E204" s="212" t="str">
        <f t="array" ref="E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Asesor'!C206, "")
</f>
        <v/>
      </c>
      <c r="F204" s="212" t="str">
        <f t="array" ref="F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Asesor'!D206, "")
</f>
        <v/>
      </c>
      <c r="G204" s="212" t="str">
        <f t="array" ref="G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Asesor'!E206, "")
</f>
        <v/>
      </c>
      <c r="H204" s="84" t="str">
        <f t="array" ref="H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Asesor'!F206, "")
</f>
        <v/>
      </c>
      <c r="I204" s="84" t="str">
        <f t="array" ref="I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Asesor'!G206, "")
</f>
        <v/>
      </c>
      <c r="J204" s="84" t="str">
        <f t="array" ref="J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Asesor'!H206, "")
</f>
        <v/>
      </c>
      <c r="K204" s="84" t="str">
        <f t="array" ref="K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Asesor'!K206, "")
</f>
        <v/>
      </c>
      <c r="L204" s="84" t="str">
        <f t="array" ref="L204">IF(OR(
    AND('BD Asesor'!H206="Mensual", MATCH($B$2, {"Enero", "Febrero", "Marzo", "Abril", "Mayo", "Junio", "Julio", "Agosto", "Septiembre", "Octubre", "Noviembre", "Diciembre"}, 0)&gt;=1),
    AND('BD Asesor'!H206="Trimestral", MOD(MATCH($B$2, {"Enero", "Febrero", "Marzo", "Abril", "Mayo", "Junio", "Julio", "Agosto", "Septiembre", "Octubre", "Noviembre"}, 0)-MONTH('BD Asesor'!D206), 3)=0),
    AND('BD Asesor'!H206="Semestral", MOD(MATCH($B$2, {"Enero", "Febrero", "Marzo", "Abril", "Mayo", "Junio", "Julio", "Agosto", "Septiembre", "Octubre", "Noviembre"}, 0)-MONTH('BD Asesor'!D206), 6)=0),
    AND('BD Asesor'!H206="Anual", MONTH('BD Asesor'!D206)=MATCH($B$2, {"Enero", "Febrero", "Marzo", "Abril", "Mayo", "Junio", "Julio", "Agosto", "Septiembre", "Octubre", "Noviembre"}, 0))
), 'BD Asesor'!L206, "")
</f>
        <v/>
      </c>
    </row>
    <row r="205">
      <c r="C205" s="84" t="str">
        <f t="array" ref="C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Asesor'!A207, "")
</f>
        <v>JUDITH PAOLA DIAZ LIZARRAGA</v>
      </c>
      <c r="D205" s="84" t="str">
        <f t="array" ref="D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Asesor'!B207, "")
</f>
        <v>F</v>
      </c>
      <c r="E205" s="212" t="str">
        <f t="array" ref="E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Asesor'!C207, "")
</f>
        <v>Activo</v>
      </c>
      <c r="F205" s="213">
        <f t="array" ref="F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Asesor'!D207, "")
</f>
        <v>45553</v>
      </c>
      <c r="G205" s="212" t="str">
        <f t="array" ref="G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Asesor'!E207, "")
</f>
        <v>VI0002854840</v>
      </c>
      <c r="H205" s="76">
        <f t="array" ref="H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Asesor'!F207, "")
</f>
        <v>25364.0384</v>
      </c>
      <c r="I205" s="84" t="str">
        <f t="array" ref="I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Asesor'!G207, "")
</f>
        <v>UDIS</v>
      </c>
      <c r="J205" s="84" t="str">
        <f t="array" ref="J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Asesor'!H207, "")
</f>
        <v>Trimestral</v>
      </c>
      <c r="K205" s="84" t="str">
        <f t="array" ref="K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Asesor'!K207, "")
</f>
        <v>TC</v>
      </c>
      <c r="L205" s="84" t="str">
        <f t="array" ref="L205">IF(OR(
    AND('BD Asesor'!H207="Mensual", MATCH($B$2, {"Enero", "Febrero", "Marzo", "Abril", "Mayo", "Junio", "Julio", "Agosto", "Septiembre", "Octubre", "Noviembre", "Diciembre"}, 0)&gt;=1),
    AND('BD Asesor'!H207="Trimestral", MOD(MATCH($B$2, {"Enero", "Febrero", "Marzo", "Abril", "Mayo", "Junio", "Julio", "Agosto", "Septiembre", "Octubre", "Noviembre"}, 0)-MONTH('BD Asesor'!D207), 3)=0),
    AND('BD Asesor'!H207="Semestral", MOD(MATCH($B$2, {"Enero", "Febrero", "Marzo", "Abril", "Mayo", "Junio", "Julio", "Agosto", "Septiembre", "Octubre", "Noviembre"}, 0)-MONTH('BD Asesor'!D207), 6)=0),
    AND('BD Asesor'!H207="Anual", MONTH('BD Asesor'!D207)=MATCH($B$2, {"Enero", "Febrero", "Marzo", "Abril", "Mayo", "Junio", "Julio", "Agosto", "Septiembre", "Octubre", "Noviembre"}, 0))
), 'BD Asesor'!L207, "")
</f>
        <v>Vida</v>
      </c>
    </row>
    <row r="206">
      <c r="C206" s="84" t="str">
        <f t="array" ref="C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Asesor'!A208, "")
</f>
        <v/>
      </c>
      <c r="D206" s="84" t="str">
        <f t="array" ref="D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Asesor'!B208, "")
</f>
        <v/>
      </c>
      <c r="E206" s="212" t="str">
        <f t="array" ref="E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Asesor'!C208, "")
</f>
        <v/>
      </c>
      <c r="F206" s="212" t="str">
        <f t="array" ref="F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Asesor'!D208, "")
</f>
        <v/>
      </c>
      <c r="G206" s="212" t="str">
        <f t="array" ref="G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Asesor'!E208, "")
</f>
        <v/>
      </c>
      <c r="H206" s="84" t="str">
        <f t="array" ref="H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Asesor'!F208, "")
</f>
        <v/>
      </c>
      <c r="I206" s="84" t="str">
        <f t="array" ref="I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Asesor'!G208, "")
</f>
        <v/>
      </c>
      <c r="J206" s="84" t="str">
        <f t="array" ref="J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Asesor'!H208, "")
</f>
        <v/>
      </c>
      <c r="K206" s="84" t="str">
        <f t="array" ref="K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Asesor'!K208, "")
</f>
        <v/>
      </c>
      <c r="L206" s="84" t="str">
        <f t="array" ref="L206">IF(OR(
    AND('BD Asesor'!H208="Mensual", MATCH($B$2, {"Enero", "Febrero", "Marzo", "Abril", "Mayo", "Junio", "Julio", "Agosto", "Septiembre", "Octubre", "Noviembre", "Diciembre"}, 0)&gt;=1),
    AND('BD Asesor'!H208="Trimestral", MOD(MATCH($B$2, {"Enero", "Febrero", "Marzo", "Abril", "Mayo", "Junio", "Julio", "Agosto", "Septiembre", "Octubre", "Noviembre"}, 0)-MONTH('BD Asesor'!D208), 3)=0),
    AND('BD Asesor'!H208="Semestral", MOD(MATCH($B$2, {"Enero", "Febrero", "Marzo", "Abril", "Mayo", "Junio", "Julio", "Agosto", "Septiembre", "Octubre", "Noviembre"}, 0)-MONTH('BD Asesor'!D208), 6)=0),
    AND('BD Asesor'!H208="Anual", MONTH('BD Asesor'!D208)=MATCH($B$2, {"Enero", "Febrero", "Marzo", "Abril", "Mayo", "Junio", "Julio", "Agosto", "Septiembre", "Octubre", "Noviembre"}, 0))
), 'BD Asesor'!L208, "")
</f>
        <v/>
      </c>
    </row>
    <row r="207">
      <c r="C207" s="84" t="str">
        <f t="array" ref="C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Asesor'!A209, "")
</f>
        <v>#VALUE!</v>
      </c>
      <c r="D207" s="84" t="str">
        <f t="array" ref="D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Asesor'!B209, "")
</f>
        <v>#VALUE!</v>
      </c>
      <c r="E207" s="212" t="str">
        <f t="array" ref="E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Asesor'!C209, "")
</f>
        <v>#VALUE!</v>
      </c>
      <c r="F207" s="212" t="str">
        <f t="array" ref="F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Asesor'!D209, "")
</f>
        <v>#VALUE!</v>
      </c>
      <c r="G207" s="212" t="str">
        <f t="array" ref="G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Asesor'!E209, "")
</f>
        <v>#VALUE!</v>
      </c>
      <c r="H207" s="84" t="str">
        <f t="array" ref="H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Asesor'!F209, "")
</f>
        <v>#VALUE!</v>
      </c>
      <c r="I207" s="84" t="str">
        <f t="array" ref="I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Asesor'!G209, "")
</f>
        <v>#VALUE!</v>
      </c>
      <c r="J207" s="84" t="str">
        <f t="array" ref="J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Asesor'!H209, "")
</f>
        <v>#VALUE!</v>
      </c>
      <c r="K207" s="84" t="str">
        <f t="array" ref="K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Asesor'!K209, "")
</f>
        <v>#VALUE!</v>
      </c>
      <c r="L207" s="84" t="str">
        <f t="array" ref="L207">IF(OR(
    AND('BD Asesor'!H209="Mensual", MATCH($B$2, {"Enero", "Febrero", "Marzo", "Abril", "Mayo", "Junio", "Julio", "Agosto", "Septiembre", "Octubre", "Noviembre", "Diciembre"}, 0)&gt;=1),
    AND('BD Asesor'!H209="Trimestral", MOD(MATCH($B$2, {"Enero", "Febrero", "Marzo", "Abril", "Mayo", "Junio", "Julio", "Agosto", "Septiembre", "Octubre", "Noviembre"}, 0)-MONTH('BD Asesor'!D209), 3)=0),
    AND('BD Asesor'!H209="Semestral", MOD(MATCH($B$2, {"Enero", "Febrero", "Marzo", "Abril", "Mayo", "Junio", "Julio", "Agosto", "Septiembre", "Octubre", "Noviembre"}, 0)-MONTH('BD Asesor'!D209), 6)=0),
    AND('BD Asesor'!H209="Anual", MONTH('BD Asesor'!D209)=MATCH($B$2, {"Enero", "Febrero", "Marzo", "Abril", "Mayo", "Junio", "Julio", "Agosto", "Septiembre", "Octubre", "Noviembre"}, 0))
), 'BD Asesor'!L209, "")
</f>
        <v>#VALUE!</v>
      </c>
    </row>
    <row r="208">
      <c r="C208" s="84" t="str">
        <f t="array" ref="C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Asesor'!A210, "")
</f>
        <v>#VALUE!</v>
      </c>
      <c r="D208" s="84" t="str">
        <f t="array" ref="D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Asesor'!B210, "")
</f>
        <v>#VALUE!</v>
      </c>
      <c r="E208" s="212" t="str">
        <f t="array" ref="E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Asesor'!C210, "")
</f>
        <v>#VALUE!</v>
      </c>
      <c r="F208" s="212" t="str">
        <f t="array" ref="F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Asesor'!D210, "")
</f>
        <v>#VALUE!</v>
      </c>
      <c r="G208" s="212" t="str">
        <f t="array" ref="G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Asesor'!E210, "")
</f>
        <v>#VALUE!</v>
      </c>
      <c r="H208" s="84" t="str">
        <f t="array" ref="H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Asesor'!F210, "")
</f>
        <v>#VALUE!</v>
      </c>
      <c r="I208" s="84" t="str">
        <f t="array" ref="I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Asesor'!G210, "")
</f>
        <v>#VALUE!</v>
      </c>
      <c r="J208" s="84" t="str">
        <f t="array" ref="J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Asesor'!H210, "")
</f>
        <v>#VALUE!</v>
      </c>
      <c r="K208" s="84" t="str">
        <f t="array" ref="K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Asesor'!K210, "")
</f>
        <v>#VALUE!</v>
      </c>
      <c r="L208" s="84" t="str">
        <f t="array" ref="L208">IF(OR(
    AND('BD Asesor'!H210="Mensual", MATCH($B$2, {"Enero", "Febrero", "Marzo", "Abril", "Mayo", "Junio", "Julio", "Agosto", "Septiembre", "Octubre", "Noviembre", "Diciembre"}, 0)&gt;=1),
    AND('BD Asesor'!H210="Trimestral", MOD(MATCH($B$2, {"Enero", "Febrero", "Marzo", "Abril", "Mayo", "Junio", "Julio", "Agosto", "Septiembre", "Octubre", "Noviembre"}, 0)-MONTH('BD Asesor'!D210), 3)=0),
    AND('BD Asesor'!H210="Semestral", MOD(MATCH($B$2, {"Enero", "Febrero", "Marzo", "Abril", "Mayo", "Junio", "Julio", "Agosto", "Septiembre", "Octubre", "Noviembre"}, 0)-MONTH('BD Asesor'!D210), 6)=0),
    AND('BD Asesor'!H210="Anual", MONTH('BD Asesor'!D210)=MATCH($B$2, {"Enero", "Febrero", "Marzo", "Abril", "Mayo", "Junio", "Julio", "Agosto", "Septiembre", "Octubre", "Noviembre"}, 0))
), 'BD Asesor'!L210, "")
</f>
        <v>#VALUE!</v>
      </c>
    </row>
    <row r="209">
      <c r="C209" s="84" t="str">
        <f t="array" ref="C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Asesor'!A211, "")
</f>
        <v/>
      </c>
      <c r="D209" s="84" t="str">
        <f t="array" ref="D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Asesor'!B211, "")
</f>
        <v/>
      </c>
      <c r="E209" s="212" t="str">
        <f t="array" ref="E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Asesor'!C211, "")
</f>
        <v/>
      </c>
      <c r="F209" s="212" t="str">
        <f t="array" ref="F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Asesor'!D211, "")
</f>
        <v/>
      </c>
      <c r="G209" s="212" t="str">
        <f t="array" ref="G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Asesor'!E211, "")
</f>
        <v/>
      </c>
      <c r="H209" s="84" t="str">
        <f t="array" ref="H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Asesor'!F211, "")
</f>
        <v/>
      </c>
      <c r="I209" s="84" t="str">
        <f t="array" ref="I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Asesor'!G211, "")
</f>
        <v/>
      </c>
      <c r="J209" s="84" t="str">
        <f t="array" ref="J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Asesor'!H211, "")
</f>
        <v/>
      </c>
      <c r="K209" s="84" t="str">
        <f t="array" ref="K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Asesor'!K211, "")
</f>
        <v/>
      </c>
      <c r="L209" s="84" t="str">
        <f t="array" ref="L209">IF(OR(
    AND('BD Asesor'!H211="Mensual", MATCH($B$2, {"Enero", "Febrero", "Marzo", "Abril", "Mayo", "Junio", "Julio", "Agosto", "Septiembre", "Octubre", "Noviembre", "Diciembre"}, 0)&gt;=1),
    AND('BD Asesor'!H211="Trimestral", MOD(MATCH($B$2, {"Enero", "Febrero", "Marzo", "Abril", "Mayo", "Junio", "Julio", "Agosto", "Septiembre", "Octubre", "Noviembre"}, 0)-MONTH('BD Asesor'!D211), 3)=0),
    AND('BD Asesor'!H211="Semestral", MOD(MATCH($B$2, {"Enero", "Febrero", "Marzo", "Abril", "Mayo", "Junio", "Julio", "Agosto", "Septiembre", "Octubre", "Noviembre"}, 0)-MONTH('BD Asesor'!D211), 6)=0),
    AND('BD Asesor'!H211="Anual", MONTH('BD Asesor'!D211)=MATCH($B$2, {"Enero", "Febrero", "Marzo", "Abril", "Mayo", "Junio", "Julio", "Agosto", "Septiembre", "Octubre", "Noviembre"}, 0))
), 'BD Asesor'!L211, "")
</f>
        <v/>
      </c>
    </row>
    <row r="210">
      <c r="C210" s="84" t="str">
        <f t="array" ref="C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Asesor'!A212, "")
</f>
        <v/>
      </c>
      <c r="D210" s="84" t="str">
        <f t="array" ref="D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Asesor'!B212, "")
</f>
        <v/>
      </c>
      <c r="E210" s="212" t="str">
        <f t="array" ref="E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Asesor'!C212, "")
</f>
        <v/>
      </c>
      <c r="F210" s="212" t="str">
        <f t="array" ref="F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Asesor'!D212, "")
</f>
        <v/>
      </c>
      <c r="G210" s="212" t="str">
        <f t="array" ref="G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Asesor'!E212, "")
</f>
        <v/>
      </c>
      <c r="H210" s="84" t="str">
        <f t="array" ref="H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Asesor'!F212, "")
</f>
        <v/>
      </c>
      <c r="I210" s="84" t="str">
        <f t="array" ref="I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Asesor'!G212, "")
</f>
        <v/>
      </c>
      <c r="J210" s="84" t="str">
        <f t="array" ref="J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Asesor'!H212, "")
</f>
        <v/>
      </c>
      <c r="K210" s="84" t="str">
        <f t="array" ref="K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Asesor'!K212, "")
</f>
        <v/>
      </c>
      <c r="L210" s="84" t="str">
        <f t="array" ref="L210">IF(OR(
    AND('BD Asesor'!H212="Mensual", MATCH($B$2, {"Enero", "Febrero", "Marzo", "Abril", "Mayo", "Junio", "Julio", "Agosto", "Septiembre", "Octubre", "Noviembre", "Diciembre"}, 0)&gt;=1),
    AND('BD Asesor'!H212="Trimestral", MOD(MATCH($B$2, {"Enero", "Febrero", "Marzo", "Abril", "Mayo", "Junio", "Julio", "Agosto", "Septiembre", "Octubre", "Noviembre"}, 0)-MONTH('BD Asesor'!D212), 3)=0),
    AND('BD Asesor'!H212="Semestral", MOD(MATCH($B$2, {"Enero", "Febrero", "Marzo", "Abril", "Mayo", "Junio", "Julio", "Agosto", "Septiembre", "Octubre", "Noviembre"}, 0)-MONTH('BD Asesor'!D212), 6)=0),
    AND('BD Asesor'!H212="Anual", MONTH('BD Asesor'!D212)=MATCH($B$2, {"Enero", "Febrero", "Marzo", "Abril", "Mayo", "Junio", "Julio", "Agosto", "Septiembre", "Octubre", "Noviembre"}, 0))
), 'BD Asesor'!L212, "")
</f>
        <v/>
      </c>
    </row>
    <row r="211">
      <c r="C211" s="84" t="str">
        <f t="array" ref="C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Asesor'!A213, "")
</f>
        <v/>
      </c>
      <c r="D211" s="84" t="str">
        <f t="array" ref="D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Asesor'!B213, "")
</f>
        <v/>
      </c>
      <c r="E211" s="212" t="str">
        <f t="array" ref="E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Asesor'!C213, "")
</f>
        <v/>
      </c>
      <c r="F211" s="212" t="str">
        <f t="array" ref="F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Asesor'!D213, "")
</f>
        <v/>
      </c>
      <c r="G211" s="212" t="str">
        <f t="array" ref="G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Asesor'!E213, "")
</f>
        <v/>
      </c>
      <c r="H211" s="84" t="str">
        <f t="array" ref="H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Asesor'!F213, "")
</f>
        <v/>
      </c>
      <c r="I211" s="84" t="str">
        <f t="array" ref="I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Asesor'!G213, "")
</f>
        <v/>
      </c>
      <c r="J211" s="84" t="str">
        <f t="array" ref="J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Asesor'!H213, "")
</f>
        <v/>
      </c>
      <c r="K211" s="84" t="str">
        <f t="array" ref="K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Asesor'!K213, "")
</f>
        <v/>
      </c>
      <c r="L211" s="84" t="str">
        <f t="array" ref="L211">IF(OR(
    AND('BD Asesor'!H213="Mensual", MATCH($B$2, {"Enero", "Febrero", "Marzo", "Abril", "Mayo", "Junio", "Julio", "Agosto", "Septiembre", "Octubre", "Noviembre", "Diciembre"}, 0)&gt;=1),
    AND('BD Asesor'!H213="Trimestral", MOD(MATCH($B$2, {"Enero", "Febrero", "Marzo", "Abril", "Mayo", "Junio", "Julio", "Agosto", "Septiembre", "Octubre", "Noviembre"}, 0)-MONTH('BD Asesor'!D213), 3)=0),
    AND('BD Asesor'!H213="Semestral", MOD(MATCH($B$2, {"Enero", "Febrero", "Marzo", "Abril", "Mayo", "Junio", "Julio", "Agosto", "Septiembre", "Octubre", "Noviembre"}, 0)-MONTH('BD Asesor'!D213), 6)=0),
    AND('BD Asesor'!H213="Anual", MONTH('BD Asesor'!D213)=MATCH($B$2, {"Enero", "Febrero", "Marzo", "Abril", "Mayo", "Junio", "Julio", "Agosto", "Septiembre", "Octubre", "Noviembre"}, 0))
), 'BD Asesor'!L213, "")
</f>
        <v/>
      </c>
    </row>
    <row r="212">
      <c r="C212" s="84" t="str">
        <f t="array" ref="C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Asesor'!A214, "")
</f>
        <v/>
      </c>
      <c r="D212" s="84" t="str">
        <f t="array" ref="D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Asesor'!B214, "")
</f>
        <v/>
      </c>
      <c r="E212" s="212" t="str">
        <f t="array" ref="E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Asesor'!C214, "")
</f>
        <v/>
      </c>
      <c r="F212" s="212" t="str">
        <f t="array" ref="F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Asesor'!D214, "")
</f>
        <v/>
      </c>
      <c r="G212" s="212" t="str">
        <f t="array" ref="G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Asesor'!E214, "")
</f>
        <v/>
      </c>
      <c r="H212" s="84" t="str">
        <f t="array" ref="H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Asesor'!F214, "")
</f>
        <v/>
      </c>
      <c r="I212" s="84" t="str">
        <f t="array" ref="I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Asesor'!G214, "")
</f>
        <v/>
      </c>
      <c r="J212" s="84" t="str">
        <f t="array" ref="J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Asesor'!H214, "")
</f>
        <v/>
      </c>
      <c r="K212" s="84" t="str">
        <f t="array" ref="K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Asesor'!K214, "")
</f>
        <v/>
      </c>
      <c r="L212" s="84" t="str">
        <f t="array" ref="L212">IF(OR(
    AND('BD Asesor'!H214="Mensual", MATCH($B$2, {"Enero", "Febrero", "Marzo", "Abril", "Mayo", "Junio", "Julio", "Agosto", "Septiembre", "Octubre", "Noviembre", "Diciembre"}, 0)&gt;=1),
    AND('BD Asesor'!H214="Trimestral", MOD(MATCH($B$2, {"Enero", "Febrero", "Marzo", "Abril", "Mayo", "Junio", "Julio", "Agosto", "Septiembre", "Octubre", "Noviembre"}, 0)-MONTH('BD Asesor'!D214), 3)=0),
    AND('BD Asesor'!H214="Semestral", MOD(MATCH($B$2, {"Enero", "Febrero", "Marzo", "Abril", "Mayo", "Junio", "Julio", "Agosto", "Septiembre", "Octubre", "Noviembre"}, 0)-MONTH('BD Asesor'!D214), 6)=0),
    AND('BD Asesor'!H214="Anual", MONTH('BD Asesor'!D214)=MATCH($B$2, {"Enero", "Febrero", "Marzo", "Abril", "Mayo", "Junio", "Julio", "Agosto", "Septiembre", "Octubre", "Noviembre"}, 0))
), 'BD Asesor'!L214, "")
</f>
        <v/>
      </c>
    </row>
    <row r="213">
      <c r="C213" s="84" t="str">
        <f t="array" ref="C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Asesor'!A215, "")
</f>
        <v>BLANCA CAROLINA MAGAÑA CASTELLON</v>
      </c>
      <c r="D213" s="84" t="str">
        <f t="array" ref="D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Asesor'!B215, "")
</f>
        <v>F</v>
      </c>
      <c r="E213" s="212" t="str">
        <f t="array" ref="E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Asesor'!C215, "")
</f>
        <v>Activo</v>
      </c>
      <c r="F213" s="213">
        <f t="array" ref="F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Asesor'!D215, "")
</f>
        <v>43262</v>
      </c>
      <c r="G213" s="212" t="str">
        <f t="array" ref="G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Asesor'!E215, "")
</f>
        <v>VI0002382839</v>
      </c>
      <c r="H213" s="76">
        <f t="array" ref="H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Asesor'!F215, "")
</f>
        <v>73182.462</v>
      </c>
      <c r="I213" s="84" t="str">
        <f t="array" ref="I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Asesor'!G215, "")
</f>
        <v>UDIS</v>
      </c>
      <c r="J213" s="84" t="str">
        <f t="array" ref="J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Asesor'!H215, "")
</f>
        <v>Mensual</v>
      </c>
      <c r="K213" s="84" t="str">
        <f t="array" ref="K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Asesor'!K215, "")
</f>
        <v>Agente</v>
      </c>
      <c r="L213" s="84" t="str">
        <f t="array" ref="L213">IF(OR(
    AND('BD Asesor'!H215="Mensual", MATCH($B$2, {"Enero", "Febrero", "Marzo", "Abril", "Mayo", "Junio", "Julio", "Agosto", "Septiembre", "Octubre", "Noviembre", "Diciembre"}, 0)&gt;=1),
    AND('BD Asesor'!H215="Trimestral", MOD(MATCH($B$2, {"Enero", "Febrero", "Marzo", "Abril", "Mayo", "Junio", "Julio", "Agosto", "Septiembre", "Octubre", "Noviembre"}, 0)-MONTH('BD Asesor'!D215), 3)=0),
    AND('BD Asesor'!H215="Semestral", MOD(MATCH($B$2, {"Enero", "Febrero", "Marzo", "Abril", "Mayo", "Junio", "Julio", "Agosto", "Septiembre", "Octubre", "Noviembre"}, 0)-MONTH('BD Asesor'!D215), 6)=0),
    AND('BD Asesor'!H215="Anual", MONTH('BD Asesor'!D215)=MATCH($B$2, {"Enero", "Febrero", "Marzo", "Abril", "Mayo", "Junio", "Julio", "Agosto", "Septiembre", "Octubre", "Noviembre"}, 0))
), 'BD Asesor'!L215, "")
</f>
        <v>Vida</v>
      </c>
    </row>
    <row r="214">
      <c r="C214" s="84" t="str">
        <f t="array" ref="C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Asesor'!A216, "")
</f>
        <v/>
      </c>
      <c r="D214" s="84" t="str">
        <f t="array" ref="D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Asesor'!B216, "")
</f>
        <v/>
      </c>
      <c r="E214" s="212" t="str">
        <f t="array" ref="E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Asesor'!C216, "")
</f>
        <v/>
      </c>
      <c r="F214" s="212" t="str">
        <f t="array" ref="F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Asesor'!D216, "")
</f>
        <v/>
      </c>
      <c r="G214" s="212" t="str">
        <f t="array" ref="G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Asesor'!E216, "")
</f>
        <v/>
      </c>
      <c r="H214" s="84" t="str">
        <f t="array" ref="H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Asesor'!F216, "")
</f>
        <v/>
      </c>
      <c r="I214" s="84" t="str">
        <f t="array" ref="I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Asesor'!G216, "")
</f>
        <v/>
      </c>
      <c r="J214" s="84" t="str">
        <f t="array" ref="J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Asesor'!H216, "")
</f>
        <v/>
      </c>
      <c r="K214" s="84" t="str">
        <f t="array" ref="K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Asesor'!K216, "")
</f>
        <v/>
      </c>
      <c r="L214" s="84" t="str">
        <f t="array" ref="L214">IF(OR(
    AND('BD Asesor'!H216="Mensual", MATCH($B$2, {"Enero", "Febrero", "Marzo", "Abril", "Mayo", "Junio", "Julio", "Agosto", "Septiembre", "Octubre", "Noviembre", "Diciembre"}, 0)&gt;=1),
    AND('BD Asesor'!H216="Trimestral", MOD(MATCH($B$2, {"Enero", "Febrero", "Marzo", "Abril", "Mayo", "Junio", "Julio", "Agosto", "Septiembre", "Octubre", "Noviembre"}, 0)-MONTH('BD Asesor'!D216), 3)=0),
    AND('BD Asesor'!H216="Semestral", MOD(MATCH($B$2, {"Enero", "Febrero", "Marzo", "Abril", "Mayo", "Junio", "Julio", "Agosto", "Septiembre", "Octubre", "Noviembre"}, 0)-MONTH('BD Asesor'!D216), 6)=0),
    AND('BD Asesor'!H216="Anual", MONTH('BD Asesor'!D216)=MATCH($B$2, {"Enero", "Febrero", "Marzo", "Abril", "Mayo", "Junio", "Julio", "Agosto", "Septiembre", "Octubre", "Noviembre"}, 0))
), 'BD Asesor'!L216, "")
</f>
        <v/>
      </c>
    </row>
    <row r="215">
      <c r="C215" s="84" t="str">
        <f t="array" ref="C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Asesor'!A217, "")
</f>
        <v/>
      </c>
      <c r="D215" s="84" t="str">
        <f t="array" ref="D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Asesor'!B217, "")
</f>
        <v/>
      </c>
      <c r="E215" s="212" t="str">
        <f t="array" ref="E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Asesor'!C217, "")
</f>
        <v/>
      </c>
      <c r="F215" s="212" t="str">
        <f t="array" ref="F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Asesor'!D217, "")
</f>
        <v/>
      </c>
      <c r="G215" s="212" t="str">
        <f t="array" ref="G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Asesor'!E217, "")
</f>
        <v/>
      </c>
      <c r="H215" s="84" t="str">
        <f t="array" ref="H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Asesor'!F217, "")
</f>
        <v/>
      </c>
      <c r="I215" s="84" t="str">
        <f t="array" ref="I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Asesor'!G217, "")
</f>
        <v/>
      </c>
      <c r="J215" s="84" t="str">
        <f t="array" ref="J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Asesor'!H217, "")
</f>
        <v/>
      </c>
      <c r="K215" s="84" t="str">
        <f t="array" ref="K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Asesor'!K217, "")
</f>
        <v/>
      </c>
      <c r="L215" s="84" t="str">
        <f t="array" ref="L215">IF(OR(
    AND('BD Asesor'!H217="Mensual", MATCH($B$2, {"Enero", "Febrero", "Marzo", "Abril", "Mayo", "Junio", "Julio", "Agosto", "Septiembre", "Octubre", "Noviembre", "Diciembre"}, 0)&gt;=1),
    AND('BD Asesor'!H217="Trimestral", MOD(MATCH($B$2, {"Enero", "Febrero", "Marzo", "Abril", "Mayo", "Junio", "Julio", "Agosto", "Septiembre", "Octubre", "Noviembre"}, 0)-MONTH('BD Asesor'!D217), 3)=0),
    AND('BD Asesor'!H217="Semestral", MOD(MATCH($B$2, {"Enero", "Febrero", "Marzo", "Abril", "Mayo", "Junio", "Julio", "Agosto", "Septiembre", "Octubre", "Noviembre"}, 0)-MONTH('BD Asesor'!D217), 6)=0),
    AND('BD Asesor'!H217="Anual", MONTH('BD Asesor'!D217)=MATCH($B$2, {"Enero", "Febrero", "Marzo", "Abril", "Mayo", "Junio", "Julio", "Agosto", "Septiembre", "Octubre", "Noviembre"}, 0))
), 'BD Asesor'!L217, "")
</f>
        <v/>
      </c>
    </row>
    <row r="216">
      <c r="C216" s="84" t="str">
        <f t="array" ref="C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Asesor'!A218, "")
</f>
        <v/>
      </c>
      <c r="D216" s="84" t="str">
        <f t="array" ref="D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Asesor'!B218, "")
</f>
        <v/>
      </c>
      <c r="E216" s="212" t="str">
        <f t="array" ref="E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Asesor'!C218, "")
</f>
        <v/>
      </c>
      <c r="F216" s="212" t="str">
        <f t="array" ref="F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Asesor'!D218, "")
</f>
        <v/>
      </c>
      <c r="G216" s="212" t="str">
        <f t="array" ref="G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Asesor'!E218, "")
</f>
        <v/>
      </c>
      <c r="H216" s="84" t="str">
        <f t="array" ref="H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Asesor'!F218, "")
</f>
        <v/>
      </c>
      <c r="I216" s="84" t="str">
        <f t="array" ref="I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Asesor'!G218, "")
</f>
        <v/>
      </c>
      <c r="J216" s="84" t="str">
        <f t="array" ref="J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Asesor'!H218, "")
</f>
        <v/>
      </c>
      <c r="K216" s="84" t="str">
        <f t="array" ref="K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Asesor'!K218, "")
</f>
        <v/>
      </c>
      <c r="L216" s="84" t="str">
        <f t="array" ref="L216">IF(OR(
    AND('BD Asesor'!H218="Mensual", MATCH($B$2, {"Enero", "Febrero", "Marzo", "Abril", "Mayo", "Junio", "Julio", "Agosto", "Septiembre", "Octubre", "Noviembre", "Diciembre"}, 0)&gt;=1),
    AND('BD Asesor'!H218="Trimestral", MOD(MATCH($B$2, {"Enero", "Febrero", "Marzo", "Abril", "Mayo", "Junio", "Julio", "Agosto", "Septiembre", "Octubre", "Noviembre"}, 0)-MONTH('BD Asesor'!D218), 3)=0),
    AND('BD Asesor'!H218="Semestral", MOD(MATCH($B$2, {"Enero", "Febrero", "Marzo", "Abril", "Mayo", "Junio", "Julio", "Agosto", "Septiembre", "Octubre", "Noviembre"}, 0)-MONTH('BD Asesor'!D218), 6)=0),
    AND('BD Asesor'!H218="Anual", MONTH('BD Asesor'!D218)=MATCH($B$2, {"Enero", "Febrero", "Marzo", "Abril", "Mayo", "Junio", "Julio", "Agosto", "Septiembre", "Octubre", "Noviembre"}, 0))
), 'BD Asesor'!L218, "")
</f>
        <v/>
      </c>
    </row>
    <row r="217">
      <c r="C217" s="84" t="str">
        <f t="array" ref="C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Asesor'!A219, "")
</f>
        <v>GERARDO ALBERTO QUEZADA GARCIA
</v>
      </c>
      <c r="D217" s="84" t="str">
        <f t="array" ref="D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Asesor'!B219, "")
</f>
        <v>M</v>
      </c>
      <c r="E217" s="212" t="str">
        <f t="array" ref="E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Asesor'!C219, "")
</f>
        <v>Activo</v>
      </c>
      <c r="F217" s="213">
        <f t="array" ref="F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Asesor'!D219, "")
</f>
        <v>45615</v>
      </c>
      <c r="G217" s="212" t="str">
        <f t="array" ref="G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Asesor'!E219, "")
</f>
        <v>VI0002869958</v>
      </c>
      <c r="H217" s="76">
        <f t="array" ref="H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Asesor'!F219, "")
</f>
        <v>120493.872</v>
      </c>
      <c r="I217" s="84" t="str">
        <f t="array" ref="I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Asesor'!G219, "")
</f>
        <v>UDIS</v>
      </c>
      <c r="J217" s="84" t="str">
        <f t="array" ref="J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Asesor'!H219, "")
</f>
        <v>Mensual</v>
      </c>
      <c r="K217" s="84" t="str">
        <f t="array" ref="K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Asesor'!K219, "")
</f>
        <v>TD</v>
      </c>
      <c r="L217" s="84" t="str">
        <f t="array" ref="L217">IF(OR(
    AND('BD Asesor'!H219="Mensual", MATCH($B$2, {"Enero", "Febrero", "Marzo", "Abril", "Mayo", "Junio", "Julio", "Agosto", "Septiembre", "Octubre", "Noviembre", "Diciembre"}, 0)&gt;=1),
    AND('BD Asesor'!H219="Trimestral", MOD(MATCH($B$2, {"Enero", "Febrero", "Marzo", "Abril", "Mayo", "Junio", "Julio", "Agosto", "Septiembre", "Octubre", "Noviembre"}, 0)-MONTH('BD Asesor'!D219), 3)=0),
    AND('BD Asesor'!H219="Semestral", MOD(MATCH($B$2, {"Enero", "Febrero", "Marzo", "Abril", "Mayo", "Junio", "Julio", "Agosto", "Septiembre", "Octubre", "Noviembre"}, 0)-MONTH('BD Asesor'!D219), 6)=0),
    AND('BD Asesor'!H219="Anual", MONTH('BD Asesor'!D219)=MATCH($B$2, {"Enero", "Febrero", "Marzo", "Abril", "Mayo", "Junio", "Julio", "Agosto", "Septiembre", "Octubre", "Noviembre"}, 0))
), 'BD Asesor'!L219, "")
</f>
        <v>Vida</v>
      </c>
    </row>
    <row r="218">
      <c r="C218" s="84" t="str">
        <f t="array" ref="C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Asesor'!A220, "")
</f>
        <v/>
      </c>
      <c r="D218" s="84" t="str">
        <f t="array" ref="D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Asesor'!B220, "")
</f>
        <v/>
      </c>
      <c r="E218" s="212" t="str">
        <f t="array" ref="E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Asesor'!C220, "")
</f>
        <v/>
      </c>
      <c r="F218" s="212" t="str">
        <f t="array" ref="F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Asesor'!D220, "")
</f>
        <v/>
      </c>
      <c r="G218" s="212" t="str">
        <f t="array" ref="G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Asesor'!E220, "")
</f>
        <v/>
      </c>
      <c r="H218" s="84" t="str">
        <f t="array" ref="H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Asesor'!F220, "")
</f>
        <v/>
      </c>
      <c r="I218" s="84" t="str">
        <f t="array" ref="I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Asesor'!G220, "")
</f>
        <v/>
      </c>
      <c r="J218" s="84" t="str">
        <f t="array" ref="J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Asesor'!H220, "")
</f>
        <v/>
      </c>
      <c r="K218" s="84" t="str">
        <f t="array" ref="K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Asesor'!K220, "")
</f>
        <v/>
      </c>
      <c r="L218" s="84" t="str">
        <f t="array" ref="L218">IF(OR(
    AND('BD Asesor'!H220="Mensual", MATCH($B$2, {"Enero", "Febrero", "Marzo", "Abril", "Mayo", "Junio", "Julio", "Agosto", "Septiembre", "Octubre", "Noviembre", "Diciembre"}, 0)&gt;=1),
    AND('BD Asesor'!H220="Trimestral", MOD(MATCH($B$2, {"Enero", "Febrero", "Marzo", "Abril", "Mayo", "Junio", "Julio", "Agosto", "Septiembre", "Octubre", "Noviembre"}, 0)-MONTH('BD Asesor'!D220), 3)=0),
    AND('BD Asesor'!H220="Semestral", MOD(MATCH($B$2, {"Enero", "Febrero", "Marzo", "Abril", "Mayo", "Junio", "Julio", "Agosto", "Septiembre", "Octubre", "Noviembre"}, 0)-MONTH('BD Asesor'!D220), 6)=0),
    AND('BD Asesor'!H220="Anual", MONTH('BD Asesor'!D220)=MATCH($B$2, {"Enero", "Febrero", "Marzo", "Abril", "Mayo", "Junio", "Julio", "Agosto", "Septiembre", "Octubre", "Noviembre"}, 0))
), 'BD Asesor'!L220, "")
</f>
        <v/>
      </c>
    </row>
    <row r="219">
      <c r="C219" s="84" t="str">
        <f t="array" ref="C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Asesor'!A221, "")
</f>
        <v>MARIA RAQUEL CONTRERAS ALVAREZ</v>
      </c>
      <c r="D219" s="84" t="str">
        <f t="array" ref="D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Asesor'!B221, "")
</f>
        <v>F</v>
      </c>
      <c r="E219" s="212" t="str">
        <f t="array" ref="E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Asesor'!C221, "")
</f>
        <v>Activo</v>
      </c>
      <c r="F219" s="213">
        <f t="array" ref="F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Asesor'!D221, "")
</f>
        <v>45637</v>
      </c>
      <c r="G219" s="212" t="str">
        <f t="array" ref="G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Asesor'!E221, "")
</f>
        <v>VI0002875542</v>
      </c>
      <c r="H219" s="76">
        <f t="array" ref="H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Asesor'!F221, "")
</f>
        <v>121882.1443</v>
      </c>
      <c r="I219" s="84" t="str">
        <f t="array" ref="I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Asesor'!G221, "")
</f>
        <v>UDIS</v>
      </c>
      <c r="J219" s="84" t="str">
        <f t="array" ref="J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Asesor'!H221, "")
</f>
        <v>Mensual</v>
      </c>
      <c r="K219" s="84" t="str">
        <f t="array" ref="K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Asesor'!K221, "")
</f>
        <v>TDD</v>
      </c>
      <c r="L219" s="84" t="str">
        <f t="array" ref="L219">IF(OR(
    AND('BD Asesor'!H221="Mensual", MATCH($B$2, {"Enero", "Febrero", "Marzo", "Abril", "Mayo", "Junio", "Julio", "Agosto", "Septiembre", "Octubre", "Noviembre", "Diciembre"}, 0)&gt;=1),
    AND('BD Asesor'!H221="Trimestral", MOD(MATCH($B$2, {"Enero", "Febrero", "Marzo", "Abril", "Mayo", "Junio", "Julio", "Agosto", "Septiembre", "Octubre", "Noviembre"}, 0)-MONTH('BD Asesor'!D221), 3)=0),
    AND('BD Asesor'!H221="Semestral", MOD(MATCH($B$2, {"Enero", "Febrero", "Marzo", "Abril", "Mayo", "Junio", "Julio", "Agosto", "Septiembre", "Octubre", "Noviembre"}, 0)-MONTH('BD Asesor'!D221), 6)=0),
    AND('BD Asesor'!H221="Anual", MONTH('BD Asesor'!D221)=MATCH($B$2, {"Enero", "Febrero", "Marzo", "Abril", "Mayo", "Junio", "Julio", "Agosto", "Septiembre", "Octubre", "Noviembre"}, 0))
), 'BD Asesor'!L221, "")
</f>
        <v>Vida</v>
      </c>
    </row>
    <row r="220">
      <c r="C220" s="84" t="str">
        <f t="array" ref="C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Asesor'!A222, "")
</f>
        <v>DELIA CONTRERAS ALVAREZ</v>
      </c>
      <c r="D220" s="84" t="str">
        <f t="array" ref="D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Asesor'!B222, "")
</f>
        <v>F</v>
      </c>
      <c r="E220" s="212" t="str">
        <f t="array" ref="E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Asesor'!C222, "")
</f>
        <v>Activo</v>
      </c>
      <c r="F220" s="213">
        <f t="array" ref="F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Asesor'!D222, "")
</f>
        <v>45650</v>
      </c>
      <c r="G220" s="212" t="str">
        <f t="array" ref="G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Asesor'!E222, "")
</f>
        <v>VI0002879209</v>
      </c>
      <c r="H220" s="76">
        <f t="array" ref="H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Asesor'!F222, "")
</f>
        <v>53020.1168</v>
      </c>
      <c r="I220" s="84" t="str">
        <f t="array" ref="I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Asesor'!G222, "")
</f>
        <v>UDIS</v>
      </c>
      <c r="J220" s="84" t="str">
        <f t="array" ref="J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Asesor'!H222, "")
</f>
        <v>Mensual</v>
      </c>
      <c r="K220" s="84" t="str">
        <f t="array" ref="K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Asesor'!K222, "")
</f>
        <v>TC</v>
      </c>
      <c r="L220" s="84" t="str">
        <f t="array" ref="L220">IF(OR(
    AND('BD Asesor'!H222="Mensual", MATCH($B$2, {"Enero", "Febrero", "Marzo", "Abril", "Mayo", "Junio", "Julio", "Agosto", "Septiembre", "Octubre", "Noviembre", "Diciembre"}, 0)&gt;=1),
    AND('BD Asesor'!H222="Trimestral", MOD(MATCH($B$2, {"Enero", "Febrero", "Marzo", "Abril", "Mayo", "Junio", "Julio", "Agosto", "Septiembre", "Octubre", "Noviembre"}, 0)-MONTH('BD Asesor'!D222), 3)=0),
    AND('BD Asesor'!H222="Semestral", MOD(MATCH($B$2, {"Enero", "Febrero", "Marzo", "Abril", "Mayo", "Junio", "Julio", "Agosto", "Septiembre", "Octubre", "Noviembre"}, 0)-MONTH('BD Asesor'!D222), 6)=0),
    AND('BD Asesor'!H222="Anual", MONTH('BD Asesor'!D222)=MATCH($B$2, {"Enero", "Febrero", "Marzo", "Abril", "Mayo", "Junio", "Julio", "Agosto", "Septiembre", "Octubre", "Noviembre"}, 0))
), 'BD Asesor'!L222, "")
</f>
        <v>Vida</v>
      </c>
    </row>
    <row r="221">
      <c r="C221" s="84" t="str">
        <f t="array" ref="C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Asesor'!A223, "")
</f>
        <v/>
      </c>
      <c r="D221" s="84" t="str">
        <f t="array" ref="D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Asesor'!B223, "")
</f>
        <v/>
      </c>
      <c r="E221" s="212" t="str">
        <f t="array" ref="E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Asesor'!C223, "")
</f>
        <v/>
      </c>
      <c r="F221" s="212" t="str">
        <f t="array" ref="F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Asesor'!D223, "")
</f>
        <v/>
      </c>
      <c r="G221" s="212" t="str">
        <f t="array" ref="G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Asesor'!E223, "")
</f>
        <v/>
      </c>
      <c r="H221" s="84" t="str">
        <f t="array" ref="H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Asesor'!F223, "")
</f>
        <v/>
      </c>
      <c r="I221" s="84" t="str">
        <f t="array" ref="I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Asesor'!G223, "")
</f>
        <v/>
      </c>
      <c r="J221" s="84" t="str">
        <f t="array" ref="J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Asesor'!H223, "")
</f>
        <v/>
      </c>
      <c r="K221" s="84" t="str">
        <f t="array" ref="K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Asesor'!K223, "")
</f>
        <v/>
      </c>
      <c r="L221" s="84" t="str">
        <f t="array" ref="L221">IF(OR(
    AND('BD Asesor'!H223="Mensual", MATCH($B$2, {"Enero", "Febrero", "Marzo", "Abril", "Mayo", "Junio", "Julio", "Agosto", "Septiembre", "Octubre", "Noviembre", "Diciembre"}, 0)&gt;=1),
    AND('BD Asesor'!H223="Trimestral", MOD(MATCH($B$2, {"Enero", "Febrero", "Marzo", "Abril", "Mayo", "Junio", "Julio", "Agosto", "Septiembre", "Octubre", "Noviembre"}, 0)-MONTH('BD Asesor'!D223), 3)=0),
    AND('BD Asesor'!H223="Semestral", MOD(MATCH($B$2, {"Enero", "Febrero", "Marzo", "Abril", "Mayo", "Junio", "Julio", "Agosto", "Septiembre", "Octubre", "Noviembre"}, 0)-MONTH('BD Asesor'!D223), 6)=0),
    AND('BD Asesor'!H223="Anual", MONTH('BD Asesor'!D223)=MATCH($B$2, {"Enero", "Febrero", "Marzo", "Abril", "Mayo", "Junio", "Julio", "Agosto", "Septiembre", "Octubre", "Noviembre"}, 0))
), 'BD Asesor'!L223, "")
</f>
        <v/>
      </c>
    </row>
    <row r="222">
      <c r="C222" s="84" t="str">
        <f t="array" ref="C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Asesor'!A224, "")
</f>
        <v/>
      </c>
      <c r="D222" s="84" t="str">
        <f t="array" ref="D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Asesor'!B224, "")
</f>
        <v/>
      </c>
      <c r="E222" s="212" t="str">
        <f t="array" ref="E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Asesor'!C224, "")
</f>
        <v/>
      </c>
      <c r="F222" s="212" t="str">
        <f t="array" ref="F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Asesor'!D224, "")
</f>
        <v/>
      </c>
      <c r="G222" s="212" t="str">
        <f t="array" ref="G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Asesor'!E224, "")
</f>
        <v/>
      </c>
      <c r="H222" s="84" t="str">
        <f t="array" ref="H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Asesor'!F224, "")
</f>
        <v/>
      </c>
      <c r="I222" s="84" t="str">
        <f t="array" ref="I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Asesor'!G224, "")
</f>
        <v/>
      </c>
      <c r="J222" s="84" t="str">
        <f t="array" ref="J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Asesor'!H224, "")
</f>
        <v/>
      </c>
      <c r="K222" s="84" t="str">
        <f t="array" ref="K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Asesor'!K224, "")
</f>
        <v/>
      </c>
      <c r="L222" s="84" t="str">
        <f t="array" ref="L222">IF(OR(
    AND('BD Asesor'!H224="Mensual", MATCH($B$2, {"Enero", "Febrero", "Marzo", "Abril", "Mayo", "Junio", "Julio", "Agosto", "Septiembre", "Octubre", "Noviembre", "Diciembre"}, 0)&gt;=1),
    AND('BD Asesor'!H224="Trimestral", MOD(MATCH($B$2, {"Enero", "Febrero", "Marzo", "Abril", "Mayo", "Junio", "Julio", "Agosto", "Septiembre", "Octubre", "Noviembre"}, 0)-MONTH('BD Asesor'!D224), 3)=0),
    AND('BD Asesor'!H224="Semestral", MOD(MATCH($B$2, {"Enero", "Febrero", "Marzo", "Abril", "Mayo", "Junio", "Julio", "Agosto", "Septiembre", "Octubre", "Noviembre"}, 0)-MONTH('BD Asesor'!D224), 6)=0),
    AND('BD Asesor'!H224="Anual", MONTH('BD Asesor'!D224)=MATCH($B$2, {"Enero", "Febrero", "Marzo", "Abril", "Mayo", "Junio", "Julio", "Agosto", "Septiembre", "Octubre", "Noviembre"}, 0))
), 'BD Asesor'!L224, "")
</f>
        <v/>
      </c>
    </row>
    <row r="223">
      <c r="C223" s="84" t="str">
        <f t="array" ref="C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Asesor'!A225, "")
</f>
        <v/>
      </c>
      <c r="D223" s="84" t="str">
        <f t="array" ref="D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Asesor'!B225, "")
</f>
        <v/>
      </c>
      <c r="E223" s="212" t="str">
        <f t="array" ref="E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Asesor'!C225, "")
</f>
        <v/>
      </c>
      <c r="F223" s="212" t="str">
        <f t="array" ref="F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Asesor'!D225, "")
</f>
        <v/>
      </c>
      <c r="G223" s="212" t="str">
        <f t="array" ref="G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Asesor'!E225, "")
</f>
        <v/>
      </c>
      <c r="H223" s="84" t="str">
        <f t="array" ref="H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Asesor'!F225, "")
</f>
        <v/>
      </c>
      <c r="I223" s="84" t="str">
        <f t="array" ref="I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Asesor'!G225, "")
</f>
        <v/>
      </c>
      <c r="J223" s="84" t="str">
        <f t="array" ref="J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Asesor'!H225, "")
</f>
        <v/>
      </c>
      <c r="K223" s="84" t="str">
        <f t="array" ref="K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Asesor'!K225, "")
</f>
        <v/>
      </c>
      <c r="L223" s="84" t="str">
        <f t="array" ref="L223">IF(OR(
    AND('BD Asesor'!H225="Mensual", MATCH($B$2, {"Enero", "Febrero", "Marzo", "Abril", "Mayo", "Junio", "Julio", "Agosto", "Septiembre", "Octubre", "Noviembre", "Diciembre"}, 0)&gt;=1),
    AND('BD Asesor'!H225="Trimestral", MOD(MATCH($B$2, {"Enero", "Febrero", "Marzo", "Abril", "Mayo", "Junio", "Julio", "Agosto", "Septiembre", "Octubre", "Noviembre"}, 0)-MONTH('BD Asesor'!D225), 3)=0),
    AND('BD Asesor'!H225="Semestral", MOD(MATCH($B$2, {"Enero", "Febrero", "Marzo", "Abril", "Mayo", "Junio", "Julio", "Agosto", "Septiembre", "Octubre", "Noviembre"}, 0)-MONTH('BD Asesor'!D225), 6)=0),
    AND('BD Asesor'!H225="Anual", MONTH('BD Asesor'!D225)=MATCH($B$2, {"Enero", "Febrero", "Marzo", "Abril", "Mayo", "Junio", "Julio", "Agosto", "Septiembre", "Octubre", "Noviembre"}, 0))
), 'BD Asesor'!L225, "")
</f>
        <v/>
      </c>
    </row>
    <row r="224">
      <c r="C224" s="84" t="str">
        <f t="array" ref="C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Asesor'!A226, "")
</f>
        <v>FRANCISCO JAVIER MENDOZA FARIAS</v>
      </c>
      <c r="D224" s="84" t="str">
        <f t="array" ref="D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Asesor'!B226, "")
</f>
        <v>M</v>
      </c>
      <c r="E224" s="212" t="str">
        <f t="array" ref="E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Asesor'!C226, "")
</f>
        <v>Activo</v>
      </c>
      <c r="F224" s="213">
        <f t="array" ref="F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Asesor'!D226, "")
</f>
        <v>45683</v>
      </c>
      <c r="G224" s="212" t="str">
        <f t="array" ref="G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Asesor'!E226, "")
</f>
        <v>VI0002885836</v>
      </c>
      <c r="H224" s="76">
        <f t="array" ref="H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Asesor'!F226, "")
</f>
        <v>46939.26</v>
      </c>
      <c r="I224" s="84" t="str">
        <f t="array" ref="I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Asesor'!G226, "")
</f>
        <v>USD</v>
      </c>
      <c r="J224" s="84" t="str">
        <f t="array" ref="J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Asesor'!H226, "")
</f>
        <v>Mensual</v>
      </c>
      <c r="K224" s="84" t="str">
        <f t="array" ref="K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Asesor'!K226, "")
</f>
        <v>TD</v>
      </c>
      <c r="L224" s="84" t="str">
        <f t="array" ref="L224">IF(OR(
    AND('BD Asesor'!H226="Mensual", MATCH($B$2, {"Enero", "Febrero", "Marzo", "Abril", "Mayo", "Junio", "Julio", "Agosto", "Septiembre", "Octubre", "Noviembre", "Diciembre"}, 0)&gt;=1),
    AND('BD Asesor'!H226="Trimestral", MOD(MATCH($B$2, {"Enero", "Febrero", "Marzo", "Abril", "Mayo", "Junio", "Julio", "Agosto", "Septiembre", "Octubre", "Noviembre"}, 0)-MONTH('BD Asesor'!D226), 3)=0),
    AND('BD Asesor'!H226="Semestral", MOD(MATCH($B$2, {"Enero", "Febrero", "Marzo", "Abril", "Mayo", "Junio", "Julio", "Agosto", "Septiembre", "Octubre", "Noviembre"}, 0)-MONTH('BD Asesor'!D226), 6)=0),
    AND('BD Asesor'!H226="Anual", MONTH('BD Asesor'!D226)=MATCH($B$2, {"Enero", "Febrero", "Marzo", "Abril", "Mayo", "Junio", "Julio", "Agosto", "Septiembre", "Octubre", "Noviembre"}, 0))
), 'BD Asesor'!L226, "")
</f>
        <v>Vida</v>
      </c>
    </row>
    <row r="225">
      <c r="C225" s="84" t="str">
        <f t="array" ref="C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Asesor'!A227, "")
</f>
        <v/>
      </c>
      <c r="D225" s="84" t="str">
        <f t="array" ref="D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Asesor'!B227, "")
</f>
        <v/>
      </c>
      <c r="E225" s="212" t="str">
        <f t="array" ref="E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Asesor'!C227, "")
</f>
        <v/>
      </c>
      <c r="F225" s="212" t="str">
        <f t="array" ref="F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Asesor'!D227, "")
</f>
        <v/>
      </c>
      <c r="G225" s="212" t="str">
        <f t="array" ref="G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Asesor'!E227, "")
</f>
        <v/>
      </c>
      <c r="H225" s="84" t="str">
        <f t="array" ref="H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Asesor'!F227, "")
</f>
        <v/>
      </c>
      <c r="I225" s="84" t="str">
        <f t="array" ref="I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Asesor'!G227, "")
</f>
        <v/>
      </c>
      <c r="J225" s="84" t="str">
        <f t="array" ref="J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Asesor'!H227, "")
</f>
        <v/>
      </c>
      <c r="K225" s="84" t="str">
        <f t="array" ref="K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Asesor'!K227, "")
</f>
        <v/>
      </c>
      <c r="L225" s="84" t="str">
        <f t="array" ref="L225">IF(OR(
    AND('BD Asesor'!H227="Mensual", MATCH($B$2, {"Enero", "Febrero", "Marzo", "Abril", "Mayo", "Junio", "Julio", "Agosto", "Septiembre", "Octubre", "Noviembre", "Diciembre"}, 0)&gt;=1),
    AND('BD Asesor'!H227="Trimestral", MOD(MATCH($B$2, {"Enero", "Febrero", "Marzo", "Abril", "Mayo", "Junio", "Julio", "Agosto", "Septiembre", "Octubre", "Noviembre"}, 0)-MONTH('BD Asesor'!D227), 3)=0),
    AND('BD Asesor'!H227="Semestral", MOD(MATCH($B$2, {"Enero", "Febrero", "Marzo", "Abril", "Mayo", "Junio", "Julio", "Agosto", "Septiembre", "Octubre", "Noviembre"}, 0)-MONTH('BD Asesor'!D227), 6)=0),
    AND('BD Asesor'!H227="Anual", MONTH('BD Asesor'!D227)=MATCH($B$2, {"Enero", "Febrero", "Marzo", "Abril", "Mayo", "Junio", "Julio", "Agosto", "Septiembre", "Octubre", "Noviembre"}, 0))
), 'BD Asesor'!L227, "")
</f>
        <v/>
      </c>
    </row>
    <row r="226">
      <c r="C226" s="84" t="str">
        <f t="array" ref="C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Asesor'!A228, "")
</f>
        <v/>
      </c>
      <c r="D226" s="84" t="str">
        <f t="array" ref="D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Asesor'!B228, "")
</f>
        <v/>
      </c>
      <c r="E226" s="212" t="str">
        <f t="array" ref="E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Asesor'!C228, "")
</f>
        <v/>
      </c>
      <c r="F226" s="212" t="str">
        <f t="array" ref="F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Asesor'!D228, "")
</f>
        <v/>
      </c>
      <c r="G226" s="212" t="str">
        <f t="array" ref="G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Asesor'!E228, "")
</f>
        <v/>
      </c>
      <c r="H226" s="84" t="str">
        <f t="array" ref="H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Asesor'!F228, "")
</f>
        <v/>
      </c>
      <c r="I226" s="84" t="str">
        <f t="array" ref="I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Asesor'!G228, "")
</f>
        <v/>
      </c>
      <c r="J226" s="84" t="str">
        <f t="array" ref="J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Asesor'!H228, "")
</f>
        <v/>
      </c>
      <c r="K226" s="84" t="str">
        <f t="array" ref="K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Asesor'!K228, "")
</f>
        <v/>
      </c>
      <c r="L226" s="84" t="str">
        <f t="array" ref="L226">IF(OR(
    AND('BD Asesor'!H228="Mensual", MATCH($B$2, {"Enero", "Febrero", "Marzo", "Abril", "Mayo", "Junio", "Julio", "Agosto", "Septiembre", "Octubre", "Noviembre", "Diciembre"}, 0)&gt;=1),
    AND('BD Asesor'!H228="Trimestral", MOD(MATCH($B$2, {"Enero", "Febrero", "Marzo", "Abril", "Mayo", "Junio", "Julio", "Agosto", "Septiembre", "Octubre", "Noviembre"}, 0)-MONTH('BD Asesor'!D228), 3)=0),
    AND('BD Asesor'!H228="Semestral", MOD(MATCH($B$2, {"Enero", "Febrero", "Marzo", "Abril", "Mayo", "Junio", "Julio", "Agosto", "Septiembre", "Octubre", "Noviembre"}, 0)-MONTH('BD Asesor'!D228), 6)=0),
    AND('BD Asesor'!H228="Anual", MONTH('BD Asesor'!D228)=MATCH($B$2, {"Enero", "Febrero", "Marzo", "Abril", "Mayo", "Junio", "Julio", "Agosto", "Septiembre", "Octubre", "Noviembre"}, 0))
), 'BD Asesor'!L228, "")
</f>
        <v/>
      </c>
    </row>
    <row r="227">
      <c r="C227" s="84" t="str">
        <f t="array" ref="C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Asesor'!A229, "")
</f>
        <v/>
      </c>
      <c r="D227" s="84" t="str">
        <f t="array" ref="D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Asesor'!B229, "")
</f>
        <v/>
      </c>
      <c r="E227" s="212" t="str">
        <f t="array" ref="E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Asesor'!C229, "")
</f>
        <v/>
      </c>
      <c r="F227" s="212" t="str">
        <f t="array" ref="F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Asesor'!D229, "")
</f>
        <v/>
      </c>
      <c r="G227" s="212" t="str">
        <f t="array" ref="G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Asesor'!E229, "")
</f>
        <v/>
      </c>
      <c r="H227" s="84" t="str">
        <f t="array" ref="H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Asesor'!F229, "")
</f>
        <v/>
      </c>
      <c r="I227" s="84" t="str">
        <f t="array" ref="I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Asesor'!G229, "")
</f>
        <v/>
      </c>
      <c r="J227" s="84" t="str">
        <f t="array" ref="J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Asesor'!H229, "")
</f>
        <v/>
      </c>
      <c r="K227" s="84" t="str">
        <f t="array" ref="K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Asesor'!K229, "")
</f>
        <v/>
      </c>
      <c r="L227" s="84" t="str">
        <f t="array" ref="L227">IF(OR(
    AND('BD Asesor'!H229="Mensual", MATCH($B$2, {"Enero", "Febrero", "Marzo", "Abril", "Mayo", "Junio", "Julio", "Agosto", "Septiembre", "Octubre", "Noviembre", "Diciembre"}, 0)&gt;=1),
    AND('BD Asesor'!H229="Trimestral", MOD(MATCH($B$2, {"Enero", "Febrero", "Marzo", "Abril", "Mayo", "Junio", "Julio", "Agosto", "Septiembre", "Octubre", "Noviembre"}, 0)-MONTH('BD Asesor'!D229), 3)=0),
    AND('BD Asesor'!H229="Semestral", MOD(MATCH($B$2, {"Enero", "Febrero", "Marzo", "Abril", "Mayo", "Junio", "Julio", "Agosto", "Septiembre", "Octubre", "Noviembre"}, 0)-MONTH('BD Asesor'!D229), 6)=0),
    AND('BD Asesor'!H229="Anual", MONTH('BD Asesor'!D229)=MATCH($B$2, {"Enero", "Febrero", "Marzo", "Abril", "Mayo", "Junio", "Julio", "Agosto", "Septiembre", "Octubre", "Noviembre"}, 0))
), 'BD Asesor'!L229, "")
</f>
        <v/>
      </c>
    </row>
    <row r="228">
      <c r="C228" s="84" t="str">
        <f t="array" ref="C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Asesor'!A230, "")
</f>
        <v/>
      </c>
      <c r="D228" s="84" t="str">
        <f t="array" ref="D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Asesor'!B230, "")
</f>
        <v/>
      </c>
      <c r="E228" s="212" t="str">
        <f t="array" ref="E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Asesor'!C230, "")
</f>
        <v/>
      </c>
      <c r="F228" s="212" t="str">
        <f t="array" ref="F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Asesor'!D230, "")
</f>
        <v/>
      </c>
      <c r="G228" s="212" t="str">
        <f t="array" ref="G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Asesor'!E230, "")
</f>
        <v/>
      </c>
      <c r="H228" s="84" t="str">
        <f t="array" ref="H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Asesor'!F230, "")
</f>
        <v/>
      </c>
      <c r="I228" s="84" t="str">
        <f t="array" ref="I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Asesor'!G230, "")
</f>
        <v/>
      </c>
      <c r="J228" s="84" t="str">
        <f t="array" ref="J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Asesor'!H230, "")
</f>
        <v/>
      </c>
      <c r="K228" s="84" t="str">
        <f t="array" ref="K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Asesor'!K230, "")
</f>
        <v/>
      </c>
      <c r="L228" s="84" t="str">
        <f t="array" ref="L228">IF(OR(
    AND('BD Asesor'!H230="Mensual", MATCH($B$2, {"Enero", "Febrero", "Marzo", "Abril", "Mayo", "Junio", "Julio", "Agosto", "Septiembre", "Octubre", "Noviembre", "Diciembre"}, 0)&gt;=1),
    AND('BD Asesor'!H230="Trimestral", MOD(MATCH($B$2, {"Enero", "Febrero", "Marzo", "Abril", "Mayo", "Junio", "Julio", "Agosto", "Septiembre", "Octubre", "Noviembre"}, 0)-MONTH('BD Asesor'!D230), 3)=0),
    AND('BD Asesor'!H230="Semestral", MOD(MATCH($B$2, {"Enero", "Febrero", "Marzo", "Abril", "Mayo", "Junio", "Julio", "Agosto", "Septiembre", "Octubre", "Noviembre"}, 0)-MONTH('BD Asesor'!D230), 6)=0),
    AND('BD Asesor'!H230="Anual", MONTH('BD Asesor'!D230)=MATCH($B$2, {"Enero", "Febrero", "Marzo", "Abril", "Mayo", "Junio", "Julio", "Agosto", "Septiembre", "Octubre", "Noviembre"}, 0))
), 'BD Asesor'!L230, "")
</f>
        <v/>
      </c>
    </row>
    <row r="229">
      <c r="C229" s="84" t="str">
        <f t="array" ref="C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Asesor'!A231, "")
</f>
        <v/>
      </c>
      <c r="D229" s="84" t="str">
        <f t="array" ref="D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Asesor'!B231, "")
</f>
        <v/>
      </c>
      <c r="E229" s="212" t="str">
        <f t="array" ref="E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Asesor'!C231, "")
</f>
        <v/>
      </c>
      <c r="F229" s="212" t="str">
        <f t="array" ref="F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Asesor'!D231, "")
</f>
        <v/>
      </c>
      <c r="G229" s="212" t="str">
        <f t="array" ref="G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Asesor'!E231, "")
</f>
        <v/>
      </c>
      <c r="H229" s="84" t="str">
        <f t="array" ref="H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Asesor'!F231, "")
</f>
        <v/>
      </c>
      <c r="I229" s="84" t="str">
        <f t="array" ref="I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Asesor'!G231, "")
</f>
        <v/>
      </c>
      <c r="J229" s="84" t="str">
        <f t="array" ref="J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Asesor'!H231, "")
</f>
        <v/>
      </c>
      <c r="K229" s="84" t="str">
        <f t="array" ref="K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Asesor'!K231, "")
</f>
        <v/>
      </c>
      <c r="L229" s="84" t="str">
        <f t="array" ref="L229">IF(OR(
    AND('BD Asesor'!H231="Mensual", MATCH($B$2, {"Enero", "Febrero", "Marzo", "Abril", "Mayo", "Junio", "Julio", "Agosto", "Septiembre", "Octubre", "Noviembre", "Diciembre"}, 0)&gt;=1),
    AND('BD Asesor'!H231="Trimestral", MOD(MATCH($B$2, {"Enero", "Febrero", "Marzo", "Abril", "Mayo", "Junio", "Julio", "Agosto", "Septiembre", "Octubre", "Noviembre"}, 0)-MONTH('BD Asesor'!D231), 3)=0),
    AND('BD Asesor'!H231="Semestral", MOD(MATCH($B$2, {"Enero", "Febrero", "Marzo", "Abril", "Mayo", "Junio", "Julio", "Agosto", "Septiembre", "Octubre", "Noviembre"}, 0)-MONTH('BD Asesor'!D231), 6)=0),
    AND('BD Asesor'!H231="Anual", MONTH('BD Asesor'!D231)=MATCH($B$2, {"Enero", "Febrero", "Marzo", "Abril", "Mayo", "Junio", "Julio", "Agosto", "Septiembre", "Octubre", "Noviembre"}, 0))
), 'BD Asesor'!L231, "")
</f>
        <v/>
      </c>
    </row>
    <row r="230">
      <c r="C230" s="84" t="str">
        <f t="array" ref="C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Asesor'!A232, "")
</f>
        <v>GEMA ITZEL LANDEROS CARRILLO</v>
      </c>
      <c r="D230" s="84" t="str">
        <f t="array" ref="D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Asesor'!B232, "")
</f>
        <v>F</v>
      </c>
      <c r="E230" s="212" t="str">
        <f t="array" ref="E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Asesor'!C232, "")
</f>
        <v>Activo</v>
      </c>
      <c r="F230" s="213">
        <f t="array" ref="F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Asesor'!D232, "")
</f>
        <v>45708</v>
      </c>
      <c r="G230" s="212" t="str">
        <f t="array" ref="G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Asesor'!E232, "")
</f>
        <v>GM0000691919</v>
      </c>
      <c r="H230" s="76">
        <f t="array" ref="H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Asesor'!F232, "")
</f>
        <v>23133.96</v>
      </c>
      <c r="I230" s="84" t="str">
        <f t="array" ref="I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Asesor'!G232, "")
</f>
        <v>MX</v>
      </c>
      <c r="J230" s="84" t="str">
        <f t="array" ref="J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Asesor'!H232, "")
</f>
        <v>Mensual</v>
      </c>
      <c r="K230" s="84" t="str">
        <f t="array" ref="K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Asesor'!K232, "")
</f>
        <v>TDC</v>
      </c>
      <c r="L230" s="84" t="str">
        <f t="array" ref="L230">IF(OR(
    AND('BD Asesor'!H232="Mensual", MATCH($B$2, {"Enero", "Febrero", "Marzo", "Abril", "Mayo", "Junio", "Julio", "Agosto", "Septiembre", "Octubre", "Noviembre", "Diciembre"}, 0)&gt;=1),
    AND('BD Asesor'!H232="Trimestral", MOD(MATCH($B$2, {"Enero", "Febrero", "Marzo", "Abril", "Mayo", "Junio", "Julio", "Agosto", "Septiembre", "Octubre", "Noviembre"}, 0)-MONTH('BD Asesor'!D232), 3)=0),
    AND('BD Asesor'!H232="Semestral", MOD(MATCH($B$2, {"Enero", "Febrero", "Marzo", "Abril", "Mayo", "Junio", "Julio", "Agosto", "Septiembre", "Octubre", "Noviembre"}, 0)-MONTH('BD Asesor'!D232), 6)=0),
    AND('BD Asesor'!H232="Anual", MONTH('BD Asesor'!D232)=MATCH($B$2, {"Enero", "Febrero", "Marzo", "Abril", "Mayo", "Junio", "Julio", "Agosto", "Septiembre", "Octubre", "Noviembre"}, 0))
), 'BD Asesor'!L232, "")
</f>
        <v>Gastos Médicos </v>
      </c>
    </row>
    <row r="231">
      <c r="C231" s="84" t="str">
        <f t="array" ref="C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Asesor'!A233, "")
</f>
        <v/>
      </c>
      <c r="D231" s="84" t="str">
        <f t="array" ref="D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Asesor'!B233, "")
</f>
        <v/>
      </c>
      <c r="E231" s="212" t="str">
        <f t="array" ref="E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Asesor'!C233, "")
</f>
        <v/>
      </c>
      <c r="F231" s="212" t="str">
        <f t="array" ref="F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Asesor'!D233, "")
</f>
        <v/>
      </c>
      <c r="G231" s="212" t="str">
        <f t="array" ref="G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Asesor'!E233, "")
</f>
        <v/>
      </c>
      <c r="H231" s="84" t="str">
        <f t="array" ref="H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Asesor'!F233, "")
</f>
        <v/>
      </c>
      <c r="I231" s="84" t="str">
        <f t="array" ref="I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Asesor'!G233, "")
</f>
        <v/>
      </c>
      <c r="J231" s="84" t="str">
        <f t="array" ref="J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Asesor'!H233, "")
</f>
        <v/>
      </c>
      <c r="K231" s="84" t="str">
        <f t="array" ref="K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Asesor'!K233, "")
</f>
        <v/>
      </c>
      <c r="L231" s="84" t="str">
        <f t="array" ref="L231">IF(OR(
    AND('BD Asesor'!H233="Mensual", MATCH($B$2, {"Enero", "Febrero", "Marzo", "Abril", "Mayo", "Junio", "Julio", "Agosto", "Septiembre", "Octubre", "Noviembre", "Diciembre"}, 0)&gt;=1),
    AND('BD Asesor'!H233="Trimestral", MOD(MATCH($B$2, {"Enero", "Febrero", "Marzo", "Abril", "Mayo", "Junio", "Julio", "Agosto", "Septiembre", "Octubre", "Noviembre"}, 0)-MONTH('BD Asesor'!D233), 3)=0),
    AND('BD Asesor'!H233="Semestral", MOD(MATCH($B$2, {"Enero", "Febrero", "Marzo", "Abril", "Mayo", "Junio", "Julio", "Agosto", "Septiembre", "Octubre", "Noviembre"}, 0)-MONTH('BD Asesor'!D233), 6)=0),
    AND('BD Asesor'!H233="Anual", MONTH('BD Asesor'!D233)=MATCH($B$2, {"Enero", "Febrero", "Marzo", "Abril", "Mayo", "Junio", "Julio", "Agosto", "Septiembre", "Octubre", "Noviembre"}, 0))
), 'BD Asesor'!L233, "")
</f>
        <v/>
      </c>
    </row>
    <row r="232">
      <c r="C232" s="84" t="str">
        <f t="array" ref="C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Asesor'!A234, "")
</f>
        <v/>
      </c>
      <c r="D232" s="84" t="str">
        <f t="array" ref="D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Asesor'!B234, "")
</f>
        <v/>
      </c>
      <c r="E232" s="212" t="str">
        <f t="array" ref="E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Asesor'!C234, "")
</f>
        <v/>
      </c>
      <c r="F232" s="212" t="str">
        <f t="array" ref="F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Asesor'!D234, "")
</f>
        <v/>
      </c>
      <c r="G232" s="212" t="str">
        <f t="array" ref="G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Asesor'!E234, "")
</f>
        <v/>
      </c>
      <c r="H232" s="84" t="str">
        <f t="array" ref="H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Asesor'!F234, "")
</f>
        <v/>
      </c>
      <c r="I232" s="84" t="str">
        <f t="array" ref="I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Asesor'!G234, "")
</f>
        <v/>
      </c>
      <c r="J232" s="84" t="str">
        <f t="array" ref="J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Asesor'!H234, "")
</f>
        <v/>
      </c>
      <c r="K232" s="84" t="str">
        <f t="array" ref="K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Asesor'!K234, "")
</f>
        <v/>
      </c>
      <c r="L232" s="84" t="str">
        <f t="array" ref="L232">IF(OR(
    AND('BD Asesor'!H234="Mensual", MATCH($B$2, {"Enero", "Febrero", "Marzo", "Abril", "Mayo", "Junio", "Julio", "Agosto", "Septiembre", "Octubre", "Noviembre", "Diciembre"}, 0)&gt;=1),
    AND('BD Asesor'!H234="Trimestral", MOD(MATCH($B$2, {"Enero", "Febrero", "Marzo", "Abril", "Mayo", "Junio", "Julio", "Agosto", "Septiembre", "Octubre", "Noviembre"}, 0)-MONTH('BD Asesor'!D234), 3)=0),
    AND('BD Asesor'!H234="Semestral", MOD(MATCH($B$2, {"Enero", "Febrero", "Marzo", "Abril", "Mayo", "Junio", "Julio", "Agosto", "Septiembre", "Octubre", "Noviembre"}, 0)-MONTH('BD Asesor'!D234), 6)=0),
    AND('BD Asesor'!H234="Anual", MONTH('BD Asesor'!D234)=MATCH($B$2, {"Enero", "Febrero", "Marzo", "Abril", "Mayo", "Junio", "Julio", "Agosto", "Septiembre", "Octubre", "Noviembre"}, 0))
), 'BD Asesor'!L234, "")
</f>
        <v/>
      </c>
    </row>
    <row r="233">
      <c r="C233" s="84" t="str">
        <f t="array" ref="C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Asesor'!A235, "")
</f>
        <v/>
      </c>
      <c r="D233" s="84" t="str">
        <f t="array" ref="D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Asesor'!B235, "")
</f>
        <v/>
      </c>
      <c r="E233" s="212" t="str">
        <f t="array" ref="E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Asesor'!C235, "")
</f>
        <v/>
      </c>
      <c r="F233" s="212" t="str">
        <f t="array" ref="F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Asesor'!D235, "")
</f>
        <v/>
      </c>
      <c r="G233" s="212" t="str">
        <f t="array" ref="G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Asesor'!E235, "")
</f>
        <v/>
      </c>
      <c r="H233" s="84" t="str">
        <f t="array" ref="H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Asesor'!F235, "")
</f>
        <v/>
      </c>
      <c r="I233" s="84" t="str">
        <f t="array" ref="I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Asesor'!G235, "")
</f>
        <v/>
      </c>
      <c r="J233" s="84" t="str">
        <f t="array" ref="J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Asesor'!H235, "")
</f>
        <v/>
      </c>
      <c r="K233" s="84" t="str">
        <f t="array" ref="K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Asesor'!K235, "")
</f>
        <v/>
      </c>
      <c r="L233" s="84" t="str">
        <f t="array" ref="L233">IF(OR(
    AND('BD Asesor'!H235="Mensual", MATCH($B$2, {"Enero", "Febrero", "Marzo", "Abril", "Mayo", "Junio", "Julio", "Agosto", "Septiembre", "Octubre", "Noviembre", "Diciembre"}, 0)&gt;=1),
    AND('BD Asesor'!H235="Trimestral", MOD(MATCH($B$2, {"Enero", "Febrero", "Marzo", "Abril", "Mayo", "Junio", "Julio", "Agosto", "Septiembre", "Octubre", "Noviembre"}, 0)-MONTH('BD Asesor'!D235), 3)=0),
    AND('BD Asesor'!H235="Semestral", MOD(MATCH($B$2, {"Enero", "Febrero", "Marzo", "Abril", "Mayo", "Junio", "Julio", "Agosto", "Septiembre", "Octubre", "Noviembre"}, 0)-MONTH('BD Asesor'!D235), 6)=0),
    AND('BD Asesor'!H235="Anual", MONTH('BD Asesor'!D235)=MATCH($B$2, {"Enero", "Febrero", "Marzo", "Abril", "Mayo", "Junio", "Julio", "Agosto", "Septiembre", "Octubre", "Noviembre"}, 0))
), 'BD Asesor'!L235, "")
</f>
        <v/>
      </c>
    </row>
    <row r="234">
      <c r="C234" s="84" t="str">
        <f t="array" ref="C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Asesor'!A236, "")
</f>
        <v>ABRAHAM YAEL ALVAREZ OBRIEN</v>
      </c>
      <c r="D234" s="84" t="str">
        <f t="array" ref="D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Asesor'!B236, "")
</f>
        <v>M</v>
      </c>
      <c r="E234" s="212" t="str">
        <f t="array" ref="E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Asesor'!C236, "")
</f>
        <v>Activo</v>
      </c>
      <c r="F234" s="213">
        <f t="array" ref="F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Asesor'!D236, "")
</f>
        <v>45712</v>
      </c>
      <c r="G234" s="212" t="str">
        <f t="array" ref="G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Asesor'!E236, "")
</f>
        <v>VI0002892849</v>
      </c>
      <c r="H234" s="76">
        <f t="array" ref="H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Asesor'!F236, "")
</f>
        <v>19020.96</v>
      </c>
      <c r="I234" s="84" t="str">
        <f t="array" ref="I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Asesor'!G236, "")
</f>
        <v>UDIS</v>
      </c>
      <c r="J234" s="84" t="str">
        <f t="array" ref="J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Asesor'!H236, "")
</f>
        <v>Mensual</v>
      </c>
      <c r="K234" s="84" t="str">
        <f t="array" ref="K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Asesor'!K236, "")
</f>
        <v>TD</v>
      </c>
      <c r="L234" s="84" t="str">
        <f t="array" ref="L234">IF(OR(
    AND('BD Asesor'!H236="Mensual", MATCH($B$2, {"Enero", "Febrero", "Marzo", "Abril", "Mayo", "Junio", "Julio", "Agosto", "Septiembre", "Octubre", "Noviembre", "Diciembre"}, 0)&gt;=1),
    AND('BD Asesor'!H236="Trimestral", MOD(MATCH($B$2, {"Enero", "Febrero", "Marzo", "Abril", "Mayo", "Junio", "Julio", "Agosto", "Septiembre", "Octubre", "Noviembre"}, 0)-MONTH('BD Asesor'!D236), 3)=0),
    AND('BD Asesor'!H236="Semestral", MOD(MATCH($B$2, {"Enero", "Febrero", "Marzo", "Abril", "Mayo", "Junio", "Julio", "Agosto", "Septiembre", "Octubre", "Noviembre"}, 0)-MONTH('BD Asesor'!D236), 6)=0),
    AND('BD Asesor'!H236="Anual", MONTH('BD Asesor'!D236)=MATCH($B$2, {"Enero", "Febrero", "Marzo", "Abril", "Mayo", "Junio", "Julio", "Agosto", "Septiembre", "Octubre", "Noviembre"}, 0))
), 'BD Asesor'!L236, "")
</f>
        <v>Vida</v>
      </c>
    </row>
    <row r="235">
      <c r="C235" s="84" t="str">
        <f t="array" ref="C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Asesor'!A237, "")
</f>
        <v>ANDREA ABIGAIL ALVAREZ OBRIEN</v>
      </c>
      <c r="D235" s="84" t="str">
        <f t="array" ref="D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Asesor'!B237, "")
</f>
        <v>F</v>
      </c>
      <c r="E235" s="212" t="str">
        <f t="array" ref="E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Asesor'!C237, "")
</f>
        <v>Activo</v>
      </c>
      <c r="F235" s="213">
        <f t="array" ref="F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Asesor'!D237, "")
</f>
        <v>45715</v>
      </c>
      <c r="G235" s="212" t="str">
        <f t="array" ref="G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Asesor'!E237, "")
</f>
        <v>VI0002894340</v>
      </c>
      <c r="H235" s="76">
        <f t="array" ref="H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Asesor'!F237, "")
</f>
        <v>19875.744</v>
      </c>
      <c r="I235" s="84" t="str">
        <f t="array" ref="I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Asesor'!G237, "")
</f>
        <v>UDIS</v>
      </c>
      <c r="J235" s="84" t="str">
        <f t="array" ref="J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Asesor'!H237, "")
</f>
        <v>Mensual</v>
      </c>
      <c r="K235" s="84" t="str">
        <f t="array" ref="K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Asesor'!K237, "")
</f>
        <v>TD</v>
      </c>
      <c r="L235" s="84" t="str">
        <f t="array" ref="L235">IF(OR(
    AND('BD Asesor'!H237="Mensual", MATCH($B$2, {"Enero", "Febrero", "Marzo", "Abril", "Mayo", "Junio", "Julio", "Agosto", "Septiembre", "Octubre", "Noviembre", "Diciembre"}, 0)&gt;=1),
    AND('BD Asesor'!H237="Trimestral", MOD(MATCH($B$2, {"Enero", "Febrero", "Marzo", "Abril", "Mayo", "Junio", "Julio", "Agosto", "Septiembre", "Octubre", "Noviembre"}, 0)-MONTH('BD Asesor'!D237), 3)=0),
    AND('BD Asesor'!H237="Semestral", MOD(MATCH($B$2, {"Enero", "Febrero", "Marzo", "Abril", "Mayo", "Junio", "Julio", "Agosto", "Septiembre", "Octubre", "Noviembre"}, 0)-MONTH('BD Asesor'!D237), 6)=0),
    AND('BD Asesor'!H237="Anual", MONTH('BD Asesor'!D237)=MATCH($B$2, {"Enero", "Febrero", "Marzo", "Abril", "Mayo", "Junio", "Julio", "Agosto", "Septiembre", "Octubre", "Noviembre"}, 0))
), 'BD Asesor'!L237, "")
</f>
        <v>Vida</v>
      </c>
    </row>
    <row r="236">
      <c r="C236" s="84" t="str">
        <f t="array" ref="C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Asesor'!A238, "")
</f>
        <v>STEPHANIE MICHELLE GUERRA RODRIGUEZ</v>
      </c>
      <c r="D236" s="84" t="str">
        <f t="array" ref="D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Asesor'!B238, "")
</f>
        <v>F</v>
      </c>
      <c r="E236" s="212" t="str">
        <f t="array" ref="E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Asesor'!C238, "")
</f>
        <v>Activo</v>
      </c>
      <c r="F236" s="213">
        <f t="array" ref="F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Asesor'!D238, "")
</f>
        <v>45731</v>
      </c>
      <c r="G236" s="212" t="str">
        <f t="array" ref="G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Asesor'!E238, "")
</f>
        <v>GM0000697387</v>
      </c>
      <c r="H236" s="76">
        <f t="array" ref="H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Asesor'!F238, "")
</f>
        <v>25983.41</v>
      </c>
      <c r="I236" s="84" t="str">
        <f t="array" ref="I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Asesor'!G238, "")
</f>
        <v>MXN</v>
      </c>
      <c r="J236" s="84" t="str">
        <f t="array" ref="J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Asesor'!H238, "")
</f>
        <v>Anual</v>
      </c>
      <c r="K236" s="84" t="str">
        <f t="array" ref="K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Asesor'!K238, "")
</f>
        <v>TC</v>
      </c>
      <c r="L236" s="84" t="str">
        <f t="array" ref="L236">IF(OR(
    AND('BD Asesor'!H238="Mensual", MATCH($B$2, {"Enero", "Febrero", "Marzo", "Abril", "Mayo", "Junio", "Julio", "Agosto", "Septiembre", "Octubre", "Noviembre", "Diciembre"}, 0)&gt;=1),
    AND('BD Asesor'!H238="Trimestral", MOD(MATCH($B$2, {"Enero", "Febrero", "Marzo", "Abril", "Mayo", "Junio", "Julio", "Agosto", "Septiembre", "Octubre", "Noviembre"}, 0)-MONTH('BD Asesor'!D238), 3)=0),
    AND('BD Asesor'!H238="Semestral", MOD(MATCH($B$2, {"Enero", "Febrero", "Marzo", "Abril", "Mayo", "Junio", "Julio", "Agosto", "Septiembre", "Octubre", "Noviembre"}, 0)-MONTH('BD Asesor'!D238), 6)=0),
    AND('BD Asesor'!H238="Anual", MONTH('BD Asesor'!D238)=MATCH($B$2, {"Enero", "Febrero", "Marzo", "Abril", "Mayo", "Junio", "Julio", "Agosto", "Septiembre", "Octubre", "Noviembre"}, 0))
), 'BD Asesor'!L238, "")
</f>
        <v>Gastos Médicos </v>
      </c>
    </row>
    <row r="237">
      <c r="C237" s="84" t="str">
        <f t="array" ref="C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Asesor'!A239, "")
</f>
        <v/>
      </c>
      <c r="D237" s="84" t="str">
        <f t="array" ref="D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Asesor'!B239, "")
</f>
        <v/>
      </c>
      <c r="E237" s="212" t="str">
        <f t="array" ref="E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Asesor'!C239, "")
</f>
        <v/>
      </c>
      <c r="F237" s="212" t="str">
        <f t="array" ref="F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Asesor'!D239, "")
</f>
        <v/>
      </c>
      <c r="G237" s="212" t="str">
        <f t="array" ref="G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Asesor'!E239, "")
</f>
        <v/>
      </c>
      <c r="H237" s="84" t="str">
        <f t="array" ref="H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Asesor'!F239, "")
</f>
        <v/>
      </c>
      <c r="I237" s="84" t="str">
        <f t="array" ref="I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Asesor'!G239, "")
</f>
        <v/>
      </c>
      <c r="J237" s="84" t="str">
        <f t="array" ref="J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Asesor'!H239, "")
</f>
        <v/>
      </c>
      <c r="K237" s="84" t="str">
        <f t="array" ref="K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Asesor'!K239, "")
</f>
        <v/>
      </c>
      <c r="L237" s="84" t="str">
        <f t="array" ref="L237">IF(OR(
    AND('BD Asesor'!H239="Mensual", MATCH($B$2, {"Enero", "Febrero", "Marzo", "Abril", "Mayo", "Junio", "Julio", "Agosto", "Septiembre", "Octubre", "Noviembre", "Diciembre"}, 0)&gt;=1),
    AND('BD Asesor'!H239="Trimestral", MOD(MATCH($B$2, {"Enero", "Febrero", "Marzo", "Abril", "Mayo", "Junio", "Julio", "Agosto", "Septiembre", "Octubre", "Noviembre"}, 0)-MONTH('BD Asesor'!D239), 3)=0),
    AND('BD Asesor'!H239="Semestral", MOD(MATCH($B$2, {"Enero", "Febrero", "Marzo", "Abril", "Mayo", "Junio", "Julio", "Agosto", "Septiembre", "Octubre", "Noviembre"}, 0)-MONTH('BD Asesor'!D239), 6)=0),
    AND('BD Asesor'!H239="Anual", MONTH('BD Asesor'!D239)=MATCH($B$2, {"Enero", "Febrero", "Marzo", "Abril", "Mayo", "Junio", "Julio", "Agosto", "Septiembre", "Octubre", "Noviembre"}, 0))
), 'BD Asesor'!L239, "")
</f>
        <v/>
      </c>
    </row>
    <row r="238">
      <c r="C238" s="84" t="str">
        <f t="array" ref="C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Asesor'!A240, "")
</f>
        <v/>
      </c>
      <c r="D238" s="84" t="str">
        <f t="array" ref="D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Asesor'!B240, "")
</f>
        <v/>
      </c>
      <c r="E238" s="212" t="str">
        <f t="array" ref="E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Asesor'!C240, "")
</f>
        <v/>
      </c>
      <c r="F238" s="212" t="str">
        <f t="array" ref="F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Asesor'!D240, "")
</f>
        <v/>
      </c>
      <c r="G238" s="212" t="str">
        <f t="array" ref="G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Asesor'!E240, "")
</f>
        <v/>
      </c>
      <c r="H238" s="84" t="str">
        <f t="array" ref="H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Asesor'!F240, "")
</f>
        <v/>
      </c>
      <c r="I238" s="84" t="str">
        <f t="array" ref="I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Asesor'!G240, "")
</f>
        <v/>
      </c>
      <c r="J238" s="84" t="str">
        <f t="array" ref="J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Asesor'!H240, "")
</f>
        <v/>
      </c>
      <c r="K238" s="84" t="str">
        <f t="array" ref="K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Asesor'!K240, "")
</f>
        <v/>
      </c>
      <c r="L238" s="84" t="str">
        <f t="array" ref="L238">IF(OR(
    AND('BD Asesor'!H240="Mensual", MATCH($B$2, {"Enero", "Febrero", "Marzo", "Abril", "Mayo", "Junio", "Julio", "Agosto", "Septiembre", "Octubre", "Noviembre", "Diciembre"}, 0)&gt;=1),
    AND('BD Asesor'!H240="Trimestral", MOD(MATCH($B$2, {"Enero", "Febrero", "Marzo", "Abril", "Mayo", "Junio", "Julio", "Agosto", "Septiembre", "Octubre", "Noviembre"}, 0)-MONTH('BD Asesor'!D240), 3)=0),
    AND('BD Asesor'!H240="Semestral", MOD(MATCH($B$2, {"Enero", "Febrero", "Marzo", "Abril", "Mayo", "Junio", "Julio", "Agosto", "Septiembre", "Octubre", "Noviembre"}, 0)-MONTH('BD Asesor'!D240), 6)=0),
    AND('BD Asesor'!H240="Anual", MONTH('BD Asesor'!D240)=MATCH($B$2, {"Enero", "Febrero", "Marzo", "Abril", "Mayo", "Junio", "Julio", "Agosto", "Septiembre", "Octubre", "Noviembre"}, 0))
), 'BD Asesor'!L240, "")
</f>
        <v/>
      </c>
    </row>
    <row r="239">
      <c r="C239" s="84" t="str">
        <f t="array" ref="C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Asesor'!A241, "")
</f>
        <v>MARIA SOLEDAD CONTRERAS ALVAREZ</v>
      </c>
      <c r="D239" s="84" t="str">
        <f t="array" ref="D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Asesor'!B241, "")
</f>
        <v>F</v>
      </c>
      <c r="E239" s="212" t="str">
        <f t="array" ref="E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Asesor'!C241, "")
</f>
        <v>Activo</v>
      </c>
      <c r="F239" s="213">
        <f t="array" ref="F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Asesor'!D241, "")
</f>
        <v>43238</v>
      </c>
      <c r="G239" s="212" t="str">
        <f t="array" ref="G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Asesor'!E241, "")
</f>
        <v>VI0002377266</v>
      </c>
      <c r="H239" s="76">
        <f t="array" ref="H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Asesor'!F241, "")
</f>
        <v>134684.892</v>
      </c>
      <c r="I239" s="84" t="str">
        <f t="array" ref="I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Asesor'!G241, "")
</f>
        <v>UDIS</v>
      </c>
      <c r="J239" s="84" t="str">
        <f t="array" ref="J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Asesor'!H241, "")
</f>
        <v>Mensual</v>
      </c>
      <c r="K239" s="84" t="str">
        <f t="array" ref="K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Asesor'!K241, "")
</f>
        <v>TDD</v>
      </c>
      <c r="L239" s="84" t="str">
        <f t="array" ref="L239">IF(OR(
    AND('BD Asesor'!H241="Mensual", MATCH($B$2, {"Enero", "Febrero", "Marzo", "Abril", "Mayo", "Junio", "Julio", "Agosto", "Septiembre", "Octubre", "Noviembre", "Diciembre"}, 0)&gt;=1),
    AND('BD Asesor'!H241="Trimestral", MOD(MATCH($B$2, {"Enero", "Febrero", "Marzo", "Abril", "Mayo", "Junio", "Julio", "Agosto", "Septiembre", "Octubre", "Noviembre"}, 0)-MONTH('BD Asesor'!D241), 3)=0),
    AND('BD Asesor'!H241="Semestral", MOD(MATCH($B$2, {"Enero", "Febrero", "Marzo", "Abril", "Mayo", "Junio", "Julio", "Agosto", "Septiembre", "Octubre", "Noviembre"}, 0)-MONTH('BD Asesor'!D241), 6)=0),
    AND('BD Asesor'!H241="Anual", MONTH('BD Asesor'!D241)=MATCH($B$2, {"Enero", "Febrero", "Marzo", "Abril", "Mayo", "Junio", "Julio", "Agosto", "Septiembre", "Octubre", "Noviembre"}, 0))
), 'BD Asesor'!L241, "")
</f>
        <v>Vida</v>
      </c>
    </row>
    <row r="240">
      <c r="C240" s="84" t="str">
        <f t="array" ref="C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Asesor'!A242, "")
</f>
        <v/>
      </c>
      <c r="D240" s="84" t="str">
        <f t="array" ref="D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Asesor'!B242, "")
</f>
        <v/>
      </c>
      <c r="E240" s="212" t="str">
        <f t="array" ref="E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Asesor'!C242, "")
</f>
        <v/>
      </c>
      <c r="F240" s="212" t="str">
        <f t="array" ref="F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Asesor'!D242, "")
</f>
        <v/>
      </c>
      <c r="G240" s="212" t="str">
        <f t="array" ref="G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Asesor'!E242, "")
</f>
        <v/>
      </c>
      <c r="H240" s="84" t="str">
        <f t="array" ref="H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Asesor'!F242, "")
</f>
        <v/>
      </c>
      <c r="I240" s="84" t="str">
        <f t="array" ref="I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Asesor'!G242, "")
</f>
        <v/>
      </c>
      <c r="J240" s="84" t="str">
        <f t="array" ref="J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Asesor'!H242, "")
</f>
        <v/>
      </c>
      <c r="K240" s="84" t="str">
        <f t="array" ref="K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Asesor'!K242, "")
</f>
        <v/>
      </c>
      <c r="L240" s="84" t="str">
        <f t="array" ref="L240">IF(OR(
    AND('BD Asesor'!H242="Mensual", MATCH($B$2, {"Enero", "Febrero", "Marzo", "Abril", "Mayo", "Junio", "Julio", "Agosto", "Septiembre", "Octubre", "Noviembre", "Diciembre"}, 0)&gt;=1),
    AND('BD Asesor'!H242="Trimestral", MOD(MATCH($B$2, {"Enero", "Febrero", "Marzo", "Abril", "Mayo", "Junio", "Julio", "Agosto", "Septiembre", "Octubre", "Noviembre"}, 0)-MONTH('BD Asesor'!D242), 3)=0),
    AND('BD Asesor'!H242="Semestral", MOD(MATCH($B$2, {"Enero", "Febrero", "Marzo", "Abril", "Mayo", "Junio", "Julio", "Agosto", "Septiembre", "Octubre", "Noviembre"}, 0)-MONTH('BD Asesor'!D242), 6)=0),
    AND('BD Asesor'!H242="Anual", MONTH('BD Asesor'!D242)=MATCH($B$2, {"Enero", "Febrero", "Marzo", "Abril", "Mayo", "Junio", "Julio", "Agosto", "Septiembre", "Octubre", "Noviembre"}, 0))
), 'BD Asesor'!L242, "")
</f>
        <v/>
      </c>
    </row>
    <row r="241">
      <c r="C241" s="84" t="str">
        <f t="array" ref="C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Asesor'!A243, "")
</f>
        <v/>
      </c>
      <c r="D241" s="84" t="str">
        <f t="array" ref="D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Asesor'!B243, "")
</f>
        <v/>
      </c>
      <c r="E241" s="212" t="str">
        <f t="array" ref="E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Asesor'!C243, "")
</f>
        <v/>
      </c>
      <c r="F241" s="212" t="str">
        <f t="array" ref="F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Asesor'!D243, "")
</f>
        <v/>
      </c>
      <c r="G241" s="212" t="str">
        <f t="array" ref="G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Asesor'!E243, "")
</f>
        <v/>
      </c>
      <c r="H241" s="84" t="str">
        <f t="array" ref="H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Asesor'!F243, "")
</f>
        <v/>
      </c>
      <c r="I241" s="84" t="str">
        <f t="array" ref="I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Asesor'!G243, "")
</f>
        <v/>
      </c>
      <c r="J241" s="84" t="str">
        <f t="array" ref="J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Asesor'!H243, "")
</f>
        <v/>
      </c>
      <c r="K241" s="84" t="str">
        <f t="array" ref="K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Asesor'!K243, "")
</f>
        <v/>
      </c>
      <c r="L241" s="84" t="str">
        <f t="array" ref="L241">IF(OR(
    AND('BD Asesor'!H243="Mensual", MATCH($B$2, {"Enero", "Febrero", "Marzo", "Abril", "Mayo", "Junio", "Julio", "Agosto", "Septiembre", "Octubre", "Noviembre", "Diciembre"}, 0)&gt;=1),
    AND('BD Asesor'!H243="Trimestral", MOD(MATCH($B$2, {"Enero", "Febrero", "Marzo", "Abril", "Mayo", "Junio", "Julio", "Agosto", "Septiembre", "Octubre", "Noviembre"}, 0)-MONTH('BD Asesor'!D243), 3)=0),
    AND('BD Asesor'!H243="Semestral", MOD(MATCH($B$2, {"Enero", "Febrero", "Marzo", "Abril", "Mayo", "Junio", "Julio", "Agosto", "Septiembre", "Octubre", "Noviembre"}, 0)-MONTH('BD Asesor'!D243), 6)=0),
    AND('BD Asesor'!H243="Anual", MONTH('BD Asesor'!D243)=MATCH($B$2, {"Enero", "Febrero", "Marzo", "Abril", "Mayo", "Junio", "Julio", "Agosto", "Septiembre", "Octubre", "Noviembre"}, 0))
), 'BD Asesor'!L243, "")
</f>
        <v/>
      </c>
    </row>
    <row r="242">
      <c r="C242" s="84" t="str">
        <f t="array" ref="C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Asesor'!A244, "")
</f>
        <v>ADRIAN ALONSO CASTILLO GARCIA</v>
      </c>
      <c r="D242" s="84" t="str">
        <f t="array" ref="D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Asesor'!B244, "")
</f>
        <v>M</v>
      </c>
      <c r="E242" s="212" t="str">
        <f t="array" ref="E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Asesor'!C244, "")
</f>
        <v>Activo</v>
      </c>
      <c r="F242" s="213">
        <f t="array" ref="F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Asesor'!D244, "")
</f>
        <v>45819</v>
      </c>
      <c r="G242" s="212" t="str">
        <f t="array" ref="G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Asesor'!E244, "")
</f>
        <v>VI0002918199</v>
      </c>
      <c r="H242" s="76">
        <f t="array" ref="H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Asesor'!F244, "")
</f>
        <v>156513.4944</v>
      </c>
      <c r="I242" s="84" t="str">
        <f t="array" ref="I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Asesor'!G244, "")
</f>
        <v>UDIS</v>
      </c>
      <c r="J242" s="84" t="str">
        <f t="array" ref="J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Asesor'!H244, "")
</f>
        <v>Mensual</v>
      </c>
      <c r="K242" s="84" t="str">
        <f t="array" ref="K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Asesor'!K244, "")
</f>
        <v>TD</v>
      </c>
      <c r="L242" s="84" t="str">
        <f t="array" ref="L242">IF(OR(
    AND('BD Asesor'!H244="Mensual", MATCH($B$2, {"Enero", "Febrero", "Marzo", "Abril", "Mayo", "Junio", "Julio", "Agosto", "Septiembre", "Octubre", "Noviembre", "Diciembre"}, 0)&gt;=1),
    AND('BD Asesor'!H244="Trimestral", MOD(MATCH($B$2, {"Enero", "Febrero", "Marzo", "Abril", "Mayo", "Junio", "Julio", "Agosto", "Septiembre", "Octubre", "Noviembre"}, 0)-MONTH('BD Asesor'!D244), 3)=0),
    AND('BD Asesor'!H244="Semestral", MOD(MATCH($B$2, {"Enero", "Febrero", "Marzo", "Abril", "Mayo", "Junio", "Julio", "Agosto", "Septiembre", "Octubre", "Noviembre"}, 0)-MONTH('BD Asesor'!D244), 6)=0),
    AND('BD Asesor'!H244="Anual", MONTH('BD Asesor'!D244)=MATCH($B$2, {"Enero", "Febrero", "Marzo", "Abril", "Mayo", "Junio", "Julio", "Agosto", "Septiembre", "Octubre", "Noviembre"}, 0))
), 'BD Asesor'!L244, "")
</f>
        <v>Vida</v>
      </c>
    </row>
    <row r="243">
      <c r="C243" s="84" t="str">
        <f t="array" ref="C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Asesor'!A245, "")
</f>
        <v/>
      </c>
      <c r="D243" s="84" t="str">
        <f t="array" ref="D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Asesor'!B245, "")
</f>
        <v/>
      </c>
      <c r="E243" s="212" t="str">
        <f t="array" ref="E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Asesor'!C245, "")
</f>
        <v/>
      </c>
      <c r="F243" s="212" t="str">
        <f t="array" ref="F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Asesor'!D245, "")
</f>
        <v/>
      </c>
      <c r="G243" s="212" t="str">
        <f t="array" ref="G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Asesor'!E245, "")
</f>
        <v/>
      </c>
      <c r="H243" s="84" t="str">
        <f t="array" ref="H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Asesor'!F245, "")
</f>
        <v/>
      </c>
      <c r="I243" s="84" t="str">
        <f t="array" ref="I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Asesor'!G245, "")
</f>
        <v/>
      </c>
      <c r="J243" s="84" t="str">
        <f t="array" ref="J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Asesor'!H245, "")
</f>
        <v/>
      </c>
      <c r="K243" s="84" t="str">
        <f t="array" ref="K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Asesor'!K245, "")
</f>
        <v/>
      </c>
      <c r="L243" s="84" t="str">
        <f t="array" ref="L243">IF(OR(
    AND('BD Asesor'!H245="Mensual", MATCH($B$2, {"Enero", "Febrero", "Marzo", "Abril", "Mayo", "Junio", "Julio", "Agosto", "Septiembre", "Octubre", "Noviembre", "Diciembre"}, 0)&gt;=1),
    AND('BD Asesor'!H245="Trimestral", MOD(MATCH($B$2, {"Enero", "Febrero", "Marzo", "Abril", "Mayo", "Junio", "Julio", "Agosto", "Septiembre", "Octubre", "Noviembre"}, 0)-MONTH('BD Asesor'!D245), 3)=0),
    AND('BD Asesor'!H245="Semestral", MOD(MATCH($B$2, {"Enero", "Febrero", "Marzo", "Abril", "Mayo", "Junio", "Julio", "Agosto", "Septiembre", "Octubre", "Noviembre"}, 0)-MONTH('BD Asesor'!D245), 6)=0),
    AND('BD Asesor'!H245="Anual", MONTH('BD Asesor'!D245)=MATCH($B$2, {"Enero", "Febrero", "Marzo", "Abril", "Mayo", "Junio", "Julio", "Agosto", "Septiembre", "Octubre", "Noviembre"}, 0))
), 'BD Asesor'!L245, "")
</f>
        <v/>
      </c>
    </row>
    <row r="244">
      <c r="C244" s="84" t="str">
        <f t="array" ref="C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Asesor'!A246, "")
</f>
        <v/>
      </c>
      <c r="D244" s="84" t="str">
        <f t="array" ref="D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Asesor'!B246, "")
</f>
        <v/>
      </c>
      <c r="E244" s="212" t="str">
        <f t="array" ref="E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Asesor'!C246, "")
</f>
        <v/>
      </c>
      <c r="F244" s="212" t="str">
        <f t="array" ref="F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Asesor'!D246, "")
</f>
        <v/>
      </c>
      <c r="G244" s="212" t="str">
        <f t="array" ref="G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Asesor'!E246, "")
</f>
        <v/>
      </c>
      <c r="H244" s="84" t="str">
        <f t="array" ref="H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Asesor'!F246, "")
</f>
        <v/>
      </c>
      <c r="I244" s="84" t="str">
        <f t="array" ref="I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Asesor'!G246, "")
</f>
        <v/>
      </c>
      <c r="J244" s="84" t="str">
        <f t="array" ref="J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Asesor'!H246, "")
</f>
        <v/>
      </c>
      <c r="K244" s="84" t="str">
        <f t="array" ref="K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Asesor'!K246, "")
</f>
        <v/>
      </c>
      <c r="L244" s="84" t="str">
        <f t="array" ref="L244">IF(OR(
    AND('BD Asesor'!H246="Mensual", MATCH($B$2, {"Enero", "Febrero", "Marzo", "Abril", "Mayo", "Junio", "Julio", "Agosto", "Septiembre", "Octubre", "Noviembre", "Diciembre"}, 0)&gt;=1),
    AND('BD Asesor'!H246="Trimestral", MOD(MATCH($B$2, {"Enero", "Febrero", "Marzo", "Abril", "Mayo", "Junio", "Julio", "Agosto", "Septiembre", "Octubre", "Noviembre"}, 0)-MONTH('BD Asesor'!D246), 3)=0),
    AND('BD Asesor'!H246="Semestral", MOD(MATCH($B$2, {"Enero", "Febrero", "Marzo", "Abril", "Mayo", "Junio", "Julio", "Agosto", "Septiembre", "Octubre", "Noviembre"}, 0)-MONTH('BD Asesor'!D246), 6)=0),
    AND('BD Asesor'!H246="Anual", MONTH('BD Asesor'!D246)=MATCH($B$2, {"Enero", "Febrero", "Marzo", "Abril", "Mayo", "Junio", "Julio", "Agosto", "Septiembre", "Octubre", "Noviembre"}, 0))
), 'BD Asesor'!L246, "")
</f>
        <v/>
      </c>
    </row>
    <row r="245">
      <c r="C245" s="84" t="str">
        <f t="array" ref="C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Asesor'!A247, "")
</f>
        <v/>
      </c>
      <c r="D245" s="84" t="str">
        <f t="array" ref="D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Asesor'!B247, "")
</f>
        <v/>
      </c>
      <c r="E245" s="212" t="str">
        <f t="array" ref="E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Asesor'!C247, "")
</f>
        <v/>
      </c>
      <c r="F245" s="212" t="str">
        <f t="array" ref="F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Asesor'!D247, "")
</f>
        <v/>
      </c>
      <c r="G245" s="212" t="str">
        <f t="array" ref="G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Asesor'!E247, "")
</f>
        <v/>
      </c>
      <c r="H245" s="84" t="str">
        <f t="array" ref="H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Asesor'!F247, "")
</f>
        <v/>
      </c>
      <c r="I245" s="84" t="str">
        <f t="array" ref="I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Asesor'!G247, "")
</f>
        <v/>
      </c>
      <c r="J245" s="84" t="str">
        <f t="array" ref="J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Asesor'!H247, "")
</f>
        <v/>
      </c>
      <c r="K245" s="84" t="str">
        <f t="array" ref="K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Asesor'!K247, "")
</f>
        <v/>
      </c>
      <c r="L245" s="84" t="str">
        <f t="array" ref="L245">IF(OR(
    AND('BD Asesor'!H247="Mensual", MATCH($B$2, {"Enero", "Febrero", "Marzo", "Abril", "Mayo", "Junio", "Julio", "Agosto", "Septiembre", "Octubre", "Noviembre", "Diciembre"}, 0)&gt;=1),
    AND('BD Asesor'!H247="Trimestral", MOD(MATCH($B$2, {"Enero", "Febrero", "Marzo", "Abril", "Mayo", "Junio", "Julio", "Agosto", "Septiembre", "Octubre", "Noviembre"}, 0)-MONTH('BD Asesor'!D247), 3)=0),
    AND('BD Asesor'!H247="Semestral", MOD(MATCH($B$2, {"Enero", "Febrero", "Marzo", "Abril", "Mayo", "Junio", "Julio", "Agosto", "Septiembre", "Octubre", "Noviembre"}, 0)-MONTH('BD Asesor'!D247), 6)=0),
    AND('BD Asesor'!H247="Anual", MONTH('BD Asesor'!D247)=MATCH($B$2, {"Enero", "Febrero", "Marzo", "Abril", "Mayo", "Junio", "Julio", "Agosto", "Septiembre", "Octubre", "Noviembre"}, 0))
), 'BD Asesor'!L247, "")
</f>
        <v/>
      </c>
    </row>
    <row r="246">
      <c r="C246" s="84" t="str">
        <f t="array" ref="C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Asesor'!A248, "")
</f>
        <v/>
      </c>
      <c r="D246" s="84" t="str">
        <f t="array" ref="D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Asesor'!B248, "")
</f>
        <v/>
      </c>
      <c r="E246" s="212" t="str">
        <f t="array" ref="E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Asesor'!C248, "")
</f>
        <v/>
      </c>
      <c r="F246" s="212" t="str">
        <f t="array" ref="F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Asesor'!D248, "")
</f>
        <v/>
      </c>
      <c r="G246" s="212" t="str">
        <f t="array" ref="G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Asesor'!E248, "")
</f>
        <v/>
      </c>
      <c r="H246" s="84" t="str">
        <f t="array" ref="H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Asesor'!F248, "")
</f>
        <v/>
      </c>
      <c r="I246" s="84" t="str">
        <f t="array" ref="I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Asesor'!G248, "")
</f>
        <v/>
      </c>
      <c r="J246" s="84" t="str">
        <f t="array" ref="J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Asesor'!H248, "")
</f>
        <v/>
      </c>
      <c r="K246" s="84" t="str">
        <f t="array" ref="K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Asesor'!K248, "")
</f>
        <v/>
      </c>
      <c r="L246" s="84" t="str">
        <f t="array" ref="L246">IF(OR(
    AND('BD Asesor'!H248="Mensual", MATCH($B$2, {"Enero", "Febrero", "Marzo", "Abril", "Mayo", "Junio", "Julio", "Agosto", "Septiembre", "Octubre", "Noviembre", "Diciembre"}, 0)&gt;=1),
    AND('BD Asesor'!H248="Trimestral", MOD(MATCH($B$2, {"Enero", "Febrero", "Marzo", "Abril", "Mayo", "Junio", "Julio", "Agosto", "Septiembre", "Octubre", "Noviembre"}, 0)-MONTH('BD Asesor'!D248), 3)=0),
    AND('BD Asesor'!H248="Semestral", MOD(MATCH($B$2, {"Enero", "Febrero", "Marzo", "Abril", "Mayo", "Junio", "Julio", "Agosto", "Septiembre", "Octubre", "Noviembre"}, 0)-MONTH('BD Asesor'!D248), 6)=0),
    AND('BD Asesor'!H248="Anual", MONTH('BD Asesor'!D248)=MATCH($B$2, {"Enero", "Febrero", "Marzo", "Abril", "Mayo", "Junio", "Julio", "Agosto", "Septiembre", "Octubre", "Noviembre"}, 0))
), 'BD Asesor'!L248, "")
</f>
        <v/>
      </c>
    </row>
    <row r="247">
      <c r="C247" s="84" t="str">
        <f t="array" ref="C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Asesor'!A249, "")
</f>
        <v/>
      </c>
      <c r="D247" s="84" t="str">
        <f t="array" ref="D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Asesor'!B249, "")
</f>
        <v/>
      </c>
      <c r="E247" s="212" t="str">
        <f t="array" ref="E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Asesor'!C249, "")
</f>
        <v/>
      </c>
      <c r="F247" s="212" t="str">
        <f t="array" ref="F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Asesor'!D249, "")
</f>
        <v/>
      </c>
      <c r="G247" s="212" t="str">
        <f t="array" ref="G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Asesor'!E249, "")
</f>
        <v/>
      </c>
      <c r="H247" s="84" t="str">
        <f t="array" ref="H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Asesor'!F249, "")
</f>
        <v/>
      </c>
      <c r="I247" s="84" t="str">
        <f t="array" ref="I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Asesor'!G249, "")
</f>
        <v/>
      </c>
      <c r="J247" s="84" t="str">
        <f t="array" ref="J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Asesor'!H249, "")
</f>
        <v/>
      </c>
      <c r="K247" s="84" t="str">
        <f t="array" ref="K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Asesor'!K249, "")
</f>
        <v/>
      </c>
      <c r="L247" s="84" t="str">
        <f t="array" ref="L247">IF(OR(
    AND('BD Asesor'!H249="Mensual", MATCH($B$2, {"Enero", "Febrero", "Marzo", "Abril", "Mayo", "Junio", "Julio", "Agosto", "Septiembre", "Octubre", "Noviembre", "Diciembre"}, 0)&gt;=1),
    AND('BD Asesor'!H249="Trimestral", MOD(MATCH($B$2, {"Enero", "Febrero", "Marzo", "Abril", "Mayo", "Junio", "Julio", "Agosto", "Septiembre", "Octubre", "Noviembre"}, 0)-MONTH('BD Asesor'!D249), 3)=0),
    AND('BD Asesor'!H249="Semestral", MOD(MATCH($B$2, {"Enero", "Febrero", "Marzo", "Abril", "Mayo", "Junio", "Julio", "Agosto", "Septiembre", "Octubre", "Noviembre"}, 0)-MONTH('BD Asesor'!D249), 6)=0),
    AND('BD Asesor'!H249="Anual", MONTH('BD Asesor'!D249)=MATCH($B$2, {"Enero", "Febrero", "Marzo", "Abril", "Mayo", "Junio", "Julio", "Agosto", "Septiembre", "Octubre", "Noviembre"}, 0))
), 'BD Asesor'!L249, "")
</f>
        <v/>
      </c>
    </row>
    <row r="248">
      <c r="C248" s="84" t="str">
        <f t="array" ref="C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Asesor'!A250, "")
</f>
        <v/>
      </c>
      <c r="D248" s="84" t="str">
        <f t="array" ref="D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Asesor'!B250, "")
</f>
        <v/>
      </c>
      <c r="E248" s="212" t="str">
        <f t="array" ref="E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Asesor'!C250, "")
</f>
        <v/>
      </c>
      <c r="F248" s="212" t="str">
        <f t="array" ref="F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Asesor'!D250, "")
</f>
        <v/>
      </c>
      <c r="G248" s="212" t="str">
        <f t="array" ref="G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Asesor'!E250, "")
</f>
        <v/>
      </c>
      <c r="H248" s="84" t="str">
        <f t="array" ref="H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Asesor'!F250, "")
</f>
        <v/>
      </c>
      <c r="I248" s="84" t="str">
        <f t="array" ref="I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Asesor'!G250, "")
</f>
        <v/>
      </c>
      <c r="J248" s="84" t="str">
        <f t="array" ref="J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Asesor'!H250, "")
</f>
        <v/>
      </c>
      <c r="K248" s="84" t="str">
        <f t="array" ref="K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Asesor'!K250, "")
</f>
        <v/>
      </c>
      <c r="L248" s="84" t="str">
        <f t="array" ref="L248">IF(OR(
    AND('BD Asesor'!H250="Mensual", MATCH($B$2, {"Enero", "Febrero", "Marzo", "Abril", "Mayo", "Junio", "Julio", "Agosto", "Septiembre", "Octubre", "Noviembre", "Diciembre"}, 0)&gt;=1),
    AND('BD Asesor'!H250="Trimestral", MOD(MATCH($B$2, {"Enero", "Febrero", "Marzo", "Abril", "Mayo", "Junio", "Julio", "Agosto", "Septiembre", "Octubre", "Noviembre"}, 0)-MONTH('BD Asesor'!D250), 3)=0),
    AND('BD Asesor'!H250="Semestral", MOD(MATCH($B$2, {"Enero", "Febrero", "Marzo", "Abril", "Mayo", "Junio", "Julio", "Agosto", "Septiembre", "Octubre", "Noviembre"}, 0)-MONTH('BD Asesor'!D250), 6)=0),
    AND('BD Asesor'!H250="Anual", MONTH('BD Asesor'!D250)=MATCH($B$2, {"Enero", "Febrero", "Marzo", "Abril", "Mayo", "Junio", "Julio", "Agosto", "Septiembre", "Octubre", "Noviembre"}, 0))
), 'BD Asesor'!L250, "")
</f>
        <v/>
      </c>
    </row>
    <row r="249">
      <c r="C249" s="84" t="str">
        <f t="shared" ref="C249:L249" si="1">IF(OR(
    AND(#REF!="Mensual", MATCH($B$2, {"Enero", "Febrero", "Marzo", "Abril", "Mayo", "Junio", "Julio", "Agosto", "Septiembre", "Octubre", "Noviembre", "Diciembre"}, 0)&gt;=1),
    AND(#REF!="Trimestral", MOD(MATCH($B$2, {"Enero", "Febrero", "Marzo", "Abril", "Mayo", "Junio", "Julio", "Agosto", "Septiembre", "Octubre", "Noviembre"}, 0)-MONTH(#REF!), 3)=0),
    AND(#REF!="Semestral", MOD(MATCH($B$2, {"Enero", "Febrero", "Marzo", "Abril", "Mayo", "Junio", "Julio", "Agosto", "Septiembre", "Octubre", "Noviembre"}, 0)-MONTH(#REF!), 6)=0),
    AND(#REF!="Anual", MONTH(#REF!)=MATCH($B$2, {"Enero", "Febrero", "Marzo", "Abril", "Mayo", "Junio", "Julio", "Agosto", "Septiembre", "Octubre", "Noviembre"}, 0))
), #REF!, "")
</f>
        <v>#REF!</v>
      </c>
      <c r="D249" s="84" t="str">
        <f t="shared" si="1"/>
        <v>#REF!</v>
      </c>
      <c r="E249" s="212" t="str">
        <f t="shared" si="1"/>
        <v>#REF!</v>
      </c>
      <c r="F249" s="212" t="str">
        <f t="shared" si="1"/>
        <v>#REF!</v>
      </c>
      <c r="G249" s="212" t="str">
        <f t="shared" si="1"/>
        <v>#REF!</v>
      </c>
      <c r="H249" s="84" t="str">
        <f t="shared" si="1"/>
        <v>#REF!</v>
      </c>
      <c r="I249" s="84" t="str">
        <f t="shared" si="1"/>
        <v>#REF!</v>
      </c>
      <c r="J249" s="84" t="str">
        <f t="shared" si="1"/>
        <v>#REF!</v>
      </c>
      <c r="K249" s="84" t="str">
        <f t="shared" si="1"/>
        <v>#REF!</v>
      </c>
      <c r="L249" s="84" t="str">
        <f t="shared" si="1"/>
        <v>#REF!</v>
      </c>
    </row>
    <row r="250">
      <c r="C250" s="84" t="str">
        <f t="array" ref="C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Asesor'!A251, "")
</f>
        <v>GUILLERMINA RENTERIA BRAMBILA</v>
      </c>
      <c r="D250" s="84" t="str">
        <f t="array" ref="D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Asesor'!B251, "")
</f>
        <v>F</v>
      </c>
      <c r="E250" s="212" t="str">
        <f t="array" ref="E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Asesor'!C251, "")
</f>
        <v>Activo</v>
      </c>
      <c r="F250" s="213">
        <f t="array" ref="F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Asesor'!D251, "")
</f>
        <v>45904</v>
      </c>
      <c r="G250" s="212" t="str">
        <f t="array" ref="G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Asesor'!E251, "")
</f>
        <v>GM0000718818</v>
      </c>
      <c r="H250" s="76">
        <f t="array" ref="H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Asesor'!F251, "")
</f>
        <v>60574.18</v>
      </c>
      <c r="I250" s="84" t="str">
        <f t="array" ref="I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Asesor'!G251, "")
</f>
        <v>MXN</v>
      </c>
      <c r="J250" s="84" t="str">
        <f t="array" ref="J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Asesor'!H251, "")
</f>
        <v>Semestral</v>
      </c>
      <c r="K250" s="84" t="str">
        <f t="array" ref="K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Asesor'!K251, "")
</f>
        <v>TC</v>
      </c>
      <c r="L250" s="84" t="str">
        <f t="array" ref="L250">IF(OR(
    AND('BD Asesor'!H251="Mensual", MATCH($B$2, {"Enero", "Febrero", "Marzo", "Abril", "Mayo", "Junio", "Julio", "Agosto", "Septiembre", "Octubre", "Noviembre", "Diciembre"}, 0)&gt;=1),
    AND('BD Asesor'!H251="Trimestral", MOD(MATCH($B$2, {"Enero", "Febrero", "Marzo", "Abril", "Mayo", "Junio", "Julio", "Agosto", "Septiembre", "Octubre", "Noviembre"}, 0)-MONTH('BD Asesor'!D251), 3)=0),
    AND('BD Asesor'!H251="Semestral", MOD(MATCH($B$2, {"Enero", "Febrero", "Marzo", "Abril", "Mayo", "Junio", "Julio", "Agosto", "Septiembre", "Octubre", "Noviembre"}, 0)-MONTH('BD Asesor'!D251), 6)=0),
    AND('BD Asesor'!H251="Anual", MONTH('BD Asesor'!D251)=MATCH($B$2, {"Enero", "Febrero", "Marzo", "Abril", "Mayo", "Junio", "Julio", "Agosto", "Septiembre", "Octubre", "Noviembre"}, 0))
), 'BD Asesor'!L251, "")
</f>
        <v>Gastos Médicos </v>
      </c>
    </row>
    <row r="251">
      <c r="C251" s="84" t="str">
        <f t="array" ref="C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Asesor'!A252, "")
</f>
        <v/>
      </c>
      <c r="D251" s="84" t="str">
        <f t="array" ref="D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Asesor'!B252, "")
</f>
        <v/>
      </c>
      <c r="E251" s="212" t="str">
        <f t="array" ref="E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Asesor'!C252, "")
</f>
        <v/>
      </c>
      <c r="F251" s="212" t="str">
        <f t="array" ref="F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Asesor'!D252, "")
</f>
        <v/>
      </c>
      <c r="G251" s="212" t="str">
        <f t="array" ref="G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Asesor'!E252, "")
</f>
        <v/>
      </c>
      <c r="H251" s="84" t="str">
        <f t="array" ref="H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Asesor'!F252, "")
</f>
        <v/>
      </c>
      <c r="I251" s="84" t="str">
        <f t="array" ref="I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Asesor'!G252, "")
</f>
        <v/>
      </c>
      <c r="J251" s="84" t="str">
        <f t="array" ref="J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Asesor'!H252, "")
</f>
        <v/>
      </c>
      <c r="K251" s="84" t="str">
        <f t="array" ref="K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Asesor'!K252, "")
</f>
        <v/>
      </c>
      <c r="L251" s="84" t="str">
        <f t="array" ref="L251">IF(OR(
    AND('BD Asesor'!H252="Mensual", MATCH($B$2, {"Enero", "Febrero", "Marzo", "Abril", "Mayo", "Junio", "Julio", "Agosto", "Septiembre", "Octubre", "Noviembre", "Diciembre"}, 0)&gt;=1),
    AND('BD Asesor'!H252="Trimestral", MOD(MATCH($B$2, {"Enero", "Febrero", "Marzo", "Abril", "Mayo", "Junio", "Julio", "Agosto", "Septiembre", "Octubre", "Noviembre"}, 0)-MONTH('BD Asesor'!D252), 3)=0),
    AND('BD Asesor'!H252="Semestral", MOD(MATCH($B$2, {"Enero", "Febrero", "Marzo", "Abril", "Mayo", "Junio", "Julio", "Agosto", "Septiembre", "Octubre", "Noviembre"}, 0)-MONTH('BD Asesor'!D252), 6)=0),
    AND('BD Asesor'!H252="Anual", MONTH('BD Asesor'!D252)=MATCH($B$2, {"Enero", "Febrero", "Marzo", "Abril", "Mayo", "Junio", "Julio", "Agosto", "Septiembre", "Octubre", "Noviembre"}, 0))
), 'BD Asesor'!L252, "")
</f>
        <v/>
      </c>
    </row>
    <row r="252">
      <c r="C252" s="84" t="str">
        <f t="array" ref="C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Asesor'!A253, "")
</f>
        <v>NAYELI DEL CARMEN GONZALEZ GARCIA</v>
      </c>
      <c r="D252" s="84" t="str">
        <f t="array" ref="D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Asesor'!B253, "")
</f>
        <v>F</v>
      </c>
      <c r="E252" s="212" t="str">
        <f t="array" ref="E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Asesor'!C253, "")
</f>
        <v>Activo</v>
      </c>
      <c r="F252" s="213">
        <f t="array" ref="F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Asesor'!D253, "")
</f>
        <v>45930</v>
      </c>
      <c r="G252" s="212" t="str">
        <f t="array" ref="G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Asesor'!E253, "")
</f>
        <v>VI0002942898</v>
      </c>
      <c r="H252" s="76">
        <f t="array" ref="H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Asesor'!F253, "")
</f>
        <v>38312.892</v>
      </c>
      <c r="I252" s="84" t="str">
        <f t="array" ref="I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Asesor'!G253, "")
</f>
        <v>UDIS</v>
      </c>
      <c r="J252" s="84" t="str">
        <f t="array" ref="J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Asesor'!H253, "")
</f>
        <v>Mensual</v>
      </c>
      <c r="K252" s="84" t="str">
        <f t="array" ref="K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Asesor'!K253, "")
</f>
        <v>TC</v>
      </c>
      <c r="L252" s="84" t="str">
        <f t="array" ref="L252">IF(OR(
    AND('BD Asesor'!H253="Mensual", MATCH($B$2, {"Enero", "Febrero", "Marzo", "Abril", "Mayo", "Junio", "Julio", "Agosto", "Septiembre", "Octubre", "Noviembre", "Diciembre"}, 0)&gt;=1),
    AND('BD Asesor'!H253="Trimestral", MOD(MATCH($B$2, {"Enero", "Febrero", "Marzo", "Abril", "Mayo", "Junio", "Julio", "Agosto", "Septiembre", "Octubre", "Noviembre"}, 0)-MONTH('BD Asesor'!D253), 3)=0),
    AND('BD Asesor'!H253="Semestral", MOD(MATCH($B$2, {"Enero", "Febrero", "Marzo", "Abril", "Mayo", "Junio", "Julio", "Agosto", "Septiembre", "Octubre", "Noviembre"}, 0)-MONTH('BD Asesor'!D253), 6)=0),
    AND('BD Asesor'!H253="Anual", MONTH('BD Asesor'!D253)=MATCH($B$2, {"Enero", "Febrero", "Marzo", "Abril", "Mayo", "Junio", "Julio", "Agosto", "Septiembre", "Octubre", "Noviembre"}, 0))
), 'BD Asesor'!L253, "")
</f>
        <v>Vida</v>
      </c>
    </row>
    <row r="253">
      <c r="C253" s="84" t="str">
        <f t="array" ref="C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Asesor'!A254, "")
</f>
        <v/>
      </c>
      <c r="D253" s="84" t="str">
        <f t="array" ref="D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Asesor'!B254, "")
</f>
        <v/>
      </c>
      <c r="E253" s="212" t="str">
        <f t="array" ref="E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Asesor'!C254, "")
</f>
        <v/>
      </c>
      <c r="F253" s="212" t="str">
        <f t="array" ref="F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Asesor'!D254, "")
</f>
        <v/>
      </c>
      <c r="G253" s="212" t="str">
        <f t="array" ref="G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Asesor'!E254, "")
</f>
        <v/>
      </c>
      <c r="H253" s="84" t="str">
        <f t="array" ref="H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Asesor'!F254, "")
</f>
        <v/>
      </c>
      <c r="I253" s="84" t="str">
        <f t="array" ref="I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Asesor'!G254, "")
</f>
        <v/>
      </c>
      <c r="J253" s="84" t="str">
        <f t="array" ref="J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Asesor'!H254, "")
</f>
        <v/>
      </c>
      <c r="K253" s="84" t="str">
        <f t="array" ref="K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Asesor'!K254, "")
</f>
        <v/>
      </c>
      <c r="L253" s="84" t="str">
        <f t="array" ref="L253">IF(OR(
    AND('BD Asesor'!H254="Mensual", MATCH($B$2, {"Enero", "Febrero", "Marzo", "Abril", "Mayo", "Junio", "Julio", "Agosto", "Septiembre", "Octubre", "Noviembre", "Diciembre"}, 0)&gt;=1),
    AND('BD Asesor'!H254="Trimestral", MOD(MATCH($B$2, {"Enero", "Febrero", "Marzo", "Abril", "Mayo", "Junio", "Julio", "Agosto", "Septiembre", "Octubre", "Noviembre"}, 0)-MONTH('BD Asesor'!D254), 3)=0),
    AND('BD Asesor'!H254="Semestral", MOD(MATCH($B$2, {"Enero", "Febrero", "Marzo", "Abril", "Mayo", "Junio", "Julio", "Agosto", "Septiembre", "Octubre", "Noviembre"}, 0)-MONTH('BD Asesor'!D254), 6)=0),
    AND('BD Asesor'!H254="Anual", MONTH('BD Asesor'!D254)=MATCH($B$2, {"Enero", "Febrero", "Marzo", "Abril", "Mayo", "Junio", "Julio", "Agosto", "Septiembre", "Octubre", "Noviembre"}, 0))
), 'BD Asesor'!L254, "")
</f>
        <v/>
      </c>
    </row>
    <row r="254">
      <c r="C254" s="84" t="str">
        <f t="array" ref="C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Asesor'!A255, "")
</f>
        <v/>
      </c>
      <c r="D254" s="84" t="str">
        <f t="array" ref="D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Asesor'!B255, "")
</f>
        <v/>
      </c>
      <c r="E254" s="212" t="str">
        <f t="array" ref="E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Asesor'!C255, "")
</f>
        <v/>
      </c>
      <c r="F254" s="212" t="str">
        <f t="array" ref="F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Asesor'!D255, "")
</f>
        <v/>
      </c>
      <c r="G254" s="212" t="str">
        <f t="array" ref="G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Asesor'!E255, "")
</f>
        <v/>
      </c>
      <c r="H254" s="84" t="str">
        <f t="array" ref="H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Asesor'!F255, "")
</f>
        <v/>
      </c>
      <c r="I254" s="84" t="str">
        <f t="array" ref="I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Asesor'!G255, "")
</f>
        <v/>
      </c>
      <c r="J254" s="84" t="str">
        <f t="array" ref="J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Asesor'!H255, "")
</f>
        <v/>
      </c>
      <c r="K254" s="84" t="str">
        <f t="array" ref="K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Asesor'!K255, "")
</f>
        <v/>
      </c>
      <c r="L254" s="84" t="str">
        <f t="array" ref="L254">IF(OR(
    AND('BD Asesor'!H255="Mensual", MATCH($B$2, {"Enero", "Febrero", "Marzo", "Abril", "Mayo", "Junio", "Julio", "Agosto", "Septiembre", "Octubre", "Noviembre", "Diciembre"}, 0)&gt;=1),
    AND('BD Asesor'!H255="Trimestral", MOD(MATCH($B$2, {"Enero", "Febrero", "Marzo", "Abril", "Mayo", "Junio", "Julio", "Agosto", "Septiembre", "Octubre", "Noviembre"}, 0)-MONTH('BD Asesor'!D255), 3)=0),
    AND('BD Asesor'!H255="Semestral", MOD(MATCH($B$2, {"Enero", "Febrero", "Marzo", "Abril", "Mayo", "Junio", "Julio", "Agosto", "Septiembre", "Octubre", "Noviembre"}, 0)-MONTH('BD Asesor'!D255), 6)=0),
    AND('BD Asesor'!H255="Anual", MONTH('BD Asesor'!D255)=MATCH($B$2, {"Enero", "Febrero", "Marzo", "Abril", "Mayo", "Junio", "Julio", "Agosto", "Septiembre", "Octubre", "Noviembre"}, 0))
), 'BD Asesor'!L255, "")
</f>
        <v/>
      </c>
    </row>
    <row r="255">
      <c r="C255" s="84" t="str">
        <f t="array" ref="C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Asesor'!A256, "")
</f>
        <v/>
      </c>
      <c r="D255" s="84" t="str">
        <f t="array" ref="D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Asesor'!B256, "")
</f>
        <v/>
      </c>
      <c r="E255" s="212" t="str">
        <f t="array" ref="E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Asesor'!C256, "")
</f>
        <v/>
      </c>
      <c r="F255" s="212" t="str">
        <f t="array" ref="F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Asesor'!D256, "")
</f>
        <v/>
      </c>
      <c r="G255" s="212" t="str">
        <f t="array" ref="G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Asesor'!E256, "")
</f>
        <v/>
      </c>
      <c r="H255" s="84" t="str">
        <f t="array" ref="H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Asesor'!F256, "")
</f>
        <v/>
      </c>
      <c r="I255" s="84" t="str">
        <f t="array" ref="I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Asesor'!G256, "")
</f>
        <v/>
      </c>
      <c r="J255" s="84" t="str">
        <f t="array" ref="J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Asesor'!H256, "")
</f>
        <v/>
      </c>
      <c r="K255" s="84" t="str">
        <f t="array" ref="K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Asesor'!K256, "")
</f>
        <v/>
      </c>
      <c r="L255" s="84" t="str">
        <f t="array" ref="L255">IF(OR(
    AND('BD Asesor'!H256="Mensual", MATCH($B$2, {"Enero", "Febrero", "Marzo", "Abril", "Mayo", "Junio", "Julio", "Agosto", "Septiembre", "Octubre", "Noviembre", "Diciembre"}, 0)&gt;=1),
    AND('BD Asesor'!H256="Trimestral", MOD(MATCH($B$2, {"Enero", "Febrero", "Marzo", "Abril", "Mayo", "Junio", "Julio", "Agosto", "Septiembre", "Octubre", "Noviembre"}, 0)-MONTH('BD Asesor'!D256), 3)=0),
    AND('BD Asesor'!H256="Semestral", MOD(MATCH($B$2, {"Enero", "Febrero", "Marzo", "Abril", "Mayo", "Junio", "Julio", "Agosto", "Septiembre", "Octubre", "Noviembre"}, 0)-MONTH('BD Asesor'!D256), 6)=0),
    AND('BD Asesor'!H256="Anual", MONTH('BD Asesor'!D256)=MATCH($B$2, {"Enero", "Febrero", "Marzo", "Abril", "Mayo", "Junio", "Julio", "Agosto", "Septiembre", "Octubre", "Noviembre"}, 0))
), 'BD Asesor'!L256, "")
</f>
        <v/>
      </c>
    </row>
    <row r="256">
      <c r="C256" s="84" t="str">
        <f t="array" ref="C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Asesor'!A257, "")
</f>
        <v/>
      </c>
      <c r="D256" s="84" t="str">
        <f t="array" ref="D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Asesor'!B257, "")
</f>
        <v/>
      </c>
      <c r="E256" s="212" t="str">
        <f t="array" ref="E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Asesor'!C257, "")
</f>
        <v/>
      </c>
      <c r="F256" s="212" t="str">
        <f t="array" ref="F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Asesor'!D257, "")
</f>
        <v/>
      </c>
      <c r="G256" s="212" t="str">
        <f t="array" ref="G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Asesor'!E257, "")
</f>
        <v/>
      </c>
      <c r="H256" s="84" t="str">
        <f t="array" ref="H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Asesor'!F257, "")
</f>
        <v/>
      </c>
      <c r="I256" s="84" t="str">
        <f t="array" ref="I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Asesor'!G257, "")
</f>
        <v/>
      </c>
      <c r="J256" s="84" t="str">
        <f t="array" ref="J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Asesor'!H257, "")
</f>
        <v/>
      </c>
      <c r="K256" s="84" t="str">
        <f t="array" ref="K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Asesor'!K257, "")
</f>
        <v/>
      </c>
      <c r="L256" s="84" t="str">
        <f t="array" ref="L256">IF(OR(
    AND('BD Asesor'!H257="Mensual", MATCH($B$2, {"Enero", "Febrero", "Marzo", "Abril", "Mayo", "Junio", "Julio", "Agosto", "Septiembre", "Octubre", "Noviembre", "Diciembre"}, 0)&gt;=1),
    AND('BD Asesor'!H257="Trimestral", MOD(MATCH($B$2, {"Enero", "Febrero", "Marzo", "Abril", "Mayo", "Junio", "Julio", "Agosto", "Septiembre", "Octubre", "Noviembre"}, 0)-MONTH('BD Asesor'!D257), 3)=0),
    AND('BD Asesor'!H257="Semestral", MOD(MATCH($B$2, {"Enero", "Febrero", "Marzo", "Abril", "Mayo", "Junio", "Julio", "Agosto", "Septiembre", "Octubre", "Noviembre"}, 0)-MONTH('BD Asesor'!D257), 6)=0),
    AND('BD Asesor'!H257="Anual", MONTH('BD Asesor'!D257)=MATCH($B$2, {"Enero", "Febrero", "Marzo", "Abril", "Mayo", "Junio", "Julio", "Agosto", "Septiembre", "Octubre", "Noviembre"}, 0))
), 'BD Asesor'!L257, "")
</f>
        <v/>
      </c>
    </row>
    <row r="257">
      <c r="C257" s="84" t="str">
        <f t="shared" ref="C257:L257" si="2">IF(OR(
    AND(#REF!="Mensual", MATCH($B$2, {"Enero", "Febrero", "Marzo", "Abril", "Mayo", "Junio", "Julio", "Agosto", "Septiembre", "Octubre", "Noviembre", "Diciembre"}, 0)&gt;=1),
    AND(#REF!="Trimestral", MOD(MATCH($B$2, {"Enero", "Febrero", "Marzo", "Abril", "Mayo", "Junio", "Julio", "Agosto", "Septiembre", "Octubre", "Noviembre"}, 0)-MONTH(#REF!), 3)=0),
    AND(#REF!="Semestral", MOD(MATCH($B$2, {"Enero", "Febrero", "Marzo", "Abril", "Mayo", "Junio", "Julio", "Agosto", "Septiembre", "Octubre", "Noviembre"}, 0)-MONTH(#REF!), 6)=0),
    AND(#REF!="Anual", MONTH(#REF!)=MATCH($B$2, {"Enero", "Febrero", "Marzo", "Abril", "Mayo", "Junio", "Julio", "Agosto", "Septiembre", "Octubre", "Noviembre"}, 0))
), #REF!, "")
</f>
        <v>#REF!</v>
      </c>
      <c r="D257" s="84" t="str">
        <f t="shared" si="2"/>
        <v>#REF!</v>
      </c>
      <c r="E257" s="212" t="str">
        <f t="shared" si="2"/>
        <v>#REF!</v>
      </c>
      <c r="F257" s="212" t="str">
        <f t="shared" si="2"/>
        <v>#REF!</v>
      </c>
      <c r="G257" s="212" t="str">
        <f t="shared" si="2"/>
        <v>#REF!</v>
      </c>
      <c r="H257" s="84" t="str">
        <f t="shared" si="2"/>
        <v>#REF!</v>
      </c>
      <c r="I257" s="84" t="str">
        <f t="shared" si="2"/>
        <v>#REF!</v>
      </c>
      <c r="J257" s="84" t="str">
        <f t="shared" si="2"/>
        <v>#REF!</v>
      </c>
      <c r="K257" s="84" t="str">
        <f t="shared" si="2"/>
        <v>#REF!</v>
      </c>
      <c r="L257" s="84" t="str">
        <f t="shared" si="2"/>
        <v>#REF!</v>
      </c>
    </row>
    <row r="258">
      <c r="C258" s="84" t="str">
        <f t="array" ref="C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Asesor'!A258, "")
</f>
        <v/>
      </c>
      <c r="D258" s="84" t="str">
        <f t="array" ref="D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Asesor'!B258, "")
</f>
        <v/>
      </c>
      <c r="E258" s="212" t="str">
        <f t="array" ref="E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Asesor'!C258, "")
</f>
        <v/>
      </c>
      <c r="F258" s="212" t="str">
        <f t="array" ref="F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Asesor'!D258, "")
</f>
        <v/>
      </c>
      <c r="G258" s="212" t="str">
        <f t="array" ref="G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Asesor'!E258, "")
</f>
        <v/>
      </c>
      <c r="H258" s="84" t="str">
        <f t="array" ref="H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Asesor'!F258, "")
</f>
        <v/>
      </c>
      <c r="I258" s="84" t="str">
        <f t="array" ref="I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Asesor'!G258, "")
</f>
        <v/>
      </c>
      <c r="J258" s="84" t="str">
        <f t="array" ref="J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Asesor'!H258, "")
</f>
        <v/>
      </c>
      <c r="K258" s="84" t="str">
        <f t="array" ref="K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Asesor'!K258, "")
</f>
        <v/>
      </c>
      <c r="L258" s="84" t="str">
        <f t="array" ref="L258">IF(OR(
    AND('BD Asesor'!H258="Mensual", MATCH($B$2, {"Enero", "Febrero", "Marzo", "Abril", "Mayo", "Junio", "Julio", "Agosto", "Septiembre", "Octubre", "Noviembre", "Diciembre"}, 0)&gt;=1),
    AND('BD Asesor'!H258="Trimestral", MOD(MATCH($B$2, {"Enero", "Febrero", "Marzo", "Abril", "Mayo", "Junio", "Julio", "Agosto", "Septiembre", "Octubre", "Noviembre"}, 0)-MONTH('BD Asesor'!D258), 3)=0),
    AND('BD Asesor'!H258="Semestral", MOD(MATCH($B$2, {"Enero", "Febrero", "Marzo", "Abril", "Mayo", "Junio", "Julio", "Agosto", "Septiembre", "Octubre", "Noviembre"}, 0)-MONTH('BD Asesor'!D258), 6)=0),
    AND('BD Asesor'!H258="Anual", MONTH('BD Asesor'!D258)=MATCH($B$2, {"Enero", "Febrero", "Marzo", "Abril", "Mayo", "Junio", "Julio", "Agosto", "Septiembre", "Octubre", "Noviembre"}, 0))
), 'BD Asesor'!L258, "")
</f>
        <v/>
      </c>
    </row>
    <row r="259">
      <c r="C259" s="84" t="str">
        <f t="array" ref="C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Asesor'!A259, "")
</f>
        <v/>
      </c>
      <c r="D259" s="84" t="str">
        <f t="array" ref="D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Asesor'!B259, "")
</f>
        <v/>
      </c>
      <c r="E259" s="212" t="str">
        <f t="array" ref="E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Asesor'!C259, "")
</f>
        <v/>
      </c>
      <c r="F259" s="212" t="str">
        <f t="array" ref="F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Asesor'!D259, "")
</f>
        <v/>
      </c>
      <c r="G259" s="212" t="str">
        <f t="array" ref="G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Asesor'!E259, "")
</f>
        <v/>
      </c>
      <c r="H259" s="84" t="str">
        <f t="array" ref="H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Asesor'!F259, "")
</f>
        <v/>
      </c>
      <c r="I259" s="84" t="str">
        <f t="array" ref="I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Asesor'!G259, "")
</f>
        <v/>
      </c>
      <c r="J259" s="84" t="str">
        <f t="array" ref="J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Asesor'!H259, "")
</f>
        <v/>
      </c>
      <c r="K259" s="84" t="str">
        <f t="array" ref="K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Asesor'!K259, "")
</f>
        <v/>
      </c>
      <c r="L259" s="84" t="str">
        <f t="array" ref="L259">IF(OR(
    AND('BD Asesor'!H259="Mensual", MATCH($B$2, {"Enero", "Febrero", "Marzo", "Abril", "Mayo", "Junio", "Julio", "Agosto", "Septiembre", "Octubre", "Noviembre", "Diciembre"}, 0)&gt;=1),
    AND('BD Asesor'!H259="Trimestral", MOD(MATCH($B$2, {"Enero", "Febrero", "Marzo", "Abril", "Mayo", "Junio", "Julio", "Agosto", "Septiembre", "Octubre", "Noviembre"}, 0)-MONTH('BD Asesor'!D259), 3)=0),
    AND('BD Asesor'!H259="Semestral", MOD(MATCH($B$2, {"Enero", "Febrero", "Marzo", "Abril", "Mayo", "Junio", "Julio", "Agosto", "Septiembre", "Octubre", "Noviembre"}, 0)-MONTH('BD Asesor'!D259), 6)=0),
    AND('BD Asesor'!H259="Anual", MONTH('BD Asesor'!D259)=MATCH($B$2, {"Enero", "Febrero", "Marzo", "Abril", "Mayo", "Junio", "Julio", "Agosto", "Septiembre", "Octubre", "Noviembre"}, 0))
), 'BD Asesor'!L259, "")
</f>
        <v/>
      </c>
    </row>
    <row r="260">
      <c r="C260" s="84" t="str">
        <f t="array" ref="C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Asesor'!A260, "")
</f>
        <v/>
      </c>
      <c r="D260" s="84" t="str">
        <f t="array" ref="D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Asesor'!B260, "")
</f>
        <v/>
      </c>
      <c r="E260" s="212" t="str">
        <f t="array" ref="E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Asesor'!C260, "")
</f>
        <v/>
      </c>
      <c r="F260" s="212" t="str">
        <f t="array" ref="F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Asesor'!D260, "")
</f>
        <v/>
      </c>
      <c r="G260" s="212" t="str">
        <f t="array" ref="G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Asesor'!E260, "")
</f>
        <v/>
      </c>
      <c r="H260" s="84" t="str">
        <f t="array" ref="H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Asesor'!F260, "")
</f>
        <v/>
      </c>
      <c r="I260" s="84" t="str">
        <f t="array" ref="I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Asesor'!G260, "")
</f>
        <v/>
      </c>
      <c r="J260" s="84" t="str">
        <f t="array" ref="J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Asesor'!H260, "")
</f>
        <v/>
      </c>
      <c r="K260" s="84" t="str">
        <f t="array" ref="K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Asesor'!K260, "")
</f>
        <v/>
      </c>
      <c r="L260" s="84" t="str">
        <f t="array" ref="L260">IF(OR(
    AND('BD Asesor'!H260="Mensual", MATCH($B$2, {"Enero", "Febrero", "Marzo", "Abril", "Mayo", "Junio", "Julio", "Agosto", "Septiembre", "Octubre", "Noviembre", "Diciembre"}, 0)&gt;=1),
    AND('BD Asesor'!H260="Trimestral", MOD(MATCH($B$2, {"Enero", "Febrero", "Marzo", "Abril", "Mayo", "Junio", "Julio", "Agosto", "Septiembre", "Octubre", "Noviembre"}, 0)-MONTH('BD Asesor'!D260), 3)=0),
    AND('BD Asesor'!H260="Semestral", MOD(MATCH($B$2, {"Enero", "Febrero", "Marzo", "Abril", "Mayo", "Junio", "Julio", "Agosto", "Septiembre", "Octubre", "Noviembre"}, 0)-MONTH('BD Asesor'!D260), 6)=0),
    AND('BD Asesor'!H260="Anual", MONTH('BD Asesor'!D260)=MATCH($B$2, {"Enero", "Febrero", "Marzo", "Abril", "Mayo", "Junio", "Julio", "Agosto", "Septiembre", "Octubre", "Noviembre"}, 0))
), 'BD Asesor'!L260, "")
</f>
        <v/>
      </c>
    </row>
    <row r="261">
      <c r="C261" s="84" t="str">
        <f t="array" ref="C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Asesor'!A261, "")
</f>
        <v>FRANCISCO JAVIER PEREZ ANGUIANO</v>
      </c>
      <c r="D261" s="84" t="str">
        <f t="array" ref="D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Asesor'!B261, "")
</f>
        <v>M</v>
      </c>
      <c r="E261" s="212" t="str">
        <f t="array" ref="E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Asesor'!C261, "")
</f>
        <v>Activo</v>
      </c>
      <c r="F261" s="213">
        <f t="array" ref="F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Asesor'!D261, "")
</f>
        <v>46125</v>
      </c>
      <c r="G261" s="212" t="str">
        <f t="array" ref="G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Asesor'!E261, "")
</f>
        <v>VI0002983482</v>
      </c>
      <c r="H261" s="76">
        <f t="array" ref="H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Asesor'!F261, "")
</f>
        <v>81409.482</v>
      </c>
      <c r="I261" s="84" t="str">
        <f t="array" ref="I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Asesor'!G261, "")
</f>
        <v>UDIS</v>
      </c>
      <c r="J261" s="84" t="str">
        <f t="array" ref="J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Asesor'!H261, "")
</f>
        <v>Mensual</v>
      </c>
      <c r="K261" s="84" t="str">
        <f t="array" ref="K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Asesor'!K261, "")
</f>
        <v>TDD</v>
      </c>
      <c r="L261" s="84" t="str">
        <f t="array" ref="L261">IF(OR(
    AND('BD Asesor'!H261="Mensual", MATCH($B$2, {"Enero", "Febrero", "Marzo", "Abril", "Mayo", "Junio", "Julio", "Agosto", "Septiembre", "Octubre", "Noviembre", "Diciembre"}, 0)&gt;=1),
    AND('BD Asesor'!H261="Trimestral", MOD(MATCH($B$2, {"Enero", "Febrero", "Marzo", "Abril", "Mayo", "Junio", "Julio", "Agosto", "Septiembre", "Octubre", "Noviembre"}, 0)-MONTH('BD Asesor'!D261), 3)=0),
    AND('BD Asesor'!H261="Semestral", MOD(MATCH($B$2, {"Enero", "Febrero", "Marzo", "Abril", "Mayo", "Junio", "Julio", "Agosto", "Septiembre", "Octubre", "Noviembre"}, 0)-MONTH('BD Asesor'!D261), 6)=0),
    AND('BD Asesor'!H261="Anual", MONTH('BD Asesor'!D261)=MATCH($B$2, {"Enero", "Febrero", "Marzo", "Abril", "Mayo", "Junio", "Julio", "Agosto", "Septiembre", "Octubre", "Noviembre"}, 0))
), 'BD Asesor'!L261, "")
</f>
        <v>Vida</v>
      </c>
    </row>
    <row r="262">
      <c r="C262" s="84" t="str">
        <f t="array" ref="C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Asesor'!A262, "")
</f>
        <v/>
      </c>
      <c r="D262" s="84" t="str">
        <f t="array" ref="D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Asesor'!B262, "")
</f>
        <v/>
      </c>
      <c r="E262" s="212" t="str">
        <f t="array" ref="E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Asesor'!C262, "")
</f>
        <v/>
      </c>
      <c r="F262" s="212" t="str">
        <f t="array" ref="F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Asesor'!D262, "")
</f>
        <v/>
      </c>
      <c r="G262" s="212" t="str">
        <f t="array" ref="G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Asesor'!E262, "")
</f>
        <v/>
      </c>
      <c r="H262" s="84" t="str">
        <f t="array" ref="H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Asesor'!F262, "")
</f>
        <v/>
      </c>
      <c r="I262" s="84" t="str">
        <f t="array" ref="I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Asesor'!G262, "")
</f>
        <v/>
      </c>
      <c r="J262" s="84" t="str">
        <f t="array" ref="J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Asesor'!H262, "")
</f>
        <v/>
      </c>
      <c r="K262" s="84" t="str">
        <f t="array" ref="K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Asesor'!K262, "")
</f>
        <v/>
      </c>
      <c r="L262" s="84" t="str">
        <f t="array" ref="L262">IF(OR(
    AND('BD Asesor'!H262="Mensual", MATCH($B$2, {"Enero", "Febrero", "Marzo", "Abril", "Mayo", "Junio", "Julio", "Agosto", "Septiembre", "Octubre", "Noviembre", "Diciembre"}, 0)&gt;=1),
    AND('BD Asesor'!H262="Trimestral", MOD(MATCH($B$2, {"Enero", "Febrero", "Marzo", "Abril", "Mayo", "Junio", "Julio", "Agosto", "Septiembre", "Octubre", "Noviembre"}, 0)-MONTH('BD Asesor'!D262), 3)=0),
    AND('BD Asesor'!H262="Semestral", MOD(MATCH($B$2, {"Enero", "Febrero", "Marzo", "Abril", "Mayo", "Junio", "Julio", "Agosto", "Septiembre", "Octubre", "Noviembre"}, 0)-MONTH('BD Asesor'!D262), 6)=0),
    AND('BD Asesor'!H262="Anual", MONTH('BD Asesor'!D262)=MATCH($B$2, {"Enero", "Febrero", "Marzo", "Abril", "Mayo", "Junio", "Julio", "Agosto", "Septiembre", "Octubre", "Noviembre"}, 0))
), 'BD Asesor'!L262, "")
</f>
        <v/>
      </c>
    </row>
    <row r="263">
      <c r="C263" s="84" t="str">
        <f t="array" ref="C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Asesor'!A263, "")
</f>
        <v>FRANCISCO JAVIER PEREZ ANGUIANO</v>
      </c>
      <c r="D263" s="84" t="str">
        <f t="array" ref="D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Asesor'!B263, "")
</f>
        <v>M</v>
      </c>
      <c r="E263" s="212" t="str">
        <f t="array" ref="E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Asesor'!C263, "")
</f>
        <v>Activo</v>
      </c>
      <c r="F263" s="213">
        <f t="array" ref="F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Asesor'!D263, "")
</f>
        <v>46128</v>
      </c>
      <c r="G263" s="212" t="str">
        <f t="array" ref="G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Asesor'!E263, "")
</f>
        <v>GM0000748044</v>
      </c>
      <c r="H263" s="76">
        <f t="array" ref="H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Asesor'!F263, "")
</f>
        <v>28077.48</v>
      </c>
      <c r="I263" s="84" t="str">
        <f t="array" ref="I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Asesor'!G263, "")
</f>
        <v>MXN</v>
      </c>
      <c r="J263" s="84" t="str">
        <f t="array" ref="J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Asesor'!H263, "")
</f>
        <v>Mensual</v>
      </c>
      <c r="K263" s="84" t="str">
        <f t="array" ref="K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Asesor'!K263, "")
</f>
        <v>TC</v>
      </c>
      <c r="L263" s="84" t="str">
        <f t="array" ref="L263">IF(OR(
    AND('BD Asesor'!H263="Mensual", MATCH($B$2, {"Enero", "Febrero", "Marzo", "Abril", "Mayo", "Junio", "Julio", "Agosto", "Septiembre", "Octubre", "Noviembre", "Diciembre"}, 0)&gt;=1),
    AND('BD Asesor'!H263="Trimestral", MOD(MATCH($B$2, {"Enero", "Febrero", "Marzo", "Abril", "Mayo", "Junio", "Julio", "Agosto", "Septiembre", "Octubre", "Noviembre"}, 0)-MONTH('BD Asesor'!D263), 3)=0),
    AND('BD Asesor'!H263="Semestral", MOD(MATCH($B$2, {"Enero", "Febrero", "Marzo", "Abril", "Mayo", "Junio", "Julio", "Agosto", "Septiembre", "Octubre", "Noviembre"}, 0)-MONTH('BD Asesor'!D263), 6)=0),
    AND('BD Asesor'!H263="Anual", MONTH('BD Asesor'!D263)=MATCH($B$2, {"Enero", "Febrero", "Marzo", "Abril", "Mayo", "Junio", "Julio", "Agosto", "Septiembre", "Octubre", "Noviembre"}, 0))
), 'BD Asesor'!L263, "")
</f>
        <v>Gastos Médicos </v>
      </c>
    </row>
    <row r="264">
      <c r="C264" s="84" t="str">
        <f t="array" ref="C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Asesor'!A264, "")
</f>
        <v/>
      </c>
      <c r="D264" s="84" t="str">
        <f t="array" ref="D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Asesor'!B264, "")
</f>
        <v/>
      </c>
      <c r="E264" s="212" t="str">
        <f t="array" ref="E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Asesor'!C264, "")
</f>
        <v/>
      </c>
      <c r="F264" s="212" t="str">
        <f t="array" ref="F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Asesor'!D264, "")
</f>
        <v/>
      </c>
      <c r="G264" s="212" t="str">
        <f t="array" ref="G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Asesor'!E264, "")
</f>
        <v/>
      </c>
      <c r="H264" s="84" t="str">
        <f t="array" ref="H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Asesor'!F264, "")
</f>
        <v/>
      </c>
      <c r="I264" s="84" t="str">
        <f t="array" ref="I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Asesor'!G264, "")
</f>
        <v/>
      </c>
      <c r="J264" s="84" t="str">
        <f t="array" ref="J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Asesor'!H264, "")
</f>
        <v/>
      </c>
      <c r="K264" s="84" t="str">
        <f t="array" ref="K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Asesor'!K264, "")
</f>
        <v/>
      </c>
      <c r="L264" s="84" t="str">
        <f t="array" ref="L264">IF(OR(
    AND('BD Asesor'!H264="Mensual", MATCH($B$2, {"Enero", "Febrero", "Marzo", "Abril", "Mayo", "Junio", "Julio", "Agosto", "Septiembre", "Octubre", "Noviembre", "Diciembre"}, 0)&gt;=1),
    AND('BD Asesor'!H264="Trimestral", MOD(MATCH($B$2, {"Enero", "Febrero", "Marzo", "Abril", "Mayo", "Junio", "Julio", "Agosto", "Septiembre", "Octubre", "Noviembre"}, 0)-MONTH('BD Asesor'!D264), 3)=0),
    AND('BD Asesor'!H264="Semestral", MOD(MATCH($B$2, {"Enero", "Febrero", "Marzo", "Abril", "Mayo", "Junio", "Julio", "Agosto", "Septiembre", "Octubre", "Noviembre"}, 0)-MONTH('BD Asesor'!D264), 6)=0),
    AND('BD Asesor'!H264="Anual", MONTH('BD Asesor'!D264)=MATCH($B$2, {"Enero", "Febrero", "Marzo", "Abril", "Mayo", "Junio", "Julio", "Agosto", "Septiembre", "Octubre", "Noviembre"}, 0))
), 'BD Asesor'!L264, "")
</f>
        <v/>
      </c>
    </row>
    <row r="265">
      <c r="C265" s="84" t="str">
        <f t="array" ref="C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Asesor'!A265, "")
</f>
        <v/>
      </c>
      <c r="D265" s="84" t="str">
        <f t="array" ref="D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Asesor'!B265, "")
</f>
        <v/>
      </c>
      <c r="E265" s="212" t="str">
        <f t="array" ref="E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Asesor'!C265, "")
</f>
        <v/>
      </c>
      <c r="F265" s="212" t="str">
        <f t="array" ref="F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Asesor'!D265, "")
</f>
        <v/>
      </c>
      <c r="G265" s="212" t="str">
        <f t="array" ref="G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#REF!, "")
</f>
        <v/>
      </c>
      <c r="H265" s="84" t="str">
        <f t="array" ref="H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Asesor'!F265, "")
</f>
        <v/>
      </c>
      <c r="I265" s="84" t="str">
        <f t="array" ref="I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Asesor'!G265, "")
</f>
        <v/>
      </c>
      <c r="J265" s="84" t="str">
        <f t="array" ref="J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Asesor'!H265, "")
</f>
        <v/>
      </c>
      <c r="K265" s="84" t="str">
        <f t="array" ref="K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Asesor'!K265, "")
</f>
        <v/>
      </c>
      <c r="L265" s="84" t="str">
        <f t="array" ref="L265">IF(OR(
    AND('BD Asesor'!H265="Mensual", MATCH($B$2, {"Enero", "Febrero", "Marzo", "Abril", "Mayo", "Junio", "Julio", "Agosto", "Septiembre", "Octubre", "Noviembre", "Diciembre"}, 0)&gt;=1),
    AND('BD Asesor'!H265="Trimestral", MOD(MATCH($B$2, {"Enero", "Febrero", "Marzo", "Abril", "Mayo", "Junio", "Julio", "Agosto", "Septiembre", "Octubre", "Noviembre"}, 0)-MONTH('BD Asesor'!D265), 3)=0),
    AND('BD Asesor'!H265="Semestral", MOD(MATCH($B$2, {"Enero", "Febrero", "Marzo", "Abril", "Mayo", "Junio", "Julio", "Agosto", "Septiembre", "Octubre", "Noviembre"}, 0)-MONTH('BD Asesor'!D265), 6)=0),
    AND('BD Asesor'!H265="Anual", MONTH('BD Asesor'!D265)=MATCH($B$2, {"Enero", "Febrero", "Marzo", "Abril", "Mayo", "Junio", "Julio", "Agosto", "Septiembre", "Octubre", "Noviembre"}, 0))
), 'BD Asesor'!L265, "")
</f>
        <v/>
      </c>
    </row>
    <row r="266">
      <c r="C266" s="84" t="str">
        <f t="array" ref="C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Asesor'!A266, "")
</f>
        <v/>
      </c>
      <c r="D266" s="84" t="str">
        <f t="array" ref="D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Asesor'!B266, "")
</f>
        <v/>
      </c>
      <c r="E266" s="212" t="str">
        <f t="array" ref="E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Asesor'!C266, "")
</f>
        <v/>
      </c>
      <c r="F266" s="212" t="str">
        <f t="array" ref="F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Asesor'!D266, "")
</f>
        <v/>
      </c>
      <c r="G266" s="212" t="str">
        <f t="array" ref="G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Asesor'!E266, "")
</f>
        <v/>
      </c>
      <c r="H266" s="84" t="str">
        <f t="array" ref="H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Asesor'!F266, "")
</f>
        <v/>
      </c>
      <c r="I266" s="84" t="str">
        <f t="array" ref="I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Asesor'!G266, "")
</f>
        <v/>
      </c>
      <c r="J266" s="84" t="str">
        <f t="array" ref="J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Asesor'!H266, "")
</f>
        <v/>
      </c>
      <c r="K266" s="84" t="str">
        <f t="array" ref="K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Asesor'!K266, "")
</f>
        <v/>
      </c>
      <c r="L266" s="84" t="str">
        <f t="array" ref="L266">IF(OR(
    AND('BD Asesor'!H266="Mensual", MATCH($B$2, {"Enero", "Febrero", "Marzo", "Abril", "Mayo", "Junio", "Julio", "Agosto", "Septiembre", "Octubre", "Noviembre", "Diciembre"}, 0)&gt;=1),
    AND('BD Asesor'!H266="Trimestral", MOD(MATCH($B$2, {"Enero", "Febrero", "Marzo", "Abril", "Mayo", "Junio", "Julio", "Agosto", "Septiembre", "Octubre", "Noviembre"}, 0)-MONTH('BD Asesor'!D266), 3)=0),
    AND('BD Asesor'!H266="Semestral", MOD(MATCH($B$2, {"Enero", "Febrero", "Marzo", "Abril", "Mayo", "Junio", "Julio", "Agosto", "Septiembre", "Octubre", "Noviembre"}, 0)-MONTH('BD Asesor'!D266), 6)=0),
    AND('BD Asesor'!H266="Anual", MONTH('BD Asesor'!D266)=MATCH($B$2, {"Enero", "Febrero", "Marzo", "Abril", "Mayo", "Junio", "Julio", "Agosto", "Septiembre", "Octubre", "Noviembre"}, 0))
), 'BD Asesor'!L266, "")
</f>
        <v/>
      </c>
    </row>
    <row r="267">
      <c r="C267" s="84" t="str">
        <f t="array" ref="C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Asesor'!A267, "")
</f>
        <v/>
      </c>
      <c r="D267" s="84" t="str">
        <f t="array" ref="D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Asesor'!B267, "")
</f>
        <v/>
      </c>
      <c r="E267" s="212" t="str">
        <f t="array" ref="E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Asesor'!C267, "")
</f>
        <v/>
      </c>
      <c r="F267" s="212" t="str">
        <f t="array" ref="F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Asesor'!D267, "")
</f>
        <v/>
      </c>
      <c r="G267" s="212" t="str">
        <f t="array" ref="G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Asesor'!E267, "")
</f>
        <v/>
      </c>
      <c r="H267" s="84" t="str">
        <f t="array" ref="H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Asesor'!F267, "")
</f>
        <v/>
      </c>
      <c r="I267" s="84" t="str">
        <f t="array" ref="I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Asesor'!G267, "")
</f>
        <v/>
      </c>
      <c r="J267" s="84" t="str">
        <f t="array" ref="J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Asesor'!H267, "")
</f>
        <v/>
      </c>
      <c r="K267" s="84" t="str">
        <f t="array" ref="K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Asesor'!K267, "")
</f>
        <v/>
      </c>
      <c r="L267" s="84" t="str">
        <f t="array" ref="L267">IF(OR(
    AND('BD Asesor'!H267="Mensual", MATCH($B$2, {"Enero", "Febrero", "Marzo", "Abril", "Mayo", "Junio", "Julio", "Agosto", "Septiembre", "Octubre", "Noviembre", "Diciembre"}, 0)&gt;=1),
    AND('BD Asesor'!H267="Trimestral", MOD(MATCH($B$2, {"Enero", "Febrero", "Marzo", "Abril", "Mayo", "Junio", "Julio", "Agosto", "Septiembre", "Octubre", "Noviembre"}, 0)-MONTH('BD Asesor'!D267), 3)=0),
    AND('BD Asesor'!H267="Semestral", MOD(MATCH($B$2, {"Enero", "Febrero", "Marzo", "Abril", "Mayo", "Junio", "Julio", "Agosto", "Septiembre", "Octubre", "Noviembre"}, 0)-MONTH('BD Asesor'!D267), 6)=0),
    AND('BD Asesor'!H267="Anual", MONTH('BD Asesor'!D267)=MATCH($B$2, {"Enero", "Febrero", "Marzo", "Abril", "Mayo", "Junio", "Julio", "Agosto", "Septiembre", "Octubre", "Noviembre"}, 0))
), 'BD Asesor'!L267, "")
</f>
        <v/>
      </c>
    </row>
    <row r="268">
      <c r="C268" s="84" t="str">
        <f t="array" ref="C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Asesor'!A268, "")
</f>
        <v/>
      </c>
      <c r="D268" s="84" t="str">
        <f t="array" ref="D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Asesor'!B268, "")
</f>
        <v/>
      </c>
      <c r="E268" s="212" t="str">
        <f t="array" ref="E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Asesor'!C268, "")
</f>
        <v/>
      </c>
      <c r="F268" s="212" t="str">
        <f t="array" ref="F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Asesor'!D268, "")
</f>
        <v/>
      </c>
      <c r="G268" s="212" t="str">
        <f t="array" ref="G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Asesor'!E268, "")
</f>
        <v/>
      </c>
      <c r="H268" s="84" t="str">
        <f t="array" ref="H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Asesor'!F268, "")
</f>
        <v/>
      </c>
      <c r="I268" s="84" t="str">
        <f t="array" ref="I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Asesor'!G268, "")
</f>
        <v/>
      </c>
      <c r="J268" s="84" t="str">
        <f t="array" ref="J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Asesor'!H268, "")
</f>
        <v/>
      </c>
      <c r="K268" s="84" t="str">
        <f t="array" ref="K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Asesor'!K268, "")
</f>
        <v/>
      </c>
      <c r="L268" s="84" t="str">
        <f t="array" ref="L268">IF(OR(
    AND('BD Asesor'!H268="Mensual", MATCH($B$2, {"Enero", "Febrero", "Marzo", "Abril", "Mayo", "Junio", "Julio", "Agosto", "Septiembre", "Octubre", "Noviembre", "Diciembre"}, 0)&gt;=1),
    AND('BD Asesor'!H268="Trimestral", MOD(MATCH($B$2, {"Enero", "Febrero", "Marzo", "Abril", "Mayo", "Junio", "Julio", "Agosto", "Septiembre", "Octubre", "Noviembre"}, 0)-MONTH('BD Asesor'!D268), 3)=0),
    AND('BD Asesor'!H268="Semestral", MOD(MATCH($B$2, {"Enero", "Febrero", "Marzo", "Abril", "Mayo", "Junio", "Julio", "Agosto", "Septiembre", "Octubre", "Noviembre"}, 0)-MONTH('BD Asesor'!D268), 6)=0),
    AND('BD Asesor'!H268="Anual", MONTH('BD Asesor'!D268)=MATCH($B$2, {"Enero", "Febrero", "Marzo", "Abril", "Mayo", "Junio", "Julio", "Agosto", "Septiembre", "Octubre", "Noviembre"}, 0))
), 'BD Asesor'!L268, "")
</f>
        <v/>
      </c>
    </row>
    <row r="269">
      <c r="C269" s="84" t="str">
        <f t="array" ref="C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Asesor'!A269, "")
</f>
        <v/>
      </c>
      <c r="D269" s="84" t="str">
        <f t="array" ref="D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Asesor'!B269, "")
</f>
        <v/>
      </c>
      <c r="E269" s="212" t="str">
        <f t="array" ref="E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Asesor'!C269, "")
</f>
        <v/>
      </c>
      <c r="F269" s="212" t="str">
        <f t="array" ref="F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Asesor'!D269, "")
</f>
        <v/>
      </c>
      <c r="G269" s="212" t="str">
        <f t="array" ref="G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Asesor'!E269, "")
</f>
        <v/>
      </c>
      <c r="H269" s="84" t="str">
        <f t="array" ref="H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Asesor'!F269, "")
</f>
        <v/>
      </c>
      <c r="I269" s="84" t="str">
        <f t="array" ref="I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Asesor'!G269, "")
</f>
        <v/>
      </c>
      <c r="J269" s="84" t="str">
        <f t="array" ref="J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Asesor'!H269, "")
</f>
        <v/>
      </c>
      <c r="K269" s="84" t="str">
        <f t="array" ref="K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Asesor'!K269, "")
</f>
        <v/>
      </c>
      <c r="L269" s="84" t="str">
        <f t="array" ref="L269">IF(OR(
    AND('BD Asesor'!H269="Mensual", MATCH($B$2, {"Enero", "Febrero", "Marzo", "Abril", "Mayo", "Junio", "Julio", "Agosto", "Septiembre", "Octubre", "Noviembre", "Diciembre"}, 0)&gt;=1),
    AND('BD Asesor'!H269="Trimestral", MOD(MATCH($B$2, {"Enero", "Febrero", "Marzo", "Abril", "Mayo", "Junio", "Julio", "Agosto", "Septiembre", "Octubre", "Noviembre"}, 0)-MONTH('BD Asesor'!D269), 3)=0),
    AND('BD Asesor'!H269="Semestral", MOD(MATCH($B$2, {"Enero", "Febrero", "Marzo", "Abril", "Mayo", "Junio", "Julio", "Agosto", "Septiembre", "Octubre", "Noviembre"}, 0)-MONTH('BD Asesor'!D269), 6)=0),
    AND('BD Asesor'!H269="Anual", MONTH('BD Asesor'!D269)=MATCH($B$2, {"Enero", "Febrero", "Marzo", "Abril", "Mayo", "Junio", "Julio", "Agosto", "Septiembre", "Octubre", "Noviembre"}, 0))
), 'BD Asesor'!L269, "")
</f>
        <v/>
      </c>
    </row>
    <row r="270">
      <c r="C270" s="84" t="str">
        <f t="array" ref="C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Asesor'!A270, "")
</f>
        <v/>
      </c>
      <c r="D270" s="84" t="str">
        <f t="array" ref="D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Asesor'!B270, "")
</f>
        <v/>
      </c>
      <c r="E270" s="212" t="str">
        <f t="array" ref="E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Asesor'!C270, "")
</f>
        <v/>
      </c>
      <c r="F270" s="212" t="str">
        <f t="array" ref="F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Asesor'!D270, "")
</f>
        <v/>
      </c>
      <c r="G270" s="212" t="str">
        <f t="array" ref="G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Asesor'!E270, "")
</f>
        <v/>
      </c>
      <c r="H270" s="84" t="str">
        <f t="array" ref="H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Asesor'!F270, "")
</f>
        <v/>
      </c>
      <c r="I270" s="84" t="str">
        <f t="array" ref="I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Asesor'!G270, "")
</f>
        <v/>
      </c>
      <c r="J270" s="84" t="str">
        <f t="array" ref="J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Asesor'!H270, "")
</f>
        <v/>
      </c>
      <c r="K270" s="84" t="str">
        <f t="array" ref="K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Asesor'!K270, "")
</f>
        <v/>
      </c>
      <c r="L270" s="84" t="str">
        <f t="array" ref="L270">IF(OR(
    AND('BD Asesor'!H270="Mensual", MATCH($B$2, {"Enero", "Febrero", "Marzo", "Abril", "Mayo", "Junio", "Julio", "Agosto", "Septiembre", "Octubre", "Noviembre", "Diciembre"}, 0)&gt;=1),
    AND('BD Asesor'!H270="Trimestral", MOD(MATCH($B$2, {"Enero", "Febrero", "Marzo", "Abril", "Mayo", "Junio", "Julio", "Agosto", "Septiembre", "Octubre", "Noviembre"}, 0)-MONTH('BD Asesor'!D270), 3)=0),
    AND('BD Asesor'!H270="Semestral", MOD(MATCH($B$2, {"Enero", "Febrero", "Marzo", "Abril", "Mayo", "Junio", "Julio", "Agosto", "Septiembre", "Octubre", "Noviembre"}, 0)-MONTH('BD Asesor'!D270), 6)=0),
    AND('BD Asesor'!H270="Anual", MONTH('BD Asesor'!D270)=MATCH($B$2, {"Enero", "Febrero", "Marzo", "Abril", "Mayo", "Junio", "Julio", "Agosto", "Septiembre", "Octubre", "Noviembre"}, 0))
), 'BD Asesor'!L270, "")
</f>
        <v/>
      </c>
    </row>
    <row r="271">
      <c r="C271" s="84" t="str">
        <f t="array" ref="C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Asesor'!A271, "")
</f>
        <v/>
      </c>
      <c r="D271" s="84" t="str">
        <f t="array" ref="D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Asesor'!B271, "")
</f>
        <v/>
      </c>
      <c r="E271" s="212" t="str">
        <f t="array" ref="E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Asesor'!C271, "")
</f>
        <v/>
      </c>
      <c r="F271" s="212" t="str">
        <f t="array" ref="F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Asesor'!D271, "")
</f>
        <v/>
      </c>
      <c r="G271" s="212" t="str">
        <f t="array" ref="G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Asesor'!E271, "")
</f>
        <v/>
      </c>
      <c r="H271" s="84" t="str">
        <f t="array" ref="H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Asesor'!F271, "")
</f>
        <v/>
      </c>
      <c r="I271" s="84" t="str">
        <f t="array" ref="I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Asesor'!G271, "")
</f>
        <v/>
      </c>
      <c r="J271" s="84" t="str">
        <f t="array" ref="J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Asesor'!H271, "")
</f>
        <v/>
      </c>
      <c r="K271" s="84" t="str">
        <f t="array" ref="K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Asesor'!K271, "")
</f>
        <v/>
      </c>
      <c r="L271" s="84" t="str">
        <f t="array" ref="L271">IF(OR(
    AND('BD Asesor'!H271="Mensual", MATCH($B$2, {"Enero", "Febrero", "Marzo", "Abril", "Mayo", "Junio", "Julio", "Agosto", "Septiembre", "Octubre", "Noviembre", "Diciembre"}, 0)&gt;=1),
    AND('BD Asesor'!H271="Trimestral", MOD(MATCH($B$2, {"Enero", "Febrero", "Marzo", "Abril", "Mayo", "Junio", "Julio", "Agosto", "Septiembre", "Octubre", "Noviembre"}, 0)-MONTH('BD Asesor'!D271), 3)=0),
    AND('BD Asesor'!H271="Semestral", MOD(MATCH($B$2, {"Enero", "Febrero", "Marzo", "Abril", "Mayo", "Junio", "Julio", "Agosto", "Septiembre", "Octubre", "Noviembre"}, 0)-MONTH('BD Asesor'!D271), 6)=0),
    AND('BD Asesor'!H271="Anual", MONTH('BD Asesor'!D271)=MATCH($B$2, {"Enero", "Febrero", "Marzo", "Abril", "Mayo", "Junio", "Julio", "Agosto", "Septiembre", "Octubre", "Noviembre"}, 0))
), 'BD Asesor'!L271, "")
</f>
        <v/>
      </c>
    </row>
    <row r="272">
      <c r="C272" s="84" t="str">
        <f t="array" ref="C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Asesor'!A272, "")
</f>
        <v/>
      </c>
      <c r="D272" s="84" t="str">
        <f t="array" ref="D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Asesor'!B272, "")
</f>
        <v/>
      </c>
      <c r="E272" s="212" t="str">
        <f t="array" ref="E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Asesor'!C272, "")
</f>
        <v/>
      </c>
      <c r="F272" s="212" t="str">
        <f t="array" ref="F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Asesor'!D272, "")
</f>
        <v/>
      </c>
      <c r="G272" s="212" t="str">
        <f t="array" ref="G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Asesor'!E272, "")
</f>
        <v/>
      </c>
      <c r="H272" s="84" t="str">
        <f t="array" ref="H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Asesor'!F272, "")
</f>
        <v/>
      </c>
      <c r="I272" s="84" t="str">
        <f t="array" ref="I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Asesor'!G272, "")
</f>
        <v/>
      </c>
      <c r="J272" s="84" t="str">
        <f t="array" ref="J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Asesor'!H272, "")
</f>
        <v/>
      </c>
      <c r="K272" s="84" t="str">
        <f t="array" ref="K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Asesor'!K272, "")
</f>
        <v/>
      </c>
      <c r="L272" s="84" t="str">
        <f t="array" ref="L272">IF(OR(
    AND('BD Asesor'!H272="Mensual", MATCH($B$2, {"Enero", "Febrero", "Marzo", "Abril", "Mayo", "Junio", "Julio", "Agosto", "Septiembre", "Octubre", "Noviembre", "Diciembre"}, 0)&gt;=1),
    AND('BD Asesor'!H272="Trimestral", MOD(MATCH($B$2, {"Enero", "Febrero", "Marzo", "Abril", "Mayo", "Junio", "Julio", "Agosto", "Septiembre", "Octubre", "Noviembre"}, 0)-MONTH('BD Asesor'!D272), 3)=0),
    AND('BD Asesor'!H272="Semestral", MOD(MATCH($B$2, {"Enero", "Febrero", "Marzo", "Abril", "Mayo", "Junio", "Julio", "Agosto", "Septiembre", "Octubre", "Noviembre"}, 0)-MONTH('BD Asesor'!D272), 6)=0),
    AND('BD Asesor'!H272="Anual", MONTH('BD Asesor'!D272)=MATCH($B$2, {"Enero", "Febrero", "Marzo", "Abril", "Mayo", "Junio", "Julio", "Agosto", "Septiembre", "Octubre", "Noviembre"}, 0))
), 'BD Asesor'!L272, "")
</f>
        <v/>
      </c>
    </row>
    <row r="273">
      <c r="C273" s="84" t="str">
        <f t="array" ref="C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Asesor'!A273, "")
</f>
        <v/>
      </c>
      <c r="D273" s="84" t="str">
        <f t="array" ref="D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Asesor'!B273, "")
</f>
        <v/>
      </c>
      <c r="E273" s="212" t="str">
        <f t="array" ref="E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Asesor'!C273, "")
</f>
        <v/>
      </c>
      <c r="F273" s="212" t="str">
        <f t="array" ref="F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Asesor'!D273, "")
</f>
        <v/>
      </c>
      <c r="G273" s="212" t="str">
        <f t="array" ref="G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Asesor'!E273, "")
</f>
        <v/>
      </c>
      <c r="H273" s="84" t="str">
        <f t="array" ref="H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Asesor'!F273, "")
</f>
        <v/>
      </c>
      <c r="I273" s="84" t="str">
        <f t="array" ref="I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Asesor'!G273, "")
</f>
        <v/>
      </c>
      <c r="J273" s="84" t="str">
        <f t="array" ref="J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Asesor'!H273, "")
</f>
        <v/>
      </c>
      <c r="K273" s="84" t="str">
        <f t="array" ref="K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Asesor'!K273, "")
</f>
        <v/>
      </c>
      <c r="L273" s="84" t="str">
        <f t="array" ref="L273">IF(OR(
    AND('BD Asesor'!H273="Mensual", MATCH($B$2, {"Enero", "Febrero", "Marzo", "Abril", "Mayo", "Junio", "Julio", "Agosto", "Septiembre", "Octubre", "Noviembre", "Diciembre"}, 0)&gt;=1),
    AND('BD Asesor'!H273="Trimestral", MOD(MATCH($B$2, {"Enero", "Febrero", "Marzo", "Abril", "Mayo", "Junio", "Julio", "Agosto", "Septiembre", "Octubre", "Noviembre"}, 0)-MONTH('BD Asesor'!D273), 3)=0),
    AND('BD Asesor'!H273="Semestral", MOD(MATCH($B$2, {"Enero", "Febrero", "Marzo", "Abril", "Mayo", "Junio", "Julio", "Agosto", "Septiembre", "Octubre", "Noviembre"}, 0)-MONTH('BD Asesor'!D273), 6)=0),
    AND('BD Asesor'!H273="Anual", MONTH('BD Asesor'!D273)=MATCH($B$2, {"Enero", "Febrero", "Marzo", "Abril", "Mayo", "Junio", "Julio", "Agosto", "Septiembre", "Octubre", "Noviembre"}, 0))
), 'BD Asesor'!L273, "")
</f>
        <v/>
      </c>
    </row>
    <row r="274">
      <c r="C274" s="84" t="str">
        <f t="array" ref="C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Asesor'!A274, "")
</f>
        <v/>
      </c>
      <c r="D274" s="84" t="str">
        <f t="array" ref="D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Asesor'!B274, "")
</f>
        <v/>
      </c>
      <c r="E274" s="212" t="str">
        <f t="array" ref="E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Asesor'!C274, "")
</f>
        <v/>
      </c>
      <c r="F274" s="212" t="str">
        <f t="array" ref="F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Asesor'!D274, "")
</f>
        <v/>
      </c>
      <c r="G274" s="212" t="str">
        <f t="array" ref="G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Asesor'!E274, "")
</f>
        <v/>
      </c>
      <c r="H274" s="84" t="str">
        <f t="array" ref="H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Asesor'!F274, "")
</f>
        <v/>
      </c>
      <c r="I274" s="84" t="str">
        <f t="array" ref="I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Asesor'!G274, "")
</f>
        <v/>
      </c>
      <c r="J274" s="84" t="str">
        <f t="array" ref="J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Asesor'!H274, "")
</f>
        <v/>
      </c>
      <c r="K274" s="84" t="str">
        <f t="array" ref="K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Asesor'!K274, "")
</f>
        <v/>
      </c>
      <c r="L274" s="84" t="str">
        <f t="array" ref="L274">IF(OR(
    AND('BD Asesor'!H274="Mensual", MATCH($B$2, {"Enero", "Febrero", "Marzo", "Abril", "Mayo", "Junio", "Julio", "Agosto", "Septiembre", "Octubre", "Noviembre", "Diciembre"}, 0)&gt;=1),
    AND('BD Asesor'!H274="Trimestral", MOD(MATCH($B$2, {"Enero", "Febrero", "Marzo", "Abril", "Mayo", "Junio", "Julio", "Agosto", "Septiembre", "Octubre", "Noviembre"}, 0)-MONTH('BD Asesor'!D274), 3)=0),
    AND('BD Asesor'!H274="Semestral", MOD(MATCH($B$2, {"Enero", "Febrero", "Marzo", "Abril", "Mayo", "Junio", "Julio", "Agosto", "Septiembre", "Octubre", "Noviembre"}, 0)-MONTH('BD Asesor'!D274), 6)=0),
    AND('BD Asesor'!H274="Anual", MONTH('BD Asesor'!D274)=MATCH($B$2, {"Enero", "Febrero", "Marzo", "Abril", "Mayo", "Junio", "Julio", "Agosto", "Septiembre", "Octubre", "Noviembre"}, 0))
), 'BD Asesor'!L274, "")
</f>
        <v/>
      </c>
    </row>
    <row r="275">
      <c r="C275" s="84" t="str">
        <f t="array" ref="C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Asesor'!A275, "")
</f>
        <v/>
      </c>
      <c r="D275" s="84" t="str">
        <f t="array" ref="D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Asesor'!B275, "")
</f>
        <v/>
      </c>
      <c r="E275" s="212" t="str">
        <f t="array" ref="E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Asesor'!C275, "")
</f>
        <v/>
      </c>
      <c r="F275" s="212" t="str">
        <f t="array" ref="F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Asesor'!D275, "")
</f>
        <v/>
      </c>
      <c r="G275" s="212" t="str">
        <f t="array" ref="G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Asesor'!E275, "")
</f>
        <v/>
      </c>
      <c r="H275" s="84" t="str">
        <f t="array" ref="H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Asesor'!F275, "")
</f>
        <v/>
      </c>
      <c r="I275" s="84" t="str">
        <f t="array" ref="I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Asesor'!G275, "")
</f>
        <v/>
      </c>
      <c r="J275" s="84" t="str">
        <f t="array" ref="J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Asesor'!H275, "")
</f>
        <v/>
      </c>
      <c r="K275" s="84" t="str">
        <f t="array" ref="K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Asesor'!K275, "")
</f>
        <v/>
      </c>
      <c r="L275" s="84" t="str">
        <f t="array" ref="L275">IF(OR(
    AND('BD Asesor'!H275="Mensual", MATCH($B$2, {"Enero", "Febrero", "Marzo", "Abril", "Mayo", "Junio", "Julio", "Agosto", "Septiembre", "Octubre", "Noviembre", "Diciembre"}, 0)&gt;=1),
    AND('BD Asesor'!H275="Trimestral", MOD(MATCH($B$2, {"Enero", "Febrero", "Marzo", "Abril", "Mayo", "Junio", "Julio", "Agosto", "Septiembre", "Octubre", "Noviembre"}, 0)-MONTH('BD Asesor'!D275), 3)=0),
    AND('BD Asesor'!H275="Semestral", MOD(MATCH($B$2, {"Enero", "Febrero", "Marzo", "Abril", "Mayo", "Junio", "Julio", "Agosto", "Septiembre", "Octubre", "Noviembre"}, 0)-MONTH('BD Asesor'!D275), 6)=0),
    AND('BD Asesor'!H275="Anual", MONTH('BD Asesor'!D275)=MATCH($B$2, {"Enero", "Febrero", "Marzo", "Abril", "Mayo", "Junio", "Julio", "Agosto", "Septiembre", "Octubre", "Noviembre"}, 0))
), 'BD Asesor'!L275, "")
</f>
        <v/>
      </c>
    </row>
    <row r="276">
      <c r="C276" s="84" t="str">
        <f t="array" ref="C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Asesor'!A276, "")
</f>
        <v/>
      </c>
      <c r="D276" s="84" t="str">
        <f t="array" ref="D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Asesor'!B276, "")
</f>
        <v/>
      </c>
      <c r="E276" s="212" t="str">
        <f t="array" ref="E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Asesor'!C276, "")
</f>
        <v/>
      </c>
      <c r="F276" s="212" t="str">
        <f t="array" ref="F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Asesor'!D276, "")
</f>
        <v/>
      </c>
      <c r="G276" s="212" t="str">
        <f t="array" ref="G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Asesor'!E276, "")
</f>
        <v/>
      </c>
      <c r="H276" s="84" t="str">
        <f t="array" ref="H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Asesor'!F276, "")
</f>
        <v/>
      </c>
      <c r="I276" s="84" t="str">
        <f t="array" ref="I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Asesor'!G276, "")
</f>
        <v/>
      </c>
      <c r="J276" s="84" t="str">
        <f t="array" ref="J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Asesor'!H276, "")
</f>
        <v/>
      </c>
      <c r="K276" s="84" t="str">
        <f t="array" ref="K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Asesor'!K276, "")
</f>
        <v/>
      </c>
      <c r="L276" s="84" t="str">
        <f t="array" ref="L276">IF(OR(
    AND('BD Asesor'!H276="Mensual", MATCH($B$2, {"Enero", "Febrero", "Marzo", "Abril", "Mayo", "Junio", "Julio", "Agosto", "Septiembre", "Octubre", "Noviembre", "Diciembre"}, 0)&gt;=1),
    AND('BD Asesor'!H276="Trimestral", MOD(MATCH($B$2, {"Enero", "Febrero", "Marzo", "Abril", "Mayo", "Junio", "Julio", "Agosto", "Septiembre", "Octubre", "Noviembre"}, 0)-MONTH('BD Asesor'!D276), 3)=0),
    AND('BD Asesor'!H276="Semestral", MOD(MATCH($B$2, {"Enero", "Febrero", "Marzo", "Abril", "Mayo", "Junio", "Julio", "Agosto", "Septiembre", "Octubre", "Noviembre"}, 0)-MONTH('BD Asesor'!D276), 6)=0),
    AND('BD Asesor'!H276="Anual", MONTH('BD Asesor'!D276)=MATCH($B$2, {"Enero", "Febrero", "Marzo", "Abril", "Mayo", "Junio", "Julio", "Agosto", "Septiembre", "Octubre", "Noviembre"}, 0))
), 'BD Asesor'!L276, "")
</f>
        <v/>
      </c>
    </row>
    <row r="277">
      <c r="C277" s="84" t="str">
        <f t="array" ref="C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Asesor'!A277, "")
</f>
        <v/>
      </c>
      <c r="D277" s="84" t="str">
        <f t="array" ref="D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Asesor'!B277, "")
</f>
        <v/>
      </c>
      <c r="E277" s="212" t="str">
        <f t="array" ref="E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Asesor'!C277, "")
</f>
        <v/>
      </c>
      <c r="F277" s="212" t="str">
        <f t="array" ref="F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Asesor'!D277, "")
</f>
        <v/>
      </c>
      <c r="G277" s="212" t="str">
        <f t="array" ref="G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Asesor'!E277, "")
</f>
        <v/>
      </c>
      <c r="H277" s="84" t="str">
        <f t="array" ref="H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Asesor'!F277, "")
</f>
        <v/>
      </c>
      <c r="I277" s="84" t="str">
        <f t="array" ref="I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Asesor'!G277, "")
</f>
        <v/>
      </c>
      <c r="J277" s="84" t="str">
        <f t="array" ref="J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Asesor'!H277, "")
</f>
        <v/>
      </c>
      <c r="K277" s="84" t="str">
        <f t="array" ref="K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Asesor'!K277, "")
</f>
        <v/>
      </c>
      <c r="L277" s="84" t="str">
        <f t="array" ref="L277">IF(OR(
    AND('BD Asesor'!H277="Mensual", MATCH($B$2, {"Enero", "Febrero", "Marzo", "Abril", "Mayo", "Junio", "Julio", "Agosto", "Septiembre", "Octubre", "Noviembre", "Diciembre"}, 0)&gt;=1),
    AND('BD Asesor'!H277="Trimestral", MOD(MATCH($B$2, {"Enero", "Febrero", "Marzo", "Abril", "Mayo", "Junio", "Julio", "Agosto", "Septiembre", "Octubre", "Noviembre"}, 0)-MONTH('BD Asesor'!D277), 3)=0),
    AND('BD Asesor'!H277="Semestral", MOD(MATCH($B$2, {"Enero", "Febrero", "Marzo", "Abril", "Mayo", "Junio", "Julio", "Agosto", "Septiembre", "Octubre", "Noviembre"}, 0)-MONTH('BD Asesor'!D277), 6)=0),
    AND('BD Asesor'!H277="Anual", MONTH('BD Asesor'!D277)=MATCH($B$2, {"Enero", "Febrero", "Marzo", "Abril", "Mayo", "Junio", "Julio", "Agosto", "Septiembre", "Octubre", "Noviembre"}, 0))
), 'BD Asesor'!L277, "")
</f>
        <v/>
      </c>
    </row>
    <row r="278">
      <c r="C278" s="84" t="str">
        <f t="array" ref="C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Asesor'!A278, "")
</f>
        <v/>
      </c>
      <c r="D278" s="84" t="str">
        <f t="array" ref="D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Asesor'!B278, "")
</f>
        <v/>
      </c>
      <c r="E278" s="212" t="str">
        <f t="array" ref="E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Asesor'!C278, "")
</f>
        <v/>
      </c>
      <c r="F278" s="212" t="str">
        <f t="array" ref="F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Asesor'!D278, "")
</f>
        <v/>
      </c>
      <c r="G278" s="212" t="str">
        <f t="array" ref="G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Asesor'!E278, "")
</f>
        <v/>
      </c>
      <c r="H278" s="84" t="str">
        <f t="array" ref="H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Asesor'!F278, "")
</f>
        <v/>
      </c>
      <c r="I278" s="84" t="str">
        <f t="array" ref="I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Asesor'!G278, "")
</f>
        <v/>
      </c>
      <c r="J278" s="84" t="str">
        <f t="array" ref="J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Asesor'!H278, "")
</f>
        <v/>
      </c>
      <c r="K278" s="84" t="str">
        <f t="array" ref="K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Asesor'!K278, "")
</f>
        <v/>
      </c>
      <c r="L278" s="84" t="str">
        <f t="array" ref="L278">IF(OR(
    AND('BD Asesor'!H278="Mensual", MATCH($B$2, {"Enero", "Febrero", "Marzo", "Abril", "Mayo", "Junio", "Julio", "Agosto", "Septiembre", "Octubre", "Noviembre", "Diciembre"}, 0)&gt;=1),
    AND('BD Asesor'!H278="Trimestral", MOD(MATCH($B$2, {"Enero", "Febrero", "Marzo", "Abril", "Mayo", "Junio", "Julio", "Agosto", "Septiembre", "Octubre", "Noviembre"}, 0)-MONTH('BD Asesor'!D278), 3)=0),
    AND('BD Asesor'!H278="Semestral", MOD(MATCH($B$2, {"Enero", "Febrero", "Marzo", "Abril", "Mayo", "Junio", "Julio", "Agosto", "Septiembre", "Octubre", "Noviembre"}, 0)-MONTH('BD Asesor'!D278), 6)=0),
    AND('BD Asesor'!H278="Anual", MONTH('BD Asesor'!D278)=MATCH($B$2, {"Enero", "Febrero", "Marzo", "Abril", "Mayo", "Junio", "Julio", "Agosto", "Septiembre", "Octubre", "Noviembre"}, 0))
), 'BD Asesor'!L278, "")
</f>
        <v/>
      </c>
    </row>
    <row r="279">
      <c r="C279" s="84" t="str">
        <f t="array" ref="C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Asesor'!A279, "")
</f>
        <v/>
      </c>
      <c r="D279" s="84" t="str">
        <f t="array" ref="D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Asesor'!B279, "")
</f>
        <v/>
      </c>
      <c r="E279" s="212" t="str">
        <f t="array" ref="E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Asesor'!C279, "")
</f>
        <v/>
      </c>
      <c r="F279" s="212" t="str">
        <f t="array" ref="F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Asesor'!D279, "")
</f>
        <v/>
      </c>
      <c r="G279" s="212" t="str">
        <f t="array" ref="G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Asesor'!E279, "")
</f>
        <v/>
      </c>
      <c r="H279" s="84" t="str">
        <f t="array" ref="H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Asesor'!F279, "")
</f>
        <v/>
      </c>
      <c r="I279" s="84" t="str">
        <f t="array" ref="I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Asesor'!G279, "")
</f>
        <v/>
      </c>
      <c r="J279" s="84" t="str">
        <f t="array" ref="J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Asesor'!H279, "")
</f>
        <v/>
      </c>
      <c r="K279" s="84" t="str">
        <f t="array" ref="K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Asesor'!K279, "")
</f>
        <v/>
      </c>
      <c r="L279" s="84" t="str">
        <f t="array" ref="L279">IF(OR(
    AND('BD Asesor'!H279="Mensual", MATCH($B$2, {"Enero", "Febrero", "Marzo", "Abril", "Mayo", "Junio", "Julio", "Agosto", "Septiembre", "Octubre", "Noviembre", "Diciembre"}, 0)&gt;=1),
    AND('BD Asesor'!H279="Trimestral", MOD(MATCH($B$2, {"Enero", "Febrero", "Marzo", "Abril", "Mayo", "Junio", "Julio", "Agosto", "Septiembre", "Octubre", "Noviembre"}, 0)-MONTH('BD Asesor'!D279), 3)=0),
    AND('BD Asesor'!H279="Semestral", MOD(MATCH($B$2, {"Enero", "Febrero", "Marzo", "Abril", "Mayo", "Junio", "Julio", "Agosto", "Septiembre", "Octubre", "Noviembre"}, 0)-MONTH('BD Asesor'!D279), 6)=0),
    AND('BD Asesor'!H279="Anual", MONTH('BD Asesor'!D279)=MATCH($B$2, {"Enero", "Febrero", "Marzo", "Abril", "Mayo", "Junio", "Julio", "Agosto", "Septiembre", "Octubre", "Noviembre"}, 0))
), 'BD Asesor'!L279, "")
</f>
        <v/>
      </c>
    </row>
    <row r="280">
      <c r="C280" s="84" t="str">
        <f t="array" ref="C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Asesor'!A280, "")
</f>
        <v/>
      </c>
      <c r="D280" s="84" t="str">
        <f t="array" ref="D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Asesor'!B280, "")
</f>
        <v/>
      </c>
      <c r="E280" s="212" t="str">
        <f t="array" ref="E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Asesor'!C280, "")
</f>
        <v/>
      </c>
      <c r="F280" s="212" t="str">
        <f t="array" ref="F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Asesor'!D280, "")
</f>
        <v/>
      </c>
      <c r="G280" s="212" t="str">
        <f t="array" ref="G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Asesor'!E280, "")
</f>
        <v/>
      </c>
      <c r="H280" s="84" t="str">
        <f t="array" ref="H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Asesor'!F280, "")
</f>
        <v/>
      </c>
      <c r="I280" s="84" t="str">
        <f t="array" ref="I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Asesor'!G280, "")
</f>
        <v/>
      </c>
      <c r="J280" s="84" t="str">
        <f t="array" ref="J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Asesor'!H280, "")
</f>
        <v/>
      </c>
      <c r="K280" s="84" t="str">
        <f t="array" ref="K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Asesor'!K280, "")
</f>
        <v/>
      </c>
      <c r="L280" s="84" t="str">
        <f t="array" ref="L280">IF(OR(
    AND('BD Asesor'!H280="Mensual", MATCH($B$2, {"Enero", "Febrero", "Marzo", "Abril", "Mayo", "Junio", "Julio", "Agosto", "Septiembre", "Octubre", "Noviembre", "Diciembre"}, 0)&gt;=1),
    AND('BD Asesor'!H280="Trimestral", MOD(MATCH($B$2, {"Enero", "Febrero", "Marzo", "Abril", "Mayo", "Junio", "Julio", "Agosto", "Septiembre", "Octubre", "Noviembre"}, 0)-MONTH('BD Asesor'!D280), 3)=0),
    AND('BD Asesor'!H280="Semestral", MOD(MATCH($B$2, {"Enero", "Febrero", "Marzo", "Abril", "Mayo", "Junio", "Julio", "Agosto", "Septiembre", "Octubre", "Noviembre"}, 0)-MONTH('BD Asesor'!D280), 6)=0),
    AND('BD Asesor'!H280="Anual", MONTH('BD Asesor'!D280)=MATCH($B$2, {"Enero", "Febrero", "Marzo", "Abril", "Mayo", "Junio", "Julio", "Agosto", "Septiembre", "Octubre", "Noviembre"}, 0))
), 'BD Asesor'!L280, "")
</f>
        <v/>
      </c>
    </row>
    <row r="281">
      <c r="C281" s="84" t="str">
        <f t="array" ref="C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Asesor'!A281, "")
</f>
        <v/>
      </c>
      <c r="D281" s="84" t="str">
        <f t="array" ref="D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Asesor'!B281, "")
</f>
        <v/>
      </c>
      <c r="E281" s="212" t="str">
        <f t="array" ref="E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Asesor'!C281, "")
</f>
        <v/>
      </c>
      <c r="F281" s="212" t="str">
        <f t="array" ref="F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Asesor'!D281, "")
</f>
        <v/>
      </c>
      <c r="G281" s="212" t="str">
        <f t="array" ref="G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Asesor'!E281, "")
</f>
        <v/>
      </c>
      <c r="H281" s="84" t="str">
        <f t="array" ref="H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Asesor'!F281, "")
</f>
        <v/>
      </c>
      <c r="I281" s="84" t="str">
        <f t="array" ref="I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Asesor'!G281, "")
</f>
        <v/>
      </c>
      <c r="J281" s="84" t="str">
        <f t="array" ref="J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Asesor'!H281, "")
</f>
        <v/>
      </c>
      <c r="K281" s="84" t="str">
        <f t="array" ref="K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Asesor'!K281, "")
</f>
        <v/>
      </c>
      <c r="L281" s="84" t="str">
        <f t="array" ref="L281">IF(OR(
    AND('BD Asesor'!H281="Mensual", MATCH($B$2, {"Enero", "Febrero", "Marzo", "Abril", "Mayo", "Junio", "Julio", "Agosto", "Septiembre", "Octubre", "Noviembre", "Diciembre"}, 0)&gt;=1),
    AND('BD Asesor'!H281="Trimestral", MOD(MATCH($B$2, {"Enero", "Febrero", "Marzo", "Abril", "Mayo", "Junio", "Julio", "Agosto", "Septiembre", "Octubre", "Noviembre"}, 0)-MONTH('BD Asesor'!D281), 3)=0),
    AND('BD Asesor'!H281="Semestral", MOD(MATCH($B$2, {"Enero", "Febrero", "Marzo", "Abril", "Mayo", "Junio", "Julio", "Agosto", "Septiembre", "Octubre", "Noviembre"}, 0)-MONTH('BD Asesor'!D281), 6)=0),
    AND('BD Asesor'!H281="Anual", MONTH('BD Asesor'!D281)=MATCH($B$2, {"Enero", "Febrero", "Marzo", "Abril", "Mayo", "Junio", "Julio", "Agosto", "Septiembre", "Octubre", "Noviembre"}, 0))
), 'BD Asesor'!L281, "")
</f>
        <v/>
      </c>
    </row>
    <row r="282">
      <c r="C282" s="84" t="str">
        <f t="array" ref="C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Asesor'!A282, "")
</f>
        <v/>
      </c>
      <c r="D282" s="84" t="str">
        <f t="array" ref="D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Asesor'!B282, "")
</f>
        <v/>
      </c>
      <c r="E282" s="212" t="str">
        <f t="array" ref="E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Asesor'!C282, "")
</f>
        <v/>
      </c>
      <c r="F282" s="212" t="str">
        <f t="array" ref="F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Asesor'!D282, "")
</f>
        <v/>
      </c>
      <c r="G282" s="212" t="str">
        <f t="array" ref="G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Asesor'!E282, "")
</f>
        <v/>
      </c>
      <c r="H282" s="84" t="str">
        <f t="array" ref="H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Asesor'!F282, "")
</f>
        <v/>
      </c>
      <c r="I282" s="84" t="str">
        <f t="array" ref="I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Asesor'!G282, "")
</f>
        <v/>
      </c>
      <c r="J282" s="84" t="str">
        <f t="array" ref="J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Asesor'!H282, "")
</f>
        <v/>
      </c>
      <c r="K282" s="84" t="str">
        <f t="array" ref="K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Asesor'!K282, "")
</f>
        <v/>
      </c>
      <c r="L282" s="84" t="str">
        <f t="array" ref="L282">IF(OR(
    AND('BD Asesor'!H282="Mensual", MATCH($B$2, {"Enero", "Febrero", "Marzo", "Abril", "Mayo", "Junio", "Julio", "Agosto", "Septiembre", "Octubre", "Noviembre", "Diciembre"}, 0)&gt;=1),
    AND('BD Asesor'!H282="Trimestral", MOD(MATCH($B$2, {"Enero", "Febrero", "Marzo", "Abril", "Mayo", "Junio", "Julio", "Agosto", "Septiembre", "Octubre", "Noviembre"}, 0)-MONTH('BD Asesor'!D282), 3)=0),
    AND('BD Asesor'!H282="Semestral", MOD(MATCH($B$2, {"Enero", "Febrero", "Marzo", "Abril", "Mayo", "Junio", "Julio", "Agosto", "Septiembre", "Octubre", "Noviembre"}, 0)-MONTH('BD Asesor'!D282), 6)=0),
    AND('BD Asesor'!H282="Anual", MONTH('BD Asesor'!D282)=MATCH($B$2, {"Enero", "Febrero", "Marzo", "Abril", "Mayo", "Junio", "Julio", "Agosto", "Septiembre", "Octubre", "Noviembre"}, 0))
), 'BD Asesor'!L282, "")
</f>
        <v/>
      </c>
    </row>
    <row r="283">
      <c r="C283" s="84" t="str">
        <f t="array" ref="C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Asesor'!A283, "")
</f>
        <v/>
      </c>
      <c r="D283" s="84" t="str">
        <f t="array" ref="D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Asesor'!B283, "")
</f>
        <v/>
      </c>
      <c r="E283" s="212" t="str">
        <f t="array" ref="E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Asesor'!C283, "")
</f>
        <v/>
      </c>
      <c r="F283" s="212" t="str">
        <f t="array" ref="F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Asesor'!D283, "")
</f>
        <v/>
      </c>
      <c r="G283" s="212" t="str">
        <f t="array" ref="G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Asesor'!E283, "")
</f>
        <v/>
      </c>
      <c r="H283" s="84" t="str">
        <f t="array" ref="H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Asesor'!F283, "")
</f>
        <v/>
      </c>
      <c r="I283" s="84" t="str">
        <f t="array" ref="I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Asesor'!G283, "")
</f>
        <v/>
      </c>
      <c r="J283" s="84" t="str">
        <f t="array" ref="J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Asesor'!H283, "")
</f>
        <v/>
      </c>
      <c r="K283" s="84" t="str">
        <f t="array" ref="K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Asesor'!K283, "")
</f>
        <v/>
      </c>
      <c r="L283" s="84" t="str">
        <f t="array" ref="L283">IF(OR(
    AND('BD Asesor'!H283="Mensual", MATCH($B$2, {"Enero", "Febrero", "Marzo", "Abril", "Mayo", "Junio", "Julio", "Agosto", "Septiembre", "Octubre", "Noviembre", "Diciembre"}, 0)&gt;=1),
    AND('BD Asesor'!H283="Trimestral", MOD(MATCH($B$2, {"Enero", "Febrero", "Marzo", "Abril", "Mayo", "Junio", "Julio", "Agosto", "Septiembre", "Octubre", "Noviembre"}, 0)-MONTH('BD Asesor'!D283), 3)=0),
    AND('BD Asesor'!H283="Semestral", MOD(MATCH($B$2, {"Enero", "Febrero", "Marzo", "Abril", "Mayo", "Junio", "Julio", "Agosto", "Septiembre", "Octubre", "Noviembre"}, 0)-MONTH('BD Asesor'!D283), 6)=0),
    AND('BD Asesor'!H283="Anual", MONTH('BD Asesor'!D283)=MATCH($B$2, {"Enero", "Febrero", "Marzo", "Abril", "Mayo", "Junio", "Julio", "Agosto", "Septiembre", "Octubre", "Noviembre"}, 0))
), 'BD Asesor'!L283, "")
</f>
        <v/>
      </c>
    </row>
    <row r="284">
      <c r="C284" s="84" t="str">
        <f t="array" ref="C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Asesor'!A284, "")
</f>
        <v/>
      </c>
      <c r="D284" s="84" t="str">
        <f t="array" ref="D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Asesor'!B284, "")
</f>
        <v/>
      </c>
      <c r="E284" s="212" t="str">
        <f t="array" ref="E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Asesor'!C284, "")
</f>
        <v/>
      </c>
      <c r="F284" s="212" t="str">
        <f t="array" ref="F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Asesor'!D284, "")
</f>
        <v/>
      </c>
      <c r="G284" s="212" t="str">
        <f t="array" ref="G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Asesor'!E284, "")
</f>
        <v/>
      </c>
      <c r="H284" s="84" t="str">
        <f t="array" ref="H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Asesor'!F284, "")
</f>
        <v/>
      </c>
      <c r="I284" s="84" t="str">
        <f t="array" ref="I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Asesor'!G284, "")
</f>
        <v/>
      </c>
      <c r="J284" s="84" t="str">
        <f t="array" ref="J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Asesor'!H284, "")
</f>
        <v/>
      </c>
      <c r="K284" s="84" t="str">
        <f t="array" ref="K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Asesor'!K284, "")
</f>
        <v/>
      </c>
      <c r="L284" s="84" t="str">
        <f t="array" ref="L284">IF(OR(
    AND('BD Asesor'!H284="Mensual", MATCH($B$2, {"Enero", "Febrero", "Marzo", "Abril", "Mayo", "Junio", "Julio", "Agosto", "Septiembre", "Octubre", "Noviembre", "Diciembre"}, 0)&gt;=1),
    AND('BD Asesor'!H284="Trimestral", MOD(MATCH($B$2, {"Enero", "Febrero", "Marzo", "Abril", "Mayo", "Junio", "Julio", "Agosto", "Septiembre", "Octubre", "Noviembre"}, 0)-MONTH('BD Asesor'!D284), 3)=0),
    AND('BD Asesor'!H284="Semestral", MOD(MATCH($B$2, {"Enero", "Febrero", "Marzo", "Abril", "Mayo", "Junio", "Julio", "Agosto", "Septiembre", "Octubre", "Noviembre"}, 0)-MONTH('BD Asesor'!D284), 6)=0),
    AND('BD Asesor'!H284="Anual", MONTH('BD Asesor'!D284)=MATCH($B$2, {"Enero", "Febrero", "Marzo", "Abril", "Mayo", "Junio", "Julio", "Agosto", "Septiembre", "Octubre", "Noviembre"}, 0))
), 'BD Asesor'!L284, "")
</f>
        <v/>
      </c>
    </row>
    <row r="285">
      <c r="C285" s="84" t="str">
        <f t="array" ref="C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Asesor'!A285, "")
</f>
        <v/>
      </c>
      <c r="D285" s="84" t="str">
        <f t="array" ref="D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Asesor'!B285, "")
</f>
        <v/>
      </c>
      <c r="E285" s="212" t="str">
        <f t="array" ref="E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Asesor'!C285, "")
</f>
        <v/>
      </c>
      <c r="F285" s="212" t="str">
        <f t="array" ref="F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Asesor'!D285, "")
</f>
        <v/>
      </c>
      <c r="G285" s="212" t="str">
        <f t="array" ref="G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Asesor'!E285, "")
</f>
        <v/>
      </c>
      <c r="H285" s="84" t="str">
        <f t="array" ref="H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Asesor'!F285, "")
</f>
        <v/>
      </c>
      <c r="I285" s="84" t="str">
        <f t="array" ref="I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Asesor'!G285, "")
</f>
        <v/>
      </c>
      <c r="J285" s="84" t="str">
        <f t="array" ref="J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Asesor'!H285, "")
</f>
        <v/>
      </c>
      <c r="K285" s="84" t="str">
        <f t="array" ref="K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Asesor'!K285, "")
</f>
        <v/>
      </c>
      <c r="L285" s="84" t="str">
        <f t="array" ref="L285">IF(OR(
    AND('BD Asesor'!H285="Mensual", MATCH($B$2, {"Enero", "Febrero", "Marzo", "Abril", "Mayo", "Junio", "Julio", "Agosto", "Septiembre", "Octubre", "Noviembre", "Diciembre"}, 0)&gt;=1),
    AND('BD Asesor'!H285="Trimestral", MOD(MATCH($B$2, {"Enero", "Febrero", "Marzo", "Abril", "Mayo", "Junio", "Julio", "Agosto", "Septiembre", "Octubre", "Noviembre"}, 0)-MONTH('BD Asesor'!D285), 3)=0),
    AND('BD Asesor'!H285="Semestral", MOD(MATCH($B$2, {"Enero", "Febrero", "Marzo", "Abril", "Mayo", "Junio", "Julio", "Agosto", "Septiembre", "Octubre", "Noviembre"}, 0)-MONTH('BD Asesor'!D285), 6)=0),
    AND('BD Asesor'!H285="Anual", MONTH('BD Asesor'!D285)=MATCH($B$2, {"Enero", "Febrero", "Marzo", "Abril", "Mayo", "Junio", "Julio", "Agosto", "Septiembre", "Octubre", "Noviembre"}, 0))
), 'BD Asesor'!L285, "")
</f>
        <v/>
      </c>
    </row>
    <row r="286">
      <c r="C286" s="84" t="str">
        <f t="array" ref="C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Asesor'!A286, "")
</f>
        <v/>
      </c>
      <c r="D286" s="84" t="str">
        <f t="array" ref="D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Asesor'!B286, "")
</f>
        <v/>
      </c>
      <c r="E286" s="212" t="str">
        <f t="array" ref="E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Asesor'!C286, "")
</f>
        <v/>
      </c>
      <c r="F286" s="212" t="str">
        <f t="array" ref="F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Asesor'!D286, "")
</f>
        <v/>
      </c>
      <c r="G286" s="212" t="str">
        <f t="array" ref="G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Asesor'!E286, "")
</f>
        <v/>
      </c>
      <c r="H286" s="84" t="str">
        <f t="array" ref="H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Asesor'!F286, "")
</f>
        <v/>
      </c>
      <c r="I286" s="84" t="str">
        <f t="array" ref="I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Asesor'!G286, "")
</f>
        <v/>
      </c>
      <c r="J286" s="84" t="str">
        <f t="array" ref="J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Asesor'!H286, "")
</f>
        <v/>
      </c>
      <c r="K286" s="84" t="str">
        <f t="array" ref="K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Asesor'!K286, "")
</f>
        <v/>
      </c>
      <c r="L286" s="84" t="str">
        <f t="array" ref="L286">IF(OR(
    AND('BD Asesor'!H286="Mensual", MATCH($B$2, {"Enero", "Febrero", "Marzo", "Abril", "Mayo", "Junio", "Julio", "Agosto", "Septiembre", "Octubre", "Noviembre", "Diciembre"}, 0)&gt;=1),
    AND('BD Asesor'!H286="Trimestral", MOD(MATCH($B$2, {"Enero", "Febrero", "Marzo", "Abril", "Mayo", "Junio", "Julio", "Agosto", "Septiembre", "Octubre", "Noviembre"}, 0)-MONTH('BD Asesor'!D286), 3)=0),
    AND('BD Asesor'!H286="Semestral", MOD(MATCH($B$2, {"Enero", "Febrero", "Marzo", "Abril", "Mayo", "Junio", "Julio", "Agosto", "Septiembre", "Octubre", "Noviembre"}, 0)-MONTH('BD Asesor'!D286), 6)=0),
    AND('BD Asesor'!H286="Anual", MONTH('BD Asesor'!D286)=MATCH($B$2, {"Enero", "Febrero", "Marzo", "Abril", "Mayo", "Junio", "Julio", "Agosto", "Septiembre", "Octubre", "Noviembre"}, 0))
), 'BD Asesor'!L286, "")
</f>
        <v/>
      </c>
    </row>
    <row r="287">
      <c r="C287" s="84" t="str">
        <f t="array" ref="C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Asesor'!A287, "")
</f>
        <v/>
      </c>
      <c r="D287" s="84" t="str">
        <f t="array" ref="D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Asesor'!B287, "")
</f>
        <v/>
      </c>
      <c r="E287" s="212" t="str">
        <f t="array" ref="E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Asesor'!C287, "")
</f>
        <v/>
      </c>
      <c r="F287" s="212" t="str">
        <f t="array" ref="F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Asesor'!D287, "")
</f>
        <v/>
      </c>
      <c r="G287" s="212" t="str">
        <f t="array" ref="G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Asesor'!E287, "")
</f>
        <v/>
      </c>
      <c r="H287" s="84" t="str">
        <f t="array" ref="H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Asesor'!F287, "")
</f>
        <v/>
      </c>
      <c r="I287" s="84" t="str">
        <f t="array" ref="I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Asesor'!G287, "")
</f>
        <v/>
      </c>
      <c r="J287" s="84" t="str">
        <f t="array" ref="J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Asesor'!H287, "")
</f>
        <v/>
      </c>
      <c r="K287" s="84" t="str">
        <f t="array" ref="K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Asesor'!K287, "")
</f>
        <v/>
      </c>
      <c r="L287" s="84" t="str">
        <f t="array" ref="L287">IF(OR(
    AND('BD Asesor'!H287="Mensual", MATCH($B$2, {"Enero", "Febrero", "Marzo", "Abril", "Mayo", "Junio", "Julio", "Agosto", "Septiembre", "Octubre", "Noviembre", "Diciembre"}, 0)&gt;=1),
    AND('BD Asesor'!H287="Trimestral", MOD(MATCH($B$2, {"Enero", "Febrero", "Marzo", "Abril", "Mayo", "Junio", "Julio", "Agosto", "Septiembre", "Octubre", "Noviembre"}, 0)-MONTH('BD Asesor'!D287), 3)=0),
    AND('BD Asesor'!H287="Semestral", MOD(MATCH($B$2, {"Enero", "Febrero", "Marzo", "Abril", "Mayo", "Junio", "Julio", "Agosto", "Septiembre", "Octubre", "Noviembre"}, 0)-MONTH('BD Asesor'!D287), 6)=0),
    AND('BD Asesor'!H287="Anual", MONTH('BD Asesor'!D287)=MATCH($B$2, {"Enero", "Febrero", "Marzo", "Abril", "Mayo", "Junio", "Julio", "Agosto", "Septiembre", "Octubre", "Noviembre"}, 0))
), 'BD Asesor'!L287, "")
</f>
        <v/>
      </c>
    </row>
    <row r="288">
      <c r="C288" s="84" t="str">
        <f t="array" ref="C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Asesor'!A288, "")
</f>
        <v/>
      </c>
      <c r="D288" s="84" t="str">
        <f t="array" ref="D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Asesor'!B288, "")
</f>
        <v/>
      </c>
      <c r="E288" s="212" t="str">
        <f t="array" ref="E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Asesor'!C288, "")
</f>
        <v/>
      </c>
      <c r="F288" s="212" t="str">
        <f t="array" ref="F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Asesor'!D288, "")
</f>
        <v/>
      </c>
      <c r="G288" s="212" t="str">
        <f t="array" ref="G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Asesor'!E288, "")
</f>
        <v/>
      </c>
      <c r="H288" s="84" t="str">
        <f t="array" ref="H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Asesor'!F288, "")
</f>
        <v/>
      </c>
      <c r="I288" s="84" t="str">
        <f t="array" ref="I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Asesor'!G288, "")
</f>
        <v/>
      </c>
      <c r="J288" s="84" t="str">
        <f t="array" ref="J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Asesor'!H288, "")
</f>
        <v/>
      </c>
      <c r="K288" s="84" t="str">
        <f t="array" ref="K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Asesor'!K288, "")
</f>
        <v/>
      </c>
      <c r="L288" s="84" t="str">
        <f t="array" ref="L288">IF(OR(
    AND('BD Asesor'!H288="Mensual", MATCH($B$2, {"Enero", "Febrero", "Marzo", "Abril", "Mayo", "Junio", "Julio", "Agosto", "Septiembre", "Octubre", "Noviembre", "Diciembre"}, 0)&gt;=1),
    AND('BD Asesor'!H288="Trimestral", MOD(MATCH($B$2, {"Enero", "Febrero", "Marzo", "Abril", "Mayo", "Junio", "Julio", "Agosto", "Septiembre", "Octubre", "Noviembre"}, 0)-MONTH('BD Asesor'!D288), 3)=0),
    AND('BD Asesor'!H288="Semestral", MOD(MATCH($B$2, {"Enero", "Febrero", "Marzo", "Abril", "Mayo", "Junio", "Julio", "Agosto", "Septiembre", "Octubre", "Noviembre"}, 0)-MONTH('BD Asesor'!D288), 6)=0),
    AND('BD Asesor'!H288="Anual", MONTH('BD Asesor'!D288)=MATCH($B$2, {"Enero", "Febrero", "Marzo", "Abril", "Mayo", "Junio", "Julio", "Agosto", "Septiembre", "Octubre", "Noviembre"}, 0))
), 'BD Asesor'!L288, "")
</f>
        <v/>
      </c>
    </row>
    <row r="289">
      <c r="C289" s="84" t="str">
        <f t="array" ref="C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Asesor'!A289, "")
</f>
        <v/>
      </c>
      <c r="D289" s="84" t="str">
        <f t="array" ref="D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Asesor'!B289, "")
</f>
        <v/>
      </c>
      <c r="E289" s="212" t="str">
        <f t="array" ref="E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Asesor'!C289, "")
</f>
        <v/>
      </c>
      <c r="F289" s="212" t="str">
        <f t="array" ref="F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Asesor'!D289, "")
</f>
        <v/>
      </c>
      <c r="G289" s="212" t="str">
        <f t="array" ref="G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Asesor'!E289, "")
</f>
        <v/>
      </c>
      <c r="H289" s="84" t="str">
        <f t="array" ref="H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Asesor'!F289, "")
</f>
        <v/>
      </c>
      <c r="I289" s="84" t="str">
        <f t="array" ref="I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Asesor'!G289, "")
</f>
        <v/>
      </c>
      <c r="J289" s="84" t="str">
        <f t="array" ref="J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Asesor'!H289, "")
</f>
        <v/>
      </c>
      <c r="K289" s="84" t="str">
        <f t="array" ref="K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Asesor'!K289, "")
</f>
        <v/>
      </c>
      <c r="L289" s="84" t="str">
        <f t="array" ref="L289">IF(OR(
    AND('BD Asesor'!H289="Mensual", MATCH($B$2, {"Enero", "Febrero", "Marzo", "Abril", "Mayo", "Junio", "Julio", "Agosto", "Septiembre", "Octubre", "Noviembre", "Diciembre"}, 0)&gt;=1),
    AND('BD Asesor'!H289="Trimestral", MOD(MATCH($B$2, {"Enero", "Febrero", "Marzo", "Abril", "Mayo", "Junio", "Julio", "Agosto", "Septiembre", "Octubre", "Noviembre"}, 0)-MONTH('BD Asesor'!D289), 3)=0),
    AND('BD Asesor'!H289="Semestral", MOD(MATCH($B$2, {"Enero", "Febrero", "Marzo", "Abril", "Mayo", "Junio", "Julio", "Agosto", "Septiembre", "Octubre", "Noviembre"}, 0)-MONTH('BD Asesor'!D289), 6)=0),
    AND('BD Asesor'!H289="Anual", MONTH('BD Asesor'!D289)=MATCH($B$2, {"Enero", "Febrero", "Marzo", "Abril", "Mayo", "Junio", "Julio", "Agosto", "Septiembre", "Octubre", "Noviembre"}, 0))
), 'BD Asesor'!L289, "")
</f>
        <v/>
      </c>
    </row>
    <row r="290">
      <c r="C290" s="84" t="str">
        <f t="array" ref="C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Asesor'!A290, "")
</f>
        <v/>
      </c>
      <c r="D290" s="84" t="str">
        <f t="array" ref="D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Asesor'!B290, "")
</f>
        <v/>
      </c>
      <c r="E290" s="212" t="str">
        <f t="array" ref="E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Asesor'!C290, "")
</f>
        <v/>
      </c>
      <c r="F290" s="212" t="str">
        <f t="array" ref="F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Asesor'!D290, "")
</f>
        <v/>
      </c>
      <c r="G290" s="212" t="str">
        <f t="array" ref="G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Asesor'!E290, "")
</f>
        <v/>
      </c>
      <c r="H290" s="84" t="str">
        <f t="array" ref="H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Asesor'!F290, "")
</f>
        <v/>
      </c>
      <c r="I290" s="84" t="str">
        <f t="array" ref="I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Asesor'!G290, "")
</f>
        <v/>
      </c>
      <c r="J290" s="84" t="str">
        <f t="array" ref="J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Asesor'!H290, "")
</f>
        <v/>
      </c>
      <c r="K290" s="84" t="str">
        <f t="array" ref="K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Asesor'!K290, "")
</f>
        <v/>
      </c>
      <c r="L290" s="84" t="str">
        <f t="array" ref="L290">IF(OR(
    AND('BD Asesor'!H290="Mensual", MATCH($B$2, {"Enero", "Febrero", "Marzo", "Abril", "Mayo", "Junio", "Julio", "Agosto", "Septiembre", "Octubre", "Noviembre", "Diciembre"}, 0)&gt;=1),
    AND('BD Asesor'!H290="Trimestral", MOD(MATCH($B$2, {"Enero", "Febrero", "Marzo", "Abril", "Mayo", "Junio", "Julio", "Agosto", "Septiembre", "Octubre", "Noviembre"}, 0)-MONTH('BD Asesor'!D290), 3)=0),
    AND('BD Asesor'!H290="Semestral", MOD(MATCH($B$2, {"Enero", "Febrero", "Marzo", "Abril", "Mayo", "Junio", "Julio", "Agosto", "Septiembre", "Octubre", "Noviembre"}, 0)-MONTH('BD Asesor'!D290), 6)=0),
    AND('BD Asesor'!H290="Anual", MONTH('BD Asesor'!D290)=MATCH($B$2, {"Enero", "Febrero", "Marzo", "Abril", "Mayo", "Junio", "Julio", "Agosto", "Septiembre", "Octubre", "Noviembre"}, 0))
), 'BD Asesor'!L290, "")
</f>
        <v/>
      </c>
    </row>
    <row r="291">
      <c r="C291" s="84" t="str">
        <f t="array" ref="C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Asesor'!A291, "")
</f>
        <v/>
      </c>
      <c r="D291" s="84" t="str">
        <f t="array" ref="D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Asesor'!B291, "")
</f>
        <v/>
      </c>
      <c r="E291" s="212" t="str">
        <f t="array" ref="E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Asesor'!C291, "")
</f>
        <v/>
      </c>
      <c r="F291" s="212" t="str">
        <f t="array" ref="F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Asesor'!D291, "")
</f>
        <v/>
      </c>
      <c r="G291" s="212" t="str">
        <f t="array" ref="G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Asesor'!E291, "")
</f>
        <v/>
      </c>
      <c r="H291" s="84" t="str">
        <f t="array" ref="H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Asesor'!F291, "")
</f>
        <v/>
      </c>
      <c r="I291" s="84" t="str">
        <f t="array" ref="I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Asesor'!G291, "")
</f>
        <v/>
      </c>
      <c r="J291" s="84" t="str">
        <f t="array" ref="J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Asesor'!H291, "")
</f>
        <v/>
      </c>
      <c r="K291" s="84" t="str">
        <f t="array" ref="K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Asesor'!K291, "")
</f>
        <v/>
      </c>
      <c r="L291" s="84" t="str">
        <f t="array" ref="L291">IF(OR(
    AND('BD Asesor'!H291="Mensual", MATCH($B$2, {"Enero", "Febrero", "Marzo", "Abril", "Mayo", "Junio", "Julio", "Agosto", "Septiembre", "Octubre", "Noviembre", "Diciembre"}, 0)&gt;=1),
    AND('BD Asesor'!H291="Trimestral", MOD(MATCH($B$2, {"Enero", "Febrero", "Marzo", "Abril", "Mayo", "Junio", "Julio", "Agosto", "Septiembre", "Octubre", "Noviembre"}, 0)-MONTH('BD Asesor'!D291), 3)=0),
    AND('BD Asesor'!H291="Semestral", MOD(MATCH($B$2, {"Enero", "Febrero", "Marzo", "Abril", "Mayo", "Junio", "Julio", "Agosto", "Septiembre", "Octubre", "Noviembre"}, 0)-MONTH('BD Asesor'!D291), 6)=0),
    AND('BD Asesor'!H291="Anual", MONTH('BD Asesor'!D291)=MATCH($B$2, {"Enero", "Febrero", "Marzo", "Abril", "Mayo", "Junio", "Julio", "Agosto", "Septiembre", "Octubre", "Noviembre"}, 0))
), 'BD Asesor'!L291, "")
</f>
        <v/>
      </c>
    </row>
    <row r="292">
      <c r="C292" s="84" t="str">
        <f t="array" ref="C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Asesor'!A292, "")
</f>
        <v/>
      </c>
      <c r="D292" s="84" t="str">
        <f t="array" ref="D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Asesor'!B292, "")
</f>
        <v/>
      </c>
      <c r="E292" s="212" t="str">
        <f t="array" ref="E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Asesor'!C292, "")
</f>
        <v/>
      </c>
      <c r="F292" s="212" t="str">
        <f t="array" ref="F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Asesor'!D292, "")
</f>
        <v/>
      </c>
      <c r="G292" s="212" t="str">
        <f t="array" ref="G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Asesor'!E292, "")
</f>
        <v/>
      </c>
      <c r="H292" s="84" t="str">
        <f t="array" ref="H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Asesor'!F292, "")
</f>
        <v/>
      </c>
      <c r="I292" s="84" t="str">
        <f t="array" ref="I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Asesor'!G292, "")
</f>
        <v/>
      </c>
      <c r="J292" s="84" t="str">
        <f t="array" ref="J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Asesor'!H292, "")
</f>
        <v/>
      </c>
      <c r="K292" s="84" t="str">
        <f t="array" ref="K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Asesor'!K292, "")
</f>
        <v/>
      </c>
      <c r="L292" s="84" t="str">
        <f t="array" ref="L292">IF(OR(
    AND('BD Asesor'!H292="Mensual", MATCH($B$2, {"Enero", "Febrero", "Marzo", "Abril", "Mayo", "Junio", "Julio", "Agosto", "Septiembre", "Octubre", "Noviembre", "Diciembre"}, 0)&gt;=1),
    AND('BD Asesor'!H292="Trimestral", MOD(MATCH($B$2, {"Enero", "Febrero", "Marzo", "Abril", "Mayo", "Junio", "Julio", "Agosto", "Septiembre", "Octubre", "Noviembre"}, 0)-MONTH('BD Asesor'!D292), 3)=0),
    AND('BD Asesor'!H292="Semestral", MOD(MATCH($B$2, {"Enero", "Febrero", "Marzo", "Abril", "Mayo", "Junio", "Julio", "Agosto", "Septiembre", "Octubre", "Noviembre"}, 0)-MONTH('BD Asesor'!D292), 6)=0),
    AND('BD Asesor'!H292="Anual", MONTH('BD Asesor'!D292)=MATCH($B$2, {"Enero", "Febrero", "Marzo", "Abril", "Mayo", "Junio", "Julio", "Agosto", "Septiembre", "Octubre", "Noviembre"}, 0))
), 'BD Asesor'!L292, "")
</f>
        <v/>
      </c>
    </row>
    <row r="293">
      <c r="C293" s="84" t="str">
        <f t="array" ref="C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Asesor'!A293, "")
</f>
        <v/>
      </c>
      <c r="D293" s="84" t="str">
        <f t="array" ref="D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Asesor'!B293, "")
</f>
        <v/>
      </c>
      <c r="E293" s="212" t="str">
        <f t="array" ref="E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Asesor'!C293, "")
</f>
        <v/>
      </c>
      <c r="F293" s="212" t="str">
        <f t="array" ref="F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Asesor'!D293, "")
</f>
        <v/>
      </c>
      <c r="G293" s="212" t="str">
        <f t="array" ref="G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Asesor'!E293, "")
</f>
        <v/>
      </c>
      <c r="H293" s="84" t="str">
        <f t="array" ref="H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Asesor'!F293, "")
</f>
        <v/>
      </c>
      <c r="I293" s="84" t="str">
        <f t="array" ref="I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Asesor'!G293, "")
</f>
        <v/>
      </c>
      <c r="J293" s="84" t="str">
        <f t="array" ref="J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Asesor'!H293, "")
</f>
        <v/>
      </c>
      <c r="K293" s="84" t="str">
        <f t="array" ref="K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Asesor'!K293, "")
</f>
        <v/>
      </c>
      <c r="L293" s="84" t="str">
        <f t="array" ref="L293">IF(OR(
    AND('BD Asesor'!H293="Mensual", MATCH($B$2, {"Enero", "Febrero", "Marzo", "Abril", "Mayo", "Junio", "Julio", "Agosto", "Septiembre", "Octubre", "Noviembre", "Diciembre"}, 0)&gt;=1),
    AND('BD Asesor'!H293="Trimestral", MOD(MATCH($B$2, {"Enero", "Febrero", "Marzo", "Abril", "Mayo", "Junio", "Julio", "Agosto", "Septiembre", "Octubre", "Noviembre"}, 0)-MONTH('BD Asesor'!D293), 3)=0),
    AND('BD Asesor'!H293="Semestral", MOD(MATCH($B$2, {"Enero", "Febrero", "Marzo", "Abril", "Mayo", "Junio", "Julio", "Agosto", "Septiembre", "Octubre", "Noviembre"}, 0)-MONTH('BD Asesor'!D293), 6)=0),
    AND('BD Asesor'!H293="Anual", MONTH('BD Asesor'!D293)=MATCH($B$2, {"Enero", "Febrero", "Marzo", "Abril", "Mayo", "Junio", "Julio", "Agosto", "Septiembre", "Octubre", "Noviembre"}, 0))
), 'BD Asesor'!L293, "")
</f>
        <v/>
      </c>
    </row>
    <row r="294">
      <c r="C294" s="84" t="str">
        <f t="array" ref="C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Asesor'!A294, "")
</f>
        <v/>
      </c>
      <c r="D294" s="84" t="str">
        <f t="array" ref="D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Asesor'!B294, "")
</f>
        <v/>
      </c>
      <c r="E294" s="212" t="str">
        <f t="array" ref="E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Asesor'!C294, "")
</f>
        <v/>
      </c>
      <c r="F294" s="212" t="str">
        <f t="array" ref="F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Asesor'!D294, "")
</f>
        <v/>
      </c>
      <c r="G294" s="212" t="str">
        <f t="array" ref="G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Asesor'!E294, "")
</f>
        <v/>
      </c>
      <c r="H294" s="84" t="str">
        <f t="array" ref="H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Asesor'!F294, "")
</f>
        <v/>
      </c>
      <c r="I294" s="84" t="str">
        <f t="array" ref="I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Asesor'!G294, "")
</f>
        <v/>
      </c>
      <c r="J294" s="84" t="str">
        <f t="array" ref="J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Asesor'!H294, "")
</f>
        <v/>
      </c>
      <c r="K294" s="84" t="str">
        <f t="array" ref="K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Asesor'!K294, "")
</f>
        <v/>
      </c>
      <c r="L294" s="84" t="str">
        <f t="array" ref="L294">IF(OR(
    AND('BD Asesor'!H294="Mensual", MATCH($B$2, {"Enero", "Febrero", "Marzo", "Abril", "Mayo", "Junio", "Julio", "Agosto", "Septiembre", "Octubre", "Noviembre", "Diciembre"}, 0)&gt;=1),
    AND('BD Asesor'!H294="Trimestral", MOD(MATCH($B$2, {"Enero", "Febrero", "Marzo", "Abril", "Mayo", "Junio", "Julio", "Agosto", "Septiembre", "Octubre", "Noviembre"}, 0)-MONTH('BD Asesor'!D294), 3)=0),
    AND('BD Asesor'!H294="Semestral", MOD(MATCH($B$2, {"Enero", "Febrero", "Marzo", "Abril", "Mayo", "Junio", "Julio", "Agosto", "Septiembre", "Octubre", "Noviembre"}, 0)-MONTH('BD Asesor'!D294), 6)=0),
    AND('BD Asesor'!H294="Anual", MONTH('BD Asesor'!D294)=MATCH($B$2, {"Enero", "Febrero", "Marzo", "Abril", "Mayo", "Junio", "Julio", "Agosto", "Septiembre", "Octubre", "Noviembre"}, 0))
), 'BD Asesor'!L294, "")
</f>
        <v/>
      </c>
    </row>
    <row r="295">
      <c r="C295" s="84" t="str">
        <f t="array" ref="C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Asesor'!A295, "")
</f>
        <v/>
      </c>
      <c r="D295" s="84" t="str">
        <f t="array" ref="D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Asesor'!B295, "")
</f>
        <v/>
      </c>
      <c r="E295" s="212" t="str">
        <f t="array" ref="E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Asesor'!C295, "")
</f>
        <v/>
      </c>
      <c r="F295" s="212" t="str">
        <f t="array" ref="F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Asesor'!D295, "")
</f>
        <v/>
      </c>
      <c r="G295" s="212" t="str">
        <f t="array" ref="G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Asesor'!E295, "")
</f>
        <v/>
      </c>
      <c r="H295" s="84" t="str">
        <f t="array" ref="H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Asesor'!F295, "")
</f>
        <v/>
      </c>
      <c r="I295" s="84" t="str">
        <f t="array" ref="I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Asesor'!G295, "")
</f>
        <v/>
      </c>
      <c r="J295" s="84" t="str">
        <f t="array" ref="J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Asesor'!H295, "")
</f>
        <v/>
      </c>
      <c r="K295" s="84" t="str">
        <f t="array" ref="K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Asesor'!K295, "")
</f>
        <v/>
      </c>
      <c r="L295" s="84" t="str">
        <f t="array" ref="L295">IF(OR(
    AND('BD Asesor'!H295="Mensual", MATCH($B$2, {"Enero", "Febrero", "Marzo", "Abril", "Mayo", "Junio", "Julio", "Agosto", "Septiembre", "Octubre", "Noviembre", "Diciembre"}, 0)&gt;=1),
    AND('BD Asesor'!H295="Trimestral", MOD(MATCH($B$2, {"Enero", "Febrero", "Marzo", "Abril", "Mayo", "Junio", "Julio", "Agosto", "Septiembre", "Octubre", "Noviembre"}, 0)-MONTH('BD Asesor'!D295), 3)=0),
    AND('BD Asesor'!H295="Semestral", MOD(MATCH($B$2, {"Enero", "Febrero", "Marzo", "Abril", "Mayo", "Junio", "Julio", "Agosto", "Septiembre", "Octubre", "Noviembre"}, 0)-MONTH('BD Asesor'!D295), 6)=0),
    AND('BD Asesor'!H295="Anual", MONTH('BD Asesor'!D295)=MATCH($B$2, {"Enero", "Febrero", "Marzo", "Abril", "Mayo", "Junio", "Julio", "Agosto", "Septiembre", "Octubre", "Noviembre"}, 0))
), 'BD Asesor'!L295, "")
</f>
        <v/>
      </c>
    </row>
    <row r="296">
      <c r="C296" s="84" t="str">
        <f t="array" ref="C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Asesor'!A296, "")
</f>
        <v/>
      </c>
      <c r="D296" s="84" t="str">
        <f t="array" ref="D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Asesor'!B296, "")
</f>
        <v/>
      </c>
      <c r="E296" s="212" t="str">
        <f t="array" ref="E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Asesor'!C296, "")
</f>
        <v/>
      </c>
      <c r="F296" s="212" t="str">
        <f t="array" ref="F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Asesor'!D296, "")
</f>
        <v/>
      </c>
      <c r="G296" s="212" t="str">
        <f t="array" ref="G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Asesor'!E296, "")
</f>
        <v/>
      </c>
      <c r="H296" s="84" t="str">
        <f t="array" ref="H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Asesor'!F296, "")
</f>
        <v/>
      </c>
      <c r="I296" s="84" t="str">
        <f t="array" ref="I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Asesor'!G296, "")
</f>
        <v/>
      </c>
      <c r="J296" s="84" t="str">
        <f t="array" ref="J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Asesor'!H296, "")
</f>
        <v/>
      </c>
      <c r="K296" s="84" t="str">
        <f t="array" ref="K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Asesor'!K296, "")
</f>
        <v/>
      </c>
      <c r="L296" s="84" t="str">
        <f t="array" ref="L296">IF(OR(
    AND('BD Asesor'!H296="Mensual", MATCH($B$2, {"Enero", "Febrero", "Marzo", "Abril", "Mayo", "Junio", "Julio", "Agosto", "Septiembre", "Octubre", "Noviembre", "Diciembre"}, 0)&gt;=1),
    AND('BD Asesor'!H296="Trimestral", MOD(MATCH($B$2, {"Enero", "Febrero", "Marzo", "Abril", "Mayo", "Junio", "Julio", "Agosto", "Septiembre", "Octubre", "Noviembre"}, 0)-MONTH('BD Asesor'!D296), 3)=0),
    AND('BD Asesor'!H296="Semestral", MOD(MATCH($B$2, {"Enero", "Febrero", "Marzo", "Abril", "Mayo", "Junio", "Julio", "Agosto", "Septiembre", "Octubre", "Noviembre"}, 0)-MONTH('BD Asesor'!D296), 6)=0),
    AND('BD Asesor'!H296="Anual", MONTH('BD Asesor'!D296)=MATCH($B$2, {"Enero", "Febrero", "Marzo", "Abril", "Mayo", "Junio", "Julio", "Agosto", "Septiembre", "Octubre", "Noviembre"}, 0))
), 'BD Asesor'!L296, "")
</f>
        <v/>
      </c>
    </row>
    <row r="297">
      <c r="C297" s="84" t="str">
        <f t="array" ref="C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Asesor'!A297, "")
</f>
        <v/>
      </c>
      <c r="D297" s="84" t="str">
        <f t="array" ref="D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Asesor'!B297, "")
</f>
        <v/>
      </c>
      <c r="E297" s="212" t="str">
        <f t="array" ref="E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Asesor'!C297, "")
</f>
        <v/>
      </c>
      <c r="F297" s="212" t="str">
        <f t="array" ref="F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Asesor'!D297, "")
</f>
        <v/>
      </c>
      <c r="G297" s="212" t="str">
        <f t="array" ref="G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Asesor'!E297, "")
</f>
        <v/>
      </c>
      <c r="H297" s="84" t="str">
        <f t="array" ref="H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Asesor'!F297, "")
</f>
        <v/>
      </c>
      <c r="I297" s="84" t="str">
        <f t="array" ref="I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Asesor'!G297, "")
</f>
        <v/>
      </c>
      <c r="J297" s="84" t="str">
        <f t="array" ref="J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Asesor'!H297, "")
</f>
        <v/>
      </c>
      <c r="K297" s="84" t="str">
        <f t="array" ref="K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Asesor'!K297, "")
</f>
        <v/>
      </c>
      <c r="L297" s="84" t="str">
        <f t="array" ref="L297">IF(OR(
    AND('BD Asesor'!H297="Mensual", MATCH($B$2, {"Enero", "Febrero", "Marzo", "Abril", "Mayo", "Junio", "Julio", "Agosto", "Septiembre", "Octubre", "Noviembre", "Diciembre"}, 0)&gt;=1),
    AND('BD Asesor'!H297="Trimestral", MOD(MATCH($B$2, {"Enero", "Febrero", "Marzo", "Abril", "Mayo", "Junio", "Julio", "Agosto", "Septiembre", "Octubre", "Noviembre"}, 0)-MONTH('BD Asesor'!D297), 3)=0),
    AND('BD Asesor'!H297="Semestral", MOD(MATCH($B$2, {"Enero", "Febrero", "Marzo", "Abril", "Mayo", "Junio", "Julio", "Agosto", "Septiembre", "Octubre", "Noviembre"}, 0)-MONTH('BD Asesor'!D297), 6)=0),
    AND('BD Asesor'!H297="Anual", MONTH('BD Asesor'!D297)=MATCH($B$2, {"Enero", "Febrero", "Marzo", "Abril", "Mayo", "Junio", "Julio", "Agosto", "Septiembre", "Octubre", "Noviembre"}, 0))
), 'BD Asesor'!L297, "")
</f>
        <v/>
      </c>
    </row>
    <row r="298">
      <c r="C298" s="84" t="str">
        <f t="array" ref="C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Asesor'!A298, "")
</f>
        <v/>
      </c>
      <c r="D298" s="84" t="str">
        <f t="array" ref="D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Asesor'!B298, "")
</f>
        <v/>
      </c>
      <c r="E298" s="212" t="str">
        <f t="array" ref="E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Asesor'!C298, "")
</f>
        <v/>
      </c>
      <c r="F298" s="212" t="str">
        <f t="array" ref="F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Asesor'!D298, "")
</f>
        <v/>
      </c>
      <c r="G298" s="212" t="str">
        <f t="array" ref="G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Asesor'!E298, "")
</f>
        <v/>
      </c>
      <c r="H298" s="84" t="str">
        <f t="array" ref="H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Asesor'!F298, "")
</f>
        <v/>
      </c>
      <c r="I298" s="84" t="str">
        <f t="array" ref="I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Asesor'!G298, "")
</f>
        <v/>
      </c>
      <c r="J298" s="84" t="str">
        <f t="array" ref="J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Asesor'!H298, "")
</f>
        <v/>
      </c>
      <c r="K298" s="84" t="str">
        <f t="array" ref="K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Asesor'!K298, "")
</f>
        <v/>
      </c>
      <c r="L298" s="84" t="str">
        <f t="array" ref="L298">IF(OR(
    AND('BD Asesor'!H298="Mensual", MATCH($B$2, {"Enero", "Febrero", "Marzo", "Abril", "Mayo", "Junio", "Julio", "Agosto", "Septiembre", "Octubre", "Noviembre", "Diciembre"}, 0)&gt;=1),
    AND('BD Asesor'!H298="Trimestral", MOD(MATCH($B$2, {"Enero", "Febrero", "Marzo", "Abril", "Mayo", "Junio", "Julio", "Agosto", "Septiembre", "Octubre", "Noviembre"}, 0)-MONTH('BD Asesor'!D298), 3)=0),
    AND('BD Asesor'!H298="Semestral", MOD(MATCH($B$2, {"Enero", "Febrero", "Marzo", "Abril", "Mayo", "Junio", "Julio", "Agosto", "Septiembre", "Octubre", "Noviembre"}, 0)-MONTH('BD Asesor'!D298), 6)=0),
    AND('BD Asesor'!H298="Anual", MONTH('BD Asesor'!D298)=MATCH($B$2, {"Enero", "Febrero", "Marzo", "Abril", "Mayo", "Junio", "Julio", "Agosto", "Septiembre", "Octubre", "Noviembre"}, 0))
), 'BD Asesor'!L298, "")
</f>
        <v/>
      </c>
    </row>
    <row r="299">
      <c r="C299" s="84" t="str">
        <f t="array" ref="C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Asesor'!A299, "")
</f>
        <v/>
      </c>
      <c r="D299" s="84" t="str">
        <f t="array" ref="D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Asesor'!B299, "")
</f>
        <v/>
      </c>
      <c r="E299" s="212" t="str">
        <f t="array" ref="E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Asesor'!C299, "")
</f>
        <v/>
      </c>
      <c r="F299" s="212" t="str">
        <f t="array" ref="F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Asesor'!D299, "")
</f>
        <v/>
      </c>
      <c r="G299" s="212" t="str">
        <f t="array" ref="G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Asesor'!E299, "")
</f>
        <v/>
      </c>
      <c r="H299" s="84" t="str">
        <f t="array" ref="H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Asesor'!F299, "")
</f>
        <v/>
      </c>
      <c r="I299" s="84" t="str">
        <f t="array" ref="I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Asesor'!G299, "")
</f>
        <v/>
      </c>
      <c r="J299" s="84" t="str">
        <f t="array" ref="J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Asesor'!H299, "")
</f>
        <v/>
      </c>
      <c r="K299" s="84" t="str">
        <f t="array" ref="K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Asesor'!K299, "")
</f>
        <v/>
      </c>
      <c r="L299" s="84" t="str">
        <f t="array" ref="L299">IF(OR(
    AND('BD Asesor'!H299="Mensual", MATCH($B$2, {"Enero", "Febrero", "Marzo", "Abril", "Mayo", "Junio", "Julio", "Agosto", "Septiembre", "Octubre", "Noviembre", "Diciembre"}, 0)&gt;=1),
    AND('BD Asesor'!H299="Trimestral", MOD(MATCH($B$2, {"Enero", "Febrero", "Marzo", "Abril", "Mayo", "Junio", "Julio", "Agosto", "Septiembre", "Octubre", "Noviembre"}, 0)-MONTH('BD Asesor'!D299), 3)=0),
    AND('BD Asesor'!H299="Semestral", MOD(MATCH($B$2, {"Enero", "Febrero", "Marzo", "Abril", "Mayo", "Junio", "Julio", "Agosto", "Septiembre", "Octubre", "Noviembre"}, 0)-MONTH('BD Asesor'!D299), 6)=0),
    AND('BD Asesor'!H299="Anual", MONTH('BD Asesor'!D299)=MATCH($B$2, {"Enero", "Febrero", "Marzo", "Abril", "Mayo", "Junio", "Julio", "Agosto", "Septiembre", "Octubre", "Noviembre"}, 0))
), 'BD Asesor'!L299, "")
</f>
        <v/>
      </c>
    </row>
    <row r="300">
      <c r="C300" s="84" t="str">
        <f t="array" ref="C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Asesor'!A300, "")
</f>
        <v/>
      </c>
      <c r="D300" s="84" t="str">
        <f t="array" ref="D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Asesor'!B300, "")
</f>
        <v/>
      </c>
      <c r="E300" s="212" t="str">
        <f t="array" ref="E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Asesor'!C300, "")
</f>
        <v/>
      </c>
      <c r="F300" s="212" t="str">
        <f t="array" ref="F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Asesor'!D300, "")
</f>
        <v/>
      </c>
      <c r="G300" s="212" t="str">
        <f t="array" ref="G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Asesor'!E300, "")
</f>
        <v/>
      </c>
      <c r="H300" s="84" t="str">
        <f t="array" ref="H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Asesor'!F300, "")
</f>
        <v/>
      </c>
      <c r="I300" s="84" t="str">
        <f t="array" ref="I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Asesor'!G300, "")
</f>
        <v/>
      </c>
      <c r="J300" s="84" t="str">
        <f t="array" ref="J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Asesor'!H300, "")
</f>
        <v/>
      </c>
      <c r="K300" s="84" t="str">
        <f t="array" ref="K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Asesor'!K300, "")
</f>
        <v/>
      </c>
      <c r="L300" s="84" t="str">
        <f t="array" ref="L300">IF(OR(
    AND('BD Asesor'!H300="Mensual", MATCH($B$2, {"Enero", "Febrero", "Marzo", "Abril", "Mayo", "Junio", "Julio", "Agosto", "Septiembre", "Octubre", "Noviembre", "Diciembre"}, 0)&gt;=1),
    AND('BD Asesor'!H300="Trimestral", MOD(MATCH($B$2, {"Enero", "Febrero", "Marzo", "Abril", "Mayo", "Junio", "Julio", "Agosto", "Septiembre", "Octubre", "Noviembre"}, 0)-MONTH('BD Asesor'!D300), 3)=0),
    AND('BD Asesor'!H300="Semestral", MOD(MATCH($B$2, {"Enero", "Febrero", "Marzo", "Abril", "Mayo", "Junio", "Julio", "Agosto", "Septiembre", "Octubre", "Noviembre"}, 0)-MONTH('BD Asesor'!D300), 6)=0),
    AND('BD Asesor'!H300="Anual", MONTH('BD Asesor'!D300)=MATCH($B$2, {"Enero", "Febrero", "Marzo", "Abril", "Mayo", "Junio", "Julio", "Agosto", "Septiembre", "Octubre", "Noviembre"}, 0))
), 'BD Asesor'!L300, "")
</f>
        <v/>
      </c>
    </row>
    <row r="301">
      <c r="C301" s="84" t="str">
        <f t="array" ref="C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Asesor'!A301, "")
</f>
        <v/>
      </c>
      <c r="D301" s="84" t="str">
        <f t="array" ref="D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Asesor'!B301, "")
</f>
        <v/>
      </c>
      <c r="E301" s="212" t="str">
        <f t="array" ref="E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Asesor'!C301, "")
</f>
        <v/>
      </c>
      <c r="F301" s="212" t="str">
        <f t="array" ref="F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Asesor'!D301, "")
</f>
        <v/>
      </c>
      <c r="G301" s="212" t="str">
        <f t="array" ref="G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Asesor'!E301, "")
</f>
        <v/>
      </c>
      <c r="H301" s="84" t="str">
        <f t="array" ref="H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Asesor'!F301, "")
</f>
        <v/>
      </c>
      <c r="I301" s="84" t="str">
        <f t="array" ref="I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Asesor'!G301, "")
</f>
        <v/>
      </c>
      <c r="J301" s="84" t="str">
        <f t="array" ref="J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Asesor'!H301, "")
</f>
        <v/>
      </c>
      <c r="K301" s="84" t="str">
        <f t="array" ref="K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Asesor'!K301, "")
</f>
        <v/>
      </c>
      <c r="L301" s="84" t="str">
        <f t="array" ref="L301">IF(OR(
    AND('BD Asesor'!H301="Mensual", MATCH($B$2, {"Enero", "Febrero", "Marzo", "Abril", "Mayo", "Junio", "Julio", "Agosto", "Septiembre", "Octubre", "Noviembre", "Diciembre"}, 0)&gt;=1),
    AND('BD Asesor'!H301="Trimestral", MOD(MATCH($B$2, {"Enero", "Febrero", "Marzo", "Abril", "Mayo", "Junio", "Julio", "Agosto", "Septiembre", "Octubre", "Noviembre"}, 0)-MONTH('BD Asesor'!D301), 3)=0),
    AND('BD Asesor'!H301="Semestral", MOD(MATCH($B$2, {"Enero", "Febrero", "Marzo", "Abril", "Mayo", "Junio", "Julio", "Agosto", "Septiembre", "Octubre", "Noviembre"}, 0)-MONTH('BD Asesor'!D301), 6)=0),
    AND('BD Asesor'!H301="Anual", MONTH('BD Asesor'!D301)=MATCH($B$2, {"Enero", "Febrero", "Marzo", "Abril", "Mayo", "Junio", "Julio", "Agosto", "Septiembre", "Octubre", "Noviembre"}, 0))
), 'BD Asesor'!L301, "")
</f>
        <v/>
      </c>
    </row>
    <row r="302">
      <c r="C302" s="84" t="str">
        <f t="array" ref="C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Asesor'!A302, "")
</f>
        <v/>
      </c>
      <c r="D302" s="84" t="str">
        <f t="array" ref="D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Asesor'!B302, "")
</f>
        <v/>
      </c>
      <c r="E302" s="212" t="str">
        <f t="array" ref="E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Asesor'!C302, "")
</f>
        <v/>
      </c>
      <c r="F302" s="212" t="str">
        <f t="array" ref="F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Asesor'!D302, "")
</f>
        <v/>
      </c>
      <c r="G302" s="212" t="str">
        <f t="array" ref="G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Asesor'!E302, "")
</f>
        <v/>
      </c>
      <c r="H302" s="84" t="str">
        <f t="array" ref="H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Asesor'!F302, "")
</f>
        <v/>
      </c>
      <c r="I302" s="84" t="str">
        <f t="array" ref="I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Asesor'!G302, "")
</f>
        <v/>
      </c>
      <c r="J302" s="84" t="str">
        <f t="array" ref="J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Asesor'!H302, "")
</f>
        <v/>
      </c>
      <c r="K302" s="84" t="str">
        <f t="array" ref="K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Asesor'!K302, "")
</f>
        <v/>
      </c>
      <c r="L302" s="84" t="str">
        <f t="array" ref="L302">IF(OR(
    AND('BD Asesor'!H302="Mensual", MATCH($B$2, {"Enero", "Febrero", "Marzo", "Abril", "Mayo", "Junio", "Julio", "Agosto", "Septiembre", "Octubre", "Noviembre", "Diciembre"}, 0)&gt;=1),
    AND('BD Asesor'!H302="Trimestral", MOD(MATCH($B$2, {"Enero", "Febrero", "Marzo", "Abril", "Mayo", "Junio", "Julio", "Agosto", "Septiembre", "Octubre", "Noviembre"}, 0)-MONTH('BD Asesor'!D302), 3)=0),
    AND('BD Asesor'!H302="Semestral", MOD(MATCH($B$2, {"Enero", "Febrero", "Marzo", "Abril", "Mayo", "Junio", "Julio", "Agosto", "Septiembre", "Octubre", "Noviembre"}, 0)-MONTH('BD Asesor'!D302), 6)=0),
    AND('BD Asesor'!H302="Anual", MONTH('BD Asesor'!D302)=MATCH($B$2, {"Enero", "Febrero", "Marzo", "Abril", "Mayo", "Junio", "Julio", "Agosto", "Septiembre", "Octubre", "Noviembre"}, 0))
), 'BD Asesor'!L302, "")
</f>
        <v/>
      </c>
    </row>
    <row r="303">
      <c r="C303" s="84" t="str">
        <f t="array" ref="C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Asesor'!A303, "")
</f>
        <v/>
      </c>
      <c r="D303" s="84" t="str">
        <f t="array" ref="D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Asesor'!B303, "")
</f>
        <v/>
      </c>
      <c r="E303" s="212" t="str">
        <f t="array" ref="E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Asesor'!C303, "")
</f>
        <v/>
      </c>
      <c r="F303" s="212" t="str">
        <f t="array" ref="F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Asesor'!D303, "")
</f>
        <v/>
      </c>
      <c r="G303" s="212" t="str">
        <f t="array" ref="G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Asesor'!E303, "")
</f>
        <v/>
      </c>
      <c r="H303" s="84" t="str">
        <f t="array" ref="H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Asesor'!F303, "")
</f>
        <v/>
      </c>
      <c r="I303" s="84" t="str">
        <f t="array" ref="I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Asesor'!G303, "")
</f>
        <v/>
      </c>
      <c r="J303" s="84" t="str">
        <f t="array" ref="J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Asesor'!H303, "")
</f>
        <v/>
      </c>
      <c r="K303" s="84" t="str">
        <f t="array" ref="K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Asesor'!K303, "")
</f>
        <v/>
      </c>
      <c r="L303" s="84" t="str">
        <f t="array" ref="L303">IF(OR(
    AND('BD Asesor'!H303="Mensual", MATCH($B$2, {"Enero", "Febrero", "Marzo", "Abril", "Mayo", "Junio", "Julio", "Agosto", "Septiembre", "Octubre", "Noviembre", "Diciembre"}, 0)&gt;=1),
    AND('BD Asesor'!H303="Trimestral", MOD(MATCH($B$2, {"Enero", "Febrero", "Marzo", "Abril", "Mayo", "Junio", "Julio", "Agosto", "Septiembre", "Octubre", "Noviembre"}, 0)-MONTH('BD Asesor'!D303), 3)=0),
    AND('BD Asesor'!H303="Semestral", MOD(MATCH($B$2, {"Enero", "Febrero", "Marzo", "Abril", "Mayo", "Junio", "Julio", "Agosto", "Septiembre", "Octubre", "Noviembre"}, 0)-MONTH('BD Asesor'!D303), 6)=0),
    AND('BD Asesor'!H303="Anual", MONTH('BD Asesor'!D303)=MATCH($B$2, {"Enero", "Febrero", "Marzo", "Abril", "Mayo", "Junio", "Julio", "Agosto", "Septiembre", "Octubre", "Noviembre"}, 0))
), 'BD Asesor'!L303, "")
</f>
        <v/>
      </c>
    </row>
    <row r="304">
      <c r="C304" s="84" t="str">
        <f t="array" ref="C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Asesor'!A304, "")
</f>
        <v/>
      </c>
      <c r="D304" s="84" t="str">
        <f t="array" ref="D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Asesor'!B304, "")
</f>
        <v/>
      </c>
      <c r="E304" s="212" t="str">
        <f t="array" ref="E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Asesor'!C304, "")
</f>
        <v/>
      </c>
      <c r="F304" s="212" t="str">
        <f t="array" ref="F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Asesor'!D304, "")
</f>
        <v/>
      </c>
      <c r="G304" s="212" t="str">
        <f t="array" ref="G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Asesor'!E304, "")
</f>
        <v/>
      </c>
      <c r="H304" s="84" t="str">
        <f t="array" ref="H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Asesor'!F304, "")
</f>
        <v/>
      </c>
      <c r="I304" s="84" t="str">
        <f t="array" ref="I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Asesor'!G304, "")
</f>
        <v/>
      </c>
      <c r="J304" s="84" t="str">
        <f t="array" ref="J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Asesor'!H304, "")
</f>
        <v/>
      </c>
      <c r="K304" s="84" t="str">
        <f t="array" ref="K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Asesor'!K304, "")
</f>
        <v/>
      </c>
      <c r="L304" s="84" t="str">
        <f t="array" ref="L304">IF(OR(
    AND('BD Asesor'!H304="Mensual", MATCH($B$2, {"Enero", "Febrero", "Marzo", "Abril", "Mayo", "Junio", "Julio", "Agosto", "Septiembre", "Octubre", "Noviembre", "Diciembre"}, 0)&gt;=1),
    AND('BD Asesor'!H304="Trimestral", MOD(MATCH($B$2, {"Enero", "Febrero", "Marzo", "Abril", "Mayo", "Junio", "Julio", "Agosto", "Septiembre", "Octubre", "Noviembre"}, 0)-MONTH('BD Asesor'!D304), 3)=0),
    AND('BD Asesor'!H304="Semestral", MOD(MATCH($B$2, {"Enero", "Febrero", "Marzo", "Abril", "Mayo", "Junio", "Julio", "Agosto", "Septiembre", "Octubre", "Noviembre"}, 0)-MONTH('BD Asesor'!D304), 6)=0),
    AND('BD Asesor'!H304="Anual", MONTH('BD Asesor'!D304)=MATCH($B$2, {"Enero", "Febrero", "Marzo", "Abril", "Mayo", "Junio", "Julio", "Agosto", "Septiembre", "Octubre", "Noviembre"}, 0))
), 'BD Asesor'!L304, "")
</f>
        <v/>
      </c>
    </row>
    <row r="305">
      <c r="C305" s="84" t="str">
        <f t="array" ref="C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Asesor'!A305, "")
</f>
        <v/>
      </c>
      <c r="D305" s="84" t="str">
        <f t="array" ref="D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Asesor'!B305, "")
</f>
        <v/>
      </c>
      <c r="E305" s="212" t="str">
        <f t="array" ref="E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Asesor'!C305, "")
</f>
        <v/>
      </c>
      <c r="F305" s="212" t="str">
        <f t="array" ref="F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Asesor'!D305, "")
</f>
        <v/>
      </c>
      <c r="G305" s="212" t="str">
        <f t="array" ref="G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Asesor'!E305, "")
</f>
        <v/>
      </c>
      <c r="H305" s="84" t="str">
        <f t="array" ref="H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Asesor'!F305, "")
</f>
        <v/>
      </c>
      <c r="I305" s="84" t="str">
        <f t="array" ref="I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Asesor'!G305, "")
</f>
        <v/>
      </c>
      <c r="J305" s="84" t="str">
        <f t="array" ref="J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Asesor'!H305, "")
</f>
        <v/>
      </c>
      <c r="K305" s="84" t="str">
        <f t="array" ref="K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Asesor'!K305, "")
</f>
        <v/>
      </c>
      <c r="L305" s="84" t="str">
        <f t="array" ref="L305">IF(OR(
    AND('BD Asesor'!H305="Mensual", MATCH($B$2, {"Enero", "Febrero", "Marzo", "Abril", "Mayo", "Junio", "Julio", "Agosto", "Septiembre", "Octubre", "Noviembre", "Diciembre"}, 0)&gt;=1),
    AND('BD Asesor'!H305="Trimestral", MOD(MATCH($B$2, {"Enero", "Febrero", "Marzo", "Abril", "Mayo", "Junio", "Julio", "Agosto", "Septiembre", "Octubre", "Noviembre"}, 0)-MONTH('BD Asesor'!D305), 3)=0),
    AND('BD Asesor'!H305="Semestral", MOD(MATCH($B$2, {"Enero", "Febrero", "Marzo", "Abril", "Mayo", "Junio", "Julio", "Agosto", "Septiembre", "Octubre", "Noviembre"}, 0)-MONTH('BD Asesor'!D305), 6)=0),
    AND('BD Asesor'!H305="Anual", MONTH('BD Asesor'!D305)=MATCH($B$2, {"Enero", "Febrero", "Marzo", "Abril", "Mayo", "Junio", "Julio", "Agosto", "Septiembre", "Octubre", "Noviembre"}, 0))
), 'BD Asesor'!L305, "")
</f>
        <v/>
      </c>
    </row>
    <row r="306">
      <c r="C306" s="84" t="str">
        <f t="array" ref="C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Asesor'!A306, "")
</f>
        <v/>
      </c>
      <c r="D306" s="84" t="str">
        <f t="array" ref="D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Asesor'!B306, "")
</f>
        <v/>
      </c>
      <c r="E306" s="212" t="str">
        <f t="array" ref="E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Asesor'!C306, "")
</f>
        <v/>
      </c>
      <c r="F306" s="212" t="str">
        <f t="array" ref="F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Asesor'!D306, "")
</f>
        <v/>
      </c>
      <c r="G306" s="212" t="str">
        <f t="array" ref="G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Asesor'!E306, "")
</f>
        <v/>
      </c>
      <c r="H306" s="84" t="str">
        <f t="array" ref="H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Asesor'!F306, "")
</f>
        <v/>
      </c>
      <c r="I306" s="84" t="str">
        <f t="array" ref="I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Asesor'!G306, "")
</f>
        <v/>
      </c>
      <c r="J306" s="84" t="str">
        <f t="array" ref="J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Asesor'!H306, "")
</f>
        <v/>
      </c>
      <c r="K306" s="84" t="str">
        <f t="array" ref="K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Asesor'!K306, "")
</f>
        <v/>
      </c>
      <c r="L306" s="84" t="str">
        <f t="array" ref="L306">IF(OR(
    AND('BD Asesor'!H306="Mensual", MATCH($B$2, {"Enero", "Febrero", "Marzo", "Abril", "Mayo", "Junio", "Julio", "Agosto", "Septiembre", "Octubre", "Noviembre", "Diciembre"}, 0)&gt;=1),
    AND('BD Asesor'!H306="Trimestral", MOD(MATCH($B$2, {"Enero", "Febrero", "Marzo", "Abril", "Mayo", "Junio", "Julio", "Agosto", "Septiembre", "Octubre", "Noviembre"}, 0)-MONTH('BD Asesor'!D306), 3)=0),
    AND('BD Asesor'!H306="Semestral", MOD(MATCH($B$2, {"Enero", "Febrero", "Marzo", "Abril", "Mayo", "Junio", "Julio", "Agosto", "Septiembre", "Octubre", "Noviembre"}, 0)-MONTH('BD Asesor'!D306), 6)=0),
    AND('BD Asesor'!H306="Anual", MONTH('BD Asesor'!D306)=MATCH($B$2, {"Enero", "Febrero", "Marzo", "Abril", "Mayo", "Junio", "Julio", "Agosto", "Septiembre", "Octubre", "Noviembre"}, 0))
), 'BD Asesor'!L306, "")
</f>
        <v/>
      </c>
    </row>
    <row r="307">
      <c r="C307" s="84" t="str">
        <f t="array" ref="C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Asesor'!A307, "")
</f>
        <v/>
      </c>
      <c r="D307" s="84" t="str">
        <f t="array" ref="D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Asesor'!B307, "")
</f>
        <v/>
      </c>
      <c r="E307" s="212" t="str">
        <f t="array" ref="E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Asesor'!C307, "")
</f>
        <v/>
      </c>
      <c r="F307" s="212" t="str">
        <f t="array" ref="F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Asesor'!D307, "")
</f>
        <v/>
      </c>
      <c r="G307" s="212" t="str">
        <f t="array" ref="G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Asesor'!E307, "")
</f>
        <v/>
      </c>
      <c r="H307" s="84" t="str">
        <f t="array" ref="H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Asesor'!F307, "")
</f>
        <v/>
      </c>
      <c r="I307" s="84" t="str">
        <f t="array" ref="I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Asesor'!G307, "")
</f>
        <v/>
      </c>
      <c r="J307" s="84" t="str">
        <f t="array" ref="J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Asesor'!H307, "")
</f>
        <v/>
      </c>
      <c r="K307" s="84" t="str">
        <f t="array" ref="K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Asesor'!K307, "")
</f>
        <v/>
      </c>
      <c r="L307" s="84" t="str">
        <f t="array" ref="L307">IF(OR(
    AND('BD Asesor'!H307="Mensual", MATCH($B$2, {"Enero", "Febrero", "Marzo", "Abril", "Mayo", "Junio", "Julio", "Agosto", "Septiembre", "Octubre", "Noviembre", "Diciembre"}, 0)&gt;=1),
    AND('BD Asesor'!H307="Trimestral", MOD(MATCH($B$2, {"Enero", "Febrero", "Marzo", "Abril", "Mayo", "Junio", "Julio", "Agosto", "Septiembre", "Octubre", "Noviembre"}, 0)-MONTH('BD Asesor'!D307), 3)=0),
    AND('BD Asesor'!H307="Semestral", MOD(MATCH($B$2, {"Enero", "Febrero", "Marzo", "Abril", "Mayo", "Junio", "Julio", "Agosto", "Septiembre", "Octubre", "Noviembre"}, 0)-MONTH('BD Asesor'!D307), 6)=0),
    AND('BD Asesor'!H307="Anual", MONTH('BD Asesor'!D307)=MATCH($B$2, {"Enero", "Febrero", "Marzo", "Abril", "Mayo", "Junio", "Julio", "Agosto", "Septiembre", "Octubre", "Noviembre"}, 0))
), 'BD Asesor'!L307, "")
</f>
        <v/>
      </c>
    </row>
    <row r="308">
      <c r="C308" s="84" t="str">
        <f t="array" ref="C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Asesor'!A308, "")
</f>
        <v/>
      </c>
      <c r="D308" s="84" t="str">
        <f t="array" ref="D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Asesor'!B308, "")
</f>
        <v/>
      </c>
      <c r="E308" s="212" t="str">
        <f t="array" ref="E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Asesor'!C308, "")
</f>
        <v/>
      </c>
      <c r="F308" s="212" t="str">
        <f t="array" ref="F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Asesor'!D308, "")
</f>
        <v/>
      </c>
      <c r="G308" s="212" t="str">
        <f t="array" ref="G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Asesor'!E308, "")
</f>
        <v/>
      </c>
      <c r="H308" s="84" t="str">
        <f t="array" ref="H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Asesor'!F308, "")
</f>
        <v/>
      </c>
      <c r="I308" s="84" t="str">
        <f t="array" ref="I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Asesor'!G308, "")
</f>
        <v/>
      </c>
      <c r="J308" s="84" t="str">
        <f t="array" ref="J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Asesor'!H308, "")
</f>
        <v/>
      </c>
      <c r="K308" s="84" t="str">
        <f t="array" ref="K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Asesor'!K308, "")
</f>
        <v/>
      </c>
      <c r="L308" s="84" t="str">
        <f t="array" ref="L308">IF(OR(
    AND('BD Asesor'!H308="Mensual", MATCH($B$2, {"Enero", "Febrero", "Marzo", "Abril", "Mayo", "Junio", "Julio", "Agosto", "Septiembre", "Octubre", "Noviembre", "Diciembre"}, 0)&gt;=1),
    AND('BD Asesor'!H308="Trimestral", MOD(MATCH($B$2, {"Enero", "Febrero", "Marzo", "Abril", "Mayo", "Junio", "Julio", "Agosto", "Septiembre", "Octubre", "Noviembre"}, 0)-MONTH('BD Asesor'!D308), 3)=0),
    AND('BD Asesor'!H308="Semestral", MOD(MATCH($B$2, {"Enero", "Febrero", "Marzo", "Abril", "Mayo", "Junio", "Julio", "Agosto", "Septiembre", "Octubre", "Noviembre"}, 0)-MONTH('BD Asesor'!D308), 6)=0),
    AND('BD Asesor'!H308="Anual", MONTH('BD Asesor'!D308)=MATCH($B$2, {"Enero", "Febrero", "Marzo", "Abril", "Mayo", "Junio", "Julio", "Agosto", "Septiembre", "Octubre", "Noviembre"}, 0))
), 'BD Asesor'!L308, "")
</f>
        <v/>
      </c>
    </row>
    <row r="309">
      <c r="C309" s="84" t="str">
        <f t="array" ref="C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Asesor'!A309, "")
</f>
        <v/>
      </c>
      <c r="D309" s="84" t="str">
        <f t="array" ref="D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Asesor'!B309, "")
</f>
        <v/>
      </c>
      <c r="E309" s="212" t="str">
        <f t="array" ref="E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Asesor'!C309, "")
</f>
        <v/>
      </c>
      <c r="F309" s="212" t="str">
        <f t="array" ref="F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Asesor'!D309, "")
</f>
        <v/>
      </c>
      <c r="G309" s="212" t="str">
        <f t="array" ref="G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Asesor'!E309, "")
</f>
        <v/>
      </c>
      <c r="H309" s="84" t="str">
        <f t="array" ref="H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Asesor'!F309, "")
</f>
        <v/>
      </c>
      <c r="I309" s="84" t="str">
        <f t="array" ref="I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Asesor'!G309, "")
</f>
        <v/>
      </c>
      <c r="J309" s="84" t="str">
        <f t="array" ref="J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Asesor'!H309, "")
</f>
        <v/>
      </c>
      <c r="K309" s="84" t="str">
        <f t="array" ref="K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Asesor'!K309, "")
</f>
        <v/>
      </c>
      <c r="L309" s="84" t="str">
        <f t="array" ref="L309">IF(OR(
    AND('BD Asesor'!H309="Mensual", MATCH($B$2, {"Enero", "Febrero", "Marzo", "Abril", "Mayo", "Junio", "Julio", "Agosto", "Septiembre", "Octubre", "Noviembre", "Diciembre"}, 0)&gt;=1),
    AND('BD Asesor'!H309="Trimestral", MOD(MATCH($B$2, {"Enero", "Febrero", "Marzo", "Abril", "Mayo", "Junio", "Julio", "Agosto", "Septiembre", "Octubre", "Noviembre"}, 0)-MONTH('BD Asesor'!D309), 3)=0),
    AND('BD Asesor'!H309="Semestral", MOD(MATCH($B$2, {"Enero", "Febrero", "Marzo", "Abril", "Mayo", "Junio", "Julio", "Agosto", "Septiembre", "Octubre", "Noviembre"}, 0)-MONTH('BD Asesor'!D309), 6)=0),
    AND('BD Asesor'!H309="Anual", MONTH('BD Asesor'!D309)=MATCH($B$2, {"Enero", "Febrero", "Marzo", "Abril", "Mayo", "Junio", "Julio", "Agosto", "Septiembre", "Octubre", "Noviembre"}, 0))
), 'BD Asesor'!L309, "")
</f>
        <v/>
      </c>
    </row>
    <row r="310">
      <c r="C310" s="84" t="str">
        <f t="array" ref="C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Asesor'!A310, "")
</f>
        <v/>
      </c>
      <c r="D310" s="84" t="str">
        <f t="array" ref="D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Asesor'!B310, "")
</f>
        <v/>
      </c>
      <c r="E310" s="212" t="str">
        <f t="array" ref="E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Asesor'!C310, "")
</f>
        <v/>
      </c>
      <c r="F310" s="212" t="str">
        <f t="array" ref="F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Asesor'!D310, "")
</f>
        <v/>
      </c>
      <c r="G310" s="212" t="str">
        <f t="array" ref="G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Asesor'!E310, "")
</f>
        <v/>
      </c>
      <c r="H310" s="84" t="str">
        <f t="array" ref="H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Asesor'!F310, "")
</f>
        <v/>
      </c>
      <c r="I310" s="84" t="str">
        <f t="array" ref="I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Asesor'!G310, "")
</f>
        <v/>
      </c>
      <c r="J310" s="84" t="str">
        <f t="array" ref="J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Asesor'!H310, "")
</f>
        <v/>
      </c>
      <c r="K310" s="84" t="str">
        <f t="array" ref="K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Asesor'!K310, "")
</f>
        <v/>
      </c>
      <c r="L310" s="84" t="str">
        <f t="array" ref="L310">IF(OR(
    AND('BD Asesor'!H310="Mensual", MATCH($B$2, {"Enero", "Febrero", "Marzo", "Abril", "Mayo", "Junio", "Julio", "Agosto", "Septiembre", "Octubre", "Noviembre", "Diciembre"}, 0)&gt;=1),
    AND('BD Asesor'!H310="Trimestral", MOD(MATCH($B$2, {"Enero", "Febrero", "Marzo", "Abril", "Mayo", "Junio", "Julio", "Agosto", "Septiembre", "Octubre", "Noviembre"}, 0)-MONTH('BD Asesor'!D310), 3)=0),
    AND('BD Asesor'!H310="Semestral", MOD(MATCH($B$2, {"Enero", "Febrero", "Marzo", "Abril", "Mayo", "Junio", "Julio", "Agosto", "Septiembre", "Octubre", "Noviembre"}, 0)-MONTH('BD Asesor'!D310), 6)=0),
    AND('BD Asesor'!H310="Anual", MONTH('BD Asesor'!D310)=MATCH($B$2, {"Enero", "Febrero", "Marzo", "Abril", "Mayo", "Junio", "Julio", "Agosto", "Septiembre", "Octubre", "Noviembre"}, 0))
), 'BD Asesor'!L310, "")
</f>
        <v/>
      </c>
    </row>
    <row r="311">
      <c r="C311" s="84" t="str">
        <f t="array" ref="C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Asesor'!A311, "")
</f>
        <v/>
      </c>
      <c r="D311" s="84" t="str">
        <f t="array" ref="D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Asesor'!B311, "")
</f>
        <v/>
      </c>
      <c r="E311" s="212" t="str">
        <f t="array" ref="E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Asesor'!C311, "")
</f>
        <v/>
      </c>
      <c r="F311" s="212" t="str">
        <f t="array" ref="F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Asesor'!D311, "")
</f>
        <v/>
      </c>
      <c r="G311" s="212" t="str">
        <f t="array" ref="G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Asesor'!E311, "")
</f>
        <v/>
      </c>
      <c r="H311" s="84" t="str">
        <f t="array" ref="H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Asesor'!F311, "")
</f>
        <v/>
      </c>
      <c r="I311" s="84" t="str">
        <f t="array" ref="I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Asesor'!G311, "")
</f>
        <v/>
      </c>
      <c r="J311" s="84" t="str">
        <f t="array" ref="J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Asesor'!H311, "")
</f>
        <v/>
      </c>
      <c r="K311" s="84" t="str">
        <f t="array" ref="K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Asesor'!K311, "")
</f>
        <v/>
      </c>
      <c r="L311" s="84" t="str">
        <f t="array" ref="L311">IF(OR(
    AND('BD Asesor'!H311="Mensual", MATCH($B$2, {"Enero", "Febrero", "Marzo", "Abril", "Mayo", "Junio", "Julio", "Agosto", "Septiembre", "Octubre", "Noviembre", "Diciembre"}, 0)&gt;=1),
    AND('BD Asesor'!H311="Trimestral", MOD(MATCH($B$2, {"Enero", "Febrero", "Marzo", "Abril", "Mayo", "Junio", "Julio", "Agosto", "Septiembre", "Octubre", "Noviembre"}, 0)-MONTH('BD Asesor'!D311), 3)=0),
    AND('BD Asesor'!H311="Semestral", MOD(MATCH($B$2, {"Enero", "Febrero", "Marzo", "Abril", "Mayo", "Junio", "Julio", "Agosto", "Septiembre", "Octubre", "Noviembre"}, 0)-MONTH('BD Asesor'!D311), 6)=0),
    AND('BD Asesor'!H311="Anual", MONTH('BD Asesor'!D311)=MATCH($B$2, {"Enero", "Febrero", "Marzo", "Abril", "Mayo", "Junio", "Julio", "Agosto", "Septiembre", "Octubre", "Noviembre"}, 0))
), 'BD Asesor'!L311, "")
</f>
        <v/>
      </c>
    </row>
    <row r="312">
      <c r="C312" s="84" t="str">
        <f t="array" ref="C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Asesor'!A312, "")
</f>
        <v/>
      </c>
      <c r="D312" s="84" t="str">
        <f t="array" ref="D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Asesor'!B312, "")
</f>
        <v/>
      </c>
      <c r="E312" s="212" t="str">
        <f t="array" ref="E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Asesor'!C312, "")
</f>
        <v/>
      </c>
      <c r="F312" s="212" t="str">
        <f t="array" ref="F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Asesor'!D312, "")
</f>
        <v/>
      </c>
      <c r="G312" s="212" t="str">
        <f t="array" ref="G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Asesor'!E312, "")
</f>
        <v/>
      </c>
      <c r="H312" s="84" t="str">
        <f t="array" ref="H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Asesor'!F312, "")
</f>
        <v/>
      </c>
      <c r="I312" s="84" t="str">
        <f t="array" ref="I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Asesor'!G312, "")
</f>
        <v/>
      </c>
      <c r="J312" s="84" t="str">
        <f t="array" ref="J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Asesor'!H312, "")
</f>
        <v/>
      </c>
      <c r="K312" s="84" t="str">
        <f t="array" ref="K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Asesor'!K312, "")
</f>
        <v/>
      </c>
      <c r="L312" s="84" t="str">
        <f t="array" ref="L312">IF(OR(
    AND('BD Asesor'!H312="Mensual", MATCH($B$2, {"Enero", "Febrero", "Marzo", "Abril", "Mayo", "Junio", "Julio", "Agosto", "Septiembre", "Octubre", "Noviembre", "Diciembre"}, 0)&gt;=1),
    AND('BD Asesor'!H312="Trimestral", MOD(MATCH($B$2, {"Enero", "Febrero", "Marzo", "Abril", "Mayo", "Junio", "Julio", "Agosto", "Septiembre", "Octubre", "Noviembre"}, 0)-MONTH('BD Asesor'!D312), 3)=0),
    AND('BD Asesor'!H312="Semestral", MOD(MATCH($B$2, {"Enero", "Febrero", "Marzo", "Abril", "Mayo", "Junio", "Julio", "Agosto", "Septiembre", "Octubre", "Noviembre"}, 0)-MONTH('BD Asesor'!D312), 6)=0),
    AND('BD Asesor'!H312="Anual", MONTH('BD Asesor'!D312)=MATCH($B$2, {"Enero", "Febrero", "Marzo", "Abril", "Mayo", "Junio", "Julio", "Agosto", "Septiembre", "Octubre", "Noviembre"}, 0))
), 'BD Asesor'!L312, "")
</f>
        <v/>
      </c>
    </row>
    <row r="313">
      <c r="C313" s="84" t="str">
        <f t="array" ref="C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Asesor'!A313, "")
</f>
        <v/>
      </c>
      <c r="D313" s="84" t="str">
        <f t="array" ref="D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Asesor'!B313, "")
</f>
        <v/>
      </c>
      <c r="E313" s="212" t="str">
        <f t="array" ref="E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Asesor'!C313, "")
</f>
        <v/>
      </c>
      <c r="F313" s="212" t="str">
        <f t="array" ref="F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Asesor'!D313, "")
</f>
        <v/>
      </c>
      <c r="G313" s="212" t="str">
        <f t="array" ref="G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Asesor'!E313, "")
</f>
        <v/>
      </c>
      <c r="H313" s="84" t="str">
        <f t="array" ref="H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Asesor'!F313, "")
</f>
        <v/>
      </c>
      <c r="I313" s="84" t="str">
        <f t="array" ref="I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Asesor'!G313, "")
</f>
        <v/>
      </c>
      <c r="J313" s="84" t="str">
        <f t="array" ref="J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Asesor'!H313, "")
</f>
        <v/>
      </c>
      <c r="K313" s="84" t="str">
        <f t="array" ref="K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Asesor'!K313, "")
</f>
        <v/>
      </c>
      <c r="L313" s="84" t="str">
        <f t="array" ref="L313">IF(OR(
    AND('BD Asesor'!H313="Mensual", MATCH($B$2, {"Enero", "Febrero", "Marzo", "Abril", "Mayo", "Junio", "Julio", "Agosto", "Septiembre", "Octubre", "Noviembre", "Diciembre"}, 0)&gt;=1),
    AND('BD Asesor'!H313="Trimestral", MOD(MATCH($B$2, {"Enero", "Febrero", "Marzo", "Abril", "Mayo", "Junio", "Julio", "Agosto", "Septiembre", "Octubre", "Noviembre"}, 0)-MONTH('BD Asesor'!D313), 3)=0),
    AND('BD Asesor'!H313="Semestral", MOD(MATCH($B$2, {"Enero", "Febrero", "Marzo", "Abril", "Mayo", "Junio", "Julio", "Agosto", "Septiembre", "Octubre", "Noviembre"}, 0)-MONTH('BD Asesor'!D313), 6)=0),
    AND('BD Asesor'!H313="Anual", MONTH('BD Asesor'!D313)=MATCH($B$2, {"Enero", "Febrero", "Marzo", "Abril", "Mayo", "Junio", "Julio", "Agosto", "Septiembre", "Octubre", "Noviembre"}, 0))
), 'BD Asesor'!L313, "")
</f>
        <v/>
      </c>
    </row>
    <row r="314">
      <c r="C314" s="84" t="str">
        <f t="array" ref="C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Asesor'!A314, "")
</f>
        <v/>
      </c>
      <c r="D314" s="84" t="str">
        <f t="array" ref="D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Asesor'!B314, "")
</f>
        <v/>
      </c>
      <c r="E314" s="212" t="str">
        <f t="array" ref="E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Asesor'!C314, "")
</f>
        <v/>
      </c>
      <c r="F314" s="212" t="str">
        <f t="array" ref="F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Asesor'!D314, "")
</f>
        <v/>
      </c>
      <c r="G314" s="212" t="str">
        <f t="array" ref="G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Asesor'!E314, "")
</f>
        <v/>
      </c>
      <c r="H314" s="84" t="str">
        <f t="array" ref="H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Asesor'!F314, "")
</f>
        <v/>
      </c>
      <c r="I314" s="84" t="str">
        <f t="array" ref="I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Asesor'!G314, "")
</f>
        <v/>
      </c>
      <c r="J314" s="84" t="str">
        <f t="array" ref="J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Asesor'!H314, "")
</f>
        <v/>
      </c>
      <c r="K314" s="84" t="str">
        <f t="array" ref="K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Asesor'!K314, "")
</f>
        <v/>
      </c>
      <c r="L314" s="84" t="str">
        <f t="array" ref="L314">IF(OR(
    AND('BD Asesor'!H314="Mensual", MATCH($B$2, {"Enero", "Febrero", "Marzo", "Abril", "Mayo", "Junio", "Julio", "Agosto", "Septiembre", "Octubre", "Noviembre", "Diciembre"}, 0)&gt;=1),
    AND('BD Asesor'!H314="Trimestral", MOD(MATCH($B$2, {"Enero", "Febrero", "Marzo", "Abril", "Mayo", "Junio", "Julio", "Agosto", "Septiembre", "Octubre", "Noviembre"}, 0)-MONTH('BD Asesor'!D314), 3)=0),
    AND('BD Asesor'!H314="Semestral", MOD(MATCH($B$2, {"Enero", "Febrero", "Marzo", "Abril", "Mayo", "Junio", "Julio", "Agosto", "Septiembre", "Octubre", "Noviembre"}, 0)-MONTH('BD Asesor'!D314), 6)=0),
    AND('BD Asesor'!H314="Anual", MONTH('BD Asesor'!D314)=MATCH($B$2, {"Enero", "Febrero", "Marzo", "Abril", "Mayo", "Junio", "Julio", "Agosto", "Septiembre", "Octubre", "Noviembre"}, 0))
), 'BD Asesor'!L314, "")
</f>
        <v/>
      </c>
    </row>
    <row r="315">
      <c r="C315" s="84" t="str">
        <f t="array" ref="C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Asesor'!A315, "")
</f>
        <v/>
      </c>
      <c r="D315" s="84" t="str">
        <f t="array" ref="D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Asesor'!B315, "")
</f>
        <v/>
      </c>
      <c r="E315" s="212" t="str">
        <f t="array" ref="E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Asesor'!C315, "")
</f>
        <v/>
      </c>
      <c r="F315" s="212" t="str">
        <f t="array" ref="F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Asesor'!D315, "")
</f>
        <v/>
      </c>
      <c r="G315" s="212" t="str">
        <f t="array" ref="G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Asesor'!E315, "")
</f>
        <v/>
      </c>
      <c r="H315" s="84" t="str">
        <f t="array" ref="H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Asesor'!F315, "")
</f>
        <v/>
      </c>
      <c r="I315" s="84" t="str">
        <f t="array" ref="I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Asesor'!G315, "")
</f>
        <v/>
      </c>
      <c r="J315" s="84" t="str">
        <f t="array" ref="J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Asesor'!H315, "")
</f>
        <v/>
      </c>
      <c r="K315" s="84" t="str">
        <f t="array" ref="K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Asesor'!K315, "")
</f>
        <v/>
      </c>
      <c r="L315" s="84" t="str">
        <f t="array" ref="L315">IF(OR(
    AND('BD Asesor'!H315="Mensual", MATCH($B$2, {"Enero", "Febrero", "Marzo", "Abril", "Mayo", "Junio", "Julio", "Agosto", "Septiembre", "Octubre", "Noviembre", "Diciembre"}, 0)&gt;=1),
    AND('BD Asesor'!H315="Trimestral", MOD(MATCH($B$2, {"Enero", "Febrero", "Marzo", "Abril", "Mayo", "Junio", "Julio", "Agosto", "Septiembre", "Octubre", "Noviembre"}, 0)-MONTH('BD Asesor'!D315), 3)=0),
    AND('BD Asesor'!H315="Semestral", MOD(MATCH($B$2, {"Enero", "Febrero", "Marzo", "Abril", "Mayo", "Junio", "Julio", "Agosto", "Septiembre", "Octubre", "Noviembre"}, 0)-MONTH('BD Asesor'!D315), 6)=0),
    AND('BD Asesor'!H315="Anual", MONTH('BD Asesor'!D315)=MATCH($B$2, {"Enero", "Febrero", "Marzo", "Abril", "Mayo", "Junio", "Julio", "Agosto", "Septiembre", "Octubre", "Noviembre"}, 0))
), 'BD Asesor'!L315, "")
</f>
        <v/>
      </c>
    </row>
    <row r="316">
      <c r="C316" s="84" t="str">
        <f t="array" ref="C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Asesor'!A316, "")
</f>
        <v/>
      </c>
      <c r="D316" s="84" t="str">
        <f t="array" ref="D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Asesor'!B316, "")
</f>
        <v/>
      </c>
      <c r="E316" s="212" t="str">
        <f t="array" ref="E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Asesor'!C316, "")
</f>
        <v/>
      </c>
      <c r="F316" s="212" t="str">
        <f t="array" ref="F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Asesor'!D316, "")
</f>
        <v/>
      </c>
      <c r="G316" s="212" t="str">
        <f t="array" ref="G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Asesor'!E316, "")
</f>
        <v/>
      </c>
      <c r="H316" s="84" t="str">
        <f t="array" ref="H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Asesor'!F316, "")
</f>
        <v/>
      </c>
      <c r="I316" s="84" t="str">
        <f t="array" ref="I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Asesor'!G316, "")
</f>
        <v/>
      </c>
      <c r="J316" s="84" t="str">
        <f t="array" ref="J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Asesor'!H316, "")
</f>
        <v/>
      </c>
      <c r="K316" s="84" t="str">
        <f t="array" ref="K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Asesor'!K316, "")
</f>
        <v/>
      </c>
      <c r="L316" s="84" t="str">
        <f t="array" ref="L316">IF(OR(
    AND('BD Asesor'!H316="Mensual", MATCH($B$2, {"Enero", "Febrero", "Marzo", "Abril", "Mayo", "Junio", "Julio", "Agosto", "Septiembre", "Octubre", "Noviembre", "Diciembre"}, 0)&gt;=1),
    AND('BD Asesor'!H316="Trimestral", MOD(MATCH($B$2, {"Enero", "Febrero", "Marzo", "Abril", "Mayo", "Junio", "Julio", "Agosto", "Septiembre", "Octubre", "Noviembre"}, 0)-MONTH('BD Asesor'!D316), 3)=0),
    AND('BD Asesor'!H316="Semestral", MOD(MATCH($B$2, {"Enero", "Febrero", "Marzo", "Abril", "Mayo", "Junio", "Julio", "Agosto", "Septiembre", "Octubre", "Noviembre"}, 0)-MONTH('BD Asesor'!D316), 6)=0),
    AND('BD Asesor'!H316="Anual", MONTH('BD Asesor'!D316)=MATCH($B$2, {"Enero", "Febrero", "Marzo", "Abril", "Mayo", "Junio", "Julio", "Agosto", "Septiembre", "Octubre", "Noviembre"}, 0))
), 'BD Asesor'!L316, "")
</f>
        <v/>
      </c>
    </row>
    <row r="317">
      <c r="C317" s="84" t="str">
        <f t="array" ref="C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Asesor'!A317, "")
</f>
        <v/>
      </c>
      <c r="D317" s="84" t="str">
        <f t="array" ref="D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Asesor'!B317, "")
</f>
        <v/>
      </c>
      <c r="E317" s="212" t="str">
        <f t="array" ref="E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Asesor'!C317, "")
</f>
        <v/>
      </c>
      <c r="F317" s="212" t="str">
        <f t="array" ref="F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Asesor'!D317, "")
</f>
        <v/>
      </c>
      <c r="G317" s="212" t="str">
        <f t="array" ref="G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Asesor'!E317, "")
</f>
        <v/>
      </c>
      <c r="H317" s="84" t="str">
        <f t="array" ref="H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Asesor'!F317, "")
</f>
        <v/>
      </c>
      <c r="I317" s="84" t="str">
        <f t="array" ref="I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Asesor'!G317, "")
</f>
        <v/>
      </c>
      <c r="J317" s="84" t="str">
        <f t="array" ref="J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Asesor'!H317, "")
</f>
        <v/>
      </c>
      <c r="K317" s="84" t="str">
        <f t="array" ref="K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Asesor'!K317, "")
</f>
        <v/>
      </c>
      <c r="L317" s="84" t="str">
        <f t="array" ref="L317">IF(OR(
    AND('BD Asesor'!H317="Mensual", MATCH($B$2, {"Enero", "Febrero", "Marzo", "Abril", "Mayo", "Junio", "Julio", "Agosto", "Septiembre", "Octubre", "Noviembre", "Diciembre"}, 0)&gt;=1),
    AND('BD Asesor'!H317="Trimestral", MOD(MATCH($B$2, {"Enero", "Febrero", "Marzo", "Abril", "Mayo", "Junio", "Julio", "Agosto", "Septiembre", "Octubre", "Noviembre"}, 0)-MONTH('BD Asesor'!D317), 3)=0),
    AND('BD Asesor'!H317="Semestral", MOD(MATCH($B$2, {"Enero", "Febrero", "Marzo", "Abril", "Mayo", "Junio", "Julio", "Agosto", "Septiembre", "Octubre", "Noviembre"}, 0)-MONTH('BD Asesor'!D317), 6)=0),
    AND('BD Asesor'!H317="Anual", MONTH('BD Asesor'!D317)=MATCH($B$2, {"Enero", "Febrero", "Marzo", "Abril", "Mayo", "Junio", "Julio", "Agosto", "Septiembre", "Octubre", "Noviembre"}, 0))
), 'BD Asesor'!L317, "")
</f>
        <v/>
      </c>
    </row>
    <row r="318">
      <c r="C318" s="84" t="str">
        <f t="array" ref="C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Asesor'!A318, "")
</f>
        <v/>
      </c>
      <c r="D318" s="84" t="str">
        <f t="array" ref="D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Asesor'!B318, "")
</f>
        <v/>
      </c>
      <c r="E318" s="212" t="str">
        <f t="array" ref="E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Asesor'!C318, "")
</f>
        <v/>
      </c>
      <c r="F318" s="212" t="str">
        <f t="array" ref="F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Asesor'!D318, "")
</f>
        <v/>
      </c>
      <c r="G318" s="212" t="str">
        <f t="array" ref="G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Asesor'!E318, "")
</f>
        <v/>
      </c>
      <c r="H318" s="84" t="str">
        <f t="array" ref="H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Asesor'!F318, "")
</f>
        <v/>
      </c>
      <c r="I318" s="84" t="str">
        <f t="array" ref="I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Asesor'!G318, "")
</f>
        <v/>
      </c>
      <c r="J318" s="84" t="str">
        <f t="array" ref="J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Asesor'!H318, "")
</f>
        <v/>
      </c>
      <c r="K318" s="84" t="str">
        <f t="array" ref="K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Asesor'!K318, "")
</f>
        <v/>
      </c>
      <c r="L318" s="84" t="str">
        <f t="array" ref="L318">IF(OR(
    AND('BD Asesor'!H318="Mensual", MATCH($B$2, {"Enero", "Febrero", "Marzo", "Abril", "Mayo", "Junio", "Julio", "Agosto", "Septiembre", "Octubre", "Noviembre", "Diciembre"}, 0)&gt;=1),
    AND('BD Asesor'!H318="Trimestral", MOD(MATCH($B$2, {"Enero", "Febrero", "Marzo", "Abril", "Mayo", "Junio", "Julio", "Agosto", "Septiembre", "Octubre", "Noviembre"}, 0)-MONTH('BD Asesor'!D318), 3)=0),
    AND('BD Asesor'!H318="Semestral", MOD(MATCH($B$2, {"Enero", "Febrero", "Marzo", "Abril", "Mayo", "Junio", "Julio", "Agosto", "Septiembre", "Octubre", "Noviembre"}, 0)-MONTH('BD Asesor'!D318), 6)=0),
    AND('BD Asesor'!H318="Anual", MONTH('BD Asesor'!D318)=MATCH($B$2, {"Enero", "Febrero", "Marzo", "Abril", "Mayo", "Junio", "Julio", "Agosto", "Septiembre", "Octubre", "Noviembre"}, 0))
), 'BD Asesor'!L318, "")
</f>
        <v/>
      </c>
    </row>
    <row r="319">
      <c r="C319" s="84" t="str">
        <f t="array" ref="C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Asesor'!A319, "")
</f>
        <v/>
      </c>
      <c r="D319" s="84" t="str">
        <f t="array" ref="D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Asesor'!B319, "")
</f>
        <v/>
      </c>
      <c r="E319" s="212" t="str">
        <f t="array" ref="E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Asesor'!C319, "")
</f>
        <v/>
      </c>
      <c r="F319" s="212" t="str">
        <f t="array" ref="F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Asesor'!D319, "")
</f>
        <v/>
      </c>
      <c r="G319" s="212" t="str">
        <f t="array" ref="G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Asesor'!E319, "")
</f>
        <v/>
      </c>
      <c r="H319" s="84" t="str">
        <f t="array" ref="H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Asesor'!F319, "")
</f>
        <v/>
      </c>
      <c r="I319" s="84" t="str">
        <f t="array" ref="I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Asesor'!G319, "")
</f>
        <v/>
      </c>
      <c r="J319" s="84" t="str">
        <f t="array" ref="J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Asesor'!H319, "")
</f>
        <v/>
      </c>
      <c r="K319" s="84" t="str">
        <f t="array" ref="K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Asesor'!K319, "")
</f>
        <v/>
      </c>
      <c r="L319" s="84" t="str">
        <f t="array" ref="L319">IF(OR(
    AND('BD Asesor'!H319="Mensual", MATCH($B$2, {"Enero", "Febrero", "Marzo", "Abril", "Mayo", "Junio", "Julio", "Agosto", "Septiembre", "Octubre", "Noviembre", "Diciembre"}, 0)&gt;=1),
    AND('BD Asesor'!H319="Trimestral", MOD(MATCH($B$2, {"Enero", "Febrero", "Marzo", "Abril", "Mayo", "Junio", "Julio", "Agosto", "Septiembre", "Octubre", "Noviembre"}, 0)-MONTH('BD Asesor'!D319), 3)=0),
    AND('BD Asesor'!H319="Semestral", MOD(MATCH($B$2, {"Enero", "Febrero", "Marzo", "Abril", "Mayo", "Junio", "Julio", "Agosto", "Septiembre", "Octubre", "Noviembre"}, 0)-MONTH('BD Asesor'!D319), 6)=0),
    AND('BD Asesor'!H319="Anual", MONTH('BD Asesor'!D319)=MATCH($B$2, {"Enero", "Febrero", "Marzo", "Abril", "Mayo", "Junio", "Julio", "Agosto", "Septiembre", "Octubre", "Noviembre"}, 0))
), 'BD Asesor'!L319, "")
</f>
        <v/>
      </c>
    </row>
    <row r="320">
      <c r="C320" s="84" t="str">
        <f t="array" ref="C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Asesor'!A320, "")
</f>
        <v/>
      </c>
      <c r="D320" s="84" t="str">
        <f t="array" ref="D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Asesor'!B320, "")
</f>
        <v/>
      </c>
      <c r="E320" s="212" t="str">
        <f t="array" ref="E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Asesor'!C320, "")
</f>
        <v/>
      </c>
      <c r="F320" s="212" t="str">
        <f t="array" ref="F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Asesor'!D320, "")
</f>
        <v/>
      </c>
      <c r="G320" s="212" t="str">
        <f t="array" ref="G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Asesor'!E320, "")
</f>
        <v/>
      </c>
      <c r="H320" s="84" t="str">
        <f t="array" ref="H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Asesor'!F320, "")
</f>
        <v/>
      </c>
      <c r="I320" s="84" t="str">
        <f t="array" ref="I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Asesor'!G320, "")
</f>
        <v/>
      </c>
      <c r="J320" s="84" t="str">
        <f t="array" ref="J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Asesor'!H320, "")
</f>
        <v/>
      </c>
      <c r="K320" s="84" t="str">
        <f t="array" ref="K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Asesor'!K320, "")
</f>
        <v/>
      </c>
      <c r="L320" s="84" t="str">
        <f t="array" ref="L320">IF(OR(
    AND('BD Asesor'!H320="Mensual", MATCH($B$2, {"Enero", "Febrero", "Marzo", "Abril", "Mayo", "Junio", "Julio", "Agosto", "Septiembre", "Octubre", "Noviembre", "Diciembre"}, 0)&gt;=1),
    AND('BD Asesor'!H320="Trimestral", MOD(MATCH($B$2, {"Enero", "Febrero", "Marzo", "Abril", "Mayo", "Junio", "Julio", "Agosto", "Septiembre", "Octubre", "Noviembre"}, 0)-MONTH('BD Asesor'!D320), 3)=0),
    AND('BD Asesor'!H320="Semestral", MOD(MATCH($B$2, {"Enero", "Febrero", "Marzo", "Abril", "Mayo", "Junio", "Julio", "Agosto", "Septiembre", "Octubre", "Noviembre"}, 0)-MONTH('BD Asesor'!D320), 6)=0),
    AND('BD Asesor'!H320="Anual", MONTH('BD Asesor'!D320)=MATCH($B$2, {"Enero", "Febrero", "Marzo", "Abril", "Mayo", "Junio", "Julio", "Agosto", "Septiembre", "Octubre", "Noviembre"}, 0))
), 'BD Asesor'!L320, "")
</f>
        <v/>
      </c>
    </row>
    <row r="321">
      <c r="C321" s="84" t="str">
        <f t="array" ref="C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Asesor'!A321, "")
</f>
        <v/>
      </c>
      <c r="D321" s="84" t="str">
        <f t="array" ref="D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Asesor'!B321, "")
</f>
        <v/>
      </c>
      <c r="E321" s="212" t="str">
        <f t="array" ref="E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Asesor'!C321, "")
</f>
        <v/>
      </c>
      <c r="F321" s="212" t="str">
        <f t="array" ref="F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Asesor'!D321, "")
</f>
        <v/>
      </c>
      <c r="G321" s="212" t="str">
        <f t="array" ref="G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Asesor'!E321, "")
</f>
        <v/>
      </c>
      <c r="H321" s="84" t="str">
        <f t="array" ref="H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Asesor'!F321, "")
</f>
        <v/>
      </c>
      <c r="I321" s="84" t="str">
        <f t="array" ref="I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Asesor'!G321, "")
</f>
        <v/>
      </c>
      <c r="J321" s="84" t="str">
        <f t="array" ref="J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Asesor'!H321, "")
</f>
        <v/>
      </c>
      <c r="K321" s="84" t="str">
        <f t="array" ref="K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Asesor'!K321, "")
</f>
        <v/>
      </c>
      <c r="L321" s="84" t="str">
        <f t="array" ref="L321">IF(OR(
    AND('BD Asesor'!H321="Mensual", MATCH($B$2, {"Enero", "Febrero", "Marzo", "Abril", "Mayo", "Junio", "Julio", "Agosto", "Septiembre", "Octubre", "Noviembre", "Diciembre"}, 0)&gt;=1),
    AND('BD Asesor'!H321="Trimestral", MOD(MATCH($B$2, {"Enero", "Febrero", "Marzo", "Abril", "Mayo", "Junio", "Julio", "Agosto", "Septiembre", "Octubre", "Noviembre"}, 0)-MONTH('BD Asesor'!D321), 3)=0),
    AND('BD Asesor'!H321="Semestral", MOD(MATCH($B$2, {"Enero", "Febrero", "Marzo", "Abril", "Mayo", "Junio", "Julio", "Agosto", "Septiembre", "Octubre", "Noviembre"}, 0)-MONTH('BD Asesor'!D321), 6)=0),
    AND('BD Asesor'!H321="Anual", MONTH('BD Asesor'!D321)=MATCH($B$2, {"Enero", "Febrero", "Marzo", "Abril", "Mayo", "Junio", "Julio", "Agosto", "Septiembre", "Octubre", "Noviembre"}, 0))
), 'BD Asesor'!L321, "")
</f>
        <v/>
      </c>
    </row>
    <row r="322">
      <c r="C322" s="84" t="str">
        <f t="array" ref="C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Asesor'!A322, "")
</f>
        <v/>
      </c>
      <c r="D322" s="84" t="str">
        <f t="array" ref="D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Asesor'!B322, "")
</f>
        <v/>
      </c>
      <c r="E322" s="212" t="str">
        <f t="array" ref="E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Asesor'!C322, "")
</f>
        <v/>
      </c>
      <c r="F322" s="212" t="str">
        <f t="array" ref="F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Asesor'!D322, "")
</f>
        <v/>
      </c>
      <c r="G322" s="212" t="str">
        <f t="array" ref="G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Asesor'!E322, "")
</f>
        <v/>
      </c>
      <c r="H322" s="84" t="str">
        <f t="array" ref="H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Asesor'!F322, "")
</f>
        <v/>
      </c>
      <c r="I322" s="84" t="str">
        <f t="array" ref="I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Asesor'!G322, "")
</f>
        <v/>
      </c>
      <c r="J322" s="84" t="str">
        <f t="array" ref="J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Asesor'!H322, "")
</f>
        <v/>
      </c>
      <c r="K322" s="84" t="str">
        <f t="array" ref="K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Asesor'!K322, "")
</f>
        <v/>
      </c>
      <c r="L322" s="84" t="str">
        <f t="array" ref="L322">IF(OR(
    AND('BD Asesor'!H322="Mensual", MATCH($B$2, {"Enero", "Febrero", "Marzo", "Abril", "Mayo", "Junio", "Julio", "Agosto", "Septiembre", "Octubre", "Noviembre", "Diciembre"}, 0)&gt;=1),
    AND('BD Asesor'!H322="Trimestral", MOD(MATCH($B$2, {"Enero", "Febrero", "Marzo", "Abril", "Mayo", "Junio", "Julio", "Agosto", "Septiembre", "Octubre", "Noviembre"}, 0)-MONTH('BD Asesor'!D322), 3)=0),
    AND('BD Asesor'!H322="Semestral", MOD(MATCH($B$2, {"Enero", "Febrero", "Marzo", "Abril", "Mayo", "Junio", "Julio", "Agosto", "Septiembre", "Octubre", "Noviembre"}, 0)-MONTH('BD Asesor'!D322), 6)=0),
    AND('BD Asesor'!H322="Anual", MONTH('BD Asesor'!D322)=MATCH($B$2, {"Enero", "Febrero", "Marzo", "Abril", "Mayo", "Junio", "Julio", "Agosto", "Septiembre", "Octubre", "Noviembre"}, 0))
), 'BD Asesor'!L322, "")
</f>
        <v/>
      </c>
    </row>
    <row r="323">
      <c r="C323" s="84" t="str">
        <f t="array" ref="C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Asesor'!A323, "")
</f>
        <v/>
      </c>
      <c r="D323" s="84" t="str">
        <f t="array" ref="D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Asesor'!B323, "")
</f>
        <v/>
      </c>
      <c r="E323" s="212" t="str">
        <f t="array" ref="E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Asesor'!C323, "")
</f>
        <v/>
      </c>
      <c r="F323" s="212" t="str">
        <f t="array" ref="F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Asesor'!D323, "")
</f>
        <v/>
      </c>
      <c r="G323" s="212" t="str">
        <f t="array" ref="G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Asesor'!E323, "")
</f>
        <v/>
      </c>
      <c r="H323" s="84" t="str">
        <f t="array" ref="H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Asesor'!F323, "")
</f>
        <v/>
      </c>
      <c r="I323" s="84" t="str">
        <f t="array" ref="I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Asesor'!G323, "")
</f>
        <v/>
      </c>
      <c r="J323" s="84" t="str">
        <f t="array" ref="J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Asesor'!H323, "")
</f>
        <v/>
      </c>
      <c r="K323" s="84" t="str">
        <f t="array" ref="K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Asesor'!K323, "")
</f>
        <v/>
      </c>
      <c r="L323" s="84" t="str">
        <f t="array" ref="L323">IF(OR(
    AND('BD Asesor'!H323="Mensual", MATCH($B$2, {"Enero", "Febrero", "Marzo", "Abril", "Mayo", "Junio", "Julio", "Agosto", "Septiembre", "Octubre", "Noviembre", "Diciembre"}, 0)&gt;=1),
    AND('BD Asesor'!H323="Trimestral", MOD(MATCH($B$2, {"Enero", "Febrero", "Marzo", "Abril", "Mayo", "Junio", "Julio", "Agosto", "Septiembre", "Octubre", "Noviembre"}, 0)-MONTH('BD Asesor'!D323), 3)=0),
    AND('BD Asesor'!H323="Semestral", MOD(MATCH($B$2, {"Enero", "Febrero", "Marzo", "Abril", "Mayo", "Junio", "Julio", "Agosto", "Septiembre", "Octubre", "Noviembre"}, 0)-MONTH('BD Asesor'!D323), 6)=0),
    AND('BD Asesor'!H323="Anual", MONTH('BD Asesor'!D323)=MATCH($B$2, {"Enero", "Febrero", "Marzo", "Abril", "Mayo", "Junio", "Julio", "Agosto", "Septiembre", "Octubre", "Noviembre"}, 0))
), 'BD Asesor'!L323, "")
</f>
        <v/>
      </c>
    </row>
    <row r="324">
      <c r="C324" s="84" t="str">
        <f t="array" ref="C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Asesor'!A324, "")
</f>
        <v/>
      </c>
      <c r="D324" s="84" t="str">
        <f t="array" ref="D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Asesor'!B324, "")
</f>
        <v/>
      </c>
      <c r="E324" s="212" t="str">
        <f t="array" ref="E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Asesor'!C324, "")
</f>
        <v/>
      </c>
      <c r="F324" s="212" t="str">
        <f t="array" ref="F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Asesor'!D324, "")
</f>
        <v/>
      </c>
      <c r="G324" s="212" t="str">
        <f t="array" ref="G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Asesor'!E324, "")
</f>
        <v/>
      </c>
      <c r="H324" s="84" t="str">
        <f t="array" ref="H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Asesor'!F324, "")
</f>
        <v/>
      </c>
      <c r="I324" s="84" t="str">
        <f t="array" ref="I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Asesor'!G324, "")
</f>
        <v/>
      </c>
      <c r="J324" s="84" t="str">
        <f t="array" ref="J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Asesor'!H324, "")
</f>
        <v/>
      </c>
      <c r="K324" s="84" t="str">
        <f t="array" ref="K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Asesor'!K324, "")
</f>
        <v/>
      </c>
      <c r="L324" s="84" t="str">
        <f t="array" ref="L324">IF(OR(
    AND('BD Asesor'!H324="Mensual", MATCH($B$2, {"Enero", "Febrero", "Marzo", "Abril", "Mayo", "Junio", "Julio", "Agosto", "Septiembre", "Octubre", "Noviembre", "Diciembre"}, 0)&gt;=1),
    AND('BD Asesor'!H324="Trimestral", MOD(MATCH($B$2, {"Enero", "Febrero", "Marzo", "Abril", "Mayo", "Junio", "Julio", "Agosto", "Septiembre", "Octubre", "Noviembre"}, 0)-MONTH('BD Asesor'!D324), 3)=0),
    AND('BD Asesor'!H324="Semestral", MOD(MATCH($B$2, {"Enero", "Febrero", "Marzo", "Abril", "Mayo", "Junio", "Julio", "Agosto", "Septiembre", "Octubre", "Noviembre"}, 0)-MONTH('BD Asesor'!D324), 6)=0),
    AND('BD Asesor'!H324="Anual", MONTH('BD Asesor'!D324)=MATCH($B$2, {"Enero", "Febrero", "Marzo", "Abril", "Mayo", "Junio", "Julio", "Agosto", "Septiembre", "Octubre", "Noviembre"}, 0))
), 'BD Asesor'!L324, "")
</f>
        <v/>
      </c>
    </row>
    <row r="325">
      <c r="C325" s="84" t="str">
        <f t="array" ref="C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Asesor'!A325, "")
</f>
        <v/>
      </c>
      <c r="D325" s="84" t="str">
        <f t="array" ref="D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Asesor'!B325, "")
</f>
        <v/>
      </c>
      <c r="E325" s="212" t="str">
        <f t="array" ref="E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Asesor'!C325, "")
</f>
        <v/>
      </c>
      <c r="F325" s="212" t="str">
        <f t="array" ref="F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Asesor'!D325, "")
</f>
        <v/>
      </c>
      <c r="G325" s="212" t="str">
        <f t="array" ref="G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Asesor'!E325, "")
</f>
        <v/>
      </c>
      <c r="H325" s="84" t="str">
        <f t="array" ref="H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Asesor'!F325, "")
</f>
        <v/>
      </c>
      <c r="I325" s="84" t="str">
        <f t="array" ref="I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Asesor'!G325, "")
</f>
        <v/>
      </c>
      <c r="J325" s="84" t="str">
        <f t="array" ref="J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Asesor'!H325, "")
</f>
        <v/>
      </c>
      <c r="K325" s="84" t="str">
        <f t="array" ref="K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Asesor'!K325, "")
</f>
        <v/>
      </c>
      <c r="L325" s="84" t="str">
        <f t="array" ref="L325">IF(OR(
    AND('BD Asesor'!H325="Mensual", MATCH($B$2, {"Enero", "Febrero", "Marzo", "Abril", "Mayo", "Junio", "Julio", "Agosto", "Septiembre", "Octubre", "Noviembre", "Diciembre"}, 0)&gt;=1),
    AND('BD Asesor'!H325="Trimestral", MOD(MATCH($B$2, {"Enero", "Febrero", "Marzo", "Abril", "Mayo", "Junio", "Julio", "Agosto", "Septiembre", "Octubre", "Noviembre"}, 0)-MONTH('BD Asesor'!D325), 3)=0),
    AND('BD Asesor'!H325="Semestral", MOD(MATCH($B$2, {"Enero", "Febrero", "Marzo", "Abril", "Mayo", "Junio", "Julio", "Agosto", "Septiembre", "Octubre", "Noviembre"}, 0)-MONTH('BD Asesor'!D325), 6)=0),
    AND('BD Asesor'!H325="Anual", MONTH('BD Asesor'!D325)=MATCH($B$2, {"Enero", "Febrero", "Marzo", "Abril", "Mayo", "Junio", "Julio", "Agosto", "Septiembre", "Octubre", "Noviembre"}, 0))
), 'BD Asesor'!L325, "")
</f>
        <v/>
      </c>
    </row>
    <row r="326">
      <c r="C326" s="84" t="str">
        <f t="array" ref="C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Asesor'!A326, "")
</f>
        <v/>
      </c>
      <c r="D326" s="84" t="str">
        <f t="array" ref="D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Asesor'!B326, "")
</f>
        <v/>
      </c>
      <c r="E326" s="212" t="str">
        <f t="array" ref="E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Asesor'!C326, "")
</f>
        <v/>
      </c>
      <c r="F326" s="212" t="str">
        <f t="array" ref="F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Asesor'!D326, "")
</f>
        <v/>
      </c>
      <c r="G326" s="212" t="str">
        <f t="array" ref="G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Asesor'!E326, "")
</f>
        <v/>
      </c>
      <c r="H326" s="84" t="str">
        <f t="array" ref="H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Asesor'!F326, "")
</f>
        <v/>
      </c>
      <c r="I326" s="84" t="str">
        <f t="array" ref="I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Asesor'!G326, "")
</f>
        <v/>
      </c>
      <c r="J326" s="84" t="str">
        <f t="array" ref="J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Asesor'!H326, "")
</f>
        <v/>
      </c>
      <c r="K326" s="84" t="str">
        <f t="array" ref="K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Asesor'!K326, "")
</f>
        <v/>
      </c>
      <c r="L326" s="84" t="str">
        <f t="array" ref="L326">IF(OR(
    AND('BD Asesor'!H326="Mensual", MATCH($B$2, {"Enero", "Febrero", "Marzo", "Abril", "Mayo", "Junio", "Julio", "Agosto", "Septiembre", "Octubre", "Noviembre", "Diciembre"}, 0)&gt;=1),
    AND('BD Asesor'!H326="Trimestral", MOD(MATCH($B$2, {"Enero", "Febrero", "Marzo", "Abril", "Mayo", "Junio", "Julio", "Agosto", "Septiembre", "Octubre", "Noviembre"}, 0)-MONTH('BD Asesor'!D326), 3)=0),
    AND('BD Asesor'!H326="Semestral", MOD(MATCH($B$2, {"Enero", "Febrero", "Marzo", "Abril", "Mayo", "Junio", "Julio", "Agosto", "Septiembre", "Octubre", "Noviembre"}, 0)-MONTH('BD Asesor'!D326), 6)=0),
    AND('BD Asesor'!H326="Anual", MONTH('BD Asesor'!D326)=MATCH($B$2, {"Enero", "Febrero", "Marzo", "Abril", "Mayo", "Junio", "Julio", "Agosto", "Septiembre", "Octubre", "Noviembre"}, 0))
), 'BD Asesor'!L326, "")
</f>
        <v/>
      </c>
    </row>
    <row r="327">
      <c r="C327" s="84" t="str">
        <f t="array" ref="C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Asesor'!A327, "")
</f>
        <v/>
      </c>
      <c r="D327" s="84" t="str">
        <f t="array" ref="D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Asesor'!B327, "")
</f>
        <v/>
      </c>
      <c r="E327" s="212" t="str">
        <f t="array" ref="E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Asesor'!C327, "")
</f>
        <v/>
      </c>
      <c r="F327" s="212" t="str">
        <f t="array" ref="F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Asesor'!D327, "")
</f>
        <v/>
      </c>
      <c r="G327" s="212" t="str">
        <f t="array" ref="G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Asesor'!E327, "")
</f>
        <v/>
      </c>
      <c r="H327" s="84" t="str">
        <f t="array" ref="H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Asesor'!F327, "")
</f>
        <v/>
      </c>
      <c r="I327" s="84" t="str">
        <f t="array" ref="I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Asesor'!G327, "")
</f>
        <v/>
      </c>
      <c r="J327" s="84" t="str">
        <f t="array" ref="J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Asesor'!H327, "")
</f>
        <v/>
      </c>
      <c r="K327" s="84" t="str">
        <f t="array" ref="K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Asesor'!K327, "")
</f>
        <v/>
      </c>
      <c r="L327" s="84" t="str">
        <f t="array" ref="L327">IF(OR(
    AND('BD Asesor'!H327="Mensual", MATCH($B$2, {"Enero", "Febrero", "Marzo", "Abril", "Mayo", "Junio", "Julio", "Agosto", "Septiembre", "Octubre", "Noviembre", "Diciembre"}, 0)&gt;=1),
    AND('BD Asesor'!H327="Trimestral", MOD(MATCH($B$2, {"Enero", "Febrero", "Marzo", "Abril", "Mayo", "Junio", "Julio", "Agosto", "Septiembre", "Octubre", "Noviembre"}, 0)-MONTH('BD Asesor'!D327), 3)=0),
    AND('BD Asesor'!H327="Semestral", MOD(MATCH($B$2, {"Enero", "Febrero", "Marzo", "Abril", "Mayo", "Junio", "Julio", "Agosto", "Septiembre", "Octubre", "Noviembre"}, 0)-MONTH('BD Asesor'!D327), 6)=0),
    AND('BD Asesor'!H327="Anual", MONTH('BD Asesor'!D327)=MATCH($B$2, {"Enero", "Febrero", "Marzo", "Abril", "Mayo", "Junio", "Julio", "Agosto", "Septiembre", "Octubre", "Noviembre"}, 0))
), 'BD Asesor'!L327, "")
</f>
        <v/>
      </c>
    </row>
    <row r="328">
      <c r="C328" s="84" t="str">
        <f t="array" ref="C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Asesor'!A328, "")
</f>
        <v/>
      </c>
      <c r="D328" s="84" t="str">
        <f t="array" ref="D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Asesor'!B328, "")
</f>
        <v/>
      </c>
      <c r="E328" s="212" t="str">
        <f t="array" ref="E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Asesor'!C328, "")
</f>
        <v/>
      </c>
      <c r="F328" s="212" t="str">
        <f t="array" ref="F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Asesor'!D328, "")
</f>
        <v/>
      </c>
      <c r="G328" s="212" t="str">
        <f t="array" ref="G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Asesor'!E328, "")
</f>
        <v/>
      </c>
      <c r="H328" s="84" t="str">
        <f t="array" ref="H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Asesor'!F328, "")
</f>
        <v/>
      </c>
      <c r="I328" s="84" t="str">
        <f t="array" ref="I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Asesor'!G328, "")
</f>
        <v/>
      </c>
      <c r="J328" s="84" t="str">
        <f t="array" ref="J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Asesor'!H328, "")
</f>
        <v/>
      </c>
      <c r="K328" s="84" t="str">
        <f t="array" ref="K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Asesor'!K328, "")
</f>
        <v/>
      </c>
      <c r="L328" s="84" t="str">
        <f t="array" ref="L328">IF(OR(
    AND('BD Asesor'!H328="Mensual", MATCH($B$2, {"Enero", "Febrero", "Marzo", "Abril", "Mayo", "Junio", "Julio", "Agosto", "Septiembre", "Octubre", "Noviembre", "Diciembre"}, 0)&gt;=1),
    AND('BD Asesor'!H328="Trimestral", MOD(MATCH($B$2, {"Enero", "Febrero", "Marzo", "Abril", "Mayo", "Junio", "Julio", "Agosto", "Septiembre", "Octubre", "Noviembre"}, 0)-MONTH('BD Asesor'!D328), 3)=0),
    AND('BD Asesor'!H328="Semestral", MOD(MATCH($B$2, {"Enero", "Febrero", "Marzo", "Abril", "Mayo", "Junio", "Julio", "Agosto", "Septiembre", "Octubre", "Noviembre"}, 0)-MONTH('BD Asesor'!D328), 6)=0),
    AND('BD Asesor'!H328="Anual", MONTH('BD Asesor'!D328)=MATCH($B$2, {"Enero", "Febrero", "Marzo", "Abril", "Mayo", "Junio", "Julio", "Agosto", "Septiembre", "Octubre", "Noviembre"}, 0))
), 'BD Asesor'!L328, "")
</f>
        <v/>
      </c>
    </row>
    <row r="329">
      <c r="C329" s="84" t="str">
        <f t="array" ref="C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Asesor'!A329, "")
</f>
        <v/>
      </c>
      <c r="D329" s="84" t="str">
        <f t="array" ref="D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Asesor'!B329, "")
</f>
        <v/>
      </c>
      <c r="E329" s="212" t="str">
        <f t="array" ref="E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Asesor'!C329, "")
</f>
        <v/>
      </c>
      <c r="F329" s="212" t="str">
        <f t="array" ref="F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Asesor'!D329, "")
</f>
        <v/>
      </c>
      <c r="G329" s="212" t="str">
        <f t="array" ref="G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Asesor'!E329, "")
</f>
        <v/>
      </c>
      <c r="H329" s="84" t="str">
        <f t="array" ref="H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Asesor'!F329, "")
</f>
        <v/>
      </c>
      <c r="I329" s="84" t="str">
        <f t="array" ref="I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Asesor'!G329, "")
</f>
        <v/>
      </c>
      <c r="J329" s="84" t="str">
        <f t="array" ref="J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Asesor'!H329, "")
</f>
        <v/>
      </c>
      <c r="K329" s="84" t="str">
        <f t="array" ref="K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Asesor'!K329, "")
</f>
        <v/>
      </c>
      <c r="L329" s="84" t="str">
        <f t="array" ref="L329">IF(OR(
    AND('BD Asesor'!H329="Mensual", MATCH($B$2, {"Enero", "Febrero", "Marzo", "Abril", "Mayo", "Junio", "Julio", "Agosto", "Septiembre", "Octubre", "Noviembre", "Diciembre"}, 0)&gt;=1),
    AND('BD Asesor'!H329="Trimestral", MOD(MATCH($B$2, {"Enero", "Febrero", "Marzo", "Abril", "Mayo", "Junio", "Julio", "Agosto", "Septiembre", "Octubre", "Noviembre"}, 0)-MONTH('BD Asesor'!D329), 3)=0),
    AND('BD Asesor'!H329="Semestral", MOD(MATCH($B$2, {"Enero", "Febrero", "Marzo", "Abril", "Mayo", "Junio", "Julio", "Agosto", "Septiembre", "Octubre", "Noviembre"}, 0)-MONTH('BD Asesor'!D329), 6)=0),
    AND('BD Asesor'!H329="Anual", MONTH('BD Asesor'!D329)=MATCH($B$2, {"Enero", "Febrero", "Marzo", "Abril", "Mayo", "Junio", "Julio", "Agosto", "Septiembre", "Octubre", "Noviembre"}, 0))
), 'BD Asesor'!L329, "")
</f>
        <v/>
      </c>
    </row>
    <row r="330">
      <c r="C330" s="84" t="str">
        <f t="array" ref="C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Asesor'!A330, "")
</f>
        <v/>
      </c>
      <c r="D330" s="84" t="str">
        <f t="array" ref="D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Asesor'!B330, "")
</f>
        <v/>
      </c>
      <c r="E330" s="212" t="str">
        <f t="array" ref="E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Asesor'!C330, "")
</f>
        <v/>
      </c>
      <c r="F330" s="212" t="str">
        <f t="array" ref="F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Asesor'!D330, "")
</f>
        <v/>
      </c>
      <c r="G330" s="212" t="str">
        <f t="array" ref="G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Asesor'!E330, "")
</f>
        <v/>
      </c>
      <c r="H330" s="84" t="str">
        <f t="array" ref="H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Asesor'!F330, "")
</f>
        <v/>
      </c>
      <c r="I330" s="84" t="str">
        <f t="array" ref="I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Asesor'!G330, "")
</f>
        <v/>
      </c>
      <c r="J330" s="84" t="str">
        <f t="array" ref="J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Asesor'!H330, "")
</f>
        <v/>
      </c>
      <c r="K330" s="84" t="str">
        <f t="array" ref="K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Asesor'!K330, "")
</f>
        <v/>
      </c>
      <c r="L330" s="84" t="str">
        <f t="array" ref="L330">IF(OR(
    AND('BD Asesor'!H330="Mensual", MATCH($B$2, {"Enero", "Febrero", "Marzo", "Abril", "Mayo", "Junio", "Julio", "Agosto", "Septiembre", "Octubre", "Noviembre", "Diciembre"}, 0)&gt;=1),
    AND('BD Asesor'!H330="Trimestral", MOD(MATCH($B$2, {"Enero", "Febrero", "Marzo", "Abril", "Mayo", "Junio", "Julio", "Agosto", "Septiembre", "Octubre", "Noviembre"}, 0)-MONTH('BD Asesor'!D330), 3)=0),
    AND('BD Asesor'!H330="Semestral", MOD(MATCH($B$2, {"Enero", "Febrero", "Marzo", "Abril", "Mayo", "Junio", "Julio", "Agosto", "Septiembre", "Octubre", "Noviembre"}, 0)-MONTH('BD Asesor'!D330), 6)=0),
    AND('BD Asesor'!H330="Anual", MONTH('BD Asesor'!D330)=MATCH($B$2, {"Enero", "Febrero", "Marzo", "Abril", "Mayo", "Junio", "Julio", "Agosto", "Septiembre", "Octubre", "Noviembre"}, 0))
), 'BD Asesor'!L330, "")
</f>
        <v/>
      </c>
    </row>
    <row r="331">
      <c r="C331" s="84" t="str">
        <f t="array" ref="C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Asesor'!A331, "")
</f>
        <v/>
      </c>
      <c r="D331" s="84" t="str">
        <f t="array" ref="D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Asesor'!B331, "")
</f>
        <v/>
      </c>
      <c r="E331" s="212" t="str">
        <f t="array" ref="E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Asesor'!C331, "")
</f>
        <v/>
      </c>
      <c r="F331" s="212" t="str">
        <f t="array" ref="F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Asesor'!D331, "")
</f>
        <v/>
      </c>
      <c r="G331" s="212" t="str">
        <f t="array" ref="G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Asesor'!E331, "")
</f>
        <v/>
      </c>
      <c r="H331" s="84" t="str">
        <f t="array" ref="H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Asesor'!F331, "")
</f>
        <v/>
      </c>
      <c r="I331" s="84" t="str">
        <f t="array" ref="I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Asesor'!G331, "")
</f>
        <v/>
      </c>
      <c r="J331" s="84" t="str">
        <f t="array" ref="J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Asesor'!H331, "")
</f>
        <v/>
      </c>
      <c r="K331" s="84" t="str">
        <f t="array" ref="K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Asesor'!K331, "")
</f>
        <v/>
      </c>
      <c r="L331" s="84" t="str">
        <f t="array" ref="L331">IF(OR(
    AND('BD Asesor'!H331="Mensual", MATCH($B$2, {"Enero", "Febrero", "Marzo", "Abril", "Mayo", "Junio", "Julio", "Agosto", "Septiembre", "Octubre", "Noviembre", "Diciembre"}, 0)&gt;=1),
    AND('BD Asesor'!H331="Trimestral", MOD(MATCH($B$2, {"Enero", "Febrero", "Marzo", "Abril", "Mayo", "Junio", "Julio", "Agosto", "Septiembre", "Octubre", "Noviembre"}, 0)-MONTH('BD Asesor'!D331), 3)=0),
    AND('BD Asesor'!H331="Semestral", MOD(MATCH($B$2, {"Enero", "Febrero", "Marzo", "Abril", "Mayo", "Junio", "Julio", "Agosto", "Septiembre", "Octubre", "Noviembre"}, 0)-MONTH('BD Asesor'!D331), 6)=0),
    AND('BD Asesor'!H331="Anual", MONTH('BD Asesor'!D331)=MATCH($B$2, {"Enero", "Febrero", "Marzo", "Abril", "Mayo", "Junio", "Julio", "Agosto", "Septiembre", "Octubre", "Noviembre"}, 0))
), 'BD Asesor'!L331, "")
</f>
        <v/>
      </c>
    </row>
    <row r="332">
      <c r="C332" s="84" t="str">
        <f t="array" ref="C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Asesor'!A332, "")
</f>
        <v/>
      </c>
      <c r="D332" s="84" t="str">
        <f t="array" ref="D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Asesor'!B332, "")
</f>
        <v/>
      </c>
      <c r="E332" s="212" t="str">
        <f t="array" ref="E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Asesor'!C332, "")
</f>
        <v/>
      </c>
      <c r="F332" s="212" t="str">
        <f t="array" ref="F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Asesor'!D332, "")
</f>
        <v/>
      </c>
      <c r="G332" s="212" t="str">
        <f t="array" ref="G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Asesor'!E332, "")
</f>
        <v/>
      </c>
      <c r="H332" s="84" t="str">
        <f t="array" ref="H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Asesor'!F332, "")
</f>
        <v/>
      </c>
      <c r="I332" s="84" t="str">
        <f t="array" ref="I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Asesor'!G332, "")
</f>
        <v/>
      </c>
      <c r="J332" s="84" t="str">
        <f t="array" ref="J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Asesor'!H332, "")
</f>
        <v/>
      </c>
      <c r="K332" s="84" t="str">
        <f t="array" ref="K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Asesor'!K332, "")
</f>
        <v/>
      </c>
      <c r="L332" s="84" t="str">
        <f t="array" ref="L332">IF(OR(
    AND('BD Asesor'!H332="Mensual", MATCH($B$2, {"Enero", "Febrero", "Marzo", "Abril", "Mayo", "Junio", "Julio", "Agosto", "Septiembre", "Octubre", "Noviembre", "Diciembre"}, 0)&gt;=1),
    AND('BD Asesor'!H332="Trimestral", MOD(MATCH($B$2, {"Enero", "Febrero", "Marzo", "Abril", "Mayo", "Junio", "Julio", "Agosto", "Septiembre", "Octubre", "Noviembre"}, 0)-MONTH('BD Asesor'!D332), 3)=0),
    AND('BD Asesor'!H332="Semestral", MOD(MATCH($B$2, {"Enero", "Febrero", "Marzo", "Abril", "Mayo", "Junio", "Julio", "Agosto", "Septiembre", "Octubre", "Noviembre"}, 0)-MONTH('BD Asesor'!D332), 6)=0),
    AND('BD Asesor'!H332="Anual", MONTH('BD Asesor'!D332)=MATCH($B$2, {"Enero", "Febrero", "Marzo", "Abril", "Mayo", "Junio", "Julio", "Agosto", "Septiembre", "Octubre", "Noviembre"}, 0))
), 'BD Asesor'!L332, "")
</f>
        <v/>
      </c>
    </row>
    <row r="333">
      <c r="C333" s="84" t="str">
        <f t="array" ref="C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Asesor'!A333, "")
</f>
        <v/>
      </c>
      <c r="D333" s="84" t="str">
        <f t="array" ref="D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Asesor'!B333, "")
</f>
        <v/>
      </c>
      <c r="E333" s="212" t="str">
        <f t="array" ref="E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Asesor'!C333, "")
</f>
        <v/>
      </c>
      <c r="F333" s="212" t="str">
        <f t="array" ref="F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Asesor'!D333, "")
</f>
        <v/>
      </c>
      <c r="G333" s="212" t="str">
        <f t="array" ref="G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Asesor'!E333, "")
</f>
        <v/>
      </c>
      <c r="H333" s="84" t="str">
        <f t="array" ref="H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Asesor'!F333, "")
</f>
        <v/>
      </c>
      <c r="I333" s="84" t="str">
        <f t="array" ref="I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Asesor'!G333, "")
</f>
        <v/>
      </c>
      <c r="J333" s="84" t="str">
        <f t="array" ref="J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Asesor'!H333, "")
</f>
        <v/>
      </c>
      <c r="K333" s="84" t="str">
        <f t="array" ref="K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Asesor'!K333, "")
</f>
        <v/>
      </c>
      <c r="L333" s="84" t="str">
        <f t="array" ref="L333">IF(OR(
    AND('BD Asesor'!H333="Mensual", MATCH($B$2, {"Enero", "Febrero", "Marzo", "Abril", "Mayo", "Junio", "Julio", "Agosto", "Septiembre", "Octubre", "Noviembre", "Diciembre"}, 0)&gt;=1),
    AND('BD Asesor'!H333="Trimestral", MOD(MATCH($B$2, {"Enero", "Febrero", "Marzo", "Abril", "Mayo", "Junio", "Julio", "Agosto", "Septiembre", "Octubre", "Noviembre"}, 0)-MONTH('BD Asesor'!D333), 3)=0),
    AND('BD Asesor'!H333="Semestral", MOD(MATCH($B$2, {"Enero", "Febrero", "Marzo", "Abril", "Mayo", "Junio", "Julio", "Agosto", "Septiembre", "Octubre", "Noviembre"}, 0)-MONTH('BD Asesor'!D333), 6)=0),
    AND('BD Asesor'!H333="Anual", MONTH('BD Asesor'!D333)=MATCH($B$2, {"Enero", "Febrero", "Marzo", "Abril", "Mayo", "Junio", "Julio", "Agosto", "Septiembre", "Octubre", "Noviembre"}, 0))
), 'BD Asesor'!L333, "")
</f>
        <v/>
      </c>
    </row>
    <row r="334">
      <c r="C334" s="84" t="str">
        <f t="array" ref="C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Asesor'!A334, "")
</f>
        <v/>
      </c>
      <c r="D334" s="84" t="str">
        <f t="array" ref="D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Asesor'!B334, "")
</f>
        <v/>
      </c>
      <c r="E334" s="212" t="str">
        <f t="array" ref="E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Asesor'!C334, "")
</f>
        <v/>
      </c>
      <c r="F334" s="212" t="str">
        <f t="array" ref="F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Asesor'!D334, "")
</f>
        <v/>
      </c>
      <c r="G334" s="212" t="str">
        <f t="array" ref="G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Asesor'!E334, "")
</f>
        <v/>
      </c>
      <c r="H334" s="84" t="str">
        <f t="array" ref="H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Asesor'!F334, "")
</f>
        <v/>
      </c>
      <c r="I334" s="84" t="str">
        <f t="array" ref="I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Asesor'!G334, "")
</f>
        <v/>
      </c>
      <c r="J334" s="84" t="str">
        <f t="array" ref="J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Asesor'!H334, "")
</f>
        <v/>
      </c>
      <c r="K334" s="84" t="str">
        <f t="array" ref="K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Asesor'!K334, "")
</f>
        <v/>
      </c>
      <c r="L334" s="84" t="str">
        <f t="array" ref="L334">IF(OR(
    AND('BD Asesor'!H334="Mensual", MATCH($B$2, {"Enero", "Febrero", "Marzo", "Abril", "Mayo", "Junio", "Julio", "Agosto", "Septiembre", "Octubre", "Noviembre", "Diciembre"}, 0)&gt;=1),
    AND('BD Asesor'!H334="Trimestral", MOD(MATCH($B$2, {"Enero", "Febrero", "Marzo", "Abril", "Mayo", "Junio", "Julio", "Agosto", "Septiembre", "Octubre", "Noviembre"}, 0)-MONTH('BD Asesor'!D334), 3)=0),
    AND('BD Asesor'!H334="Semestral", MOD(MATCH($B$2, {"Enero", "Febrero", "Marzo", "Abril", "Mayo", "Junio", "Julio", "Agosto", "Septiembre", "Octubre", "Noviembre"}, 0)-MONTH('BD Asesor'!D334), 6)=0),
    AND('BD Asesor'!H334="Anual", MONTH('BD Asesor'!D334)=MATCH($B$2, {"Enero", "Febrero", "Marzo", "Abril", "Mayo", "Junio", "Julio", "Agosto", "Septiembre", "Octubre", "Noviembre"}, 0))
), 'BD Asesor'!L334, "")
</f>
        <v/>
      </c>
    </row>
    <row r="335">
      <c r="C335" s="84" t="str">
        <f t="array" ref="C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Asesor'!A335, "")
</f>
        <v/>
      </c>
      <c r="D335" s="84" t="str">
        <f t="array" ref="D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Asesor'!B335, "")
</f>
        <v/>
      </c>
      <c r="E335" s="212" t="str">
        <f t="array" ref="E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Asesor'!C335, "")
</f>
        <v/>
      </c>
      <c r="F335" s="212" t="str">
        <f t="array" ref="F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Asesor'!D335, "")
</f>
        <v/>
      </c>
      <c r="G335" s="212" t="str">
        <f t="array" ref="G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Asesor'!E335, "")
</f>
        <v/>
      </c>
      <c r="H335" s="84" t="str">
        <f t="array" ref="H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Asesor'!F335, "")
</f>
        <v/>
      </c>
      <c r="I335" s="84" t="str">
        <f t="array" ref="I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Asesor'!G335, "")
</f>
        <v/>
      </c>
      <c r="J335" s="84" t="str">
        <f t="array" ref="J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Asesor'!H335, "")
</f>
        <v/>
      </c>
      <c r="K335" s="84" t="str">
        <f t="array" ref="K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Asesor'!K335, "")
</f>
        <v/>
      </c>
      <c r="L335" s="84" t="str">
        <f t="array" ref="L335">IF(OR(
    AND('BD Asesor'!H335="Mensual", MATCH($B$2, {"Enero", "Febrero", "Marzo", "Abril", "Mayo", "Junio", "Julio", "Agosto", "Septiembre", "Octubre", "Noviembre", "Diciembre"}, 0)&gt;=1),
    AND('BD Asesor'!H335="Trimestral", MOD(MATCH($B$2, {"Enero", "Febrero", "Marzo", "Abril", "Mayo", "Junio", "Julio", "Agosto", "Septiembre", "Octubre", "Noviembre"}, 0)-MONTH('BD Asesor'!D335), 3)=0),
    AND('BD Asesor'!H335="Semestral", MOD(MATCH($B$2, {"Enero", "Febrero", "Marzo", "Abril", "Mayo", "Junio", "Julio", "Agosto", "Septiembre", "Octubre", "Noviembre"}, 0)-MONTH('BD Asesor'!D335), 6)=0),
    AND('BD Asesor'!H335="Anual", MONTH('BD Asesor'!D335)=MATCH($B$2, {"Enero", "Febrero", "Marzo", "Abril", "Mayo", "Junio", "Julio", "Agosto", "Septiembre", "Octubre", "Noviembre"}, 0))
), 'BD Asesor'!L335, "")
</f>
        <v/>
      </c>
    </row>
    <row r="336">
      <c r="C336" s="84" t="str">
        <f t="array" ref="C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Asesor'!A336, "")
</f>
        <v/>
      </c>
      <c r="D336" s="84" t="str">
        <f t="array" ref="D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Asesor'!B336, "")
</f>
        <v/>
      </c>
      <c r="E336" s="212" t="str">
        <f t="array" ref="E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Asesor'!C336, "")
</f>
        <v/>
      </c>
      <c r="F336" s="212" t="str">
        <f t="array" ref="F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Asesor'!D336, "")
</f>
        <v/>
      </c>
      <c r="G336" s="212" t="str">
        <f t="array" ref="G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Asesor'!E336, "")
</f>
        <v/>
      </c>
      <c r="H336" s="84" t="str">
        <f t="array" ref="H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Asesor'!F336, "")
</f>
        <v/>
      </c>
      <c r="I336" s="84" t="str">
        <f t="array" ref="I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Asesor'!G336, "")
</f>
        <v/>
      </c>
      <c r="J336" s="84" t="str">
        <f t="array" ref="J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Asesor'!H336, "")
</f>
        <v/>
      </c>
      <c r="K336" s="84" t="str">
        <f t="array" ref="K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Asesor'!K336, "")
</f>
        <v/>
      </c>
      <c r="L336" s="84" t="str">
        <f t="array" ref="L336">IF(OR(
    AND('BD Asesor'!H336="Mensual", MATCH($B$2, {"Enero", "Febrero", "Marzo", "Abril", "Mayo", "Junio", "Julio", "Agosto", "Septiembre", "Octubre", "Noviembre", "Diciembre"}, 0)&gt;=1),
    AND('BD Asesor'!H336="Trimestral", MOD(MATCH($B$2, {"Enero", "Febrero", "Marzo", "Abril", "Mayo", "Junio", "Julio", "Agosto", "Septiembre", "Octubre", "Noviembre"}, 0)-MONTH('BD Asesor'!D336), 3)=0),
    AND('BD Asesor'!H336="Semestral", MOD(MATCH($B$2, {"Enero", "Febrero", "Marzo", "Abril", "Mayo", "Junio", "Julio", "Agosto", "Septiembre", "Octubre", "Noviembre"}, 0)-MONTH('BD Asesor'!D336), 6)=0),
    AND('BD Asesor'!H336="Anual", MONTH('BD Asesor'!D336)=MATCH($B$2, {"Enero", "Febrero", "Marzo", "Abril", "Mayo", "Junio", "Julio", "Agosto", "Septiembre", "Octubre", "Noviembre"}, 0))
), 'BD Asesor'!L336, "")
</f>
        <v/>
      </c>
    </row>
    <row r="337">
      <c r="C337" s="84" t="str">
        <f t="array" ref="C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Asesor'!A337, "")
</f>
        <v/>
      </c>
      <c r="D337" s="84" t="str">
        <f t="array" ref="D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Asesor'!B337, "")
</f>
        <v/>
      </c>
      <c r="E337" s="212" t="str">
        <f t="array" ref="E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Asesor'!C337, "")
</f>
        <v/>
      </c>
      <c r="F337" s="212" t="str">
        <f t="array" ref="F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Asesor'!D337, "")
</f>
        <v/>
      </c>
      <c r="G337" s="212" t="str">
        <f t="array" ref="G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Asesor'!E337, "")
</f>
        <v/>
      </c>
      <c r="H337" s="84" t="str">
        <f t="array" ref="H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Asesor'!F337, "")
</f>
        <v/>
      </c>
      <c r="I337" s="84" t="str">
        <f t="array" ref="I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Asesor'!G337, "")
</f>
        <v/>
      </c>
      <c r="J337" s="84" t="str">
        <f t="array" ref="J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Asesor'!H337, "")
</f>
        <v/>
      </c>
      <c r="K337" s="84" t="str">
        <f t="array" ref="K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Asesor'!K337, "")
</f>
        <v/>
      </c>
      <c r="L337" s="84" t="str">
        <f t="array" ref="L337">IF(OR(
    AND('BD Asesor'!H337="Mensual", MATCH($B$2, {"Enero", "Febrero", "Marzo", "Abril", "Mayo", "Junio", "Julio", "Agosto", "Septiembre", "Octubre", "Noviembre", "Diciembre"}, 0)&gt;=1),
    AND('BD Asesor'!H337="Trimestral", MOD(MATCH($B$2, {"Enero", "Febrero", "Marzo", "Abril", "Mayo", "Junio", "Julio", "Agosto", "Septiembre", "Octubre", "Noviembre"}, 0)-MONTH('BD Asesor'!D337), 3)=0),
    AND('BD Asesor'!H337="Semestral", MOD(MATCH($B$2, {"Enero", "Febrero", "Marzo", "Abril", "Mayo", "Junio", "Julio", "Agosto", "Septiembre", "Octubre", "Noviembre"}, 0)-MONTH('BD Asesor'!D337), 6)=0),
    AND('BD Asesor'!H337="Anual", MONTH('BD Asesor'!D337)=MATCH($B$2, {"Enero", "Febrero", "Marzo", "Abril", "Mayo", "Junio", "Julio", "Agosto", "Septiembre", "Octubre", "Noviembre"}, 0))
), 'BD Asesor'!L337, "")
</f>
        <v/>
      </c>
    </row>
    <row r="338">
      <c r="C338" s="84" t="str">
        <f t="array" ref="C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Asesor'!A338, "")
</f>
        <v/>
      </c>
      <c r="D338" s="84" t="str">
        <f t="array" ref="D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Asesor'!B338, "")
</f>
        <v/>
      </c>
      <c r="E338" s="212" t="str">
        <f t="array" ref="E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Asesor'!C338, "")
</f>
        <v/>
      </c>
      <c r="F338" s="212" t="str">
        <f t="array" ref="F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Asesor'!D338, "")
</f>
        <v/>
      </c>
      <c r="G338" s="212" t="str">
        <f t="array" ref="G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Asesor'!E338, "")
</f>
        <v/>
      </c>
      <c r="H338" s="84" t="str">
        <f t="array" ref="H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Asesor'!F338, "")
</f>
        <v/>
      </c>
      <c r="I338" s="84" t="str">
        <f t="array" ref="I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Asesor'!G338, "")
</f>
        <v/>
      </c>
      <c r="J338" s="84" t="str">
        <f t="array" ref="J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Asesor'!H338, "")
</f>
        <v/>
      </c>
      <c r="K338" s="84" t="str">
        <f t="array" ref="K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Asesor'!K338, "")
</f>
        <v/>
      </c>
      <c r="L338" s="84" t="str">
        <f t="array" ref="L338">IF(OR(
    AND('BD Asesor'!H338="Mensual", MATCH($B$2, {"Enero", "Febrero", "Marzo", "Abril", "Mayo", "Junio", "Julio", "Agosto", "Septiembre", "Octubre", "Noviembre", "Diciembre"}, 0)&gt;=1),
    AND('BD Asesor'!H338="Trimestral", MOD(MATCH($B$2, {"Enero", "Febrero", "Marzo", "Abril", "Mayo", "Junio", "Julio", "Agosto", "Septiembre", "Octubre", "Noviembre"}, 0)-MONTH('BD Asesor'!D338), 3)=0),
    AND('BD Asesor'!H338="Semestral", MOD(MATCH($B$2, {"Enero", "Febrero", "Marzo", "Abril", "Mayo", "Junio", "Julio", "Agosto", "Septiembre", "Octubre", "Noviembre"}, 0)-MONTH('BD Asesor'!D338), 6)=0),
    AND('BD Asesor'!H338="Anual", MONTH('BD Asesor'!D338)=MATCH($B$2, {"Enero", "Febrero", "Marzo", "Abril", "Mayo", "Junio", "Julio", "Agosto", "Septiembre", "Octubre", "Noviembre"}, 0))
), 'BD Asesor'!L338, "")
</f>
        <v/>
      </c>
    </row>
    <row r="339">
      <c r="C339" s="84" t="str">
        <f t="array" ref="C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Asesor'!A339, "")
</f>
        <v/>
      </c>
      <c r="D339" s="84" t="str">
        <f t="array" ref="D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Asesor'!B339, "")
</f>
        <v/>
      </c>
      <c r="E339" s="212" t="str">
        <f t="array" ref="E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Asesor'!C339, "")
</f>
        <v/>
      </c>
      <c r="F339" s="212" t="str">
        <f t="array" ref="F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Asesor'!D339, "")
</f>
        <v/>
      </c>
      <c r="G339" s="212" t="str">
        <f t="array" ref="G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Asesor'!E339, "")
</f>
        <v/>
      </c>
      <c r="H339" s="84" t="str">
        <f t="array" ref="H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Asesor'!F339, "")
</f>
        <v/>
      </c>
      <c r="I339" s="84" t="str">
        <f t="array" ref="I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Asesor'!G339, "")
</f>
        <v/>
      </c>
      <c r="J339" s="84" t="str">
        <f t="array" ref="J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Asesor'!H339, "")
</f>
        <v/>
      </c>
      <c r="K339" s="84" t="str">
        <f t="array" ref="K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Asesor'!K339, "")
</f>
        <v/>
      </c>
      <c r="L339" s="84" t="str">
        <f t="array" ref="L339">IF(OR(
    AND('BD Asesor'!H339="Mensual", MATCH($B$2, {"Enero", "Febrero", "Marzo", "Abril", "Mayo", "Junio", "Julio", "Agosto", "Septiembre", "Octubre", "Noviembre", "Diciembre"}, 0)&gt;=1),
    AND('BD Asesor'!H339="Trimestral", MOD(MATCH($B$2, {"Enero", "Febrero", "Marzo", "Abril", "Mayo", "Junio", "Julio", "Agosto", "Septiembre", "Octubre", "Noviembre"}, 0)-MONTH('BD Asesor'!D339), 3)=0),
    AND('BD Asesor'!H339="Semestral", MOD(MATCH($B$2, {"Enero", "Febrero", "Marzo", "Abril", "Mayo", "Junio", "Julio", "Agosto", "Septiembre", "Octubre", "Noviembre"}, 0)-MONTH('BD Asesor'!D339), 6)=0),
    AND('BD Asesor'!H339="Anual", MONTH('BD Asesor'!D339)=MATCH($B$2, {"Enero", "Febrero", "Marzo", "Abril", "Mayo", "Junio", "Julio", "Agosto", "Septiembre", "Octubre", "Noviembre"}, 0))
), 'BD Asesor'!L339, "")
</f>
        <v/>
      </c>
    </row>
    <row r="340">
      <c r="C340" s="84" t="str">
        <f t="array" ref="C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Asesor'!A340, "")
</f>
        <v/>
      </c>
      <c r="D340" s="84" t="str">
        <f t="array" ref="D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Asesor'!B340, "")
</f>
        <v/>
      </c>
      <c r="E340" s="212" t="str">
        <f t="array" ref="E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Asesor'!C340, "")
</f>
        <v/>
      </c>
      <c r="F340" s="212" t="str">
        <f t="array" ref="F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Asesor'!D340, "")
</f>
        <v/>
      </c>
      <c r="G340" s="212" t="str">
        <f t="array" ref="G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Asesor'!E340, "")
</f>
        <v/>
      </c>
      <c r="H340" s="84" t="str">
        <f t="array" ref="H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Asesor'!F340, "")
</f>
        <v/>
      </c>
      <c r="I340" s="84" t="str">
        <f t="array" ref="I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Asesor'!G340, "")
</f>
        <v/>
      </c>
      <c r="J340" s="84" t="str">
        <f t="array" ref="J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Asesor'!H340, "")
</f>
        <v/>
      </c>
      <c r="K340" s="84" t="str">
        <f t="array" ref="K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Asesor'!K340, "")
</f>
        <v/>
      </c>
      <c r="L340" s="84" t="str">
        <f t="array" ref="L340">IF(OR(
    AND('BD Asesor'!H340="Mensual", MATCH($B$2, {"Enero", "Febrero", "Marzo", "Abril", "Mayo", "Junio", "Julio", "Agosto", "Septiembre", "Octubre", "Noviembre", "Diciembre"}, 0)&gt;=1),
    AND('BD Asesor'!H340="Trimestral", MOD(MATCH($B$2, {"Enero", "Febrero", "Marzo", "Abril", "Mayo", "Junio", "Julio", "Agosto", "Septiembre", "Octubre", "Noviembre"}, 0)-MONTH('BD Asesor'!D340), 3)=0),
    AND('BD Asesor'!H340="Semestral", MOD(MATCH($B$2, {"Enero", "Febrero", "Marzo", "Abril", "Mayo", "Junio", "Julio", "Agosto", "Septiembre", "Octubre", "Noviembre"}, 0)-MONTH('BD Asesor'!D340), 6)=0),
    AND('BD Asesor'!H340="Anual", MONTH('BD Asesor'!D340)=MATCH($B$2, {"Enero", "Febrero", "Marzo", "Abril", "Mayo", "Junio", "Julio", "Agosto", "Septiembre", "Octubre", "Noviembre"}, 0))
), 'BD Asesor'!L340, "")
</f>
        <v/>
      </c>
    </row>
    <row r="341">
      <c r="C341" s="84" t="str">
        <f t="array" ref="C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Asesor'!A341, "")
</f>
        <v/>
      </c>
      <c r="D341" s="84" t="str">
        <f t="array" ref="D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Asesor'!B341, "")
</f>
        <v/>
      </c>
      <c r="E341" s="212" t="str">
        <f t="array" ref="E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Asesor'!C341, "")
</f>
        <v/>
      </c>
      <c r="F341" s="212" t="str">
        <f t="array" ref="F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Asesor'!D341, "")
</f>
        <v/>
      </c>
      <c r="G341" s="212" t="str">
        <f t="array" ref="G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Asesor'!E341, "")
</f>
        <v/>
      </c>
      <c r="H341" s="84" t="str">
        <f t="array" ref="H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Asesor'!F341, "")
</f>
        <v/>
      </c>
      <c r="I341" s="84" t="str">
        <f t="array" ref="I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Asesor'!G341, "")
</f>
        <v/>
      </c>
      <c r="J341" s="84" t="str">
        <f t="array" ref="J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Asesor'!H341, "")
</f>
        <v/>
      </c>
      <c r="K341" s="84" t="str">
        <f t="array" ref="K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Asesor'!K341, "")
</f>
        <v/>
      </c>
      <c r="L341" s="84" t="str">
        <f t="array" ref="L341">IF(OR(
    AND('BD Asesor'!H341="Mensual", MATCH($B$2, {"Enero", "Febrero", "Marzo", "Abril", "Mayo", "Junio", "Julio", "Agosto", "Septiembre", "Octubre", "Noviembre", "Diciembre"}, 0)&gt;=1),
    AND('BD Asesor'!H341="Trimestral", MOD(MATCH($B$2, {"Enero", "Febrero", "Marzo", "Abril", "Mayo", "Junio", "Julio", "Agosto", "Septiembre", "Octubre", "Noviembre"}, 0)-MONTH('BD Asesor'!D341), 3)=0),
    AND('BD Asesor'!H341="Semestral", MOD(MATCH($B$2, {"Enero", "Febrero", "Marzo", "Abril", "Mayo", "Junio", "Julio", "Agosto", "Septiembre", "Octubre", "Noviembre"}, 0)-MONTH('BD Asesor'!D341), 6)=0),
    AND('BD Asesor'!H341="Anual", MONTH('BD Asesor'!D341)=MATCH($B$2, {"Enero", "Febrero", "Marzo", "Abril", "Mayo", "Junio", "Julio", "Agosto", "Septiembre", "Octubre", "Noviembre"}, 0))
), 'BD Asesor'!L341, "")
</f>
        <v/>
      </c>
    </row>
    <row r="342">
      <c r="C342" s="84" t="str">
        <f t="array" ref="C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Asesor'!A342, "")
</f>
        <v/>
      </c>
      <c r="D342" s="84" t="str">
        <f t="array" ref="D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Asesor'!B342, "")
</f>
        <v/>
      </c>
      <c r="E342" s="212" t="str">
        <f t="array" ref="E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Asesor'!C342, "")
</f>
        <v/>
      </c>
      <c r="F342" s="212" t="str">
        <f t="array" ref="F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Asesor'!D342, "")
</f>
        <v/>
      </c>
      <c r="G342" s="212" t="str">
        <f t="array" ref="G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Asesor'!E342, "")
</f>
        <v/>
      </c>
      <c r="H342" s="84" t="str">
        <f t="array" ref="H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Asesor'!F342, "")
</f>
        <v/>
      </c>
      <c r="I342" s="84" t="str">
        <f t="array" ref="I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Asesor'!G342, "")
</f>
        <v/>
      </c>
      <c r="J342" s="84" t="str">
        <f t="array" ref="J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Asesor'!H342, "")
</f>
        <v/>
      </c>
      <c r="K342" s="84" t="str">
        <f t="array" ref="K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Asesor'!K342, "")
</f>
        <v/>
      </c>
      <c r="L342" s="84" t="str">
        <f t="array" ref="L342">IF(OR(
    AND('BD Asesor'!H342="Mensual", MATCH($B$2, {"Enero", "Febrero", "Marzo", "Abril", "Mayo", "Junio", "Julio", "Agosto", "Septiembre", "Octubre", "Noviembre", "Diciembre"}, 0)&gt;=1),
    AND('BD Asesor'!H342="Trimestral", MOD(MATCH($B$2, {"Enero", "Febrero", "Marzo", "Abril", "Mayo", "Junio", "Julio", "Agosto", "Septiembre", "Octubre", "Noviembre"}, 0)-MONTH('BD Asesor'!D342), 3)=0),
    AND('BD Asesor'!H342="Semestral", MOD(MATCH($B$2, {"Enero", "Febrero", "Marzo", "Abril", "Mayo", "Junio", "Julio", "Agosto", "Septiembre", "Octubre", "Noviembre"}, 0)-MONTH('BD Asesor'!D342), 6)=0),
    AND('BD Asesor'!H342="Anual", MONTH('BD Asesor'!D342)=MATCH($B$2, {"Enero", "Febrero", "Marzo", "Abril", "Mayo", "Junio", "Julio", "Agosto", "Septiembre", "Octubre", "Noviembre"}, 0))
), 'BD Asesor'!L342, "")
</f>
        <v/>
      </c>
    </row>
    <row r="343">
      <c r="C343" s="84" t="str">
        <f t="array" ref="C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Asesor'!A343, "")
</f>
        <v/>
      </c>
      <c r="D343" s="84" t="str">
        <f t="array" ref="D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Asesor'!B343, "")
</f>
        <v/>
      </c>
      <c r="E343" s="212" t="str">
        <f t="array" ref="E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Asesor'!C343, "")
</f>
        <v/>
      </c>
      <c r="F343" s="212" t="str">
        <f t="array" ref="F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Asesor'!D343, "")
</f>
        <v/>
      </c>
      <c r="G343" s="212" t="str">
        <f t="array" ref="G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Asesor'!E343, "")
</f>
        <v/>
      </c>
      <c r="H343" s="84" t="str">
        <f t="array" ref="H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Asesor'!F343, "")
</f>
        <v/>
      </c>
      <c r="I343" s="84" t="str">
        <f t="array" ref="I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Asesor'!G343, "")
</f>
        <v/>
      </c>
      <c r="J343" s="84" t="str">
        <f t="array" ref="J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Asesor'!H343, "")
</f>
        <v/>
      </c>
      <c r="K343" s="84" t="str">
        <f t="array" ref="K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Asesor'!K343, "")
</f>
        <v/>
      </c>
      <c r="L343" s="84" t="str">
        <f t="array" ref="L343">IF(OR(
    AND('BD Asesor'!H343="Mensual", MATCH($B$2, {"Enero", "Febrero", "Marzo", "Abril", "Mayo", "Junio", "Julio", "Agosto", "Septiembre", "Octubre", "Noviembre", "Diciembre"}, 0)&gt;=1),
    AND('BD Asesor'!H343="Trimestral", MOD(MATCH($B$2, {"Enero", "Febrero", "Marzo", "Abril", "Mayo", "Junio", "Julio", "Agosto", "Septiembre", "Octubre", "Noviembre"}, 0)-MONTH('BD Asesor'!D343), 3)=0),
    AND('BD Asesor'!H343="Semestral", MOD(MATCH($B$2, {"Enero", "Febrero", "Marzo", "Abril", "Mayo", "Junio", "Julio", "Agosto", "Septiembre", "Octubre", "Noviembre"}, 0)-MONTH('BD Asesor'!D343), 6)=0),
    AND('BD Asesor'!H343="Anual", MONTH('BD Asesor'!D343)=MATCH($B$2, {"Enero", "Febrero", "Marzo", "Abril", "Mayo", "Junio", "Julio", "Agosto", "Septiembre", "Octubre", "Noviembre"}, 0))
), 'BD Asesor'!L343, "")
</f>
        <v/>
      </c>
    </row>
    <row r="344">
      <c r="C344" s="84" t="str">
        <f t="array" ref="C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Asesor'!A344, "")
</f>
        <v/>
      </c>
      <c r="D344" s="84" t="str">
        <f t="array" ref="D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Asesor'!B344, "")
</f>
        <v/>
      </c>
      <c r="E344" s="212" t="str">
        <f t="array" ref="E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Asesor'!C344, "")
</f>
        <v/>
      </c>
      <c r="F344" s="212" t="str">
        <f t="array" ref="F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Asesor'!D344, "")
</f>
        <v/>
      </c>
      <c r="G344" s="212" t="str">
        <f t="array" ref="G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Asesor'!E344, "")
</f>
        <v/>
      </c>
      <c r="H344" s="84" t="str">
        <f t="array" ref="H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Asesor'!F344, "")
</f>
        <v/>
      </c>
      <c r="I344" s="84" t="str">
        <f t="array" ref="I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Asesor'!G344, "")
</f>
        <v/>
      </c>
      <c r="J344" s="84" t="str">
        <f t="array" ref="J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Asesor'!H344, "")
</f>
        <v/>
      </c>
      <c r="K344" s="84" t="str">
        <f t="array" ref="K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Asesor'!K344, "")
</f>
        <v/>
      </c>
      <c r="L344" s="84" t="str">
        <f t="array" ref="L344">IF(OR(
    AND('BD Asesor'!H344="Mensual", MATCH($B$2, {"Enero", "Febrero", "Marzo", "Abril", "Mayo", "Junio", "Julio", "Agosto", "Septiembre", "Octubre", "Noviembre", "Diciembre"}, 0)&gt;=1),
    AND('BD Asesor'!H344="Trimestral", MOD(MATCH($B$2, {"Enero", "Febrero", "Marzo", "Abril", "Mayo", "Junio", "Julio", "Agosto", "Septiembre", "Octubre", "Noviembre"}, 0)-MONTH('BD Asesor'!D344), 3)=0),
    AND('BD Asesor'!H344="Semestral", MOD(MATCH($B$2, {"Enero", "Febrero", "Marzo", "Abril", "Mayo", "Junio", "Julio", "Agosto", "Septiembre", "Octubre", "Noviembre"}, 0)-MONTH('BD Asesor'!D344), 6)=0),
    AND('BD Asesor'!H344="Anual", MONTH('BD Asesor'!D344)=MATCH($B$2, {"Enero", "Febrero", "Marzo", "Abril", "Mayo", "Junio", "Julio", "Agosto", "Septiembre", "Octubre", "Noviembre"}, 0))
), 'BD Asesor'!L344, "")
</f>
        <v/>
      </c>
    </row>
    <row r="345">
      <c r="C345" s="84" t="str">
        <f t="array" ref="C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Asesor'!A345, "")
</f>
        <v/>
      </c>
      <c r="D345" s="84" t="str">
        <f t="array" ref="D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Asesor'!B345, "")
</f>
        <v/>
      </c>
      <c r="E345" s="212" t="str">
        <f t="array" ref="E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Asesor'!C345, "")
</f>
        <v/>
      </c>
      <c r="F345" s="212" t="str">
        <f t="array" ref="F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Asesor'!D345, "")
</f>
        <v/>
      </c>
      <c r="G345" s="212" t="str">
        <f t="array" ref="G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Asesor'!E345, "")
</f>
        <v/>
      </c>
      <c r="H345" s="84" t="str">
        <f t="array" ref="H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Asesor'!F345, "")
</f>
        <v/>
      </c>
      <c r="I345" s="84" t="str">
        <f t="array" ref="I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Asesor'!G345, "")
</f>
        <v/>
      </c>
      <c r="J345" s="84" t="str">
        <f t="array" ref="J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Asesor'!H345, "")
</f>
        <v/>
      </c>
      <c r="K345" s="84" t="str">
        <f t="array" ref="K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Asesor'!K345, "")
</f>
        <v/>
      </c>
      <c r="L345" s="84" t="str">
        <f t="array" ref="L345">IF(OR(
    AND('BD Asesor'!H345="Mensual", MATCH($B$2, {"Enero", "Febrero", "Marzo", "Abril", "Mayo", "Junio", "Julio", "Agosto", "Septiembre", "Octubre", "Noviembre", "Diciembre"}, 0)&gt;=1),
    AND('BD Asesor'!H345="Trimestral", MOD(MATCH($B$2, {"Enero", "Febrero", "Marzo", "Abril", "Mayo", "Junio", "Julio", "Agosto", "Septiembre", "Octubre", "Noviembre"}, 0)-MONTH('BD Asesor'!D345), 3)=0),
    AND('BD Asesor'!H345="Semestral", MOD(MATCH($B$2, {"Enero", "Febrero", "Marzo", "Abril", "Mayo", "Junio", "Julio", "Agosto", "Septiembre", "Octubre", "Noviembre"}, 0)-MONTH('BD Asesor'!D345), 6)=0),
    AND('BD Asesor'!H345="Anual", MONTH('BD Asesor'!D345)=MATCH($B$2, {"Enero", "Febrero", "Marzo", "Abril", "Mayo", "Junio", "Julio", "Agosto", "Septiembre", "Octubre", "Noviembre"}, 0))
), 'BD Asesor'!L345, "")
</f>
        <v/>
      </c>
    </row>
    <row r="346">
      <c r="C346" s="84" t="str">
        <f t="array" ref="C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Asesor'!A346, "")
</f>
        <v/>
      </c>
      <c r="D346" s="84" t="str">
        <f t="array" ref="D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Asesor'!B346, "")
</f>
        <v/>
      </c>
      <c r="E346" s="212" t="str">
        <f t="array" ref="E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Asesor'!C346, "")
</f>
        <v/>
      </c>
      <c r="F346" s="212" t="str">
        <f t="array" ref="F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Asesor'!D346, "")
</f>
        <v/>
      </c>
      <c r="G346" s="212" t="str">
        <f t="array" ref="G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Asesor'!E346, "")
</f>
        <v/>
      </c>
      <c r="H346" s="84" t="str">
        <f t="array" ref="H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Asesor'!F346, "")
</f>
        <v/>
      </c>
      <c r="I346" s="84" t="str">
        <f t="array" ref="I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Asesor'!G346, "")
</f>
        <v/>
      </c>
      <c r="J346" s="84" t="str">
        <f t="array" ref="J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Asesor'!H346, "")
</f>
        <v/>
      </c>
      <c r="K346" s="84" t="str">
        <f t="array" ref="K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Asesor'!K346, "")
</f>
        <v/>
      </c>
      <c r="L346" s="84" t="str">
        <f t="array" ref="L346">IF(OR(
    AND('BD Asesor'!H346="Mensual", MATCH($B$2, {"Enero", "Febrero", "Marzo", "Abril", "Mayo", "Junio", "Julio", "Agosto", "Septiembre", "Octubre", "Noviembre", "Diciembre"}, 0)&gt;=1),
    AND('BD Asesor'!H346="Trimestral", MOD(MATCH($B$2, {"Enero", "Febrero", "Marzo", "Abril", "Mayo", "Junio", "Julio", "Agosto", "Septiembre", "Octubre", "Noviembre"}, 0)-MONTH('BD Asesor'!D346), 3)=0),
    AND('BD Asesor'!H346="Semestral", MOD(MATCH($B$2, {"Enero", "Febrero", "Marzo", "Abril", "Mayo", "Junio", "Julio", "Agosto", "Septiembre", "Octubre", "Noviembre"}, 0)-MONTH('BD Asesor'!D346), 6)=0),
    AND('BD Asesor'!H346="Anual", MONTH('BD Asesor'!D346)=MATCH($B$2, {"Enero", "Febrero", "Marzo", "Abril", "Mayo", "Junio", "Julio", "Agosto", "Septiembre", "Octubre", "Noviembre"}, 0))
), 'BD Asesor'!L346, "")
</f>
        <v/>
      </c>
    </row>
    <row r="347">
      <c r="C347" s="84" t="str">
        <f t="array" ref="C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Asesor'!A347, "")
</f>
        <v/>
      </c>
      <c r="D347" s="84" t="str">
        <f t="array" ref="D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Asesor'!B347, "")
</f>
        <v/>
      </c>
      <c r="E347" s="212" t="str">
        <f t="array" ref="E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Asesor'!C347, "")
</f>
        <v/>
      </c>
      <c r="F347" s="212" t="str">
        <f t="array" ref="F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Asesor'!D347, "")
</f>
        <v/>
      </c>
      <c r="G347" s="212" t="str">
        <f t="array" ref="G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Asesor'!E347, "")
</f>
        <v/>
      </c>
      <c r="H347" s="84" t="str">
        <f t="array" ref="H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Asesor'!F347, "")
</f>
        <v/>
      </c>
      <c r="I347" s="84" t="str">
        <f t="array" ref="I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Asesor'!G347, "")
</f>
        <v/>
      </c>
      <c r="J347" s="84" t="str">
        <f t="array" ref="J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Asesor'!H347, "")
</f>
        <v/>
      </c>
      <c r="K347" s="84" t="str">
        <f t="array" ref="K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Asesor'!K347, "")
</f>
        <v/>
      </c>
      <c r="L347" s="84" t="str">
        <f t="array" ref="L347">IF(OR(
    AND('BD Asesor'!H347="Mensual", MATCH($B$2, {"Enero", "Febrero", "Marzo", "Abril", "Mayo", "Junio", "Julio", "Agosto", "Septiembre", "Octubre", "Noviembre", "Diciembre"}, 0)&gt;=1),
    AND('BD Asesor'!H347="Trimestral", MOD(MATCH($B$2, {"Enero", "Febrero", "Marzo", "Abril", "Mayo", "Junio", "Julio", "Agosto", "Septiembre", "Octubre", "Noviembre"}, 0)-MONTH('BD Asesor'!D347), 3)=0),
    AND('BD Asesor'!H347="Semestral", MOD(MATCH($B$2, {"Enero", "Febrero", "Marzo", "Abril", "Mayo", "Junio", "Julio", "Agosto", "Septiembre", "Octubre", "Noviembre"}, 0)-MONTH('BD Asesor'!D347), 6)=0),
    AND('BD Asesor'!H347="Anual", MONTH('BD Asesor'!D347)=MATCH($B$2, {"Enero", "Febrero", "Marzo", "Abril", "Mayo", "Junio", "Julio", "Agosto", "Septiembre", "Octubre", "Noviembre"}, 0))
), 'BD Asesor'!L347, "")
</f>
        <v/>
      </c>
    </row>
    <row r="348">
      <c r="C348" s="84" t="str">
        <f t="array" ref="C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Asesor'!A348, "")
</f>
        <v/>
      </c>
      <c r="D348" s="84" t="str">
        <f t="array" ref="D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Asesor'!B348, "")
</f>
        <v/>
      </c>
      <c r="E348" s="212" t="str">
        <f t="array" ref="E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Asesor'!C348, "")
</f>
        <v/>
      </c>
      <c r="F348" s="212" t="str">
        <f t="array" ref="F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Asesor'!D348, "")
</f>
        <v/>
      </c>
      <c r="G348" s="212" t="str">
        <f t="array" ref="G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Asesor'!E348, "")
</f>
        <v/>
      </c>
      <c r="H348" s="84" t="str">
        <f t="array" ref="H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Asesor'!F348, "")
</f>
        <v/>
      </c>
      <c r="I348" s="84" t="str">
        <f t="array" ref="I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Asesor'!G348, "")
</f>
        <v/>
      </c>
      <c r="J348" s="84" t="str">
        <f t="array" ref="J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Asesor'!H348, "")
</f>
        <v/>
      </c>
      <c r="K348" s="84" t="str">
        <f t="array" ref="K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Asesor'!K348, "")
</f>
        <v/>
      </c>
      <c r="L348" s="84" t="str">
        <f t="array" ref="L348">IF(OR(
    AND('BD Asesor'!H348="Mensual", MATCH($B$2, {"Enero", "Febrero", "Marzo", "Abril", "Mayo", "Junio", "Julio", "Agosto", "Septiembre", "Octubre", "Noviembre", "Diciembre"}, 0)&gt;=1),
    AND('BD Asesor'!H348="Trimestral", MOD(MATCH($B$2, {"Enero", "Febrero", "Marzo", "Abril", "Mayo", "Junio", "Julio", "Agosto", "Septiembre", "Octubre", "Noviembre"}, 0)-MONTH('BD Asesor'!D348), 3)=0),
    AND('BD Asesor'!H348="Semestral", MOD(MATCH($B$2, {"Enero", "Febrero", "Marzo", "Abril", "Mayo", "Junio", "Julio", "Agosto", "Septiembre", "Octubre", "Noviembre"}, 0)-MONTH('BD Asesor'!D348), 6)=0),
    AND('BD Asesor'!H348="Anual", MONTH('BD Asesor'!D348)=MATCH($B$2, {"Enero", "Febrero", "Marzo", "Abril", "Mayo", "Junio", "Julio", "Agosto", "Septiembre", "Octubre", "Noviembre"}, 0))
), 'BD Asesor'!L348, "")
</f>
        <v/>
      </c>
    </row>
    <row r="349">
      <c r="C349" s="84" t="str">
        <f t="array" ref="C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Asesor'!A349, "")
</f>
        <v/>
      </c>
      <c r="D349" s="84" t="str">
        <f t="array" ref="D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Asesor'!B349, "")
</f>
        <v/>
      </c>
      <c r="E349" s="212" t="str">
        <f t="array" ref="E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Asesor'!C349, "")
</f>
        <v/>
      </c>
      <c r="F349" s="212" t="str">
        <f t="array" ref="F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Asesor'!D349, "")
</f>
        <v/>
      </c>
      <c r="G349" s="212" t="str">
        <f t="array" ref="G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Asesor'!E349, "")
</f>
        <v/>
      </c>
      <c r="H349" s="84" t="str">
        <f t="array" ref="H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Asesor'!F349, "")
</f>
        <v/>
      </c>
      <c r="I349" s="84" t="str">
        <f t="array" ref="I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Asesor'!G349, "")
</f>
        <v/>
      </c>
      <c r="J349" s="84" t="str">
        <f t="array" ref="J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Asesor'!H349, "")
</f>
        <v/>
      </c>
      <c r="K349" s="84" t="str">
        <f t="array" ref="K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Asesor'!K349, "")
</f>
        <v/>
      </c>
      <c r="L349" s="84" t="str">
        <f t="array" ref="L349">IF(OR(
    AND('BD Asesor'!H349="Mensual", MATCH($B$2, {"Enero", "Febrero", "Marzo", "Abril", "Mayo", "Junio", "Julio", "Agosto", "Septiembre", "Octubre", "Noviembre", "Diciembre"}, 0)&gt;=1),
    AND('BD Asesor'!H349="Trimestral", MOD(MATCH($B$2, {"Enero", "Febrero", "Marzo", "Abril", "Mayo", "Junio", "Julio", "Agosto", "Septiembre", "Octubre", "Noviembre"}, 0)-MONTH('BD Asesor'!D349), 3)=0),
    AND('BD Asesor'!H349="Semestral", MOD(MATCH($B$2, {"Enero", "Febrero", "Marzo", "Abril", "Mayo", "Junio", "Julio", "Agosto", "Septiembre", "Octubre", "Noviembre"}, 0)-MONTH('BD Asesor'!D349), 6)=0),
    AND('BD Asesor'!H349="Anual", MONTH('BD Asesor'!D349)=MATCH($B$2, {"Enero", "Febrero", "Marzo", "Abril", "Mayo", "Junio", "Julio", "Agosto", "Septiembre", "Octubre", "Noviembre"}, 0))
), 'BD Asesor'!L349, "")
</f>
        <v/>
      </c>
    </row>
    <row r="350">
      <c r="C350" s="84" t="str">
        <f t="array" ref="C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Asesor'!A350, "")
</f>
        <v/>
      </c>
      <c r="D350" s="84" t="str">
        <f t="array" ref="D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Asesor'!B350, "")
</f>
        <v/>
      </c>
      <c r="E350" s="212" t="str">
        <f t="array" ref="E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Asesor'!C350, "")
</f>
        <v/>
      </c>
      <c r="F350" s="212" t="str">
        <f t="array" ref="F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Asesor'!D350, "")
</f>
        <v/>
      </c>
      <c r="G350" s="212" t="str">
        <f t="array" ref="G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Asesor'!E350, "")
</f>
        <v/>
      </c>
      <c r="H350" s="84" t="str">
        <f t="array" ref="H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Asesor'!F350, "")
</f>
        <v/>
      </c>
      <c r="I350" s="84" t="str">
        <f t="array" ref="I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Asesor'!G350, "")
</f>
        <v/>
      </c>
      <c r="J350" s="84" t="str">
        <f t="array" ref="J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Asesor'!H350, "")
</f>
        <v/>
      </c>
      <c r="K350" s="84" t="str">
        <f t="array" ref="K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Asesor'!K350, "")
</f>
        <v/>
      </c>
      <c r="L350" s="84" t="str">
        <f t="array" ref="L350">IF(OR(
    AND('BD Asesor'!H350="Mensual", MATCH($B$2, {"Enero", "Febrero", "Marzo", "Abril", "Mayo", "Junio", "Julio", "Agosto", "Septiembre", "Octubre", "Noviembre", "Diciembre"}, 0)&gt;=1),
    AND('BD Asesor'!H350="Trimestral", MOD(MATCH($B$2, {"Enero", "Febrero", "Marzo", "Abril", "Mayo", "Junio", "Julio", "Agosto", "Septiembre", "Octubre", "Noviembre"}, 0)-MONTH('BD Asesor'!D350), 3)=0),
    AND('BD Asesor'!H350="Semestral", MOD(MATCH($B$2, {"Enero", "Febrero", "Marzo", "Abril", "Mayo", "Junio", "Julio", "Agosto", "Septiembre", "Octubre", "Noviembre"}, 0)-MONTH('BD Asesor'!D350), 6)=0),
    AND('BD Asesor'!H350="Anual", MONTH('BD Asesor'!D350)=MATCH($B$2, {"Enero", "Febrero", "Marzo", "Abril", "Mayo", "Junio", "Julio", "Agosto", "Septiembre", "Octubre", "Noviembre"}, 0))
), 'BD Asesor'!L350, "")
</f>
        <v/>
      </c>
    </row>
    <row r="351">
      <c r="C351" s="84" t="str">
        <f t="array" ref="C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Asesor'!A351, "")
</f>
        <v/>
      </c>
      <c r="D351" s="84" t="str">
        <f t="array" ref="D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Asesor'!B351, "")
</f>
        <v/>
      </c>
      <c r="E351" s="212" t="str">
        <f t="array" ref="E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Asesor'!C351, "")
</f>
        <v/>
      </c>
      <c r="F351" s="212" t="str">
        <f t="array" ref="F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Asesor'!D351, "")
</f>
        <v/>
      </c>
      <c r="G351" s="212" t="str">
        <f t="array" ref="G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Asesor'!E351, "")
</f>
        <v/>
      </c>
      <c r="H351" s="84" t="str">
        <f t="array" ref="H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Asesor'!F351, "")
</f>
        <v/>
      </c>
      <c r="I351" s="84" t="str">
        <f t="array" ref="I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Asesor'!G351, "")
</f>
        <v/>
      </c>
      <c r="J351" s="84" t="str">
        <f t="array" ref="J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Asesor'!H351, "")
</f>
        <v/>
      </c>
      <c r="K351" s="84" t="str">
        <f t="array" ref="K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Asesor'!K351, "")
</f>
        <v/>
      </c>
      <c r="L351" s="84" t="str">
        <f t="array" ref="L351">IF(OR(
    AND('BD Asesor'!H351="Mensual", MATCH($B$2, {"Enero", "Febrero", "Marzo", "Abril", "Mayo", "Junio", "Julio", "Agosto", "Septiembre", "Octubre", "Noviembre", "Diciembre"}, 0)&gt;=1),
    AND('BD Asesor'!H351="Trimestral", MOD(MATCH($B$2, {"Enero", "Febrero", "Marzo", "Abril", "Mayo", "Junio", "Julio", "Agosto", "Septiembre", "Octubre", "Noviembre"}, 0)-MONTH('BD Asesor'!D351), 3)=0),
    AND('BD Asesor'!H351="Semestral", MOD(MATCH($B$2, {"Enero", "Febrero", "Marzo", "Abril", "Mayo", "Junio", "Julio", "Agosto", "Septiembre", "Octubre", "Noviembre"}, 0)-MONTH('BD Asesor'!D351), 6)=0),
    AND('BD Asesor'!H351="Anual", MONTH('BD Asesor'!D351)=MATCH($B$2, {"Enero", "Febrero", "Marzo", "Abril", "Mayo", "Junio", "Julio", "Agosto", "Septiembre", "Octubre", "Noviembre"}, 0))
), 'BD Asesor'!L351, "")
</f>
        <v/>
      </c>
    </row>
    <row r="352">
      <c r="C352" s="84" t="str">
        <f t="array" ref="C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Asesor'!A352, "")
</f>
        <v/>
      </c>
      <c r="D352" s="84" t="str">
        <f t="array" ref="D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Asesor'!B352, "")
</f>
        <v/>
      </c>
      <c r="E352" s="212" t="str">
        <f t="array" ref="E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Asesor'!C352, "")
</f>
        <v/>
      </c>
      <c r="F352" s="212" t="str">
        <f t="array" ref="F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Asesor'!D352, "")
</f>
        <v/>
      </c>
      <c r="G352" s="212" t="str">
        <f t="array" ref="G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Asesor'!E352, "")
</f>
        <v/>
      </c>
      <c r="H352" s="84" t="str">
        <f t="array" ref="H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Asesor'!F352, "")
</f>
        <v/>
      </c>
      <c r="I352" s="84" t="str">
        <f t="array" ref="I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Asesor'!G352, "")
</f>
        <v/>
      </c>
      <c r="J352" s="84" t="str">
        <f t="array" ref="J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Asesor'!H352, "")
</f>
        <v/>
      </c>
      <c r="K352" s="84" t="str">
        <f t="array" ref="K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Asesor'!K352, "")
</f>
        <v/>
      </c>
      <c r="L352" s="84" t="str">
        <f t="array" ref="L352">IF(OR(
    AND('BD Asesor'!H352="Mensual", MATCH($B$2, {"Enero", "Febrero", "Marzo", "Abril", "Mayo", "Junio", "Julio", "Agosto", "Septiembre", "Octubre", "Noviembre", "Diciembre"}, 0)&gt;=1),
    AND('BD Asesor'!H352="Trimestral", MOD(MATCH($B$2, {"Enero", "Febrero", "Marzo", "Abril", "Mayo", "Junio", "Julio", "Agosto", "Septiembre", "Octubre", "Noviembre"}, 0)-MONTH('BD Asesor'!D352), 3)=0),
    AND('BD Asesor'!H352="Semestral", MOD(MATCH($B$2, {"Enero", "Febrero", "Marzo", "Abril", "Mayo", "Junio", "Julio", "Agosto", "Septiembre", "Octubre", "Noviembre"}, 0)-MONTH('BD Asesor'!D352), 6)=0),
    AND('BD Asesor'!H352="Anual", MONTH('BD Asesor'!D352)=MATCH($B$2, {"Enero", "Febrero", "Marzo", "Abril", "Mayo", "Junio", "Julio", "Agosto", "Septiembre", "Octubre", "Noviembre"}, 0))
), 'BD Asesor'!L352, "")
</f>
        <v/>
      </c>
    </row>
    <row r="353">
      <c r="C353" s="84" t="str">
        <f t="array" ref="C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Asesor'!A353, "")
</f>
        <v/>
      </c>
      <c r="D353" s="84" t="str">
        <f t="array" ref="D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Asesor'!B353, "")
</f>
        <v/>
      </c>
      <c r="E353" s="212" t="str">
        <f t="array" ref="E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Asesor'!C353, "")
</f>
        <v/>
      </c>
      <c r="F353" s="212" t="str">
        <f t="array" ref="F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Asesor'!D353, "")
</f>
        <v/>
      </c>
      <c r="G353" s="212" t="str">
        <f t="array" ref="G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Asesor'!E353, "")
</f>
        <v/>
      </c>
      <c r="H353" s="84" t="str">
        <f t="array" ref="H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Asesor'!F353, "")
</f>
        <v/>
      </c>
      <c r="I353" s="84" t="str">
        <f t="array" ref="I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Asesor'!G353, "")
</f>
        <v/>
      </c>
      <c r="J353" s="84" t="str">
        <f t="array" ref="J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Asesor'!H353, "")
</f>
        <v/>
      </c>
      <c r="K353" s="84" t="str">
        <f t="array" ref="K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Asesor'!K353, "")
</f>
        <v/>
      </c>
      <c r="L353" s="84" t="str">
        <f t="array" ref="L353">IF(OR(
    AND('BD Asesor'!H353="Mensual", MATCH($B$2, {"Enero", "Febrero", "Marzo", "Abril", "Mayo", "Junio", "Julio", "Agosto", "Septiembre", "Octubre", "Noviembre", "Diciembre"}, 0)&gt;=1),
    AND('BD Asesor'!H353="Trimestral", MOD(MATCH($B$2, {"Enero", "Febrero", "Marzo", "Abril", "Mayo", "Junio", "Julio", "Agosto", "Septiembre", "Octubre", "Noviembre"}, 0)-MONTH('BD Asesor'!D353), 3)=0),
    AND('BD Asesor'!H353="Semestral", MOD(MATCH($B$2, {"Enero", "Febrero", "Marzo", "Abril", "Mayo", "Junio", "Julio", "Agosto", "Septiembre", "Octubre", "Noviembre"}, 0)-MONTH('BD Asesor'!D353), 6)=0),
    AND('BD Asesor'!H353="Anual", MONTH('BD Asesor'!D353)=MATCH($B$2, {"Enero", "Febrero", "Marzo", "Abril", "Mayo", "Junio", "Julio", "Agosto", "Septiembre", "Octubre", "Noviembre"}, 0))
), 'BD Asesor'!L353, "")
</f>
        <v/>
      </c>
    </row>
    <row r="354">
      <c r="C354" s="84" t="str">
        <f t="array" ref="C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Asesor'!A354, "")
</f>
        <v/>
      </c>
      <c r="D354" s="84" t="str">
        <f t="array" ref="D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Asesor'!B354, "")
</f>
        <v/>
      </c>
      <c r="E354" s="212" t="str">
        <f t="array" ref="E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Asesor'!C354, "")
</f>
        <v/>
      </c>
      <c r="F354" s="212" t="str">
        <f t="array" ref="F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Asesor'!D354, "")
</f>
        <v/>
      </c>
      <c r="G354" s="212" t="str">
        <f t="array" ref="G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Asesor'!E354, "")
</f>
        <v/>
      </c>
      <c r="H354" s="84" t="str">
        <f t="array" ref="H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Asesor'!F354, "")
</f>
        <v/>
      </c>
      <c r="I354" s="84" t="str">
        <f t="array" ref="I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Asesor'!G354, "")
</f>
        <v/>
      </c>
      <c r="J354" s="84" t="str">
        <f t="array" ref="J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Asesor'!H354, "")
</f>
        <v/>
      </c>
      <c r="K354" s="84" t="str">
        <f t="array" ref="K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Asesor'!K354, "")
</f>
        <v/>
      </c>
      <c r="L354" s="84" t="str">
        <f t="array" ref="L354">IF(OR(
    AND('BD Asesor'!H354="Mensual", MATCH($B$2, {"Enero", "Febrero", "Marzo", "Abril", "Mayo", "Junio", "Julio", "Agosto", "Septiembre", "Octubre", "Noviembre", "Diciembre"}, 0)&gt;=1),
    AND('BD Asesor'!H354="Trimestral", MOD(MATCH($B$2, {"Enero", "Febrero", "Marzo", "Abril", "Mayo", "Junio", "Julio", "Agosto", "Septiembre", "Octubre", "Noviembre"}, 0)-MONTH('BD Asesor'!D354), 3)=0),
    AND('BD Asesor'!H354="Semestral", MOD(MATCH($B$2, {"Enero", "Febrero", "Marzo", "Abril", "Mayo", "Junio", "Julio", "Agosto", "Septiembre", "Octubre", "Noviembre"}, 0)-MONTH('BD Asesor'!D354), 6)=0),
    AND('BD Asesor'!H354="Anual", MONTH('BD Asesor'!D354)=MATCH($B$2, {"Enero", "Febrero", "Marzo", "Abril", "Mayo", "Junio", "Julio", "Agosto", "Septiembre", "Octubre", "Noviembre"}, 0))
), 'BD Asesor'!L354, "")
</f>
        <v/>
      </c>
    </row>
    <row r="355">
      <c r="C355" s="84" t="str">
        <f t="array" ref="C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Asesor'!A355, "")
</f>
        <v/>
      </c>
      <c r="D355" s="84" t="str">
        <f t="array" ref="D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Asesor'!B355, "")
</f>
        <v/>
      </c>
      <c r="E355" s="212" t="str">
        <f t="array" ref="E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Asesor'!C355, "")
</f>
        <v/>
      </c>
      <c r="F355" s="212" t="str">
        <f t="array" ref="F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Asesor'!D355, "")
</f>
        <v/>
      </c>
      <c r="G355" s="212" t="str">
        <f t="array" ref="G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Asesor'!E355, "")
</f>
        <v/>
      </c>
      <c r="H355" s="84" t="str">
        <f t="array" ref="H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Asesor'!F355, "")
</f>
        <v/>
      </c>
      <c r="I355" s="84" t="str">
        <f t="array" ref="I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Asesor'!G355, "")
</f>
        <v/>
      </c>
      <c r="J355" s="84" t="str">
        <f t="array" ref="J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Asesor'!H355, "")
</f>
        <v/>
      </c>
      <c r="K355" s="84" t="str">
        <f t="array" ref="K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Asesor'!K355, "")
</f>
        <v/>
      </c>
      <c r="L355" s="84" t="str">
        <f t="array" ref="L355">IF(OR(
    AND('BD Asesor'!H355="Mensual", MATCH($B$2, {"Enero", "Febrero", "Marzo", "Abril", "Mayo", "Junio", "Julio", "Agosto", "Septiembre", "Octubre", "Noviembre", "Diciembre"}, 0)&gt;=1),
    AND('BD Asesor'!H355="Trimestral", MOD(MATCH($B$2, {"Enero", "Febrero", "Marzo", "Abril", "Mayo", "Junio", "Julio", "Agosto", "Septiembre", "Octubre", "Noviembre"}, 0)-MONTH('BD Asesor'!D355), 3)=0),
    AND('BD Asesor'!H355="Semestral", MOD(MATCH($B$2, {"Enero", "Febrero", "Marzo", "Abril", "Mayo", "Junio", "Julio", "Agosto", "Septiembre", "Octubre", "Noviembre"}, 0)-MONTH('BD Asesor'!D355), 6)=0),
    AND('BD Asesor'!H355="Anual", MONTH('BD Asesor'!D355)=MATCH($B$2, {"Enero", "Febrero", "Marzo", "Abril", "Mayo", "Junio", "Julio", "Agosto", "Septiembre", "Octubre", "Noviembre"}, 0))
), 'BD Asesor'!L355, "")
</f>
        <v/>
      </c>
    </row>
    <row r="356">
      <c r="C356" s="84" t="str">
        <f t="array" ref="C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Asesor'!A356, "")
</f>
        <v/>
      </c>
      <c r="D356" s="84" t="str">
        <f t="array" ref="D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Asesor'!B356, "")
</f>
        <v/>
      </c>
      <c r="E356" s="212" t="str">
        <f t="array" ref="E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Asesor'!C356, "")
</f>
        <v/>
      </c>
      <c r="F356" s="212" t="str">
        <f t="array" ref="F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Asesor'!D356, "")
</f>
        <v/>
      </c>
      <c r="G356" s="212" t="str">
        <f t="array" ref="G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Asesor'!E356, "")
</f>
        <v/>
      </c>
      <c r="H356" s="84" t="str">
        <f t="array" ref="H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Asesor'!F356, "")
</f>
        <v/>
      </c>
      <c r="I356" s="84" t="str">
        <f t="array" ref="I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Asesor'!G356, "")
</f>
        <v/>
      </c>
      <c r="J356" s="84" t="str">
        <f t="array" ref="J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Asesor'!H356, "")
</f>
        <v/>
      </c>
      <c r="K356" s="84" t="str">
        <f t="array" ref="K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Asesor'!K356, "")
</f>
        <v/>
      </c>
      <c r="L356" s="84" t="str">
        <f t="array" ref="L356">IF(OR(
    AND('BD Asesor'!H356="Mensual", MATCH($B$2, {"Enero", "Febrero", "Marzo", "Abril", "Mayo", "Junio", "Julio", "Agosto", "Septiembre", "Octubre", "Noviembre", "Diciembre"}, 0)&gt;=1),
    AND('BD Asesor'!H356="Trimestral", MOD(MATCH($B$2, {"Enero", "Febrero", "Marzo", "Abril", "Mayo", "Junio", "Julio", "Agosto", "Septiembre", "Octubre", "Noviembre"}, 0)-MONTH('BD Asesor'!D356), 3)=0),
    AND('BD Asesor'!H356="Semestral", MOD(MATCH($B$2, {"Enero", "Febrero", "Marzo", "Abril", "Mayo", "Junio", "Julio", "Agosto", "Septiembre", "Octubre", "Noviembre"}, 0)-MONTH('BD Asesor'!D356), 6)=0),
    AND('BD Asesor'!H356="Anual", MONTH('BD Asesor'!D356)=MATCH($B$2, {"Enero", "Febrero", "Marzo", "Abril", "Mayo", "Junio", "Julio", "Agosto", "Septiembre", "Octubre", "Noviembre"}, 0))
), 'BD Asesor'!L356, "")
</f>
        <v/>
      </c>
    </row>
    <row r="357">
      <c r="C357" s="84" t="str">
        <f t="array" ref="C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Asesor'!A357, "")
</f>
        <v/>
      </c>
      <c r="D357" s="84" t="str">
        <f t="array" ref="D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Asesor'!B357, "")
</f>
        <v/>
      </c>
      <c r="E357" s="212" t="str">
        <f t="array" ref="E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Asesor'!C357, "")
</f>
        <v/>
      </c>
      <c r="F357" s="212" t="str">
        <f t="array" ref="F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Asesor'!D357, "")
</f>
        <v/>
      </c>
      <c r="G357" s="212" t="str">
        <f t="array" ref="G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Asesor'!E357, "")
</f>
        <v/>
      </c>
      <c r="H357" s="84" t="str">
        <f t="array" ref="H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Asesor'!F357, "")
</f>
        <v/>
      </c>
      <c r="I357" s="84" t="str">
        <f t="array" ref="I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Asesor'!G357, "")
</f>
        <v/>
      </c>
      <c r="J357" s="84" t="str">
        <f t="array" ref="J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Asesor'!H357, "")
</f>
        <v/>
      </c>
      <c r="K357" s="84" t="str">
        <f t="array" ref="K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Asesor'!K357, "")
</f>
        <v/>
      </c>
      <c r="L357" s="84" t="str">
        <f t="array" ref="L357">IF(OR(
    AND('BD Asesor'!H357="Mensual", MATCH($B$2, {"Enero", "Febrero", "Marzo", "Abril", "Mayo", "Junio", "Julio", "Agosto", "Septiembre", "Octubre", "Noviembre", "Diciembre"}, 0)&gt;=1),
    AND('BD Asesor'!H357="Trimestral", MOD(MATCH($B$2, {"Enero", "Febrero", "Marzo", "Abril", "Mayo", "Junio", "Julio", "Agosto", "Septiembre", "Octubre", "Noviembre"}, 0)-MONTH('BD Asesor'!D357), 3)=0),
    AND('BD Asesor'!H357="Semestral", MOD(MATCH($B$2, {"Enero", "Febrero", "Marzo", "Abril", "Mayo", "Junio", "Julio", "Agosto", "Septiembre", "Octubre", "Noviembre"}, 0)-MONTH('BD Asesor'!D357), 6)=0),
    AND('BD Asesor'!H357="Anual", MONTH('BD Asesor'!D357)=MATCH($B$2, {"Enero", "Febrero", "Marzo", "Abril", "Mayo", "Junio", "Julio", "Agosto", "Septiembre", "Octubre", "Noviembre"}, 0))
), 'BD Asesor'!L357, "")
</f>
        <v/>
      </c>
    </row>
    <row r="358">
      <c r="C358" s="84" t="str">
        <f t="array" ref="C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Asesor'!A358, "")
</f>
        <v/>
      </c>
      <c r="D358" s="84" t="str">
        <f t="array" ref="D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Asesor'!B358, "")
</f>
        <v/>
      </c>
      <c r="E358" s="212" t="str">
        <f t="array" ref="E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Asesor'!C358, "")
</f>
        <v/>
      </c>
      <c r="F358" s="212" t="str">
        <f t="array" ref="F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Asesor'!D358, "")
</f>
        <v/>
      </c>
      <c r="G358" s="212" t="str">
        <f t="array" ref="G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Asesor'!E358, "")
</f>
        <v/>
      </c>
      <c r="H358" s="84" t="str">
        <f t="array" ref="H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Asesor'!F358, "")
</f>
        <v/>
      </c>
      <c r="I358" s="84" t="str">
        <f t="array" ref="I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Asesor'!G358, "")
</f>
        <v/>
      </c>
      <c r="J358" s="84" t="str">
        <f t="array" ref="J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Asesor'!H358, "")
</f>
        <v/>
      </c>
      <c r="K358" s="84" t="str">
        <f t="array" ref="K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Asesor'!K358, "")
</f>
        <v/>
      </c>
      <c r="L358" s="84" t="str">
        <f t="array" ref="L358">IF(OR(
    AND('BD Asesor'!H358="Mensual", MATCH($B$2, {"Enero", "Febrero", "Marzo", "Abril", "Mayo", "Junio", "Julio", "Agosto", "Septiembre", "Octubre", "Noviembre", "Diciembre"}, 0)&gt;=1),
    AND('BD Asesor'!H358="Trimestral", MOD(MATCH($B$2, {"Enero", "Febrero", "Marzo", "Abril", "Mayo", "Junio", "Julio", "Agosto", "Septiembre", "Octubre", "Noviembre"}, 0)-MONTH('BD Asesor'!D358), 3)=0),
    AND('BD Asesor'!H358="Semestral", MOD(MATCH($B$2, {"Enero", "Febrero", "Marzo", "Abril", "Mayo", "Junio", "Julio", "Agosto", "Septiembre", "Octubre", "Noviembre"}, 0)-MONTH('BD Asesor'!D358), 6)=0),
    AND('BD Asesor'!H358="Anual", MONTH('BD Asesor'!D358)=MATCH($B$2, {"Enero", "Febrero", "Marzo", "Abril", "Mayo", "Junio", "Julio", "Agosto", "Septiembre", "Octubre", "Noviembre"}, 0))
), 'BD Asesor'!L358, "")
</f>
        <v/>
      </c>
    </row>
    <row r="359">
      <c r="C359" s="84" t="str">
        <f t="array" ref="C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Asesor'!A359, "")
</f>
        <v/>
      </c>
      <c r="D359" s="84" t="str">
        <f t="array" ref="D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Asesor'!B359, "")
</f>
        <v/>
      </c>
      <c r="E359" s="212" t="str">
        <f t="array" ref="E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Asesor'!C359, "")
</f>
        <v/>
      </c>
      <c r="F359" s="212" t="str">
        <f t="array" ref="F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Asesor'!D359, "")
</f>
        <v/>
      </c>
      <c r="G359" s="212" t="str">
        <f t="array" ref="G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Asesor'!E359, "")
</f>
        <v/>
      </c>
      <c r="H359" s="84" t="str">
        <f t="array" ref="H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Asesor'!F359, "")
</f>
        <v/>
      </c>
      <c r="I359" s="84" t="str">
        <f t="array" ref="I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Asesor'!G359, "")
</f>
        <v/>
      </c>
      <c r="J359" s="84" t="str">
        <f t="array" ref="J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Asesor'!H359, "")
</f>
        <v/>
      </c>
      <c r="K359" s="84" t="str">
        <f t="array" ref="K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Asesor'!K359, "")
</f>
        <v/>
      </c>
      <c r="L359" s="84" t="str">
        <f t="array" ref="L359">IF(OR(
    AND('BD Asesor'!H359="Mensual", MATCH($B$2, {"Enero", "Febrero", "Marzo", "Abril", "Mayo", "Junio", "Julio", "Agosto", "Septiembre", "Octubre", "Noviembre", "Diciembre"}, 0)&gt;=1),
    AND('BD Asesor'!H359="Trimestral", MOD(MATCH($B$2, {"Enero", "Febrero", "Marzo", "Abril", "Mayo", "Junio", "Julio", "Agosto", "Septiembre", "Octubre", "Noviembre"}, 0)-MONTH('BD Asesor'!D359), 3)=0),
    AND('BD Asesor'!H359="Semestral", MOD(MATCH($B$2, {"Enero", "Febrero", "Marzo", "Abril", "Mayo", "Junio", "Julio", "Agosto", "Septiembre", "Octubre", "Noviembre"}, 0)-MONTH('BD Asesor'!D359), 6)=0),
    AND('BD Asesor'!H359="Anual", MONTH('BD Asesor'!D359)=MATCH($B$2, {"Enero", "Febrero", "Marzo", "Abril", "Mayo", "Junio", "Julio", "Agosto", "Septiembre", "Octubre", "Noviembre"}, 0))
), 'BD Asesor'!L359, "")
</f>
        <v/>
      </c>
    </row>
    <row r="360">
      <c r="C360" s="84" t="str">
        <f t="array" ref="C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Asesor'!A360, "")
</f>
        <v/>
      </c>
      <c r="D360" s="84" t="str">
        <f t="array" ref="D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Asesor'!B360, "")
</f>
        <v/>
      </c>
      <c r="E360" s="212" t="str">
        <f t="array" ref="E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Asesor'!C360, "")
</f>
        <v/>
      </c>
      <c r="F360" s="212" t="str">
        <f t="array" ref="F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Asesor'!D360, "")
</f>
        <v/>
      </c>
      <c r="G360" s="212" t="str">
        <f t="array" ref="G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Asesor'!E360, "")
</f>
        <v/>
      </c>
      <c r="H360" s="84" t="str">
        <f t="array" ref="H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Asesor'!F360, "")
</f>
        <v/>
      </c>
      <c r="I360" s="84" t="str">
        <f t="array" ref="I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Asesor'!G360, "")
</f>
        <v/>
      </c>
      <c r="J360" s="84" t="str">
        <f t="array" ref="J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Asesor'!H360, "")
</f>
        <v/>
      </c>
      <c r="K360" s="84" t="str">
        <f t="array" ref="K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Asesor'!K360, "")
</f>
        <v/>
      </c>
      <c r="L360" s="84" t="str">
        <f t="array" ref="L360">IF(OR(
    AND('BD Asesor'!H360="Mensual", MATCH($B$2, {"Enero", "Febrero", "Marzo", "Abril", "Mayo", "Junio", "Julio", "Agosto", "Septiembre", "Octubre", "Noviembre", "Diciembre"}, 0)&gt;=1),
    AND('BD Asesor'!H360="Trimestral", MOD(MATCH($B$2, {"Enero", "Febrero", "Marzo", "Abril", "Mayo", "Junio", "Julio", "Agosto", "Septiembre", "Octubre", "Noviembre"}, 0)-MONTH('BD Asesor'!D360), 3)=0),
    AND('BD Asesor'!H360="Semestral", MOD(MATCH($B$2, {"Enero", "Febrero", "Marzo", "Abril", "Mayo", "Junio", "Julio", "Agosto", "Septiembre", "Octubre", "Noviembre"}, 0)-MONTH('BD Asesor'!D360), 6)=0),
    AND('BD Asesor'!H360="Anual", MONTH('BD Asesor'!D360)=MATCH($B$2, {"Enero", "Febrero", "Marzo", "Abril", "Mayo", "Junio", "Julio", "Agosto", "Septiembre", "Octubre", "Noviembre"}, 0))
), 'BD Asesor'!L360, "")
</f>
        <v/>
      </c>
    </row>
    <row r="361">
      <c r="C361" s="84" t="str">
        <f t="array" ref="C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Asesor'!A361, "")
</f>
        <v/>
      </c>
      <c r="D361" s="84" t="str">
        <f t="array" ref="D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Asesor'!B361, "")
</f>
        <v/>
      </c>
      <c r="E361" s="212" t="str">
        <f t="array" ref="E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Asesor'!C361, "")
</f>
        <v/>
      </c>
      <c r="F361" s="212" t="str">
        <f t="array" ref="F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Asesor'!D361, "")
</f>
        <v/>
      </c>
      <c r="G361" s="212" t="str">
        <f t="array" ref="G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Asesor'!E361, "")
</f>
        <v/>
      </c>
      <c r="H361" s="84" t="str">
        <f t="array" ref="H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Asesor'!F361, "")
</f>
        <v/>
      </c>
      <c r="I361" s="84" t="str">
        <f t="array" ref="I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Asesor'!G361, "")
</f>
        <v/>
      </c>
      <c r="J361" s="84" t="str">
        <f t="array" ref="J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Asesor'!H361, "")
</f>
        <v/>
      </c>
      <c r="K361" s="84" t="str">
        <f t="array" ref="K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Asesor'!K361, "")
</f>
        <v/>
      </c>
      <c r="L361" s="84" t="str">
        <f t="array" ref="L361">IF(OR(
    AND('BD Asesor'!H361="Mensual", MATCH($B$2, {"Enero", "Febrero", "Marzo", "Abril", "Mayo", "Junio", "Julio", "Agosto", "Septiembre", "Octubre", "Noviembre", "Diciembre"}, 0)&gt;=1),
    AND('BD Asesor'!H361="Trimestral", MOD(MATCH($B$2, {"Enero", "Febrero", "Marzo", "Abril", "Mayo", "Junio", "Julio", "Agosto", "Septiembre", "Octubre", "Noviembre"}, 0)-MONTH('BD Asesor'!D361), 3)=0),
    AND('BD Asesor'!H361="Semestral", MOD(MATCH($B$2, {"Enero", "Febrero", "Marzo", "Abril", "Mayo", "Junio", "Julio", "Agosto", "Septiembre", "Octubre", "Noviembre"}, 0)-MONTH('BD Asesor'!D361), 6)=0),
    AND('BD Asesor'!H361="Anual", MONTH('BD Asesor'!D361)=MATCH($B$2, {"Enero", "Febrero", "Marzo", "Abril", "Mayo", "Junio", "Julio", "Agosto", "Septiembre", "Octubre", "Noviembre"}, 0))
), 'BD Asesor'!L361, "")
</f>
        <v/>
      </c>
    </row>
    <row r="362">
      <c r="C362" s="84" t="str">
        <f t="array" ref="C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Asesor'!A362, "")
</f>
        <v/>
      </c>
      <c r="D362" s="84" t="str">
        <f t="array" ref="D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Asesor'!B362, "")
</f>
        <v/>
      </c>
      <c r="E362" s="212" t="str">
        <f t="array" ref="E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Asesor'!C362, "")
</f>
        <v/>
      </c>
      <c r="F362" s="212" t="str">
        <f t="array" ref="F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Asesor'!D362, "")
</f>
        <v/>
      </c>
      <c r="G362" s="212" t="str">
        <f t="array" ref="G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Asesor'!E362, "")
</f>
        <v/>
      </c>
      <c r="H362" s="84" t="str">
        <f t="array" ref="H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Asesor'!F362, "")
</f>
        <v/>
      </c>
      <c r="I362" s="84" t="str">
        <f t="array" ref="I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Asesor'!G362, "")
</f>
        <v/>
      </c>
      <c r="J362" s="84" t="str">
        <f t="array" ref="J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Asesor'!H362, "")
</f>
        <v/>
      </c>
      <c r="K362" s="84" t="str">
        <f t="array" ref="K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Asesor'!K362, "")
</f>
        <v/>
      </c>
      <c r="L362" s="84" t="str">
        <f t="array" ref="L362">IF(OR(
    AND('BD Asesor'!H362="Mensual", MATCH($B$2, {"Enero", "Febrero", "Marzo", "Abril", "Mayo", "Junio", "Julio", "Agosto", "Septiembre", "Octubre", "Noviembre", "Diciembre"}, 0)&gt;=1),
    AND('BD Asesor'!H362="Trimestral", MOD(MATCH($B$2, {"Enero", "Febrero", "Marzo", "Abril", "Mayo", "Junio", "Julio", "Agosto", "Septiembre", "Octubre", "Noviembre"}, 0)-MONTH('BD Asesor'!D362), 3)=0),
    AND('BD Asesor'!H362="Semestral", MOD(MATCH($B$2, {"Enero", "Febrero", "Marzo", "Abril", "Mayo", "Junio", "Julio", "Agosto", "Septiembre", "Octubre", "Noviembre"}, 0)-MONTH('BD Asesor'!D362), 6)=0),
    AND('BD Asesor'!H362="Anual", MONTH('BD Asesor'!D362)=MATCH($B$2, {"Enero", "Febrero", "Marzo", "Abril", "Mayo", "Junio", "Julio", "Agosto", "Septiembre", "Octubre", "Noviembre"}, 0))
), 'BD Asesor'!L362, "")
</f>
        <v/>
      </c>
    </row>
    <row r="363">
      <c r="C363" s="84" t="str">
        <f t="array" ref="C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Asesor'!A363, "")
</f>
        <v/>
      </c>
      <c r="D363" s="84" t="str">
        <f t="array" ref="D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Asesor'!B363, "")
</f>
        <v/>
      </c>
      <c r="E363" s="212" t="str">
        <f t="array" ref="E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Asesor'!C363, "")
</f>
        <v/>
      </c>
      <c r="F363" s="212" t="str">
        <f t="array" ref="F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Asesor'!D363, "")
</f>
        <v/>
      </c>
      <c r="G363" s="212" t="str">
        <f t="array" ref="G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Asesor'!E363, "")
</f>
        <v/>
      </c>
      <c r="H363" s="84" t="str">
        <f t="array" ref="H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Asesor'!F363, "")
</f>
        <v/>
      </c>
      <c r="I363" s="84" t="str">
        <f t="array" ref="I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Asesor'!G363, "")
</f>
        <v/>
      </c>
      <c r="J363" s="84" t="str">
        <f t="array" ref="J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Asesor'!H363, "")
</f>
        <v/>
      </c>
      <c r="K363" s="84" t="str">
        <f t="array" ref="K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Asesor'!K363, "")
</f>
        <v/>
      </c>
      <c r="L363" s="84" t="str">
        <f t="array" ref="L363">IF(OR(
    AND('BD Asesor'!H363="Mensual", MATCH($B$2, {"Enero", "Febrero", "Marzo", "Abril", "Mayo", "Junio", "Julio", "Agosto", "Septiembre", "Octubre", "Noviembre", "Diciembre"}, 0)&gt;=1),
    AND('BD Asesor'!H363="Trimestral", MOD(MATCH($B$2, {"Enero", "Febrero", "Marzo", "Abril", "Mayo", "Junio", "Julio", "Agosto", "Septiembre", "Octubre", "Noviembre"}, 0)-MONTH('BD Asesor'!D363), 3)=0),
    AND('BD Asesor'!H363="Semestral", MOD(MATCH($B$2, {"Enero", "Febrero", "Marzo", "Abril", "Mayo", "Junio", "Julio", "Agosto", "Septiembre", "Octubre", "Noviembre"}, 0)-MONTH('BD Asesor'!D363), 6)=0),
    AND('BD Asesor'!H363="Anual", MONTH('BD Asesor'!D363)=MATCH($B$2, {"Enero", "Febrero", "Marzo", "Abril", "Mayo", "Junio", "Julio", "Agosto", "Septiembre", "Octubre", "Noviembre"}, 0))
), 'BD Asesor'!L363, "")
</f>
        <v/>
      </c>
    </row>
    <row r="364">
      <c r="C364" s="84" t="str">
        <f t="array" ref="C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Asesor'!A364, "")
</f>
        <v/>
      </c>
      <c r="D364" s="84" t="str">
        <f t="array" ref="D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Asesor'!B364, "")
</f>
        <v/>
      </c>
      <c r="E364" s="212" t="str">
        <f t="array" ref="E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Asesor'!C364, "")
</f>
        <v/>
      </c>
      <c r="F364" s="212" t="str">
        <f t="array" ref="F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Asesor'!D364, "")
</f>
        <v/>
      </c>
      <c r="G364" s="212" t="str">
        <f t="array" ref="G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Asesor'!E364, "")
</f>
        <v/>
      </c>
      <c r="H364" s="84" t="str">
        <f t="array" ref="H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Asesor'!F364, "")
</f>
        <v/>
      </c>
      <c r="I364" s="84" t="str">
        <f t="array" ref="I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Asesor'!G364, "")
</f>
        <v/>
      </c>
      <c r="J364" s="84" t="str">
        <f t="array" ref="J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Asesor'!H364, "")
</f>
        <v/>
      </c>
      <c r="K364" s="84" t="str">
        <f t="array" ref="K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Asesor'!K364, "")
</f>
        <v/>
      </c>
      <c r="L364" s="84" t="str">
        <f t="array" ref="L364">IF(OR(
    AND('BD Asesor'!H364="Mensual", MATCH($B$2, {"Enero", "Febrero", "Marzo", "Abril", "Mayo", "Junio", "Julio", "Agosto", "Septiembre", "Octubre", "Noviembre", "Diciembre"}, 0)&gt;=1),
    AND('BD Asesor'!H364="Trimestral", MOD(MATCH($B$2, {"Enero", "Febrero", "Marzo", "Abril", "Mayo", "Junio", "Julio", "Agosto", "Septiembre", "Octubre", "Noviembre"}, 0)-MONTH('BD Asesor'!D364), 3)=0),
    AND('BD Asesor'!H364="Semestral", MOD(MATCH($B$2, {"Enero", "Febrero", "Marzo", "Abril", "Mayo", "Junio", "Julio", "Agosto", "Septiembre", "Octubre", "Noviembre"}, 0)-MONTH('BD Asesor'!D364), 6)=0),
    AND('BD Asesor'!H364="Anual", MONTH('BD Asesor'!D364)=MATCH($B$2, {"Enero", "Febrero", "Marzo", "Abril", "Mayo", "Junio", "Julio", "Agosto", "Septiembre", "Octubre", "Noviembre"}, 0))
), 'BD Asesor'!L364, "")
</f>
        <v/>
      </c>
    </row>
    <row r="365">
      <c r="C365" s="84" t="str">
        <f t="array" ref="C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Asesor'!A365, "")
</f>
        <v/>
      </c>
      <c r="D365" s="84" t="str">
        <f t="array" ref="D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Asesor'!B365, "")
</f>
        <v/>
      </c>
      <c r="E365" s="212" t="str">
        <f t="array" ref="E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Asesor'!C365, "")
</f>
        <v/>
      </c>
      <c r="F365" s="212" t="str">
        <f t="array" ref="F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Asesor'!D365, "")
</f>
        <v/>
      </c>
      <c r="G365" s="212" t="str">
        <f t="array" ref="G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Asesor'!E365, "")
</f>
        <v/>
      </c>
      <c r="H365" s="84" t="str">
        <f t="array" ref="H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Asesor'!F365, "")
</f>
        <v/>
      </c>
      <c r="I365" s="84" t="str">
        <f t="array" ref="I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Asesor'!G365, "")
</f>
        <v/>
      </c>
      <c r="J365" s="84" t="str">
        <f t="array" ref="J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Asesor'!H365, "")
</f>
        <v/>
      </c>
      <c r="K365" s="84" t="str">
        <f t="array" ref="K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Asesor'!K365, "")
</f>
        <v/>
      </c>
      <c r="L365" s="84" t="str">
        <f t="array" ref="L365">IF(OR(
    AND('BD Asesor'!H365="Mensual", MATCH($B$2, {"Enero", "Febrero", "Marzo", "Abril", "Mayo", "Junio", "Julio", "Agosto", "Septiembre", "Octubre", "Noviembre", "Diciembre"}, 0)&gt;=1),
    AND('BD Asesor'!H365="Trimestral", MOD(MATCH($B$2, {"Enero", "Febrero", "Marzo", "Abril", "Mayo", "Junio", "Julio", "Agosto", "Septiembre", "Octubre", "Noviembre"}, 0)-MONTH('BD Asesor'!D365), 3)=0),
    AND('BD Asesor'!H365="Semestral", MOD(MATCH($B$2, {"Enero", "Febrero", "Marzo", "Abril", "Mayo", "Junio", "Julio", "Agosto", "Septiembre", "Octubre", "Noviembre"}, 0)-MONTH('BD Asesor'!D365), 6)=0),
    AND('BD Asesor'!H365="Anual", MONTH('BD Asesor'!D365)=MATCH($B$2, {"Enero", "Febrero", "Marzo", "Abril", "Mayo", "Junio", "Julio", "Agosto", "Septiembre", "Octubre", "Noviembre"}, 0))
), 'BD Asesor'!L365, "")
</f>
        <v/>
      </c>
    </row>
    <row r="366">
      <c r="C366" s="84" t="str">
        <f t="array" ref="C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Asesor'!A366, "")
</f>
        <v/>
      </c>
      <c r="D366" s="84" t="str">
        <f t="array" ref="D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Asesor'!B366, "")
</f>
        <v/>
      </c>
      <c r="E366" s="212" t="str">
        <f t="array" ref="E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Asesor'!C366, "")
</f>
        <v/>
      </c>
      <c r="F366" s="212" t="str">
        <f t="array" ref="F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Asesor'!D366, "")
</f>
        <v/>
      </c>
      <c r="G366" s="212" t="str">
        <f t="array" ref="G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Asesor'!E366, "")
</f>
        <v/>
      </c>
      <c r="H366" s="84" t="str">
        <f t="array" ref="H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Asesor'!F366, "")
</f>
        <v/>
      </c>
      <c r="I366" s="84" t="str">
        <f t="array" ref="I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Asesor'!G366, "")
</f>
        <v/>
      </c>
      <c r="J366" s="84" t="str">
        <f t="array" ref="J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Asesor'!H366, "")
</f>
        <v/>
      </c>
      <c r="K366" s="84" t="str">
        <f t="array" ref="K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Asesor'!K366, "")
</f>
        <v/>
      </c>
      <c r="L366" s="84" t="str">
        <f t="array" ref="L366">IF(OR(
    AND('BD Asesor'!H366="Mensual", MATCH($B$2, {"Enero", "Febrero", "Marzo", "Abril", "Mayo", "Junio", "Julio", "Agosto", "Septiembre", "Octubre", "Noviembre", "Diciembre"}, 0)&gt;=1),
    AND('BD Asesor'!H366="Trimestral", MOD(MATCH($B$2, {"Enero", "Febrero", "Marzo", "Abril", "Mayo", "Junio", "Julio", "Agosto", "Septiembre", "Octubre", "Noviembre"}, 0)-MONTH('BD Asesor'!D366), 3)=0),
    AND('BD Asesor'!H366="Semestral", MOD(MATCH($B$2, {"Enero", "Febrero", "Marzo", "Abril", "Mayo", "Junio", "Julio", "Agosto", "Septiembre", "Octubre", "Noviembre"}, 0)-MONTH('BD Asesor'!D366), 6)=0),
    AND('BD Asesor'!H366="Anual", MONTH('BD Asesor'!D366)=MATCH($B$2, {"Enero", "Febrero", "Marzo", "Abril", "Mayo", "Junio", "Julio", "Agosto", "Septiembre", "Octubre", "Noviembre"}, 0))
), 'BD Asesor'!L366, "")
</f>
        <v/>
      </c>
    </row>
    <row r="367">
      <c r="C367" s="84" t="str">
        <f t="array" ref="C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Asesor'!A367, "")
</f>
        <v/>
      </c>
      <c r="D367" s="84" t="str">
        <f t="array" ref="D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Asesor'!B367, "")
</f>
        <v/>
      </c>
      <c r="E367" s="212" t="str">
        <f t="array" ref="E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Asesor'!C367, "")
</f>
        <v/>
      </c>
      <c r="F367" s="212" t="str">
        <f t="array" ref="F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Asesor'!D367, "")
</f>
        <v/>
      </c>
      <c r="G367" s="212" t="str">
        <f t="array" ref="G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Asesor'!E367, "")
</f>
        <v/>
      </c>
      <c r="H367" s="84" t="str">
        <f t="array" ref="H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Asesor'!F367, "")
</f>
        <v/>
      </c>
      <c r="I367" s="84" t="str">
        <f t="array" ref="I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Asesor'!G367, "")
</f>
        <v/>
      </c>
      <c r="J367" s="84" t="str">
        <f t="array" ref="J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Asesor'!H367, "")
</f>
        <v/>
      </c>
      <c r="K367" s="84" t="str">
        <f t="array" ref="K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Asesor'!K367, "")
</f>
        <v/>
      </c>
      <c r="L367" s="84" t="str">
        <f t="array" ref="L367">IF(OR(
    AND('BD Asesor'!H367="Mensual", MATCH($B$2, {"Enero", "Febrero", "Marzo", "Abril", "Mayo", "Junio", "Julio", "Agosto", "Septiembre", "Octubre", "Noviembre", "Diciembre"}, 0)&gt;=1),
    AND('BD Asesor'!H367="Trimestral", MOD(MATCH($B$2, {"Enero", "Febrero", "Marzo", "Abril", "Mayo", "Junio", "Julio", "Agosto", "Septiembre", "Octubre", "Noviembre"}, 0)-MONTH('BD Asesor'!D367), 3)=0),
    AND('BD Asesor'!H367="Semestral", MOD(MATCH($B$2, {"Enero", "Febrero", "Marzo", "Abril", "Mayo", "Junio", "Julio", "Agosto", "Septiembre", "Octubre", "Noviembre"}, 0)-MONTH('BD Asesor'!D367), 6)=0),
    AND('BD Asesor'!H367="Anual", MONTH('BD Asesor'!D367)=MATCH($B$2, {"Enero", "Febrero", "Marzo", "Abril", "Mayo", "Junio", "Julio", "Agosto", "Septiembre", "Octubre", "Noviembre"}, 0))
), 'BD Asesor'!L367, "")
</f>
        <v/>
      </c>
    </row>
    <row r="368">
      <c r="C368" s="84" t="str">
        <f t="array" ref="C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Asesor'!A368, "")
</f>
        <v/>
      </c>
      <c r="D368" s="84" t="str">
        <f t="array" ref="D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Asesor'!B368, "")
</f>
        <v/>
      </c>
      <c r="E368" s="212" t="str">
        <f t="array" ref="E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Asesor'!C368, "")
</f>
        <v/>
      </c>
      <c r="F368" s="212" t="str">
        <f t="array" ref="F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Asesor'!D368, "")
</f>
        <v/>
      </c>
      <c r="G368" s="212" t="str">
        <f t="array" ref="G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Asesor'!E368, "")
</f>
        <v/>
      </c>
      <c r="H368" s="84" t="str">
        <f t="array" ref="H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Asesor'!F368, "")
</f>
        <v/>
      </c>
      <c r="I368" s="84" t="str">
        <f t="array" ref="I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Asesor'!G368, "")
</f>
        <v/>
      </c>
      <c r="J368" s="84" t="str">
        <f t="array" ref="J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Asesor'!H368, "")
</f>
        <v/>
      </c>
      <c r="K368" s="84" t="str">
        <f t="array" ref="K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Asesor'!K368, "")
</f>
        <v/>
      </c>
      <c r="L368" s="84" t="str">
        <f t="array" ref="L368">IF(OR(
    AND('BD Asesor'!H368="Mensual", MATCH($B$2, {"Enero", "Febrero", "Marzo", "Abril", "Mayo", "Junio", "Julio", "Agosto", "Septiembre", "Octubre", "Noviembre", "Diciembre"}, 0)&gt;=1),
    AND('BD Asesor'!H368="Trimestral", MOD(MATCH($B$2, {"Enero", "Febrero", "Marzo", "Abril", "Mayo", "Junio", "Julio", "Agosto", "Septiembre", "Octubre", "Noviembre"}, 0)-MONTH('BD Asesor'!D368), 3)=0),
    AND('BD Asesor'!H368="Semestral", MOD(MATCH($B$2, {"Enero", "Febrero", "Marzo", "Abril", "Mayo", "Junio", "Julio", "Agosto", "Septiembre", "Octubre", "Noviembre"}, 0)-MONTH('BD Asesor'!D368), 6)=0),
    AND('BD Asesor'!H368="Anual", MONTH('BD Asesor'!D368)=MATCH($B$2, {"Enero", "Febrero", "Marzo", "Abril", "Mayo", "Junio", "Julio", "Agosto", "Septiembre", "Octubre", "Noviembre"}, 0))
), 'BD Asesor'!L368, "")
</f>
        <v/>
      </c>
    </row>
    <row r="369">
      <c r="C369" s="84" t="str">
        <f t="array" ref="C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Asesor'!A369, "")
</f>
        <v/>
      </c>
      <c r="D369" s="84" t="str">
        <f t="array" ref="D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Asesor'!B369, "")
</f>
        <v/>
      </c>
      <c r="E369" s="212" t="str">
        <f t="array" ref="E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Asesor'!C369, "")
</f>
        <v/>
      </c>
      <c r="F369" s="212" t="str">
        <f t="array" ref="F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Asesor'!D369, "")
</f>
        <v/>
      </c>
      <c r="G369" s="212" t="str">
        <f t="array" ref="G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Asesor'!E369, "")
</f>
        <v/>
      </c>
      <c r="H369" s="84" t="str">
        <f t="array" ref="H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Asesor'!F369, "")
</f>
        <v/>
      </c>
      <c r="I369" s="84" t="str">
        <f t="array" ref="I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Asesor'!G369, "")
</f>
        <v/>
      </c>
      <c r="J369" s="84" t="str">
        <f t="array" ref="J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Asesor'!H369, "")
</f>
        <v/>
      </c>
      <c r="K369" s="84" t="str">
        <f t="array" ref="K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Asesor'!K369, "")
</f>
        <v/>
      </c>
      <c r="L369" s="84" t="str">
        <f t="array" ref="L369">IF(OR(
    AND('BD Asesor'!H369="Mensual", MATCH($B$2, {"Enero", "Febrero", "Marzo", "Abril", "Mayo", "Junio", "Julio", "Agosto", "Septiembre", "Octubre", "Noviembre", "Diciembre"}, 0)&gt;=1),
    AND('BD Asesor'!H369="Trimestral", MOD(MATCH($B$2, {"Enero", "Febrero", "Marzo", "Abril", "Mayo", "Junio", "Julio", "Agosto", "Septiembre", "Octubre", "Noviembre"}, 0)-MONTH('BD Asesor'!D369), 3)=0),
    AND('BD Asesor'!H369="Semestral", MOD(MATCH($B$2, {"Enero", "Febrero", "Marzo", "Abril", "Mayo", "Junio", "Julio", "Agosto", "Septiembre", "Octubre", "Noviembre"}, 0)-MONTH('BD Asesor'!D369), 6)=0),
    AND('BD Asesor'!H369="Anual", MONTH('BD Asesor'!D369)=MATCH($B$2, {"Enero", "Febrero", "Marzo", "Abril", "Mayo", "Junio", "Julio", "Agosto", "Septiembre", "Octubre", "Noviembre"}, 0))
), 'BD Asesor'!L369, "")
</f>
        <v/>
      </c>
    </row>
    <row r="370">
      <c r="C370" s="84" t="str">
        <f t="array" ref="C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Asesor'!A370, "")
</f>
        <v/>
      </c>
      <c r="D370" s="84" t="str">
        <f t="array" ref="D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Asesor'!B370, "")
</f>
        <v/>
      </c>
      <c r="E370" s="212" t="str">
        <f t="array" ref="E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Asesor'!C370, "")
</f>
        <v/>
      </c>
      <c r="F370" s="212" t="str">
        <f t="array" ref="F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Asesor'!D370, "")
</f>
        <v/>
      </c>
      <c r="G370" s="212" t="str">
        <f t="array" ref="G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Asesor'!E370, "")
</f>
        <v/>
      </c>
      <c r="H370" s="84" t="str">
        <f t="array" ref="H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Asesor'!F370, "")
</f>
        <v/>
      </c>
      <c r="I370" s="84" t="str">
        <f t="array" ref="I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Asesor'!G370, "")
</f>
        <v/>
      </c>
      <c r="J370" s="84" t="str">
        <f t="array" ref="J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Asesor'!H370, "")
</f>
        <v/>
      </c>
      <c r="K370" s="84" t="str">
        <f t="array" ref="K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Asesor'!K370, "")
</f>
        <v/>
      </c>
      <c r="L370" s="84" t="str">
        <f t="array" ref="L370">IF(OR(
    AND('BD Asesor'!H370="Mensual", MATCH($B$2, {"Enero", "Febrero", "Marzo", "Abril", "Mayo", "Junio", "Julio", "Agosto", "Septiembre", "Octubre", "Noviembre", "Diciembre"}, 0)&gt;=1),
    AND('BD Asesor'!H370="Trimestral", MOD(MATCH($B$2, {"Enero", "Febrero", "Marzo", "Abril", "Mayo", "Junio", "Julio", "Agosto", "Septiembre", "Octubre", "Noviembre"}, 0)-MONTH('BD Asesor'!D370), 3)=0),
    AND('BD Asesor'!H370="Semestral", MOD(MATCH($B$2, {"Enero", "Febrero", "Marzo", "Abril", "Mayo", "Junio", "Julio", "Agosto", "Septiembre", "Octubre", "Noviembre"}, 0)-MONTH('BD Asesor'!D370), 6)=0),
    AND('BD Asesor'!H370="Anual", MONTH('BD Asesor'!D370)=MATCH($B$2, {"Enero", "Febrero", "Marzo", "Abril", "Mayo", "Junio", "Julio", "Agosto", "Septiembre", "Octubre", "Noviembre"}, 0))
), 'BD Asesor'!L370, "")
</f>
        <v/>
      </c>
    </row>
    <row r="371">
      <c r="C371" s="84" t="str">
        <f t="array" ref="C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Asesor'!A371, "")
</f>
        <v/>
      </c>
      <c r="D371" s="84" t="str">
        <f t="array" ref="D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Asesor'!B371, "")
</f>
        <v/>
      </c>
      <c r="E371" s="212" t="str">
        <f t="array" ref="E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Asesor'!C371, "")
</f>
        <v/>
      </c>
      <c r="F371" s="212" t="str">
        <f t="array" ref="F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Asesor'!D371, "")
</f>
        <v/>
      </c>
      <c r="G371" s="212" t="str">
        <f t="array" ref="G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Asesor'!E371, "")
</f>
        <v/>
      </c>
      <c r="H371" s="84" t="str">
        <f t="array" ref="H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Asesor'!F371, "")
</f>
        <v/>
      </c>
      <c r="I371" s="84" t="str">
        <f t="array" ref="I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Asesor'!G371, "")
</f>
        <v/>
      </c>
      <c r="J371" s="84" t="str">
        <f t="array" ref="J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Asesor'!H371, "")
</f>
        <v/>
      </c>
      <c r="K371" s="84" t="str">
        <f t="array" ref="K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Asesor'!K371, "")
</f>
        <v/>
      </c>
      <c r="L371" s="84" t="str">
        <f t="array" ref="L371">IF(OR(
    AND('BD Asesor'!H371="Mensual", MATCH($B$2, {"Enero", "Febrero", "Marzo", "Abril", "Mayo", "Junio", "Julio", "Agosto", "Septiembre", "Octubre", "Noviembre", "Diciembre"}, 0)&gt;=1),
    AND('BD Asesor'!H371="Trimestral", MOD(MATCH($B$2, {"Enero", "Febrero", "Marzo", "Abril", "Mayo", "Junio", "Julio", "Agosto", "Septiembre", "Octubre", "Noviembre"}, 0)-MONTH('BD Asesor'!D371), 3)=0),
    AND('BD Asesor'!H371="Semestral", MOD(MATCH($B$2, {"Enero", "Febrero", "Marzo", "Abril", "Mayo", "Junio", "Julio", "Agosto", "Septiembre", "Octubre", "Noviembre"}, 0)-MONTH('BD Asesor'!D371), 6)=0),
    AND('BD Asesor'!H371="Anual", MONTH('BD Asesor'!D371)=MATCH($B$2, {"Enero", "Febrero", "Marzo", "Abril", "Mayo", "Junio", "Julio", "Agosto", "Septiembre", "Octubre", "Noviembre"}, 0))
), 'BD Asesor'!L371, "")
</f>
        <v/>
      </c>
    </row>
    <row r="372">
      <c r="C372" s="84" t="str">
        <f t="array" ref="C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Asesor'!A372, "")
</f>
        <v/>
      </c>
      <c r="D372" s="84" t="str">
        <f t="array" ref="D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Asesor'!B372, "")
</f>
        <v/>
      </c>
      <c r="E372" s="212" t="str">
        <f t="array" ref="E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Asesor'!C372, "")
</f>
        <v/>
      </c>
      <c r="F372" s="212" t="str">
        <f t="array" ref="F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Asesor'!D372, "")
</f>
        <v/>
      </c>
      <c r="G372" s="212" t="str">
        <f t="array" ref="G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Asesor'!E372, "")
</f>
        <v/>
      </c>
      <c r="H372" s="84" t="str">
        <f t="array" ref="H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Asesor'!F372, "")
</f>
        <v/>
      </c>
      <c r="I372" s="84" t="str">
        <f t="array" ref="I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Asesor'!G372, "")
</f>
        <v/>
      </c>
      <c r="J372" s="84" t="str">
        <f t="array" ref="J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Asesor'!H372, "")
</f>
        <v/>
      </c>
      <c r="K372" s="84" t="str">
        <f t="array" ref="K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Asesor'!K372, "")
</f>
        <v/>
      </c>
      <c r="L372" s="84" t="str">
        <f t="array" ref="L372">IF(OR(
    AND('BD Asesor'!H372="Mensual", MATCH($B$2, {"Enero", "Febrero", "Marzo", "Abril", "Mayo", "Junio", "Julio", "Agosto", "Septiembre", "Octubre", "Noviembre", "Diciembre"}, 0)&gt;=1),
    AND('BD Asesor'!H372="Trimestral", MOD(MATCH($B$2, {"Enero", "Febrero", "Marzo", "Abril", "Mayo", "Junio", "Julio", "Agosto", "Septiembre", "Octubre", "Noviembre"}, 0)-MONTH('BD Asesor'!D372), 3)=0),
    AND('BD Asesor'!H372="Semestral", MOD(MATCH($B$2, {"Enero", "Febrero", "Marzo", "Abril", "Mayo", "Junio", "Julio", "Agosto", "Septiembre", "Octubre", "Noviembre"}, 0)-MONTH('BD Asesor'!D372), 6)=0),
    AND('BD Asesor'!H372="Anual", MONTH('BD Asesor'!D372)=MATCH($B$2, {"Enero", "Febrero", "Marzo", "Abril", "Mayo", "Junio", "Julio", "Agosto", "Septiembre", "Octubre", "Noviembre"}, 0))
), 'BD Asesor'!L372, "")
</f>
        <v/>
      </c>
    </row>
    <row r="373">
      <c r="C373" s="84" t="str">
        <f t="array" ref="C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Asesor'!A373, "")
</f>
        <v/>
      </c>
      <c r="D373" s="84" t="str">
        <f t="array" ref="D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Asesor'!B373, "")
</f>
        <v/>
      </c>
      <c r="E373" s="212" t="str">
        <f t="array" ref="E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Asesor'!C373, "")
</f>
        <v/>
      </c>
      <c r="F373" s="212" t="str">
        <f t="array" ref="F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Asesor'!D373, "")
</f>
        <v/>
      </c>
      <c r="G373" s="212" t="str">
        <f t="array" ref="G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Asesor'!E373, "")
</f>
        <v/>
      </c>
      <c r="H373" s="84" t="str">
        <f t="array" ref="H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Asesor'!F373, "")
</f>
        <v/>
      </c>
      <c r="I373" s="84" t="str">
        <f t="array" ref="I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Asesor'!G373, "")
</f>
        <v/>
      </c>
      <c r="J373" s="84" t="str">
        <f t="array" ref="J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Asesor'!H373, "")
</f>
        <v/>
      </c>
      <c r="K373" s="84" t="str">
        <f t="array" ref="K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Asesor'!K373, "")
</f>
        <v/>
      </c>
      <c r="L373" s="84" t="str">
        <f t="array" ref="L373">IF(OR(
    AND('BD Asesor'!H373="Mensual", MATCH($B$2, {"Enero", "Febrero", "Marzo", "Abril", "Mayo", "Junio", "Julio", "Agosto", "Septiembre", "Octubre", "Noviembre", "Diciembre"}, 0)&gt;=1),
    AND('BD Asesor'!H373="Trimestral", MOD(MATCH($B$2, {"Enero", "Febrero", "Marzo", "Abril", "Mayo", "Junio", "Julio", "Agosto", "Septiembre", "Octubre", "Noviembre"}, 0)-MONTH('BD Asesor'!D373), 3)=0),
    AND('BD Asesor'!H373="Semestral", MOD(MATCH($B$2, {"Enero", "Febrero", "Marzo", "Abril", "Mayo", "Junio", "Julio", "Agosto", "Septiembre", "Octubre", "Noviembre"}, 0)-MONTH('BD Asesor'!D373), 6)=0),
    AND('BD Asesor'!H373="Anual", MONTH('BD Asesor'!D373)=MATCH($B$2, {"Enero", "Febrero", "Marzo", "Abril", "Mayo", "Junio", "Julio", "Agosto", "Septiembre", "Octubre", "Noviembre"}, 0))
), 'BD Asesor'!L373, "")
</f>
        <v/>
      </c>
    </row>
    <row r="374">
      <c r="C374" s="84" t="str">
        <f t="array" ref="C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Asesor'!A374, "")
</f>
        <v/>
      </c>
      <c r="D374" s="84" t="str">
        <f t="array" ref="D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Asesor'!B374, "")
</f>
        <v/>
      </c>
      <c r="E374" s="212" t="str">
        <f t="array" ref="E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Asesor'!C374, "")
</f>
        <v/>
      </c>
      <c r="F374" s="212" t="str">
        <f t="array" ref="F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Asesor'!D374, "")
</f>
        <v/>
      </c>
      <c r="G374" s="212" t="str">
        <f t="array" ref="G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Asesor'!E374, "")
</f>
        <v/>
      </c>
      <c r="H374" s="84" t="str">
        <f t="array" ref="H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Asesor'!F374, "")
</f>
        <v/>
      </c>
      <c r="I374" s="84" t="str">
        <f t="array" ref="I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Asesor'!G374, "")
</f>
        <v/>
      </c>
      <c r="J374" s="84" t="str">
        <f t="array" ref="J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Asesor'!H374, "")
</f>
        <v/>
      </c>
      <c r="K374" s="84" t="str">
        <f t="array" ref="K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Asesor'!K374, "")
</f>
        <v/>
      </c>
      <c r="L374" s="84" t="str">
        <f t="array" ref="L374">IF(OR(
    AND('BD Asesor'!H374="Mensual", MATCH($B$2, {"Enero", "Febrero", "Marzo", "Abril", "Mayo", "Junio", "Julio", "Agosto", "Septiembre", "Octubre", "Noviembre", "Diciembre"}, 0)&gt;=1),
    AND('BD Asesor'!H374="Trimestral", MOD(MATCH($B$2, {"Enero", "Febrero", "Marzo", "Abril", "Mayo", "Junio", "Julio", "Agosto", "Septiembre", "Octubre", "Noviembre"}, 0)-MONTH('BD Asesor'!D374), 3)=0),
    AND('BD Asesor'!H374="Semestral", MOD(MATCH($B$2, {"Enero", "Febrero", "Marzo", "Abril", "Mayo", "Junio", "Julio", "Agosto", "Septiembre", "Octubre", "Noviembre"}, 0)-MONTH('BD Asesor'!D374), 6)=0),
    AND('BD Asesor'!H374="Anual", MONTH('BD Asesor'!D374)=MATCH($B$2, {"Enero", "Febrero", "Marzo", "Abril", "Mayo", "Junio", "Julio", "Agosto", "Septiembre", "Octubre", "Noviembre"}, 0))
), 'BD Asesor'!L374, "")
</f>
        <v/>
      </c>
    </row>
    <row r="375">
      <c r="C375" s="84" t="str">
        <f t="array" ref="C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Asesor'!A375, "")
</f>
        <v/>
      </c>
      <c r="D375" s="84" t="str">
        <f t="array" ref="D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Asesor'!B375, "")
</f>
        <v/>
      </c>
      <c r="E375" s="212" t="str">
        <f t="array" ref="E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Asesor'!C375, "")
</f>
        <v/>
      </c>
      <c r="F375" s="212" t="str">
        <f t="array" ref="F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Asesor'!D375, "")
</f>
        <v/>
      </c>
      <c r="G375" s="212" t="str">
        <f t="array" ref="G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Asesor'!E375, "")
</f>
        <v/>
      </c>
      <c r="H375" s="84" t="str">
        <f t="array" ref="H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Asesor'!F375, "")
</f>
        <v/>
      </c>
      <c r="I375" s="84" t="str">
        <f t="array" ref="I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Asesor'!G375, "")
</f>
        <v/>
      </c>
      <c r="J375" s="84" t="str">
        <f t="array" ref="J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Asesor'!H375, "")
</f>
        <v/>
      </c>
      <c r="K375" s="84" t="str">
        <f t="array" ref="K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Asesor'!K375, "")
</f>
        <v/>
      </c>
      <c r="L375" s="84" t="str">
        <f t="array" ref="L375">IF(OR(
    AND('BD Asesor'!H375="Mensual", MATCH($B$2, {"Enero", "Febrero", "Marzo", "Abril", "Mayo", "Junio", "Julio", "Agosto", "Septiembre", "Octubre", "Noviembre", "Diciembre"}, 0)&gt;=1),
    AND('BD Asesor'!H375="Trimestral", MOD(MATCH($B$2, {"Enero", "Febrero", "Marzo", "Abril", "Mayo", "Junio", "Julio", "Agosto", "Septiembre", "Octubre", "Noviembre"}, 0)-MONTH('BD Asesor'!D375), 3)=0),
    AND('BD Asesor'!H375="Semestral", MOD(MATCH($B$2, {"Enero", "Febrero", "Marzo", "Abril", "Mayo", "Junio", "Julio", "Agosto", "Septiembre", "Octubre", "Noviembre"}, 0)-MONTH('BD Asesor'!D375), 6)=0),
    AND('BD Asesor'!H375="Anual", MONTH('BD Asesor'!D375)=MATCH($B$2, {"Enero", "Febrero", "Marzo", "Abril", "Mayo", "Junio", "Julio", "Agosto", "Septiembre", "Octubre", "Noviembre"}, 0))
), 'BD Asesor'!L375, "")
</f>
        <v/>
      </c>
    </row>
    <row r="376">
      <c r="C376" s="84" t="str">
        <f t="array" ref="C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Asesor'!A376, "")
</f>
        <v/>
      </c>
      <c r="D376" s="84" t="str">
        <f t="array" ref="D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Asesor'!B376, "")
</f>
        <v/>
      </c>
      <c r="E376" s="212" t="str">
        <f t="array" ref="E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Asesor'!C376, "")
</f>
        <v/>
      </c>
      <c r="F376" s="212" t="str">
        <f t="array" ref="F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Asesor'!D376, "")
</f>
        <v/>
      </c>
      <c r="G376" s="212" t="str">
        <f t="array" ref="G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Asesor'!E376, "")
</f>
        <v/>
      </c>
      <c r="H376" s="84" t="str">
        <f t="array" ref="H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Asesor'!F376, "")
</f>
        <v/>
      </c>
      <c r="I376" s="84" t="str">
        <f t="array" ref="I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Asesor'!G376, "")
</f>
        <v/>
      </c>
      <c r="J376" s="84" t="str">
        <f t="array" ref="J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Asesor'!H376, "")
</f>
        <v/>
      </c>
      <c r="K376" s="84" t="str">
        <f t="array" ref="K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Asesor'!K376, "")
</f>
        <v/>
      </c>
      <c r="L376" s="84" t="str">
        <f t="array" ref="L376">IF(OR(
    AND('BD Asesor'!H376="Mensual", MATCH($B$2, {"Enero", "Febrero", "Marzo", "Abril", "Mayo", "Junio", "Julio", "Agosto", "Septiembre", "Octubre", "Noviembre", "Diciembre"}, 0)&gt;=1),
    AND('BD Asesor'!H376="Trimestral", MOD(MATCH($B$2, {"Enero", "Febrero", "Marzo", "Abril", "Mayo", "Junio", "Julio", "Agosto", "Septiembre", "Octubre", "Noviembre"}, 0)-MONTH('BD Asesor'!D376), 3)=0),
    AND('BD Asesor'!H376="Semestral", MOD(MATCH($B$2, {"Enero", "Febrero", "Marzo", "Abril", "Mayo", "Junio", "Julio", "Agosto", "Septiembre", "Octubre", "Noviembre"}, 0)-MONTH('BD Asesor'!D376), 6)=0),
    AND('BD Asesor'!H376="Anual", MONTH('BD Asesor'!D376)=MATCH($B$2, {"Enero", "Febrero", "Marzo", "Abril", "Mayo", "Junio", "Julio", "Agosto", "Septiembre", "Octubre", "Noviembre"}, 0))
), 'BD Asesor'!L376, "")
</f>
        <v/>
      </c>
    </row>
    <row r="377">
      <c r="C377" s="84" t="str">
        <f t="array" ref="C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Asesor'!A377, "")
</f>
        <v/>
      </c>
      <c r="D377" s="84" t="str">
        <f t="array" ref="D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Asesor'!B377, "")
</f>
        <v/>
      </c>
      <c r="E377" s="212" t="str">
        <f t="array" ref="E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Asesor'!C377, "")
</f>
        <v/>
      </c>
      <c r="F377" s="212" t="str">
        <f t="array" ref="F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Asesor'!D377, "")
</f>
        <v/>
      </c>
      <c r="G377" s="212" t="str">
        <f t="array" ref="G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Asesor'!E377, "")
</f>
        <v/>
      </c>
      <c r="H377" s="84" t="str">
        <f t="array" ref="H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Asesor'!F377, "")
</f>
        <v/>
      </c>
      <c r="I377" s="84" t="str">
        <f t="array" ref="I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Asesor'!G377, "")
</f>
        <v/>
      </c>
      <c r="J377" s="84" t="str">
        <f t="array" ref="J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Asesor'!H377, "")
</f>
        <v/>
      </c>
      <c r="K377" s="84" t="str">
        <f t="array" ref="K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Asesor'!K377, "")
</f>
        <v/>
      </c>
      <c r="L377" s="84" t="str">
        <f t="array" ref="L377">IF(OR(
    AND('BD Asesor'!H377="Mensual", MATCH($B$2, {"Enero", "Febrero", "Marzo", "Abril", "Mayo", "Junio", "Julio", "Agosto", "Septiembre", "Octubre", "Noviembre", "Diciembre"}, 0)&gt;=1),
    AND('BD Asesor'!H377="Trimestral", MOD(MATCH($B$2, {"Enero", "Febrero", "Marzo", "Abril", "Mayo", "Junio", "Julio", "Agosto", "Septiembre", "Octubre", "Noviembre"}, 0)-MONTH('BD Asesor'!D377), 3)=0),
    AND('BD Asesor'!H377="Semestral", MOD(MATCH($B$2, {"Enero", "Febrero", "Marzo", "Abril", "Mayo", "Junio", "Julio", "Agosto", "Septiembre", "Octubre", "Noviembre"}, 0)-MONTH('BD Asesor'!D377), 6)=0),
    AND('BD Asesor'!H377="Anual", MONTH('BD Asesor'!D377)=MATCH($B$2, {"Enero", "Febrero", "Marzo", "Abril", "Mayo", "Junio", "Julio", "Agosto", "Septiembre", "Octubre", "Noviembre"}, 0))
), 'BD Asesor'!L377, "")
</f>
        <v/>
      </c>
    </row>
    <row r="378">
      <c r="C378" s="84" t="str">
        <f t="array" ref="C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Asesor'!A378, "")
</f>
        <v/>
      </c>
      <c r="D378" s="84" t="str">
        <f t="array" ref="D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Asesor'!B378, "")
</f>
        <v/>
      </c>
      <c r="E378" s="212" t="str">
        <f t="array" ref="E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Asesor'!C378, "")
</f>
        <v/>
      </c>
      <c r="F378" s="212" t="str">
        <f t="array" ref="F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Asesor'!D378, "")
</f>
        <v/>
      </c>
      <c r="G378" s="212" t="str">
        <f t="array" ref="G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Asesor'!E378, "")
</f>
        <v/>
      </c>
      <c r="H378" s="84" t="str">
        <f t="array" ref="H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Asesor'!F378, "")
</f>
        <v/>
      </c>
      <c r="I378" s="84" t="str">
        <f t="array" ref="I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Asesor'!G378, "")
</f>
        <v/>
      </c>
      <c r="J378" s="84" t="str">
        <f t="array" ref="J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Asesor'!H378, "")
</f>
        <v/>
      </c>
      <c r="K378" s="84" t="str">
        <f t="array" ref="K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Asesor'!K378, "")
</f>
        <v/>
      </c>
      <c r="L378" s="84" t="str">
        <f t="array" ref="L378">IF(OR(
    AND('BD Asesor'!H378="Mensual", MATCH($B$2, {"Enero", "Febrero", "Marzo", "Abril", "Mayo", "Junio", "Julio", "Agosto", "Septiembre", "Octubre", "Noviembre", "Diciembre"}, 0)&gt;=1),
    AND('BD Asesor'!H378="Trimestral", MOD(MATCH($B$2, {"Enero", "Febrero", "Marzo", "Abril", "Mayo", "Junio", "Julio", "Agosto", "Septiembre", "Octubre", "Noviembre"}, 0)-MONTH('BD Asesor'!D378), 3)=0),
    AND('BD Asesor'!H378="Semestral", MOD(MATCH($B$2, {"Enero", "Febrero", "Marzo", "Abril", "Mayo", "Junio", "Julio", "Agosto", "Septiembre", "Octubre", "Noviembre"}, 0)-MONTH('BD Asesor'!D378), 6)=0),
    AND('BD Asesor'!H378="Anual", MONTH('BD Asesor'!D378)=MATCH($B$2, {"Enero", "Febrero", "Marzo", "Abril", "Mayo", "Junio", "Julio", "Agosto", "Septiembre", "Octubre", "Noviembre"}, 0))
), 'BD Asesor'!L378, "")
</f>
        <v/>
      </c>
    </row>
    <row r="379">
      <c r="C379" s="84" t="str">
        <f t="array" ref="C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Asesor'!A379, "")
</f>
        <v/>
      </c>
      <c r="D379" s="84" t="str">
        <f t="array" ref="D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Asesor'!B379, "")
</f>
        <v/>
      </c>
      <c r="E379" s="212" t="str">
        <f t="array" ref="E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Asesor'!C379, "")
</f>
        <v/>
      </c>
      <c r="F379" s="212" t="str">
        <f t="array" ref="F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Asesor'!D379, "")
</f>
        <v/>
      </c>
      <c r="G379" s="212" t="str">
        <f t="array" ref="G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Asesor'!E379, "")
</f>
        <v/>
      </c>
      <c r="H379" s="84" t="str">
        <f t="array" ref="H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Asesor'!F379, "")
</f>
        <v/>
      </c>
      <c r="I379" s="84" t="str">
        <f t="array" ref="I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Asesor'!G379, "")
</f>
        <v/>
      </c>
      <c r="J379" s="84" t="str">
        <f t="array" ref="J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Asesor'!H379, "")
</f>
        <v/>
      </c>
      <c r="K379" s="84" t="str">
        <f t="array" ref="K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Asesor'!K379, "")
</f>
        <v/>
      </c>
      <c r="L379" s="84" t="str">
        <f t="array" ref="L379">IF(OR(
    AND('BD Asesor'!H379="Mensual", MATCH($B$2, {"Enero", "Febrero", "Marzo", "Abril", "Mayo", "Junio", "Julio", "Agosto", "Septiembre", "Octubre", "Noviembre", "Diciembre"}, 0)&gt;=1),
    AND('BD Asesor'!H379="Trimestral", MOD(MATCH($B$2, {"Enero", "Febrero", "Marzo", "Abril", "Mayo", "Junio", "Julio", "Agosto", "Septiembre", "Octubre", "Noviembre"}, 0)-MONTH('BD Asesor'!D379), 3)=0),
    AND('BD Asesor'!H379="Semestral", MOD(MATCH($B$2, {"Enero", "Febrero", "Marzo", "Abril", "Mayo", "Junio", "Julio", "Agosto", "Septiembre", "Octubre", "Noviembre"}, 0)-MONTH('BD Asesor'!D379), 6)=0),
    AND('BD Asesor'!H379="Anual", MONTH('BD Asesor'!D379)=MATCH($B$2, {"Enero", "Febrero", "Marzo", "Abril", "Mayo", "Junio", "Julio", "Agosto", "Septiembre", "Octubre", "Noviembre"}, 0))
), 'BD Asesor'!L379, "")
</f>
        <v/>
      </c>
    </row>
    <row r="380">
      <c r="C380" s="84" t="str">
        <f t="array" ref="C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Asesor'!A380, "")
</f>
        <v/>
      </c>
      <c r="D380" s="84" t="str">
        <f t="array" ref="D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Asesor'!B380, "")
</f>
        <v/>
      </c>
      <c r="E380" s="212" t="str">
        <f t="array" ref="E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Asesor'!C380, "")
</f>
        <v/>
      </c>
      <c r="F380" s="212" t="str">
        <f t="array" ref="F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Asesor'!D380, "")
</f>
        <v/>
      </c>
      <c r="G380" s="212" t="str">
        <f t="array" ref="G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Asesor'!E380, "")
</f>
        <v/>
      </c>
      <c r="H380" s="84" t="str">
        <f t="array" ref="H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Asesor'!F380, "")
</f>
        <v/>
      </c>
      <c r="I380" s="84" t="str">
        <f t="array" ref="I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Asesor'!G380, "")
</f>
        <v/>
      </c>
      <c r="J380" s="84" t="str">
        <f t="array" ref="J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Asesor'!H380, "")
</f>
        <v/>
      </c>
      <c r="K380" s="84" t="str">
        <f t="array" ref="K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Asesor'!K380, "")
</f>
        <v/>
      </c>
      <c r="L380" s="84" t="str">
        <f t="array" ref="L380">IF(OR(
    AND('BD Asesor'!H380="Mensual", MATCH($B$2, {"Enero", "Febrero", "Marzo", "Abril", "Mayo", "Junio", "Julio", "Agosto", "Septiembre", "Octubre", "Noviembre", "Diciembre"}, 0)&gt;=1),
    AND('BD Asesor'!H380="Trimestral", MOD(MATCH($B$2, {"Enero", "Febrero", "Marzo", "Abril", "Mayo", "Junio", "Julio", "Agosto", "Septiembre", "Octubre", "Noviembre"}, 0)-MONTH('BD Asesor'!D380), 3)=0),
    AND('BD Asesor'!H380="Semestral", MOD(MATCH($B$2, {"Enero", "Febrero", "Marzo", "Abril", "Mayo", "Junio", "Julio", "Agosto", "Septiembre", "Octubre", "Noviembre"}, 0)-MONTH('BD Asesor'!D380), 6)=0),
    AND('BD Asesor'!H380="Anual", MONTH('BD Asesor'!D380)=MATCH($B$2, {"Enero", "Febrero", "Marzo", "Abril", "Mayo", "Junio", "Julio", "Agosto", "Septiembre", "Octubre", "Noviembre"}, 0))
), 'BD Asesor'!L380, "")
</f>
        <v/>
      </c>
    </row>
    <row r="381">
      <c r="C381" s="84" t="str">
        <f t="array" ref="C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Asesor'!A381, "")
</f>
        <v/>
      </c>
      <c r="D381" s="84" t="str">
        <f t="array" ref="D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Asesor'!B381, "")
</f>
        <v/>
      </c>
      <c r="E381" s="212" t="str">
        <f t="array" ref="E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Asesor'!C381, "")
</f>
        <v/>
      </c>
      <c r="F381" s="212" t="str">
        <f t="array" ref="F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Asesor'!D381, "")
</f>
        <v/>
      </c>
      <c r="G381" s="212" t="str">
        <f t="array" ref="G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Asesor'!E381, "")
</f>
        <v/>
      </c>
      <c r="H381" s="84" t="str">
        <f t="array" ref="H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Asesor'!F381, "")
</f>
        <v/>
      </c>
      <c r="I381" s="84" t="str">
        <f t="array" ref="I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Asesor'!G381, "")
</f>
        <v/>
      </c>
      <c r="J381" s="84" t="str">
        <f t="array" ref="J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Asesor'!H381, "")
</f>
        <v/>
      </c>
      <c r="K381" s="84" t="str">
        <f t="array" ref="K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Asesor'!K381, "")
</f>
        <v/>
      </c>
      <c r="L381" s="84" t="str">
        <f t="array" ref="L381">IF(OR(
    AND('BD Asesor'!H381="Mensual", MATCH($B$2, {"Enero", "Febrero", "Marzo", "Abril", "Mayo", "Junio", "Julio", "Agosto", "Septiembre", "Octubre", "Noviembre", "Diciembre"}, 0)&gt;=1),
    AND('BD Asesor'!H381="Trimestral", MOD(MATCH($B$2, {"Enero", "Febrero", "Marzo", "Abril", "Mayo", "Junio", "Julio", "Agosto", "Septiembre", "Octubre", "Noviembre"}, 0)-MONTH('BD Asesor'!D381), 3)=0),
    AND('BD Asesor'!H381="Semestral", MOD(MATCH($B$2, {"Enero", "Febrero", "Marzo", "Abril", "Mayo", "Junio", "Julio", "Agosto", "Septiembre", "Octubre", "Noviembre"}, 0)-MONTH('BD Asesor'!D381), 6)=0),
    AND('BD Asesor'!H381="Anual", MONTH('BD Asesor'!D381)=MATCH($B$2, {"Enero", "Febrero", "Marzo", "Abril", "Mayo", "Junio", "Julio", "Agosto", "Septiembre", "Octubre", "Noviembre"}, 0))
), 'BD Asesor'!L381, "")
</f>
        <v/>
      </c>
    </row>
    <row r="382">
      <c r="C382" s="84" t="str">
        <f t="array" ref="C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Asesor'!A382, "")
</f>
        <v/>
      </c>
      <c r="D382" s="84" t="str">
        <f t="array" ref="D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Asesor'!B382, "")
</f>
        <v/>
      </c>
      <c r="E382" s="212" t="str">
        <f t="array" ref="E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Asesor'!C382, "")
</f>
        <v/>
      </c>
      <c r="F382" s="212" t="str">
        <f t="array" ref="F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Asesor'!D382, "")
</f>
        <v/>
      </c>
      <c r="G382" s="212" t="str">
        <f t="array" ref="G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Asesor'!E382, "")
</f>
        <v/>
      </c>
      <c r="H382" s="84" t="str">
        <f t="array" ref="H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Asesor'!F382, "")
</f>
        <v/>
      </c>
      <c r="I382" s="84" t="str">
        <f t="array" ref="I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Asesor'!G382, "")
</f>
        <v/>
      </c>
      <c r="J382" s="84" t="str">
        <f t="array" ref="J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Asesor'!H382, "")
</f>
        <v/>
      </c>
      <c r="K382" s="84" t="str">
        <f t="array" ref="K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Asesor'!K382, "")
</f>
        <v/>
      </c>
      <c r="L382" s="84" t="str">
        <f t="array" ref="L382">IF(OR(
    AND('BD Asesor'!H382="Mensual", MATCH($B$2, {"Enero", "Febrero", "Marzo", "Abril", "Mayo", "Junio", "Julio", "Agosto", "Septiembre", "Octubre", "Noviembre", "Diciembre"}, 0)&gt;=1),
    AND('BD Asesor'!H382="Trimestral", MOD(MATCH($B$2, {"Enero", "Febrero", "Marzo", "Abril", "Mayo", "Junio", "Julio", "Agosto", "Septiembre", "Octubre", "Noviembre"}, 0)-MONTH('BD Asesor'!D382), 3)=0),
    AND('BD Asesor'!H382="Semestral", MOD(MATCH($B$2, {"Enero", "Febrero", "Marzo", "Abril", "Mayo", "Junio", "Julio", "Agosto", "Septiembre", "Octubre", "Noviembre"}, 0)-MONTH('BD Asesor'!D382), 6)=0),
    AND('BD Asesor'!H382="Anual", MONTH('BD Asesor'!D382)=MATCH($B$2, {"Enero", "Febrero", "Marzo", "Abril", "Mayo", "Junio", "Julio", "Agosto", "Septiembre", "Octubre", "Noviembre"}, 0))
), 'BD Asesor'!L382, "")
</f>
        <v/>
      </c>
    </row>
    <row r="383">
      <c r="C383" s="84" t="str">
        <f t="array" ref="C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Asesor'!A383, "")
</f>
        <v/>
      </c>
      <c r="D383" s="84" t="str">
        <f t="array" ref="D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Asesor'!B383, "")
</f>
        <v/>
      </c>
      <c r="E383" s="212" t="str">
        <f t="array" ref="E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Asesor'!C383, "")
</f>
        <v/>
      </c>
      <c r="F383" s="212" t="str">
        <f t="array" ref="F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Asesor'!D383, "")
</f>
        <v/>
      </c>
      <c r="G383" s="212" t="str">
        <f t="array" ref="G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Asesor'!E383, "")
</f>
        <v/>
      </c>
      <c r="H383" s="84" t="str">
        <f t="array" ref="H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Asesor'!F383, "")
</f>
        <v/>
      </c>
      <c r="I383" s="84" t="str">
        <f t="array" ref="I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Asesor'!G383, "")
</f>
        <v/>
      </c>
      <c r="J383" s="84" t="str">
        <f t="array" ref="J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Asesor'!H383, "")
</f>
        <v/>
      </c>
      <c r="K383" s="84" t="str">
        <f t="array" ref="K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Asesor'!K383, "")
</f>
        <v/>
      </c>
      <c r="L383" s="84" t="str">
        <f t="array" ref="L383">IF(OR(
    AND('BD Asesor'!H383="Mensual", MATCH($B$2, {"Enero", "Febrero", "Marzo", "Abril", "Mayo", "Junio", "Julio", "Agosto", "Septiembre", "Octubre", "Noviembre", "Diciembre"}, 0)&gt;=1),
    AND('BD Asesor'!H383="Trimestral", MOD(MATCH($B$2, {"Enero", "Febrero", "Marzo", "Abril", "Mayo", "Junio", "Julio", "Agosto", "Septiembre", "Octubre", "Noviembre"}, 0)-MONTH('BD Asesor'!D383), 3)=0),
    AND('BD Asesor'!H383="Semestral", MOD(MATCH($B$2, {"Enero", "Febrero", "Marzo", "Abril", "Mayo", "Junio", "Julio", "Agosto", "Septiembre", "Octubre", "Noviembre"}, 0)-MONTH('BD Asesor'!D383), 6)=0),
    AND('BD Asesor'!H383="Anual", MONTH('BD Asesor'!D383)=MATCH($B$2, {"Enero", "Febrero", "Marzo", "Abril", "Mayo", "Junio", "Julio", "Agosto", "Septiembre", "Octubre", "Noviembre"}, 0))
), 'BD Asesor'!L383, "")
</f>
        <v/>
      </c>
    </row>
    <row r="384">
      <c r="C384" s="84" t="str">
        <f t="array" ref="C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Asesor'!A384, "")
</f>
        <v/>
      </c>
      <c r="D384" s="84" t="str">
        <f t="array" ref="D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Asesor'!B384, "")
</f>
        <v/>
      </c>
      <c r="E384" s="212" t="str">
        <f t="array" ref="E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Asesor'!C384, "")
</f>
        <v/>
      </c>
      <c r="F384" s="212" t="str">
        <f t="array" ref="F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Asesor'!D384, "")
</f>
        <v/>
      </c>
      <c r="G384" s="212" t="str">
        <f t="array" ref="G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Asesor'!E384, "")
</f>
        <v/>
      </c>
      <c r="H384" s="84" t="str">
        <f t="array" ref="H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Asesor'!F384, "")
</f>
        <v/>
      </c>
      <c r="I384" s="84" t="str">
        <f t="array" ref="I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Asesor'!G384, "")
</f>
        <v/>
      </c>
      <c r="J384" s="84" t="str">
        <f t="array" ref="J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Asesor'!H384, "")
</f>
        <v/>
      </c>
      <c r="K384" s="84" t="str">
        <f t="array" ref="K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Asesor'!K384, "")
</f>
        <v/>
      </c>
      <c r="L384" s="84" t="str">
        <f t="array" ref="L384">IF(OR(
    AND('BD Asesor'!H384="Mensual", MATCH($B$2, {"Enero", "Febrero", "Marzo", "Abril", "Mayo", "Junio", "Julio", "Agosto", "Septiembre", "Octubre", "Noviembre", "Diciembre"}, 0)&gt;=1),
    AND('BD Asesor'!H384="Trimestral", MOD(MATCH($B$2, {"Enero", "Febrero", "Marzo", "Abril", "Mayo", "Junio", "Julio", "Agosto", "Septiembre", "Octubre", "Noviembre"}, 0)-MONTH('BD Asesor'!D384), 3)=0),
    AND('BD Asesor'!H384="Semestral", MOD(MATCH($B$2, {"Enero", "Febrero", "Marzo", "Abril", "Mayo", "Junio", "Julio", "Agosto", "Septiembre", "Octubre", "Noviembre"}, 0)-MONTH('BD Asesor'!D384), 6)=0),
    AND('BD Asesor'!H384="Anual", MONTH('BD Asesor'!D384)=MATCH($B$2, {"Enero", "Febrero", "Marzo", "Abril", "Mayo", "Junio", "Julio", "Agosto", "Septiembre", "Octubre", "Noviembre"}, 0))
), 'BD Asesor'!L384, "")
</f>
        <v/>
      </c>
    </row>
    <row r="385">
      <c r="C385" s="84" t="str">
        <f t="array" ref="C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Asesor'!A385, "")
</f>
        <v/>
      </c>
      <c r="D385" s="84" t="str">
        <f t="array" ref="D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Asesor'!B385, "")
</f>
        <v/>
      </c>
      <c r="E385" s="212" t="str">
        <f t="array" ref="E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Asesor'!C385, "")
</f>
        <v/>
      </c>
      <c r="F385" s="212" t="str">
        <f t="array" ref="F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Asesor'!D385, "")
</f>
        <v/>
      </c>
      <c r="G385" s="212" t="str">
        <f t="array" ref="G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Asesor'!E385, "")
</f>
        <v/>
      </c>
      <c r="H385" s="84" t="str">
        <f t="array" ref="H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Asesor'!F385, "")
</f>
        <v/>
      </c>
      <c r="I385" s="84" t="str">
        <f t="array" ref="I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Asesor'!G385, "")
</f>
        <v/>
      </c>
      <c r="J385" s="84" t="str">
        <f t="array" ref="J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Asesor'!H385, "")
</f>
        <v/>
      </c>
      <c r="K385" s="84" t="str">
        <f t="array" ref="K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Asesor'!K385, "")
</f>
        <v/>
      </c>
      <c r="L385" s="84" t="str">
        <f t="array" ref="L385">IF(OR(
    AND('BD Asesor'!H385="Mensual", MATCH($B$2, {"Enero", "Febrero", "Marzo", "Abril", "Mayo", "Junio", "Julio", "Agosto", "Septiembre", "Octubre", "Noviembre", "Diciembre"}, 0)&gt;=1),
    AND('BD Asesor'!H385="Trimestral", MOD(MATCH($B$2, {"Enero", "Febrero", "Marzo", "Abril", "Mayo", "Junio", "Julio", "Agosto", "Septiembre", "Octubre", "Noviembre"}, 0)-MONTH('BD Asesor'!D385), 3)=0),
    AND('BD Asesor'!H385="Semestral", MOD(MATCH($B$2, {"Enero", "Febrero", "Marzo", "Abril", "Mayo", "Junio", "Julio", "Agosto", "Septiembre", "Octubre", "Noviembre"}, 0)-MONTH('BD Asesor'!D385), 6)=0),
    AND('BD Asesor'!H385="Anual", MONTH('BD Asesor'!D385)=MATCH($B$2, {"Enero", "Febrero", "Marzo", "Abril", "Mayo", "Junio", "Julio", "Agosto", "Septiembre", "Octubre", "Noviembre"}, 0))
), 'BD Asesor'!L385, "")
</f>
        <v/>
      </c>
    </row>
    <row r="386">
      <c r="C386" s="84" t="str">
        <f t="array" ref="C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Asesor'!A386, "")
</f>
        <v/>
      </c>
      <c r="D386" s="84" t="str">
        <f t="array" ref="D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Asesor'!B386, "")
</f>
        <v/>
      </c>
      <c r="E386" s="212" t="str">
        <f t="array" ref="E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Asesor'!C386, "")
</f>
        <v/>
      </c>
      <c r="F386" s="212" t="str">
        <f t="array" ref="F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Asesor'!D386, "")
</f>
        <v/>
      </c>
      <c r="G386" s="212" t="str">
        <f t="array" ref="G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Asesor'!E386, "")
</f>
        <v/>
      </c>
      <c r="H386" s="84" t="str">
        <f t="array" ref="H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Asesor'!F386, "")
</f>
        <v/>
      </c>
      <c r="I386" s="84" t="str">
        <f t="array" ref="I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Asesor'!G386, "")
</f>
        <v/>
      </c>
      <c r="J386" s="84" t="str">
        <f t="array" ref="J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Asesor'!H386, "")
</f>
        <v/>
      </c>
      <c r="K386" s="84" t="str">
        <f t="array" ref="K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Asesor'!K386, "")
</f>
        <v/>
      </c>
      <c r="L386" s="84" t="str">
        <f t="array" ref="L386">IF(OR(
    AND('BD Asesor'!H386="Mensual", MATCH($B$2, {"Enero", "Febrero", "Marzo", "Abril", "Mayo", "Junio", "Julio", "Agosto", "Septiembre", "Octubre", "Noviembre", "Diciembre"}, 0)&gt;=1),
    AND('BD Asesor'!H386="Trimestral", MOD(MATCH($B$2, {"Enero", "Febrero", "Marzo", "Abril", "Mayo", "Junio", "Julio", "Agosto", "Septiembre", "Octubre", "Noviembre"}, 0)-MONTH('BD Asesor'!D386), 3)=0),
    AND('BD Asesor'!H386="Semestral", MOD(MATCH($B$2, {"Enero", "Febrero", "Marzo", "Abril", "Mayo", "Junio", "Julio", "Agosto", "Septiembre", "Octubre", "Noviembre"}, 0)-MONTH('BD Asesor'!D386), 6)=0),
    AND('BD Asesor'!H386="Anual", MONTH('BD Asesor'!D386)=MATCH($B$2, {"Enero", "Febrero", "Marzo", "Abril", "Mayo", "Junio", "Julio", "Agosto", "Septiembre", "Octubre", "Noviembre"}, 0))
), 'BD Asesor'!L386, "")
</f>
        <v/>
      </c>
    </row>
    <row r="387">
      <c r="C387" s="84" t="str">
        <f t="array" ref="C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Asesor'!A387, "")
</f>
        <v/>
      </c>
      <c r="D387" s="84" t="str">
        <f t="array" ref="D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Asesor'!B387, "")
</f>
        <v/>
      </c>
      <c r="E387" s="212" t="str">
        <f t="array" ref="E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Asesor'!C387, "")
</f>
        <v/>
      </c>
      <c r="F387" s="212" t="str">
        <f t="array" ref="F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Asesor'!D387, "")
</f>
        <v/>
      </c>
      <c r="G387" s="212" t="str">
        <f t="array" ref="G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Asesor'!E387, "")
</f>
        <v/>
      </c>
      <c r="H387" s="84" t="str">
        <f t="array" ref="H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Asesor'!F387, "")
</f>
        <v/>
      </c>
      <c r="I387" s="84" t="str">
        <f t="array" ref="I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Asesor'!G387, "")
</f>
        <v/>
      </c>
      <c r="J387" s="84" t="str">
        <f t="array" ref="J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Asesor'!H387, "")
</f>
        <v/>
      </c>
      <c r="K387" s="84" t="str">
        <f t="array" ref="K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Asesor'!K387, "")
</f>
        <v/>
      </c>
      <c r="L387" s="84" t="str">
        <f t="array" ref="L387">IF(OR(
    AND('BD Asesor'!H387="Mensual", MATCH($B$2, {"Enero", "Febrero", "Marzo", "Abril", "Mayo", "Junio", "Julio", "Agosto", "Septiembre", "Octubre", "Noviembre", "Diciembre"}, 0)&gt;=1),
    AND('BD Asesor'!H387="Trimestral", MOD(MATCH($B$2, {"Enero", "Febrero", "Marzo", "Abril", "Mayo", "Junio", "Julio", "Agosto", "Septiembre", "Octubre", "Noviembre"}, 0)-MONTH('BD Asesor'!D387), 3)=0),
    AND('BD Asesor'!H387="Semestral", MOD(MATCH($B$2, {"Enero", "Febrero", "Marzo", "Abril", "Mayo", "Junio", "Julio", "Agosto", "Septiembre", "Octubre", "Noviembre"}, 0)-MONTH('BD Asesor'!D387), 6)=0),
    AND('BD Asesor'!H387="Anual", MONTH('BD Asesor'!D387)=MATCH($B$2, {"Enero", "Febrero", "Marzo", "Abril", "Mayo", "Junio", "Julio", "Agosto", "Septiembre", "Octubre", "Noviembre"}, 0))
), 'BD Asesor'!L387, "")
</f>
        <v/>
      </c>
    </row>
    <row r="388">
      <c r="C388" s="84" t="str">
        <f t="array" ref="C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Asesor'!A388, "")
</f>
        <v/>
      </c>
      <c r="D388" s="84" t="str">
        <f t="array" ref="D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Asesor'!B388, "")
</f>
        <v/>
      </c>
      <c r="E388" s="212" t="str">
        <f t="array" ref="E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Asesor'!C388, "")
</f>
        <v/>
      </c>
      <c r="F388" s="212" t="str">
        <f t="array" ref="F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Asesor'!D388, "")
</f>
        <v/>
      </c>
      <c r="G388" s="212" t="str">
        <f t="array" ref="G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Asesor'!E388, "")
</f>
        <v/>
      </c>
      <c r="H388" s="84" t="str">
        <f t="array" ref="H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Asesor'!F388, "")
</f>
        <v/>
      </c>
      <c r="I388" s="84" t="str">
        <f t="array" ref="I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Asesor'!G388, "")
</f>
        <v/>
      </c>
      <c r="J388" s="84" t="str">
        <f t="array" ref="J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Asesor'!H388, "")
</f>
        <v/>
      </c>
      <c r="K388" s="84" t="str">
        <f t="array" ref="K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Asesor'!K388, "")
</f>
        <v/>
      </c>
      <c r="L388" s="84" t="str">
        <f t="array" ref="L388">IF(OR(
    AND('BD Asesor'!H388="Mensual", MATCH($B$2, {"Enero", "Febrero", "Marzo", "Abril", "Mayo", "Junio", "Julio", "Agosto", "Septiembre", "Octubre", "Noviembre", "Diciembre"}, 0)&gt;=1),
    AND('BD Asesor'!H388="Trimestral", MOD(MATCH($B$2, {"Enero", "Febrero", "Marzo", "Abril", "Mayo", "Junio", "Julio", "Agosto", "Septiembre", "Octubre", "Noviembre"}, 0)-MONTH('BD Asesor'!D388), 3)=0),
    AND('BD Asesor'!H388="Semestral", MOD(MATCH($B$2, {"Enero", "Febrero", "Marzo", "Abril", "Mayo", "Junio", "Julio", "Agosto", "Septiembre", "Octubre", "Noviembre"}, 0)-MONTH('BD Asesor'!D388), 6)=0),
    AND('BD Asesor'!H388="Anual", MONTH('BD Asesor'!D388)=MATCH($B$2, {"Enero", "Febrero", "Marzo", "Abril", "Mayo", "Junio", "Julio", "Agosto", "Septiembre", "Octubre", "Noviembre"}, 0))
), 'BD Asesor'!L388, "")
</f>
        <v/>
      </c>
    </row>
    <row r="389">
      <c r="C389" s="84" t="str">
        <f t="array" ref="C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Asesor'!A389, "")
</f>
        <v/>
      </c>
      <c r="D389" s="84" t="str">
        <f t="array" ref="D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Asesor'!B389, "")
</f>
        <v/>
      </c>
      <c r="E389" s="212" t="str">
        <f t="array" ref="E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Asesor'!C389, "")
</f>
        <v/>
      </c>
      <c r="F389" s="212" t="str">
        <f t="array" ref="F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Asesor'!D389, "")
</f>
        <v/>
      </c>
      <c r="G389" s="212" t="str">
        <f t="array" ref="G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Asesor'!E389, "")
</f>
        <v/>
      </c>
      <c r="H389" s="84" t="str">
        <f t="array" ref="H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Asesor'!F389, "")
</f>
        <v/>
      </c>
      <c r="I389" s="84" t="str">
        <f t="array" ref="I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Asesor'!G389, "")
</f>
        <v/>
      </c>
      <c r="J389" s="84" t="str">
        <f t="array" ref="J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Asesor'!H389, "")
</f>
        <v/>
      </c>
      <c r="K389" s="84" t="str">
        <f t="array" ref="K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Asesor'!K389, "")
</f>
        <v/>
      </c>
      <c r="L389" s="84" t="str">
        <f t="array" ref="L389">IF(OR(
    AND('BD Asesor'!H389="Mensual", MATCH($B$2, {"Enero", "Febrero", "Marzo", "Abril", "Mayo", "Junio", "Julio", "Agosto", "Septiembre", "Octubre", "Noviembre", "Diciembre"}, 0)&gt;=1),
    AND('BD Asesor'!H389="Trimestral", MOD(MATCH($B$2, {"Enero", "Febrero", "Marzo", "Abril", "Mayo", "Junio", "Julio", "Agosto", "Septiembre", "Octubre", "Noviembre"}, 0)-MONTH('BD Asesor'!D389), 3)=0),
    AND('BD Asesor'!H389="Semestral", MOD(MATCH($B$2, {"Enero", "Febrero", "Marzo", "Abril", "Mayo", "Junio", "Julio", "Agosto", "Septiembre", "Octubre", "Noviembre"}, 0)-MONTH('BD Asesor'!D389), 6)=0),
    AND('BD Asesor'!H389="Anual", MONTH('BD Asesor'!D389)=MATCH($B$2, {"Enero", "Febrero", "Marzo", "Abril", "Mayo", "Junio", "Julio", "Agosto", "Septiembre", "Octubre", "Noviembre"}, 0))
), 'BD Asesor'!L389, "")
</f>
        <v/>
      </c>
    </row>
    <row r="390">
      <c r="C390" s="84" t="str">
        <f t="array" ref="C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Asesor'!A390, "")
</f>
        <v/>
      </c>
      <c r="D390" s="84" t="str">
        <f t="array" ref="D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Asesor'!B390, "")
</f>
        <v/>
      </c>
      <c r="E390" s="212" t="str">
        <f t="array" ref="E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Asesor'!C390, "")
</f>
        <v/>
      </c>
      <c r="F390" s="212" t="str">
        <f t="array" ref="F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Asesor'!D390, "")
</f>
        <v/>
      </c>
      <c r="G390" s="212" t="str">
        <f t="array" ref="G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Asesor'!E390, "")
</f>
        <v/>
      </c>
      <c r="H390" s="84" t="str">
        <f t="array" ref="H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Asesor'!F390, "")
</f>
        <v/>
      </c>
      <c r="I390" s="84" t="str">
        <f t="array" ref="I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Asesor'!G390, "")
</f>
        <v/>
      </c>
      <c r="J390" s="84" t="str">
        <f t="array" ref="J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Asesor'!H390, "")
</f>
        <v/>
      </c>
      <c r="K390" s="84" t="str">
        <f t="array" ref="K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Asesor'!K390, "")
</f>
        <v/>
      </c>
      <c r="L390" s="84" t="str">
        <f t="array" ref="L390">IF(OR(
    AND('BD Asesor'!H390="Mensual", MATCH($B$2, {"Enero", "Febrero", "Marzo", "Abril", "Mayo", "Junio", "Julio", "Agosto", "Septiembre", "Octubre", "Noviembre", "Diciembre"}, 0)&gt;=1),
    AND('BD Asesor'!H390="Trimestral", MOD(MATCH($B$2, {"Enero", "Febrero", "Marzo", "Abril", "Mayo", "Junio", "Julio", "Agosto", "Septiembre", "Octubre", "Noviembre"}, 0)-MONTH('BD Asesor'!D390), 3)=0),
    AND('BD Asesor'!H390="Semestral", MOD(MATCH($B$2, {"Enero", "Febrero", "Marzo", "Abril", "Mayo", "Junio", "Julio", "Agosto", "Septiembre", "Octubre", "Noviembre"}, 0)-MONTH('BD Asesor'!D390), 6)=0),
    AND('BD Asesor'!H390="Anual", MONTH('BD Asesor'!D390)=MATCH($B$2, {"Enero", "Febrero", "Marzo", "Abril", "Mayo", "Junio", "Julio", "Agosto", "Septiembre", "Octubre", "Noviembre"}, 0))
), 'BD Asesor'!L390, "")
</f>
        <v/>
      </c>
    </row>
    <row r="391">
      <c r="C391" s="84" t="str">
        <f t="array" ref="C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Asesor'!A391, "")
</f>
        <v/>
      </c>
      <c r="D391" s="84" t="str">
        <f t="array" ref="D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Asesor'!B391, "")
</f>
        <v/>
      </c>
      <c r="E391" s="212" t="str">
        <f t="array" ref="E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Asesor'!C391, "")
</f>
        <v/>
      </c>
      <c r="F391" s="212" t="str">
        <f t="array" ref="F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Asesor'!D391, "")
</f>
        <v/>
      </c>
      <c r="G391" s="212" t="str">
        <f t="array" ref="G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Asesor'!E391, "")
</f>
        <v/>
      </c>
      <c r="H391" s="84" t="str">
        <f t="array" ref="H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Asesor'!F391, "")
</f>
        <v/>
      </c>
      <c r="I391" s="84" t="str">
        <f t="array" ref="I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Asesor'!G391, "")
</f>
        <v/>
      </c>
      <c r="J391" s="84" t="str">
        <f t="array" ref="J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Asesor'!H391, "")
</f>
        <v/>
      </c>
      <c r="K391" s="84" t="str">
        <f t="array" ref="K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Asesor'!K391, "")
</f>
        <v/>
      </c>
      <c r="L391" s="84" t="str">
        <f t="array" ref="L391">IF(OR(
    AND('BD Asesor'!H391="Mensual", MATCH($B$2, {"Enero", "Febrero", "Marzo", "Abril", "Mayo", "Junio", "Julio", "Agosto", "Septiembre", "Octubre", "Noviembre", "Diciembre"}, 0)&gt;=1),
    AND('BD Asesor'!H391="Trimestral", MOD(MATCH($B$2, {"Enero", "Febrero", "Marzo", "Abril", "Mayo", "Junio", "Julio", "Agosto", "Septiembre", "Octubre", "Noviembre"}, 0)-MONTH('BD Asesor'!D391), 3)=0),
    AND('BD Asesor'!H391="Semestral", MOD(MATCH($B$2, {"Enero", "Febrero", "Marzo", "Abril", "Mayo", "Junio", "Julio", "Agosto", "Septiembre", "Octubre", "Noviembre"}, 0)-MONTH('BD Asesor'!D391), 6)=0),
    AND('BD Asesor'!H391="Anual", MONTH('BD Asesor'!D391)=MATCH($B$2, {"Enero", "Febrero", "Marzo", "Abril", "Mayo", "Junio", "Julio", "Agosto", "Septiembre", "Octubre", "Noviembre"}, 0))
), 'BD Asesor'!L391, "")
</f>
        <v/>
      </c>
    </row>
    <row r="392">
      <c r="C392" s="84" t="str">
        <f t="array" ref="C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Asesor'!A392, "")
</f>
        <v/>
      </c>
      <c r="D392" s="84" t="str">
        <f t="array" ref="D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Asesor'!B392, "")
</f>
        <v/>
      </c>
      <c r="E392" s="212" t="str">
        <f t="array" ref="E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Asesor'!C392, "")
</f>
        <v/>
      </c>
      <c r="F392" s="212" t="str">
        <f t="array" ref="F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Asesor'!D392, "")
</f>
        <v/>
      </c>
      <c r="G392" s="212" t="str">
        <f t="array" ref="G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Asesor'!E392, "")
</f>
        <v/>
      </c>
      <c r="H392" s="84" t="str">
        <f t="array" ref="H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Asesor'!F392, "")
</f>
        <v/>
      </c>
      <c r="I392" s="84" t="str">
        <f t="array" ref="I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Asesor'!G392, "")
</f>
        <v/>
      </c>
      <c r="J392" s="84" t="str">
        <f t="array" ref="J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Asesor'!H392, "")
</f>
        <v/>
      </c>
      <c r="K392" s="84" t="str">
        <f t="array" ref="K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Asesor'!K392, "")
</f>
        <v/>
      </c>
      <c r="L392" s="84" t="str">
        <f t="array" ref="L392">IF(OR(
    AND('BD Asesor'!H392="Mensual", MATCH($B$2, {"Enero", "Febrero", "Marzo", "Abril", "Mayo", "Junio", "Julio", "Agosto", "Septiembre", "Octubre", "Noviembre", "Diciembre"}, 0)&gt;=1),
    AND('BD Asesor'!H392="Trimestral", MOD(MATCH($B$2, {"Enero", "Febrero", "Marzo", "Abril", "Mayo", "Junio", "Julio", "Agosto", "Septiembre", "Octubre", "Noviembre"}, 0)-MONTH('BD Asesor'!D392), 3)=0),
    AND('BD Asesor'!H392="Semestral", MOD(MATCH($B$2, {"Enero", "Febrero", "Marzo", "Abril", "Mayo", "Junio", "Julio", "Agosto", "Septiembre", "Octubre", "Noviembre"}, 0)-MONTH('BD Asesor'!D392), 6)=0),
    AND('BD Asesor'!H392="Anual", MONTH('BD Asesor'!D392)=MATCH($B$2, {"Enero", "Febrero", "Marzo", "Abril", "Mayo", "Junio", "Julio", "Agosto", "Septiembre", "Octubre", "Noviembre"}, 0))
), 'BD Asesor'!L392, "")
</f>
        <v/>
      </c>
    </row>
    <row r="393">
      <c r="C393" s="84" t="str">
        <f t="array" ref="C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Asesor'!A393, "")
</f>
        <v/>
      </c>
      <c r="D393" s="84" t="str">
        <f t="array" ref="D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Asesor'!B393, "")
</f>
        <v/>
      </c>
      <c r="E393" s="212" t="str">
        <f t="array" ref="E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Asesor'!C393, "")
</f>
        <v/>
      </c>
      <c r="F393" s="212" t="str">
        <f t="array" ref="F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Asesor'!D393, "")
</f>
        <v/>
      </c>
      <c r="G393" s="212" t="str">
        <f t="array" ref="G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Asesor'!E393, "")
</f>
        <v/>
      </c>
      <c r="H393" s="84" t="str">
        <f t="array" ref="H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Asesor'!F393, "")
</f>
        <v/>
      </c>
      <c r="I393" s="84" t="str">
        <f t="array" ref="I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Asesor'!G393, "")
</f>
        <v/>
      </c>
      <c r="J393" s="84" t="str">
        <f t="array" ref="J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Asesor'!H393, "")
</f>
        <v/>
      </c>
      <c r="K393" s="84" t="str">
        <f t="array" ref="K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Asesor'!K393, "")
</f>
        <v/>
      </c>
      <c r="L393" s="84" t="str">
        <f t="array" ref="L393">IF(OR(
    AND('BD Asesor'!H393="Mensual", MATCH($B$2, {"Enero", "Febrero", "Marzo", "Abril", "Mayo", "Junio", "Julio", "Agosto", "Septiembre", "Octubre", "Noviembre", "Diciembre"}, 0)&gt;=1),
    AND('BD Asesor'!H393="Trimestral", MOD(MATCH($B$2, {"Enero", "Febrero", "Marzo", "Abril", "Mayo", "Junio", "Julio", "Agosto", "Septiembre", "Octubre", "Noviembre"}, 0)-MONTH('BD Asesor'!D393), 3)=0),
    AND('BD Asesor'!H393="Semestral", MOD(MATCH($B$2, {"Enero", "Febrero", "Marzo", "Abril", "Mayo", "Junio", "Julio", "Agosto", "Septiembre", "Octubre", "Noviembre"}, 0)-MONTH('BD Asesor'!D393), 6)=0),
    AND('BD Asesor'!H393="Anual", MONTH('BD Asesor'!D393)=MATCH($B$2, {"Enero", "Febrero", "Marzo", "Abril", "Mayo", "Junio", "Julio", "Agosto", "Septiembre", "Octubre", "Noviembre"}, 0))
), 'BD Asesor'!L393, "")
</f>
        <v/>
      </c>
    </row>
    <row r="394">
      <c r="C394" s="84" t="str">
        <f t="array" ref="C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Asesor'!A394, "")
</f>
        <v/>
      </c>
      <c r="D394" s="84" t="str">
        <f t="array" ref="D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Asesor'!B394, "")
</f>
        <v/>
      </c>
      <c r="E394" s="212" t="str">
        <f t="array" ref="E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Asesor'!C394, "")
</f>
        <v/>
      </c>
      <c r="F394" s="212" t="str">
        <f t="array" ref="F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Asesor'!D394, "")
</f>
        <v/>
      </c>
      <c r="G394" s="212" t="str">
        <f t="array" ref="G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Asesor'!E394, "")
</f>
        <v/>
      </c>
      <c r="H394" s="84" t="str">
        <f t="array" ref="H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Asesor'!F394, "")
</f>
        <v/>
      </c>
      <c r="I394" s="84" t="str">
        <f t="array" ref="I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Asesor'!G394, "")
</f>
        <v/>
      </c>
      <c r="J394" s="84" t="str">
        <f t="array" ref="J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Asesor'!H394, "")
</f>
        <v/>
      </c>
      <c r="K394" s="84" t="str">
        <f t="array" ref="K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Asesor'!K394, "")
</f>
        <v/>
      </c>
      <c r="L394" s="84" t="str">
        <f t="array" ref="L394">IF(OR(
    AND('BD Asesor'!H394="Mensual", MATCH($B$2, {"Enero", "Febrero", "Marzo", "Abril", "Mayo", "Junio", "Julio", "Agosto", "Septiembre", "Octubre", "Noviembre", "Diciembre"}, 0)&gt;=1),
    AND('BD Asesor'!H394="Trimestral", MOD(MATCH($B$2, {"Enero", "Febrero", "Marzo", "Abril", "Mayo", "Junio", "Julio", "Agosto", "Septiembre", "Octubre", "Noviembre"}, 0)-MONTH('BD Asesor'!D394), 3)=0),
    AND('BD Asesor'!H394="Semestral", MOD(MATCH($B$2, {"Enero", "Febrero", "Marzo", "Abril", "Mayo", "Junio", "Julio", "Agosto", "Septiembre", "Octubre", "Noviembre"}, 0)-MONTH('BD Asesor'!D394), 6)=0),
    AND('BD Asesor'!H394="Anual", MONTH('BD Asesor'!D394)=MATCH($B$2, {"Enero", "Febrero", "Marzo", "Abril", "Mayo", "Junio", "Julio", "Agosto", "Septiembre", "Octubre", "Noviembre"}, 0))
), 'BD Asesor'!L394, "")
</f>
        <v/>
      </c>
    </row>
    <row r="395">
      <c r="C395" s="84" t="str">
        <f t="array" ref="C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Asesor'!A395, "")
</f>
        <v/>
      </c>
      <c r="D395" s="84" t="str">
        <f t="array" ref="D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Asesor'!B395, "")
</f>
        <v/>
      </c>
      <c r="E395" s="212" t="str">
        <f t="array" ref="E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Asesor'!C395, "")
</f>
        <v/>
      </c>
      <c r="F395" s="212" t="str">
        <f t="array" ref="F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Asesor'!D395, "")
</f>
        <v/>
      </c>
      <c r="G395" s="212" t="str">
        <f t="array" ref="G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Asesor'!E395, "")
</f>
        <v/>
      </c>
      <c r="H395" s="84" t="str">
        <f t="array" ref="H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Asesor'!F395, "")
</f>
        <v/>
      </c>
      <c r="I395" s="84" t="str">
        <f t="array" ref="I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Asesor'!G395, "")
</f>
        <v/>
      </c>
      <c r="J395" s="84" t="str">
        <f t="array" ref="J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Asesor'!H395, "")
</f>
        <v/>
      </c>
      <c r="K395" s="84" t="str">
        <f t="array" ref="K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Asesor'!K395, "")
</f>
        <v/>
      </c>
      <c r="L395" s="84" t="str">
        <f t="array" ref="L395">IF(OR(
    AND('BD Asesor'!H395="Mensual", MATCH($B$2, {"Enero", "Febrero", "Marzo", "Abril", "Mayo", "Junio", "Julio", "Agosto", "Septiembre", "Octubre", "Noviembre", "Diciembre"}, 0)&gt;=1),
    AND('BD Asesor'!H395="Trimestral", MOD(MATCH($B$2, {"Enero", "Febrero", "Marzo", "Abril", "Mayo", "Junio", "Julio", "Agosto", "Septiembre", "Octubre", "Noviembre"}, 0)-MONTH('BD Asesor'!D395), 3)=0),
    AND('BD Asesor'!H395="Semestral", MOD(MATCH($B$2, {"Enero", "Febrero", "Marzo", "Abril", "Mayo", "Junio", "Julio", "Agosto", "Septiembre", "Octubre", "Noviembre"}, 0)-MONTH('BD Asesor'!D395), 6)=0),
    AND('BD Asesor'!H395="Anual", MONTH('BD Asesor'!D395)=MATCH($B$2, {"Enero", "Febrero", "Marzo", "Abril", "Mayo", "Junio", "Julio", "Agosto", "Septiembre", "Octubre", "Noviembre"}, 0))
), 'BD Asesor'!L395, "")
</f>
        <v/>
      </c>
    </row>
    <row r="396">
      <c r="C396" s="84" t="str">
        <f t="array" ref="C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Asesor'!A396, "")
</f>
        <v/>
      </c>
      <c r="D396" s="84" t="str">
        <f t="array" ref="D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Asesor'!B396, "")
</f>
        <v/>
      </c>
      <c r="E396" s="212" t="str">
        <f t="array" ref="E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Asesor'!C396, "")
</f>
        <v/>
      </c>
      <c r="F396" s="212" t="str">
        <f t="array" ref="F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Asesor'!D396, "")
</f>
        <v/>
      </c>
      <c r="G396" s="212" t="str">
        <f t="array" ref="G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Asesor'!E396, "")
</f>
        <v/>
      </c>
      <c r="H396" s="84" t="str">
        <f t="array" ref="H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Asesor'!F396, "")
</f>
        <v/>
      </c>
      <c r="I396" s="84" t="str">
        <f t="array" ref="I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Asesor'!G396, "")
</f>
        <v/>
      </c>
      <c r="J396" s="84" t="str">
        <f t="array" ref="J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Asesor'!H396, "")
</f>
        <v/>
      </c>
      <c r="K396" s="84" t="str">
        <f t="array" ref="K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Asesor'!K396, "")
</f>
        <v/>
      </c>
      <c r="L396" s="84" t="str">
        <f t="array" ref="L396">IF(OR(
    AND('BD Asesor'!H396="Mensual", MATCH($B$2, {"Enero", "Febrero", "Marzo", "Abril", "Mayo", "Junio", "Julio", "Agosto", "Septiembre", "Octubre", "Noviembre", "Diciembre"}, 0)&gt;=1),
    AND('BD Asesor'!H396="Trimestral", MOD(MATCH($B$2, {"Enero", "Febrero", "Marzo", "Abril", "Mayo", "Junio", "Julio", "Agosto", "Septiembre", "Octubre", "Noviembre"}, 0)-MONTH('BD Asesor'!D396), 3)=0),
    AND('BD Asesor'!H396="Semestral", MOD(MATCH($B$2, {"Enero", "Febrero", "Marzo", "Abril", "Mayo", "Junio", "Julio", "Agosto", "Septiembre", "Octubre", "Noviembre"}, 0)-MONTH('BD Asesor'!D396), 6)=0),
    AND('BD Asesor'!H396="Anual", MONTH('BD Asesor'!D396)=MATCH($B$2, {"Enero", "Febrero", "Marzo", "Abril", "Mayo", "Junio", "Julio", "Agosto", "Septiembre", "Octubre", "Noviembre"}, 0))
), 'BD Asesor'!L396, "")
</f>
        <v/>
      </c>
    </row>
    <row r="397">
      <c r="C397" s="84" t="str">
        <f t="array" ref="C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Asesor'!A397, "")
</f>
        <v/>
      </c>
      <c r="D397" s="84" t="str">
        <f t="array" ref="D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Asesor'!B397, "")
</f>
        <v/>
      </c>
      <c r="E397" s="212" t="str">
        <f t="array" ref="E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Asesor'!C397, "")
</f>
        <v/>
      </c>
      <c r="F397" s="212" t="str">
        <f t="array" ref="F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Asesor'!D397, "")
</f>
        <v/>
      </c>
      <c r="G397" s="212" t="str">
        <f t="array" ref="G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Asesor'!E397, "")
</f>
        <v/>
      </c>
      <c r="H397" s="84" t="str">
        <f t="array" ref="H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Asesor'!F397, "")
</f>
        <v/>
      </c>
      <c r="I397" s="84" t="str">
        <f t="array" ref="I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Asesor'!G397, "")
</f>
        <v/>
      </c>
      <c r="J397" s="84" t="str">
        <f t="array" ref="J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Asesor'!H397, "")
</f>
        <v/>
      </c>
      <c r="K397" s="84" t="str">
        <f t="array" ref="K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Asesor'!K397, "")
</f>
        <v/>
      </c>
      <c r="L397" s="84" t="str">
        <f t="array" ref="L397">IF(OR(
    AND('BD Asesor'!H397="Mensual", MATCH($B$2, {"Enero", "Febrero", "Marzo", "Abril", "Mayo", "Junio", "Julio", "Agosto", "Septiembre", "Octubre", "Noviembre", "Diciembre"}, 0)&gt;=1),
    AND('BD Asesor'!H397="Trimestral", MOD(MATCH($B$2, {"Enero", "Febrero", "Marzo", "Abril", "Mayo", "Junio", "Julio", "Agosto", "Septiembre", "Octubre", "Noviembre"}, 0)-MONTH('BD Asesor'!D397), 3)=0),
    AND('BD Asesor'!H397="Semestral", MOD(MATCH($B$2, {"Enero", "Febrero", "Marzo", "Abril", "Mayo", "Junio", "Julio", "Agosto", "Septiembre", "Octubre", "Noviembre"}, 0)-MONTH('BD Asesor'!D397), 6)=0),
    AND('BD Asesor'!H397="Anual", MONTH('BD Asesor'!D397)=MATCH($B$2, {"Enero", "Febrero", "Marzo", "Abril", "Mayo", "Junio", "Julio", "Agosto", "Septiembre", "Octubre", "Noviembre"}, 0))
), 'BD Asesor'!L397, "")
</f>
        <v/>
      </c>
    </row>
    <row r="398">
      <c r="C398" s="84" t="str">
        <f t="array" ref="C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Asesor'!A398, "")
</f>
        <v/>
      </c>
      <c r="D398" s="84" t="str">
        <f t="array" ref="D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Asesor'!B398, "")
</f>
        <v/>
      </c>
      <c r="E398" s="212" t="str">
        <f t="array" ref="E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Asesor'!C398, "")
</f>
        <v/>
      </c>
      <c r="F398" s="212" t="str">
        <f t="array" ref="F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Asesor'!D398, "")
</f>
        <v/>
      </c>
      <c r="G398" s="212" t="str">
        <f t="array" ref="G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Asesor'!E398, "")
</f>
        <v/>
      </c>
      <c r="H398" s="84" t="str">
        <f t="array" ref="H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Asesor'!F398, "")
</f>
        <v/>
      </c>
      <c r="I398" s="84" t="str">
        <f t="array" ref="I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Asesor'!G398, "")
</f>
        <v/>
      </c>
      <c r="J398" s="84" t="str">
        <f t="array" ref="J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Asesor'!H398, "")
</f>
        <v/>
      </c>
      <c r="K398" s="84" t="str">
        <f t="array" ref="K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Asesor'!K398, "")
</f>
        <v/>
      </c>
      <c r="L398" s="84" t="str">
        <f t="array" ref="L398">IF(OR(
    AND('BD Asesor'!H398="Mensual", MATCH($B$2, {"Enero", "Febrero", "Marzo", "Abril", "Mayo", "Junio", "Julio", "Agosto", "Septiembre", "Octubre", "Noviembre", "Diciembre"}, 0)&gt;=1),
    AND('BD Asesor'!H398="Trimestral", MOD(MATCH($B$2, {"Enero", "Febrero", "Marzo", "Abril", "Mayo", "Junio", "Julio", "Agosto", "Septiembre", "Octubre", "Noviembre"}, 0)-MONTH('BD Asesor'!D398), 3)=0),
    AND('BD Asesor'!H398="Semestral", MOD(MATCH($B$2, {"Enero", "Febrero", "Marzo", "Abril", "Mayo", "Junio", "Julio", "Agosto", "Septiembre", "Octubre", "Noviembre"}, 0)-MONTH('BD Asesor'!D398), 6)=0),
    AND('BD Asesor'!H398="Anual", MONTH('BD Asesor'!D398)=MATCH($B$2, {"Enero", "Febrero", "Marzo", "Abril", "Mayo", "Junio", "Julio", "Agosto", "Septiembre", "Octubre", "Noviembre"}, 0))
), 'BD Asesor'!L398, "")
</f>
        <v/>
      </c>
    </row>
    <row r="399">
      <c r="C399" s="84" t="str">
        <f t="array" ref="C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Asesor'!A399, "")
</f>
        <v/>
      </c>
      <c r="D399" s="84" t="str">
        <f t="array" ref="D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Asesor'!B399, "")
</f>
        <v/>
      </c>
      <c r="E399" s="212" t="str">
        <f t="array" ref="E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Asesor'!C399, "")
</f>
        <v/>
      </c>
      <c r="F399" s="212" t="str">
        <f t="array" ref="F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Asesor'!D399, "")
</f>
        <v/>
      </c>
      <c r="G399" s="212" t="str">
        <f t="array" ref="G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Asesor'!E399, "")
</f>
        <v/>
      </c>
      <c r="H399" s="84" t="str">
        <f t="array" ref="H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Asesor'!F399, "")
</f>
        <v/>
      </c>
      <c r="I399" s="84" t="str">
        <f t="array" ref="I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Asesor'!G399, "")
</f>
        <v/>
      </c>
      <c r="J399" s="84" t="str">
        <f t="array" ref="J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Asesor'!H399, "")
</f>
        <v/>
      </c>
      <c r="K399" s="84" t="str">
        <f t="array" ref="K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Asesor'!K399, "")
</f>
        <v/>
      </c>
      <c r="L399" s="84" t="str">
        <f t="array" ref="L399">IF(OR(
    AND('BD Asesor'!H399="Mensual", MATCH($B$2, {"Enero", "Febrero", "Marzo", "Abril", "Mayo", "Junio", "Julio", "Agosto", "Septiembre", "Octubre", "Noviembre", "Diciembre"}, 0)&gt;=1),
    AND('BD Asesor'!H399="Trimestral", MOD(MATCH($B$2, {"Enero", "Febrero", "Marzo", "Abril", "Mayo", "Junio", "Julio", "Agosto", "Septiembre", "Octubre", "Noviembre"}, 0)-MONTH('BD Asesor'!D399), 3)=0),
    AND('BD Asesor'!H399="Semestral", MOD(MATCH($B$2, {"Enero", "Febrero", "Marzo", "Abril", "Mayo", "Junio", "Julio", "Agosto", "Septiembre", "Octubre", "Noviembre"}, 0)-MONTH('BD Asesor'!D399), 6)=0),
    AND('BD Asesor'!H399="Anual", MONTH('BD Asesor'!D399)=MATCH($B$2, {"Enero", "Febrero", "Marzo", "Abril", "Mayo", "Junio", "Julio", "Agosto", "Septiembre", "Octubre", "Noviembre"}, 0))
), 'BD Asesor'!L399, "")
</f>
        <v/>
      </c>
    </row>
    <row r="400">
      <c r="C400" s="84" t="str">
        <f t="array" ref="C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Asesor'!A400, "")
</f>
        <v/>
      </c>
      <c r="D400" s="84" t="str">
        <f t="array" ref="D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Asesor'!B400, "")
</f>
        <v/>
      </c>
      <c r="E400" s="212" t="str">
        <f t="array" ref="E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Asesor'!C400, "")
</f>
        <v/>
      </c>
      <c r="F400" s="212" t="str">
        <f t="array" ref="F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Asesor'!D400, "")
</f>
        <v/>
      </c>
      <c r="G400" s="212" t="str">
        <f t="array" ref="G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Asesor'!E400, "")
</f>
        <v/>
      </c>
      <c r="H400" s="84" t="str">
        <f t="array" ref="H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Asesor'!F400, "")
</f>
        <v/>
      </c>
      <c r="I400" s="84" t="str">
        <f t="array" ref="I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Asesor'!G400, "")
</f>
        <v/>
      </c>
      <c r="J400" s="84" t="str">
        <f t="array" ref="J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Asesor'!H400, "")
</f>
        <v/>
      </c>
      <c r="K400" s="84" t="str">
        <f t="array" ref="K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Asesor'!K400, "")
</f>
        <v/>
      </c>
      <c r="L400" s="84" t="str">
        <f t="array" ref="L400">IF(OR(
    AND('BD Asesor'!H400="Mensual", MATCH($B$2, {"Enero", "Febrero", "Marzo", "Abril", "Mayo", "Junio", "Julio", "Agosto", "Septiembre", "Octubre", "Noviembre", "Diciembre"}, 0)&gt;=1),
    AND('BD Asesor'!H400="Trimestral", MOD(MATCH($B$2, {"Enero", "Febrero", "Marzo", "Abril", "Mayo", "Junio", "Julio", "Agosto", "Septiembre", "Octubre", "Noviembre"}, 0)-MONTH('BD Asesor'!D400), 3)=0),
    AND('BD Asesor'!H400="Semestral", MOD(MATCH($B$2, {"Enero", "Febrero", "Marzo", "Abril", "Mayo", "Junio", "Julio", "Agosto", "Septiembre", "Octubre", "Noviembre"}, 0)-MONTH('BD Asesor'!D400), 6)=0),
    AND('BD Asesor'!H400="Anual", MONTH('BD Asesor'!D400)=MATCH($B$2, {"Enero", "Febrero", "Marzo", "Abril", "Mayo", "Junio", "Julio", "Agosto", "Septiembre", "Octubre", "Noviembre"}, 0))
), 'BD Asesor'!L400, "")
</f>
        <v/>
      </c>
    </row>
    <row r="401">
      <c r="C401" s="84" t="str">
        <f t="array" ref="C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Asesor'!A401, "")
</f>
        <v/>
      </c>
      <c r="D401" s="84" t="str">
        <f t="array" ref="D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Asesor'!B401, "")
</f>
        <v/>
      </c>
      <c r="E401" s="212" t="str">
        <f t="array" ref="E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Asesor'!C401, "")
</f>
        <v/>
      </c>
      <c r="F401" s="212" t="str">
        <f t="array" ref="F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Asesor'!D401, "")
</f>
        <v/>
      </c>
      <c r="G401" s="212" t="str">
        <f t="array" ref="G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Asesor'!E401, "")
</f>
        <v/>
      </c>
      <c r="H401" s="84" t="str">
        <f t="array" ref="H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Asesor'!F401, "")
</f>
        <v/>
      </c>
      <c r="I401" s="84" t="str">
        <f t="array" ref="I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Asesor'!G401, "")
</f>
        <v/>
      </c>
      <c r="J401" s="84" t="str">
        <f t="array" ref="J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Asesor'!H401, "")
</f>
        <v/>
      </c>
      <c r="K401" s="84" t="str">
        <f t="array" ref="K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Asesor'!K401, "")
</f>
        <v/>
      </c>
      <c r="L401" s="84" t="str">
        <f t="array" ref="L401">IF(OR(
    AND('BD Asesor'!H401="Mensual", MATCH($B$2, {"Enero", "Febrero", "Marzo", "Abril", "Mayo", "Junio", "Julio", "Agosto", "Septiembre", "Octubre", "Noviembre", "Diciembre"}, 0)&gt;=1),
    AND('BD Asesor'!H401="Trimestral", MOD(MATCH($B$2, {"Enero", "Febrero", "Marzo", "Abril", "Mayo", "Junio", "Julio", "Agosto", "Septiembre", "Octubre", "Noviembre"}, 0)-MONTH('BD Asesor'!D401), 3)=0),
    AND('BD Asesor'!H401="Semestral", MOD(MATCH($B$2, {"Enero", "Febrero", "Marzo", "Abril", "Mayo", "Junio", "Julio", "Agosto", "Septiembre", "Octubre", "Noviembre"}, 0)-MONTH('BD Asesor'!D401), 6)=0),
    AND('BD Asesor'!H401="Anual", MONTH('BD Asesor'!D401)=MATCH($B$2, {"Enero", "Febrero", "Marzo", "Abril", "Mayo", "Junio", "Julio", "Agosto", "Septiembre", "Octubre", "Noviembre"}, 0))
), 'BD Asesor'!L401, "")
</f>
        <v/>
      </c>
    </row>
    <row r="402">
      <c r="C402" s="84" t="str">
        <f t="array" ref="C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Asesor'!A402, "")
</f>
        <v/>
      </c>
      <c r="D402" s="84" t="str">
        <f t="array" ref="D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Asesor'!B402, "")
</f>
        <v/>
      </c>
      <c r="E402" s="212" t="str">
        <f t="array" ref="E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Asesor'!C402, "")
</f>
        <v/>
      </c>
      <c r="F402" s="212" t="str">
        <f t="array" ref="F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Asesor'!D402, "")
</f>
        <v/>
      </c>
      <c r="G402" s="212" t="str">
        <f t="array" ref="G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Asesor'!E402, "")
</f>
        <v/>
      </c>
      <c r="H402" s="84" t="str">
        <f t="array" ref="H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Asesor'!F402, "")
</f>
        <v/>
      </c>
      <c r="I402" s="84" t="str">
        <f t="array" ref="I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Asesor'!G402, "")
</f>
        <v/>
      </c>
      <c r="J402" s="84" t="str">
        <f t="array" ref="J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Asesor'!H402, "")
</f>
        <v/>
      </c>
      <c r="K402" s="84" t="str">
        <f t="array" ref="K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Asesor'!K402, "")
</f>
        <v/>
      </c>
      <c r="L402" s="84" t="str">
        <f t="array" ref="L402">IF(OR(
    AND('BD Asesor'!H402="Mensual", MATCH($B$2, {"Enero", "Febrero", "Marzo", "Abril", "Mayo", "Junio", "Julio", "Agosto", "Septiembre", "Octubre", "Noviembre", "Diciembre"}, 0)&gt;=1),
    AND('BD Asesor'!H402="Trimestral", MOD(MATCH($B$2, {"Enero", "Febrero", "Marzo", "Abril", "Mayo", "Junio", "Julio", "Agosto", "Septiembre", "Octubre", "Noviembre"}, 0)-MONTH('BD Asesor'!D402), 3)=0),
    AND('BD Asesor'!H402="Semestral", MOD(MATCH($B$2, {"Enero", "Febrero", "Marzo", "Abril", "Mayo", "Junio", "Julio", "Agosto", "Septiembre", "Octubre", "Noviembre"}, 0)-MONTH('BD Asesor'!D402), 6)=0),
    AND('BD Asesor'!H402="Anual", MONTH('BD Asesor'!D402)=MATCH($B$2, {"Enero", "Febrero", "Marzo", "Abril", "Mayo", "Junio", "Julio", "Agosto", "Septiembre", "Octubre", "Noviembre"}, 0))
), 'BD Asesor'!L402, "")
</f>
        <v/>
      </c>
    </row>
    <row r="403">
      <c r="C403" s="84" t="str">
        <f t="array" ref="C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Asesor'!A403, "")
</f>
        <v/>
      </c>
      <c r="D403" s="84" t="str">
        <f t="array" ref="D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Asesor'!B403, "")
</f>
        <v/>
      </c>
      <c r="E403" s="212" t="str">
        <f t="array" ref="E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Asesor'!C403, "")
</f>
        <v/>
      </c>
      <c r="F403" s="212" t="str">
        <f t="array" ref="F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Asesor'!D403, "")
</f>
        <v/>
      </c>
      <c r="G403" s="212" t="str">
        <f t="array" ref="G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Asesor'!E403, "")
</f>
        <v/>
      </c>
      <c r="H403" s="84" t="str">
        <f t="array" ref="H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Asesor'!F403, "")
</f>
        <v/>
      </c>
      <c r="I403" s="84" t="str">
        <f t="array" ref="I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Asesor'!G403, "")
</f>
        <v/>
      </c>
      <c r="J403" s="84" t="str">
        <f t="array" ref="J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Asesor'!H403, "")
</f>
        <v/>
      </c>
      <c r="K403" s="84" t="str">
        <f t="array" ref="K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Asesor'!K403, "")
</f>
        <v/>
      </c>
      <c r="L403" s="84" t="str">
        <f t="array" ref="L403">IF(OR(
    AND('BD Asesor'!H403="Mensual", MATCH($B$2, {"Enero", "Febrero", "Marzo", "Abril", "Mayo", "Junio", "Julio", "Agosto", "Septiembre", "Octubre", "Noviembre", "Diciembre"}, 0)&gt;=1),
    AND('BD Asesor'!H403="Trimestral", MOD(MATCH($B$2, {"Enero", "Febrero", "Marzo", "Abril", "Mayo", "Junio", "Julio", "Agosto", "Septiembre", "Octubre", "Noviembre"}, 0)-MONTH('BD Asesor'!D403), 3)=0),
    AND('BD Asesor'!H403="Semestral", MOD(MATCH($B$2, {"Enero", "Febrero", "Marzo", "Abril", "Mayo", "Junio", "Julio", "Agosto", "Septiembre", "Octubre", "Noviembre"}, 0)-MONTH('BD Asesor'!D403), 6)=0),
    AND('BD Asesor'!H403="Anual", MONTH('BD Asesor'!D403)=MATCH($B$2, {"Enero", "Febrero", "Marzo", "Abril", "Mayo", "Junio", "Julio", "Agosto", "Septiembre", "Octubre", "Noviembre"}, 0))
), 'BD Asesor'!L403, "")
</f>
        <v/>
      </c>
    </row>
    <row r="404">
      <c r="C404" s="84" t="str">
        <f t="array" ref="C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Asesor'!A404, "")
</f>
        <v/>
      </c>
      <c r="D404" s="84" t="str">
        <f t="array" ref="D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Asesor'!B404, "")
</f>
        <v/>
      </c>
      <c r="E404" s="212" t="str">
        <f t="array" ref="E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Asesor'!C404, "")
</f>
        <v/>
      </c>
      <c r="F404" s="212" t="str">
        <f t="array" ref="F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Asesor'!D404, "")
</f>
        <v/>
      </c>
      <c r="G404" s="212" t="str">
        <f t="array" ref="G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Asesor'!E404, "")
</f>
        <v/>
      </c>
      <c r="H404" s="84" t="str">
        <f t="array" ref="H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Asesor'!F404, "")
</f>
        <v/>
      </c>
      <c r="I404" s="84" t="str">
        <f t="array" ref="I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Asesor'!G404, "")
</f>
        <v/>
      </c>
      <c r="J404" s="84" t="str">
        <f t="array" ref="J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Asesor'!H404, "")
</f>
        <v/>
      </c>
      <c r="K404" s="84" t="str">
        <f t="array" ref="K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Asesor'!K404, "")
</f>
        <v/>
      </c>
      <c r="L404" s="84" t="str">
        <f t="array" ref="L404">IF(OR(
    AND('BD Asesor'!H404="Mensual", MATCH($B$2, {"Enero", "Febrero", "Marzo", "Abril", "Mayo", "Junio", "Julio", "Agosto", "Septiembre", "Octubre", "Noviembre", "Diciembre"}, 0)&gt;=1),
    AND('BD Asesor'!H404="Trimestral", MOD(MATCH($B$2, {"Enero", "Febrero", "Marzo", "Abril", "Mayo", "Junio", "Julio", "Agosto", "Septiembre", "Octubre", "Noviembre"}, 0)-MONTH('BD Asesor'!D404), 3)=0),
    AND('BD Asesor'!H404="Semestral", MOD(MATCH($B$2, {"Enero", "Febrero", "Marzo", "Abril", "Mayo", "Junio", "Julio", "Agosto", "Septiembre", "Octubre", "Noviembre"}, 0)-MONTH('BD Asesor'!D404), 6)=0),
    AND('BD Asesor'!H404="Anual", MONTH('BD Asesor'!D404)=MATCH($B$2, {"Enero", "Febrero", "Marzo", "Abril", "Mayo", "Junio", "Julio", "Agosto", "Septiembre", "Octubre", "Noviembre"}, 0))
), 'BD Asesor'!L404, "")
</f>
        <v/>
      </c>
    </row>
    <row r="405">
      <c r="C405" s="84" t="str">
        <f t="array" ref="C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Asesor'!A405, "")
</f>
        <v/>
      </c>
      <c r="D405" s="84" t="str">
        <f t="array" ref="D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Asesor'!B405, "")
</f>
        <v/>
      </c>
      <c r="E405" s="212" t="str">
        <f t="array" ref="E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Asesor'!C405, "")
</f>
        <v/>
      </c>
      <c r="F405" s="212" t="str">
        <f t="array" ref="F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Asesor'!D405, "")
</f>
        <v/>
      </c>
      <c r="G405" s="212" t="str">
        <f t="array" ref="G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Asesor'!E405, "")
</f>
        <v/>
      </c>
      <c r="H405" s="84" t="str">
        <f t="array" ref="H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Asesor'!F405, "")
</f>
        <v/>
      </c>
      <c r="I405" s="84" t="str">
        <f t="array" ref="I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Asesor'!G405, "")
</f>
        <v/>
      </c>
      <c r="J405" s="84" t="str">
        <f t="array" ref="J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Asesor'!H405, "")
</f>
        <v/>
      </c>
      <c r="K405" s="84" t="str">
        <f t="array" ref="K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Asesor'!K405, "")
</f>
        <v/>
      </c>
      <c r="L405" s="84" t="str">
        <f t="array" ref="L405">IF(OR(
    AND('BD Asesor'!H405="Mensual", MATCH($B$2, {"Enero", "Febrero", "Marzo", "Abril", "Mayo", "Junio", "Julio", "Agosto", "Septiembre", "Octubre", "Noviembre", "Diciembre"}, 0)&gt;=1),
    AND('BD Asesor'!H405="Trimestral", MOD(MATCH($B$2, {"Enero", "Febrero", "Marzo", "Abril", "Mayo", "Junio", "Julio", "Agosto", "Septiembre", "Octubre", "Noviembre"}, 0)-MONTH('BD Asesor'!D405), 3)=0),
    AND('BD Asesor'!H405="Semestral", MOD(MATCH($B$2, {"Enero", "Febrero", "Marzo", "Abril", "Mayo", "Junio", "Julio", "Agosto", "Septiembre", "Octubre", "Noviembre"}, 0)-MONTH('BD Asesor'!D405), 6)=0),
    AND('BD Asesor'!H405="Anual", MONTH('BD Asesor'!D405)=MATCH($B$2, {"Enero", "Febrero", "Marzo", "Abril", "Mayo", "Junio", "Julio", "Agosto", "Septiembre", "Octubre", "Noviembre"}, 0))
), 'BD Asesor'!L405, "")
</f>
        <v/>
      </c>
    </row>
    <row r="406">
      <c r="C406" s="84" t="str">
        <f t="array" ref="C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Asesor'!A406, "")
</f>
        <v/>
      </c>
      <c r="D406" s="84" t="str">
        <f t="array" ref="D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Asesor'!B406, "")
</f>
        <v/>
      </c>
      <c r="E406" s="212" t="str">
        <f t="array" ref="E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Asesor'!C406, "")
</f>
        <v/>
      </c>
      <c r="F406" s="212" t="str">
        <f t="array" ref="F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Asesor'!D406, "")
</f>
        <v/>
      </c>
      <c r="G406" s="212" t="str">
        <f t="array" ref="G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Asesor'!E406, "")
</f>
        <v/>
      </c>
      <c r="H406" s="84" t="str">
        <f t="array" ref="H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Asesor'!F406, "")
</f>
        <v/>
      </c>
      <c r="I406" s="84" t="str">
        <f t="array" ref="I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Asesor'!G406, "")
</f>
        <v/>
      </c>
      <c r="J406" s="84" t="str">
        <f t="array" ref="J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Asesor'!H406, "")
</f>
        <v/>
      </c>
      <c r="K406" s="84" t="str">
        <f t="array" ref="K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Asesor'!K406, "")
</f>
        <v/>
      </c>
      <c r="L406" s="84" t="str">
        <f t="array" ref="L406">IF(OR(
    AND('BD Asesor'!H406="Mensual", MATCH($B$2, {"Enero", "Febrero", "Marzo", "Abril", "Mayo", "Junio", "Julio", "Agosto", "Septiembre", "Octubre", "Noviembre", "Diciembre"}, 0)&gt;=1),
    AND('BD Asesor'!H406="Trimestral", MOD(MATCH($B$2, {"Enero", "Febrero", "Marzo", "Abril", "Mayo", "Junio", "Julio", "Agosto", "Septiembre", "Octubre", "Noviembre"}, 0)-MONTH('BD Asesor'!D406), 3)=0),
    AND('BD Asesor'!H406="Semestral", MOD(MATCH($B$2, {"Enero", "Febrero", "Marzo", "Abril", "Mayo", "Junio", "Julio", "Agosto", "Septiembre", "Octubre", "Noviembre"}, 0)-MONTH('BD Asesor'!D406), 6)=0),
    AND('BD Asesor'!H406="Anual", MONTH('BD Asesor'!D406)=MATCH($B$2, {"Enero", "Febrero", "Marzo", "Abril", "Mayo", "Junio", "Julio", "Agosto", "Septiembre", "Octubre", "Noviembre"}, 0))
), 'BD Asesor'!L406, "")
</f>
        <v/>
      </c>
    </row>
    <row r="407">
      <c r="C407" s="84" t="str">
        <f t="array" ref="C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Asesor'!A407, "")
</f>
        <v/>
      </c>
      <c r="D407" s="84" t="str">
        <f t="array" ref="D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Asesor'!B407, "")
</f>
        <v/>
      </c>
      <c r="E407" s="212" t="str">
        <f t="array" ref="E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Asesor'!C407, "")
</f>
        <v/>
      </c>
      <c r="F407" s="212" t="str">
        <f t="array" ref="F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Asesor'!D407, "")
</f>
        <v/>
      </c>
      <c r="G407" s="212" t="str">
        <f t="array" ref="G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Asesor'!E407, "")
</f>
        <v/>
      </c>
      <c r="H407" s="84" t="str">
        <f t="array" ref="H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Asesor'!F407, "")
</f>
        <v/>
      </c>
      <c r="I407" s="84" t="str">
        <f t="array" ref="I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Asesor'!G407, "")
</f>
        <v/>
      </c>
      <c r="J407" s="84" t="str">
        <f t="array" ref="J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Asesor'!H407, "")
</f>
        <v/>
      </c>
      <c r="K407" s="84" t="str">
        <f t="array" ref="K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Asesor'!K407, "")
</f>
        <v/>
      </c>
      <c r="L407" s="84" t="str">
        <f t="array" ref="L407">IF(OR(
    AND('BD Asesor'!H407="Mensual", MATCH($B$2, {"Enero", "Febrero", "Marzo", "Abril", "Mayo", "Junio", "Julio", "Agosto", "Septiembre", "Octubre", "Noviembre", "Diciembre"}, 0)&gt;=1),
    AND('BD Asesor'!H407="Trimestral", MOD(MATCH($B$2, {"Enero", "Febrero", "Marzo", "Abril", "Mayo", "Junio", "Julio", "Agosto", "Septiembre", "Octubre", "Noviembre"}, 0)-MONTH('BD Asesor'!D407), 3)=0),
    AND('BD Asesor'!H407="Semestral", MOD(MATCH($B$2, {"Enero", "Febrero", "Marzo", "Abril", "Mayo", "Junio", "Julio", "Agosto", "Septiembre", "Octubre", "Noviembre"}, 0)-MONTH('BD Asesor'!D407), 6)=0),
    AND('BD Asesor'!H407="Anual", MONTH('BD Asesor'!D407)=MATCH($B$2, {"Enero", "Febrero", "Marzo", "Abril", "Mayo", "Junio", "Julio", "Agosto", "Septiembre", "Octubre", "Noviembre"}, 0))
), 'BD Asesor'!L407, "")
</f>
        <v/>
      </c>
    </row>
    <row r="408">
      <c r="C408" s="84" t="str">
        <f t="array" ref="C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Asesor'!A408, "")
</f>
        <v/>
      </c>
      <c r="D408" s="84" t="str">
        <f t="array" ref="D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Asesor'!B408, "")
</f>
        <v/>
      </c>
      <c r="E408" s="212" t="str">
        <f t="array" ref="E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Asesor'!C408, "")
</f>
        <v/>
      </c>
      <c r="F408" s="212" t="str">
        <f t="array" ref="F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Asesor'!D408, "")
</f>
        <v/>
      </c>
      <c r="G408" s="212" t="str">
        <f t="array" ref="G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Asesor'!E408, "")
</f>
        <v/>
      </c>
      <c r="H408" s="84" t="str">
        <f t="array" ref="H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Asesor'!F408, "")
</f>
        <v/>
      </c>
      <c r="I408" s="84" t="str">
        <f t="array" ref="I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Asesor'!G408, "")
</f>
        <v/>
      </c>
      <c r="J408" s="84" t="str">
        <f t="array" ref="J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Asesor'!H408, "")
</f>
        <v/>
      </c>
      <c r="K408" s="84" t="str">
        <f t="array" ref="K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Asesor'!K408, "")
</f>
        <v/>
      </c>
      <c r="L408" s="84" t="str">
        <f t="array" ref="L408">IF(OR(
    AND('BD Asesor'!H408="Mensual", MATCH($B$2, {"Enero", "Febrero", "Marzo", "Abril", "Mayo", "Junio", "Julio", "Agosto", "Septiembre", "Octubre", "Noviembre", "Diciembre"}, 0)&gt;=1),
    AND('BD Asesor'!H408="Trimestral", MOD(MATCH($B$2, {"Enero", "Febrero", "Marzo", "Abril", "Mayo", "Junio", "Julio", "Agosto", "Septiembre", "Octubre", "Noviembre"}, 0)-MONTH('BD Asesor'!D408), 3)=0),
    AND('BD Asesor'!H408="Semestral", MOD(MATCH($B$2, {"Enero", "Febrero", "Marzo", "Abril", "Mayo", "Junio", "Julio", "Agosto", "Septiembre", "Octubre", "Noviembre"}, 0)-MONTH('BD Asesor'!D408), 6)=0),
    AND('BD Asesor'!H408="Anual", MONTH('BD Asesor'!D408)=MATCH($B$2, {"Enero", "Febrero", "Marzo", "Abril", "Mayo", "Junio", "Julio", "Agosto", "Septiembre", "Octubre", "Noviembre"}, 0))
), 'BD Asesor'!L408, "")
</f>
        <v/>
      </c>
    </row>
    <row r="409">
      <c r="C409" s="84" t="str">
        <f t="array" ref="C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Asesor'!A409, "")
</f>
        <v/>
      </c>
      <c r="D409" s="84" t="str">
        <f t="array" ref="D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Asesor'!B409, "")
</f>
        <v/>
      </c>
      <c r="E409" s="212" t="str">
        <f t="array" ref="E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Asesor'!C409, "")
</f>
        <v/>
      </c>
      <c r="F409" s="212" t="str">
        <f t="array" ref="F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Asesor'!D409, "")
</f>
        <v/>
      </c>
      <c r="G409" s="212" t="str">
        <f t="array" ref="G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Asesor'!E409, "")
</f>
        <v/>
      </c>
      <c r="H409" s="84" t="str">
        <f t="array" ref="H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Asesor'!F409, "")
</f>
        <v/>
      </c>
      <c r="I409" s="84" t="str">
        <f t="array" ref="I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Asesor'!G409, "")
</f>
        <v/>
      </c>
      <c r="J409" s="84" t="str">
        <f t="array" ref="J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Asesor'!H409, "")
</f>
        <v/>
      </c>
      <c r="K409" s="84" t="str">
        <f t="array" ref="K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Asesor'!K409, "")
</f>
        <v/>
      </c>
      <c r="L409" s="84" t="str">
        <f t="array" ref="L409">IF(OR(
    AND('BD Asesor'!H409="Mensual", MATCH($B$2, {"Enero", "Febrero", "Marzo", "Abril", "Mayo", "Junio", "Julio", "Agosto", "Septiembre", "Octubre", "Noviembre", "Diciembre"}, 0)&gt;=1),
    AND('BD Asesor'!H409="Trimestral", MOD(MATCH($B$2, {"Enero", "Febrero", "Marzo", "Abril", "Mayo", "Junio", "Julio", "Agosto", "Septiembre", "Octubre", "Noviembre"}, 0)-MONTH('BD Asesor'!D409), 3)=0),
    AND('BD Asesor'!H409="Semestral", MOD(MATCH($B$2, {"Enero", "Febrero", "Marzo", "Abril", "Mayo", "Junio", "Julio", "Agosto", "Septiembre", "Octubre", "Noviembre"}, 0)-MONTH('BD Asesor'!D409), 6)=0),
    AND('BD Asesor'!H409="Anual", MONTH('BD Asesor'!D409)=MATCH($B$2, {"Enero", "Febrero", "Marzo", "Abril", "Mayo", "Junio", "Julio", "Agosto", "Septiembre", "Octubre", "Noviembre"}, 0))
), 'BD Asesor'!L409, "")
</f>
        <v/>
      </c>
    </row>
    <row r="410">
      <c r="C410" s="84" t="str">
        <f t="array" ref="C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Asesor'!A410, "")
</f>
        <v/>
      </c>
      <c r="D410" s="84" t="str">
        <f t="array" ref="D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Asesor'!B410, "")
</f>
        <v/>
      </c>
      <c r="E410" s="212" t="str">
        <f t="array" ref="E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Asesor'!C410, "")
</f>
        <v/>
      </c>
      <c r="F410" s="212" t="str">
        <f t="array" ref="F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Asesor'!D410, "")
</f>
        <v/>
      </c>
      <c r="G410" s="212" t="str">
        <f t="array" ref="G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Asesor'!E410, "")
</f>
        <v/>
      </c>
      <c r="H410" s="84" t="str">
        <f t="array" ref="H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Asesor'!F410, "")
</f>
        <v/>
      </c>
      <c r="I410" s="84" t="str">
        <f t="array" ref="I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Asesor'!G410, "")
</f>
        <v/>
      </c>
      <c r="J410" s="84" t="str">
        <f t="array" ref="J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Asesor'!H410, "")
</f>
        <v/>
      </c>
      <c r="K410" s="84" t="str">
        <f t="array" ref="K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Asesor'!K410, "")
</f>
        <v/>
      </c>
      <c r="L410" s="84" t="str">
        <f t="array" ref="L410">IF(OR(
    AND('BD Asesor'!H410="Mensual", MATCH($B$2, {"Enero", "Febrero", "Marzo", "Abril", "Mayo", "Junio", "Julio", "Agosto", "Septiembre", "Octubre", "Noviembre", "Diciembre"}, 0)&gt;=1),
    AND('BD Asesor'!H410="Trimestral", MOD(MATCH($B$2, {"Enero", "Febrero", "Marzo", "Abril", "Mayo", "Junio", "Julio", "Agosto", "Septiembre", "Octubre", "Noviembre"}, 0)-MONTH('BD Asesor'!D410), 3)=0),
    AND('BD Asesor'!H410="Semestral", MOD(MATCH($B$2, {"Enero", "Febrero", "Marzo", "Abril", "Mayo", "Junio", "Julio", "Agosto", "Septiembre", "Octubre", "Noviembre"}, 0)-MONTH('BD Asesor'!D410), 6)=0),
    AND('BD Asesor'!H410="Anual", MONTH('BD Asesor'!D410)=MATCH($B$2, {"Enero", "Febrero", "Marzo", "Abril", "Mayo", "Junio", "Julio", "Agosto", "Septiembre", "Octubre", "Noviembre"}, 0))
), 'BD Asesor'!L410, "")
</f>
        <v/>
      </c>
    </row>
    <row r="411">
      <c r="C411" s="84" t="str">
        <f t="array" ref="C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Asesor'!A411, "")
</f>
        <v/>
      </c>
      <c r="D411" s="84" t="str">
        <f t="array" ref="D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Asesor'!B411, "")
</f>
        <v/>
      </c>
      <c r="E411" s="212" t="str">
        <f t="array" ref="E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Asesor'!C411, "")
</f>
        <v/>
      </c>
      <c r="F411" s="212" t="str">
        <f t="array" ref="F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Asesor'!D411, "")
</f>
        <v/>
      </c>
      <c r="G411" s="212" t="str">
        <f t="array" ref="G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Asesor'!E411, "")
</f>
        <v/>
      </c>
      <c r="H411" s="84" t="str">
        <f t="array" ref="H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Asesor'!F411, "")
</f>
        <v/>
      </c>
      <c r="I411" s="84" t="str">
        <f t="array" ref="I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Asesor'!G411, "")
</f>
        <v/>
      </c>
      <c r="J411" s="84" t="str">
        <f t="array" ref="J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Asesor'!H411, "")
</f>
        <v/>
      </c>
      <c r="K411" s="84" t="str">
        <f t="array" ref="K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Asesor'!K411, "")
</f>
        <v/>
      </c>
      <c r="L411" s="84" t="str">
        <f t="array" ref="L411">IF(OR(
    AND('BD Asesor'!H411="Mensual", MATCH($B$2, {"Enero", "Febrero", "Marzo", "Abril", "Mayo", "Junio", "Julio", "Agosto", "Septiembre", "Octubre", "Noviembre", "Diciembre"}, 0)&gt;=1),
    AND('BD Asesor'!H411="Trimestral", MOD(MATCH($B$2, {"Enero", "Febrero", "Marzo", "Abril", "Mayo", "Junio", "Julio", "Agosto", "Septiembre", "Octubre", "Noviembre"}, 0)-MONTH('BD Asesor'!D411), 3)=0),
    AND('BD Asesor'!H411="Semestral", MOD(MATCH($B$2, {"Enero", "Febrero", "Marzo", "Abril", "Mayo", "Junio", "Julio", "Agosto", "Septiembre", "Octubre", "Noviembre"}, 0)-MONTH('BD Asesor'!D411), 6)=0),
    AND('BD Asesor'!H411="Anual", MONTH('BD Asesor'!D411)=MATCH($B$2, {"Enero", "Febrero", "Marzo", "Abril", "Mayo", "Junio", "Julio", "Agosto", "Septiembre", "Octubre", "Noviembre"}, 0))
), 'BD Asesor'!L411, "")
</f>
        <v/>
      </c>
    </row>
    <row r="412">
      <c r="C412" s="84" t="str">
        <f t="array" ref="C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Asesor'!A412, "")
</f>
        <v/>
      </c>
      <c r="D412" s="84" t="str">
        <f t="array" ref="D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Asesor'!B412, "")
</f>
        <v/>
      </c>
      <c r="E412" s="212" t="str">
        <f t="array" ref="E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Asesor'!C412, "")
</f>
        <v/>
      </c>
      <c r="F412" s="212" t="str">
        <f t="array" ref="F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Asesor'!D412, "")
</f>
        <v/>
      </c>
      <c r="G412" s="212" t="str">
        <f t="array" ref="G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Asesor'!E412, "")
</f>
        <v/>
      </c>
      <c r="H412" s="84" t="str">
        <f t="array" ref="H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Asesor'!F412, "")
</f>
        <v/>
      </c>
      <c r="I412" s="84" t="str">
        <f t="array" ref="I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Asesor'!G412, "")
</f>
        <v/>
      </c>
      <c r="J412" s="84" t="str">
        <f t="array" ref="J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Asesor'!H412, "")
</f>
        <v/>
      </c>
      <c r="K412" s="84" t="str">
        <f t="array" ref="K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Asesor'!K412, "")
</f>
        <v/>
      </c>
      <c r="L412" s="84" t="str">
        <f t="array" ref="L412">IF(OR(
    AND('BD Asesor'!H412="Mensual", MATCH($B$2, {"Enero", "Febrero", "Marzo", "Abril", "Mayo", "Junio", "Julio", "Agosto", "Septiembre", "Octubre", "Noviembre", "Diciembre"}, 0)&gt;=1),
    AND('BD Asesor'!H412="Trimestral", MOD(MATCH($B$2, {"Enero", "Febrero", "Marzo", "Abril", "Mayo", "Junio", "Julio", "Agosto", "Septiembre", "Octubre", "Noviembre"}, 0)-MONTH('BD Asesor'!D412), 3)=0),
    AND('BD Asesor'!H412="Semestral", MOD(MATCH($B$2, {"Enero", "Febrero", "Marzo", "Abril", "Mayo", "Junio", "Julio", "Agosto", "Septiembre", "Octubre", "Noviembre"}, 0)-MONTH('BD Asesor'!D412), 6)=0),
    AND('BD Asesor'!H412="Anual", MONTH('BD Asesor'!D412)=MATCH($B$2, {"Enero", "Febrero", "Marzo", "Abril", "Mayo", "Junio", "Julio", "Agosto", "Septiembre", "Octubre", "Noviembre"}, 0))
), 'BD Asesor'!L412, "")
</f>
        <v/>
      </c>
    </row>
    <row r="413">
      <c r="C413" s="84" t="str">
        <f t="array" ref="C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Asesor'!A413, "")
</f>
        <v/>
      </c>
      <c r="D413" s="84" t="str">
        <f t="array" ref="D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Asesor'!B413, "")
</f>
        <v/>
      </c>
      <c r="E413" s="212" t="str">
        <f t="array" ref="E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Asesor'!C413, "")
</f>
        <v/>
      </c>
      <c r="F413" s="212" t="str">
        <f t="array" ref="F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Asesor'!D413, "")
</f>
        <v/>
      </c>
      <c r="G413" s="212" t="str">
        <f t="array" ref="G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Asesor'!E413, "")
</f>
        <v/>
      </c>
      <c r="H413" s="84" t="str">
        <f t="array" ref="H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Asesor'!F413, "")
</f>
        <v/>
      </c>
      <c r="I413" s="84" t="str">
        <f t="array" ref="I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Asesor'!G413, "")
</f>
        <v/>
      </c>
      <c r="J413" s="84" t="str">
        <f t="array" ref="J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Asesor'!H413, "")
</f>
        <v/>
      </c>
      <c r="K413" s="84" t="str">
        <f t="array" ref="K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Asesor'!K413, "")
</f>
        <v/>
      </c>
      <c r="L413" s="84" t="str">
        <f t="array" ref="L413">IF(OR(
    AND('BD Asesor'!H413="Mensual", MATCH($B$2, {"Enero", "Febrero", "Marzo", "Abril", "Mayo", "Junio", "Julio", "Agosto", "Septiembre", "Octubre", "Noviembre", "Diciembre"}, 0)&gt;=1),
    AND('BD Asesor'!H413="Trimestral", MOD(MATCH($B$2, {"Enero", "Febrero", "Marzo", "Abril", "Mayo", "Junio", "Julio", "Agosto", "Septiembre", "Octubre", "Noviembre"}, 0)-MONTH('BD Asesor'!D413), 3)=0),
    AND('BD Asesor'!H413="Semestral", MOD(MATCH($B$2, {"Enero", "Febrero", "Marzo", "Abril", "Mayo", "Junio", "Julio", "Agosto", "Septiembre", "Octubre", "Noviembre"}, 0)-MONTH('BD Asesor'!D413), 6)=0),
    AND('BD Asesor'!H413="Anual", MONTH('BD Asesor'!D413)=MATCH($B$2, {"Enero", "Febrero", "Marzo", "Abril", "Mayo", "Junio", "Julio", "Agosto", "Septiembre", "Octubre", "Noviembre"}, 0))
), 'BD Asesor'!L413, "")
</f>
        <v/>
      </c>
    </row>
    <row r="414">
      <c r="C414" s="84" t="str">
        <f t="array" ref="C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Asesor'!A414, "")
</f>
        <v/>
      </c>
      <c r="D414" s="84" t="str">
        <f t="array" ref="D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Asesor'!B414, "")
</f>
        <v/>
      </c>
      <c r="E414" s="212" t="str">
        <f t="array" ref="E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Asesor'!C414, "")
</f>
        <v/>
      </c>
      <c r="F414" s="212" t="str">
        <f t="array" ref="F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Asesor'!D414, "")
</f>
        <v/>
      </c>
      <c r="G414" s="212" t="str">
        <f t="array" ref="G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Asesor'!E414, "")
</f>
        <v/>
      </c>
      <c r="H414" s="84" t="str">
        <f t="array" ref="H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Asesor'!F414, "")
</f>
        <v/>
      </c>
      <c r="I414" s="84" t="str">
        <f t="array" ref="I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Asesor'!G414, "")
</f>
        <v/>
      </c>
      <c r="J414" s="84" t="str">
        <f t="array" ref="J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Asesor'!H414, "")
</f>
        <v/>
      </c>
      <c r="K414" s="84" t="str">
        <f t="array" ref="K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Asesor'!K414, "")
</f>
        <v/>
      </c>
      <c r="L414" s="84" t="str">
        <f t="array" ref="L414">IF(OR(
    AND('BD Asesor'!H414="Mensual", MATCH($B$2, {"Enero", "Febrero", "Marzo", "Abril", "Mayo", "Junio", "Julio", "Agosto", "Septiembre", "Octubre", "Noviembre", "Diciembre"}, 0)&gt;=1),
    AND('BD Asesor'!H414="Trimestral", MOD(MATCH($B$2, {"Enero", "Febrero", "Marzo", "Abril", "Mayo", "Junio", "Julio", "Agosto", "Septiembre", "Octubre", "Noviembre"}, 0)-MONTH('BD Asesor'!D414), 3)=0),
    AND('BD Asesor'!H414="Semestral", MOD(MATCH($B$2, {"Enero", "Febrero", "Marzo", "Abril", "Mayo", "Junio", "Julio", "Agosto", "Septiembre", "Octubre", "Noviembre"}, 0)-MONTH('BD Asesor'!D414), 6)=0),
    AND('BD Asesor'!H414="Anual", MONTH('BD Asesor'!D414)=MATCH($B$2, {"Enero", "Febrero", "Marzo", "Abril", "Mayo", "Junio", "Julio", "Agosto", "Septiembre", "Octubre", "Noviembre"}, 0))
), 'BD Asesor'!L414, "")
</f>
        <v/>
      </c>
    </row>
    <row r="415">
      <c r="C415" s="84" t="str">
        <f t="array" ref="C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Asesor'!A415, "")
</f>
        <v/>
      </c>
      <c r="D415" s="84" t="str">
        <f t="array" ref="D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Asesor'!B415, "")
</f>
        <v/>
      </c>
      <c r="E415" s="212" t="str">
        <f t="array" ref="E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Asesor'!C415, "")
</f>
        <v/>
      </c>
      <c r="F415" s="212" t="str">
        <f t="array" ref="F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Asesor'!D415, "")
</f>
        <v/>
      </c>
      <c r="G415" s="212" t="str">
        <f t="array" ref="G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Asesor'!E415, "")
</f>
        <v/>
      </c>
      <c r="H415" s="84" t="str">
        <f t="array" ref="H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Asesor'!F415, "")
</f>
        <v/>
      </c>
      <c r="I415" s="84" t="str">
        <f t="array" ref="I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Asesor'!G415, "")
</f>
        <v/>
      </c>
      <c r="J415" s="84" t="str">
        <f t="array" ref="J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Asesor'!H415, "")
</f>
        <v/>
      </c>
      <c r="K415" s="84" t="str">
        <f t="array" ref="K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Asesor'!K415, "")
</f>
        <v/>
      </c>
      <c r="L415" s="84" t="str">
        <f t="array" ref="L415">IF(OR(
    AND('BD Asesor'!H415="Mensual", MATCH($B$2, {"Enero", "Febrero", "Marzo", "Abril", "Mayo", "Junio", "Julio", "Agosto", "Septiembre", "Octubre", "Noviembre", "Diciembre"}, 0)&gt;=1),
    AND('BD Asesor'!H415="Trimestral", MOD(MATCH($B$2, {"Enero", "Febrero", "Marzo", "Abril", "Mayo", "Junio", "Julio", "Agosto", "Septiembre", "Octubre", "Noviembre"}, 0)-MONTH('BD Asesor'!D415), 3)=0),
    AND('BD Asesor'!H415="Semestral", MOD(MATCH($B$2, {"Enero", "Febrero", "Marzo", "Abril", "Mayo", "Junio", "Julio", "Agosto", "Septiembre", "Octubre", "Noviembre"}, 0)-MONTH('BD Asesor'!D415), 6)=0),
    AND('BD Asesor'!H415="Anual", MONTH('BD Asesor'!D415)=MATCH($B$2, {"Enero", "Febrero", "Marzo", "Abril", "Mayo", "Junio", "Julio", "Agosto", "Septiembre", "Octubre", "Noviembre"}, 0))
), 'BD Asesor'!L415, "")
</f>
        <v/>
      </c>
    </row>
    <row r="416">
      <c r="C416" s="84" t="str">
        <f t="array" ref="C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Asesor'!A416, "")
</f>
        <v/>
      </c>
      <c r="D416" s="84" t="str">
        <f t="array" ref="D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Asesor'!B416, "")
</f>
        <v/>
      </c>
      <c r="E416" s="212" t="str">
        <f t="array" ref="E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Asesor'!C416, "")
</f>
        <v/>
      </c>
      <c r="F416" s="212" t="str">
        <f t="array" ref="F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Asesor'!D416, "")
</f>
        <v/>
      </c>
      <c r="G416" s="212" t="str">
        <f t="array" ref="G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Asesor'!E416, "")
</f>
        <v/>
      </c>
      <c r="H416" s="84" t="str">
        <f t="array" ref="H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Asesor'!F416, "")
</f>
        <v/>
      </c>
      <c r="I416" s="84" t="str">
        <f t="array" ref="I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Asesor'!G416, "")
</f>
        <v/>
      </c>
      <c r="J416" s="84" t="str">
        <f t="array" ref="J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Asesor'!H416, "")
</f>
        <v/>
      </c>
      <c r="K416" s="84" t="str">
        <f t="array" ref="K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Asesor'!K416, "")
</f>
        <v/>
      </c>
      <c r="L416" s="84" t="str">
        <f t="array" ref="L416">IF(OR(
    AND('BD Asesor'!H416="Mensual", MATCH($B$2, {"Enero", "Febrero", "Marzo", "Abril", "Mayo", "Junio", "Julio", "Agosto", "Septiembre", "Octubre", "Noviembre", "Diciembre"}, 0)&gt;=1),
    AND('BD Asesor'!H416="Trimestral", MOD(MATCH($B$2, {"Enero", "Febrero", "Marzo", "Abril", "Mayo", "Junio", "Julio", "Agosto", "Septiembre", "Octubre", "Noviembre"}, 0)-MONTH('BD Asesor'!D416), 3)=0),
    AND('BD Asesor'!H416="Semestral", MOD(MATCH($B$2, {"Enero", "Febrero", "Marzo", "Abril", "Mayo", "Junio", "Julio", "Agosto", "Septiembre", "Octubre", "Noviembre"}, 0)-MONTH('BD Asesor'!D416), 6)=0),
    AND('BD Asesor'!H416="Anual", MONTH('BD Asesor'!D416)=MATCH($B$2, {"Enero", "Febrero", "Marzo", "Abril", "Mayo", "Junio", "Julio", "Agosto", "Septiembre", "Octubre", "Noviembre"}, 0))
), 'BD Asesor'!L416, "")
</f>
        <v/>
      </c>
    </row>
    <row r="417">
      <c r="C417" s="84" t="str">
        <f t="array" ref="C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Asesor'!A417, "")
</f>
        <v/>
      </c>
      <c r="D417" s="84" t="str">
        <f t="array" ref="D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Asesor'!B417, "")
</f>
        <v/>
      </c>
      <c r="E417" s="212" t="str">
        <f t="array" ref="E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Asesor'!C417, "")
</f>
        <v/>
      </c>
      <c r="F417" s="212" t="str">
        <f t="array" ref="F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Asesor'!D417, "")
</f>
        <v/>
      </c>
      <c r="G417" s="212" t="str">
        <f t="array" ref="G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Asesor'!E417, "")
</f>
        <v/>
      </c>
      <c r="H417" s="84" t="str">
        <f t="array" ref="H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Asesor'!F417, "")
</f>
        <v/>
      </c>
      <c r="I417" s="84" t="str">
        <f t="array" ref="I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Asesor'!G417, "")
</f>
        <v/>
      </c>
      <c r="J417" s="84" t="str">
        <f t="array" ref="J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Asesor'!H417, "")
</f>
        <v/>
      </c>
      <c r="K417" s="84" t="str">
        <f t="array" ref="K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Asesor'!K417, "")
</f>
        <v/>
      </c>
      <c r="L417" s="84" t="str">
        <f t="array" ref="L417">IF(OR(
    AND('BD Asesor'!H417="Mensual", MATCH($B$2, {"Enero", "Febrero", "Marzo", "Abril", "Mayo", "Junio", "Julio", "Agosto", "Septiembre", "Octubre", "Noviembre", "Diciembre"}, 0)&gt;=1),
    AND('BD Asesor'!H417="Trimestral", MOD(MATCH($B$2, {"Enero", "Febrero", "Marzo", "Abril", "Mayo", "Junio", "Julio", "Agosto", "Septiembre", "Octubre", "Noviembre"}, 0)-MONTH('BD Asesor'!D417), 3)=0),
    AND('BD Asesor'!H417="Semestral", MOD(MATCH($B$2, {"Enero", "Febrero", "Marzo", "Abril", "Mayo", "Junio", "Julio", "Agosto", "Septiembre", "Octubre", "Noviembre"}, 0)-MONTH('BD Asesor'!D417), 6)=0),
    AND('BD Asesor'!H417="Anual", MONTH('BD Asesor'!D417)=MATCH($B$2, {"Enero", "Febrero", "Marzo", "Abril", "Mayo", "Junio", "Julio", "Agosto", "Septiembre", "Octubre", "Noviembre"}, 0))
), 'BD Asesor'!L417, "")
</f>
        <v/>
      </c>
    </row>
    <row r="418">
      <c r="C418" s="84" t="str">
        <f t="array" ref="C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Asesor'!A418, "")
</f>
        <v/>
      </c>
      <c r="D418" s="84" t="str">
        <f t="array" ref="D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Asesor'!B418, "")
</f>
        <v/>
      </c>
      <c r="E418" s="212" t="str">
        <f t="array" ref="E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Asesor'!C418, "")
</f>
        <v/>
      </c>
      <c r="F418" s="212" t="str">
        <f t="array" ref="F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Asesor'!D418, "")
</f>
        <v/>
      </c>
      <c r="G418" s="212" t="str">
        <f t="array" ref="G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Asesor'!E418, "")
</f>
        <v/>
      </c>
      <c r="H418" s="84" t="str">
        <f t="array" ref="H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Asesor'!F418, "")
</f>
        <v/>
      </c>
      <c r="I418" s="84" t="str">
        <f t="array" ref="I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Asesor'!G418, "")
</f>
        <v/>
      </c>
      <c r="J418" s="84" t="str">
        <f t="array" ref="J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Asesor'!H418, "")
</f>
        <v/>
      </c>
      <c r="K418" s="84" t="str">
        <f t="array" ref="K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Asesor'!K418, "")
</f>
        <v/>
      </c>
      <c r="L418" s="84" t="str">
        <f t="array" ref="L418">IF(OR(
    AND('BD Asesor'!H418="Mensual", MATCH($B$2, {"Enero", "Febrero", "Marzo", "Abril", "Mayo", "Junio", "Julio", "Agosto", "Septiembre", "Octubre", "Noviembre", "Diciembre"}, 0)&gt;=1),
    AND('BD Asesor'!H418="Trimestral", MOD(MATCH($B$2, {"Enero", "Febrero", "Marzo", "Abril", "Mayo", "Junio", "Julio", "Agosto", "Septiembre", "Octubre", "Noviembre"}, 0)-MONTH('BD Asesor'!D418), 3)=0),
    AND('BD Asesor'!H418="Semestral", MOD(MATCH($B$2, {"Enero", "Febrero", "Marzo", "Abril", "Mayo", "Junio", "Julio", "Agosto", "Septiembre", "Octubre", "Noviembre"}, 0)-MONTH('BD Asesor'!D418), 6)=0),
    AND('BD Asesor'!H418="Anual", MONTH('BD Asesor'!D418)=MATCH($B$2, {"Enero", "Febrero", "Marzo", "Abril", "Mayo", "Junio", "Julio", "Agosto", "Septiembre", "Octubre", "Noviembre"}, 0))
), 'BD Asesor'!L418, "")
</f>
        <v/>
      </c>
    </row>
    <row r="419">
      <c r="C419" s="84" t="str">
        <f t="array" ref="C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Asesor'!A419, "")
</f>
        <v/>
      </c>
      <c r="D419" s="84" t="str">
        <f t="array" ref="D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Asesor'!B419, "")
</f>
        <v/>
      </c>
      <c r="E419" s="212" t="str">
        <f t="array" ref="E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Asesor'!C419, "")
</f>
        <v/>
      </c>
      <c r="F419" s="212" t="str">
        <f t="array" ref="F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Asesor'!D419, "")
</f>
        <v/>
      </c>
      <c r="G419" s="212" t="str">
        <f t="array" ref="G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Asesor'!E419, "")
</f>
        <v/>
      </c>
      <c r="H419" s="84" t="str">
        <f t="array" ref="H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Asesor'!F419, "")
</f>
        <v/>
      </c>
      <c r="I419" s="84" t="str">
        <f t="array" ref="I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Asesor'!G419, "")
</f>
        <v/>
      </c>
      <c r="J419" s="84" t="str">
        <f t="array" ref="J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Asesor'!H419, "")
</f>
        <v/>
      </c>
      <c r="K419" s="84" t="str">
        <f t="array" ref="K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Asesor'!K419, "")
</f>
        <v/>
      </c>
      <c r="L419" s="84" t="str">
        <f t="array" ref="L419">IF(OR(
    AND('BD Asesor'!H419="Mensual", MATCH($B$2, {"Enero", "Febrero", "Marzo", "Abril", "Mayo", "Junio", "Julio", "Agosto", "Septiembre", "Octubre", "Noviembre", "Diciembre"}, 0)&gt;=1),
    AND('BD Asesor'!H419="Trimestral", MOD(MATCH($B$2, {"Enero", "Febrero", "Marzo", "Abril", "Mayo", "Junio", "Julio", "Agosto", "Septiembre", "Octubre", "Noviembre"}, 0)-MONTH('BD Asesor'!D419), 3)=0),
    AND('BD Asesor'!H419="Semestral", MOD(MATCH($B$2, {"Enero", "Febrero", "Marzo", "Abril", "Mayo", "Junio", "Julio", "Agosto", "Septiembre", "Octubre", "Noviembre"}, 0)-MONTH('BD Asesor'!D419), 6)=0),
    AND('BD Asesor'!H419="Anual", MONTH('BD Asesor'!D419)=MATCH($B$2, {"Enero", "Febrero", "Marzo", "Abril", "Mayo", "Junio", "Julio", "Agosto", "Septiembre", "Octubre", "Noviembre"}, 0))
), 'BD Asesor'!L419, "")
</f>
        <v/>
      </c>
    </row>
    <row r="420">
      <c r="C420" s="84" t="str">
        <f t="array" ref="C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Asesor'!A420, "")
</f>
        <v/>
      </c>
      <c r="D420" s="84" t="str">
        <f t="array" ref="D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Asesor'!B420, "")
</f>
        <v/>
      </c>
      <c r="E420" s="212" t="str">
        <f t="array" ref="E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Asesor'!C420, "")
</f>
        <v/>
      </c>
      <c r="F420" s="212" t="str">
        <f t="array" ref="F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Asesor'!D420, "")
</f>
        <v/>
      </c>
      <c r="G420" s="212" t="str">
        <f t="array" ref="G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Asesor'!E420, "")
</f>
        <v/>
      </c>
      <c r="H420" s="84" t="str">
        <f t="array" ref="H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Asesor'!F420, "")
</f>
        <v/>
      </c>
      <c r="I420" s="84" t="str">
        <f t="array" ref="I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Asesor'!G420, "")
</f>
        <v/>
      </c>
      <c r="J420" s="84" t="str">
        <f t="array" ref="J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Asesor'!H420, "")
</f>
        <v/>
      </c>
      <c r="K420" s="84" t="str">
        <f t="array" ref="K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Asesor'!K420, "")
</f>
        <v/>
      </c>
      <c r="L420" s="84" t="str">
        <f t="array" ref="L420">IF(OR(
    AND('BD Asesor'!H420="Mensual", MATCH($B$2, {"Enero", "Febrero", "Marzo", "Abril", "Mayo", "Junio", "Julio", "Agosto", "Septiembre", "Octubre", "Noviembre", "Diciembre"}, 0)&gt;=1),
    AND('BD Asesor'!H420="Trimestral", MOD(MATCH($B$2, {"Enero", "Febrero", "Marzo", "Abril", "Mayo", "Junio", "Julio", "Agosto", "Septiembre", "Octubre", "Noviembre"}, 0)-MONTH('BD Asesor'!D420), 3)=0),
    AND('BD Asesor'!H420="Semestral", MOD(MATCH($B$2, {"Enero", "Febrero", "Marzo", "Abril", "Mayo", "Junio", "Julio", "Agosto", "Septiembre", "Octubre", "Noviembre"}, 0)-MONTH('BD Asesor'!D420), 6)=0),
    AND('BD Asesor'!H420="Anual", MONTH('BD Asesor'!D420)=MATCH($B$2, {"Enero", "Febrero", "Marzo", "Abril", "Mayo", "Junio", "Julio", "Agosto", "Septiembre", "Octubre", "Noviembre"}, 0))
), 'BD Asesor'!L420, "")
</f>
        <v/>
      </c>
    </row>
    <row r="421">
      <c r="C421" s="84" t="str">
        <f t="array" ref="C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Asesor'!A421, "")
</f>
        <v/>
      </c>
      <c r="D421" s="84" t="str">
        <f t="array" ref="D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Asesor'!B421, "")
</f>
        <v/>
      </c>
      <c r="E421" s="212" t="str">
        <f t="array" ref="E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Asesor'!C421, "")
</f>
        <v/>
      </c>
      <c r="F421" s="212" t="str">
        <f t="array" ref="F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Asesor'!D421, "")
</f>
        <v/>
      </c>
      <c r="G421" s="212" t="str">
        <f t="array" ref="G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Asesor'!E421, "")
</f>
        <v/>
      </c>
      <c r="H421" s="84" t="str">
        <f t="array" ref="H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Asesor'!F421, "")
</f>
        <v/>
      </c>
      <c r="I421" s="84" t="str">
        <f t="array" ref="I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Asesor'!G421, "")
</f>
        <v/>
      </c>
      <c r="J421" s="84" t="str">
        <f t="array" ref="J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Asesor'!H421, "")
</f>
        <v/>
      </c>
      <c r="K421" s="84" t="str">
        <f t="array" ref="K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Asesor'!K421, "")
</f>
        <v/>
      </c>
      <c r="L421" s="84" t="str">
        <f t="array" ref="L421">IF(OR(
    AND('BD Asesor'!H421="Mensual", MATCH($B$2, {"Enero", "Febrero", "Marzo", "Abril", "Mayo", "Junio", "Julio", "Agosto", "Septiembre", "Octubre", "Noviembre", "Diciembre"}, 0)&gt;=1),
    AND('BD Asesor'!H421="Trimestral", MOD(MATCH($B$2, {"Enero", "Febrero", "Marzo", "Abril", "Mayo", "Junio", "Julio", "Agosto", "Septiembre", "Octubre", "Noviembre"}, 0)-MONTH('BD Asesor'!D421), 3)=0),
    AND('BD Asesor'!H421="Semestral", MOD(MATCH($B$2, {"Enero", "Febrero", "Marzo", "Abril", "Mayo", "Junio", "Julio", "Agosto", "Septiembre", "Octubre", "Noviembre"}, 0)-MONTH('BD Asesor'!D421), 6)=0),
    AND('BD Asesor'!H421="Anual", MONTH('BD Asesor'!D421)=MATCH($B$2, {"Enero", "Febrero", "Marzo", "Abril", "Mayo", "Junio", "Julio", "Agosto", "Septiembre", "Octubre", "Noviembre"}, 0))
), 'BD Asesor'!L421, "")
</f>
        <v/>
      </c>
    </row>
    <row r="422">
      <c r="C422" s="84" t="str">
        <f t="array" ref="C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Asesor'!A422, "")
</f>
        <v/>
      </c>
      <c r="D422" s="84" t="str">
        <f t="array" ref="D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Asesor'!B422, "")
</f>
        <v/>
      </c>
      <c r="E422" s="212" t="str">
        <f t="array" ref="E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Asesor'!C422, "")
</f>
        <v/>
      </c>
      <c r="F422" s="212" t="str">
        <f t="array" ref="F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Asesor'!D422, "")
</f>
        <v/>
      </c>
      <c r="G422" s="212" t="str">
        <f t="array" ref="G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Asesor'!E422, "")
</f>
        <v/>
      </c>
      <c r="H422" s="84" t="str">
        <f t="array" ref="H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Asesor'!F422, "")
</f>
        <v/>
      </c>
      <c r="I422" s="84" t="str">
        <f t="array" ref="I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Asesor'!G422, "")
</f>
        <v/>
      </c>
      <c r="J422" s="84" t="str">
        <f t="array" ref="J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Asesor'!H422, "")
</f>
        <v/>
      </c>
      <c r="K422" s="84" t="str">
        <f t="array" ref="K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Asesor'!K422, "")
</f>
        <v/>
      </c>
      <c r="L422" s="84" t="str">
        <f t="array" ref="L422">IF(OR(
    AND('BD Asesor'!H422="Mensual", MATCH($B$2, {"Enero", "Febrero", "Marzo", "Abril", "Mayo", "Junio", "Julio", "Agosto", "Septiembre", "Octubre", "Noviembre", "Diciembre"}, 0)&gt;=1),
    AND('BD Asesor'!H422="Trimestral", MOD(MATCH($B$2, {"Enero", "Febrero", "Marzo", "Abril", "Mayo", "Junio", "Julio", "Agosto", "Septiembre", "Octubre", "Noviembre"}, 0)-MONTH('BD Asesor'!D422), 3)=0),
    AND('BD Asesor'!H422="Semestral", MOD(MATCH($B$2, {"Enero", "Febrero", "Marzo", "Abril", "Mayo", "Junio", "Julio", "Agosto", "Septiembre", "Octubre", "Noviembre"}, 0)-MONTH('BD Asesor'!D422), 6)=0),
    AND('BD Asesor'!H422="Anual", MONTH('BD Asesor'!D422)=MATCH($B$2, {"Enero", "Febrero", "Marzo", "Abril", "Mayo", "Junio", "Julio", "Agosto", "Septiembre", "Octubre", "Noviembre"}, 0))
), 'BD Asesor'!L422, "")
</f>
        <v/>
      </c>
    </row>
    <row r="423">
      <c r="C423" s="84" t="str">
        <f t="array" ref="C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Asesor'!A423, "")
</f>
        <v/>
      </c>
      <c r="D423" s="84" t="str">
        <f t="array" ref="D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Asesor'!B423, "")
</f>
        <v/>
      </c>
      <c r="E423" s="212" t="str">
        <f t="array" ref="E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Asesor'!C423, "")
</f>
        <v/>
      </c>
      <c r="F423" s="212" t="str">
        <f t="array" ref="F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Asesor'!D423, "")
</f>
        <v/>
      </c>
      <c r="G423" s="212" t="str">
        <f t="array" ref="G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Asesor'!E423, "")
</f>
        <v/>
      </c>
      <c r="H423" s="84" t="str">
        <f t="array" ref="H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Asesor'!F423, "")
</f>
        <v/>
      </c>
      <c r="I423" s="84" t="str">
        <f t="array" ref="I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Asesor'!G423, "")
</f>
        <v/>
      </c>
      <c r="J423" s="84" t="str">
        <f t="array" ref="J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Asesor'!H423, "")
</f>
        <v/>
      </c>
      <c r="K423" s="84" t="str">
        <f t="array" ref="K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Asesor'!K423, "")
</f>
        <v/>
      </c>
      <c r="L423" s="84" t="str">
        <f t="array" ref="L423">IF(OR(
    AND('BD Asesor'!H423="Mensual", MATCH($B$2, {"Enero", "Febrero", "Marzo", "Abril", "Mayo", "Junio", "Julio", "Agosto", "Septiembre", "Octubre", "Noviembre", "Diciembre"}, 0)&gt;=1),
    AND('BD Asesor'!H423="Trimestral", MOD(MATCH($B$2, {"Enero", "Febrero", "Marzo", "Abril", "Mayo", "Junio", "Julio", "Agosto", "Septiembre", "Octubre", "Noviembre"}, 0)-MONTH('BD Asesor'!D423), 3)=0),
    AND('BD Asesor'!H423="Semestral", MOD(MATCH($B$2, {"Enero", "Febrero", "Marzo", "Abril", "Mayo", "Junio", "Julio", "Agosto", "Septiembre", "Octubre", "Noviembre"}, 0)-MONTH('BD Asesor'!D423), 6)=0),
    AND('BD Asesor'!H423="Anual", MONTH('BD Asesor'!D423)=MATCH($B$2, {"Enero", "Febrero", "Marzo", "Abril", "Mayo", "Junio", "Julio", "Agosto", "Septiembre", "Octubre", "Noviembre"}, 0))
), 'BD Asesor'!L423, "")
</f>
        <v/>
      </c>
    </row>
    <row r="424">
      <c r="C424" s="84" t="str">
        <f t="array" ref="C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Asesor'!A424, "")
</f>
        <v/>
      </c>
      <c r="D424" s="84" t="str">
        <f t="array" ref="D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Asesor'!B424, "")
</f>
        <v/>
      </c>
      <c r="E424" s="212" t="str">
        <f t="array" ref="E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Asesor'!C424, "")
</f>
        <v/>
      </c>
      <c r="F424" s="212" t="str">
        <f t="array" ref="F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Asesor'!D424, "")
</f>
        <v/>
      </c>
      <c r="G424" s="212" t="str">
        <f t="array" ref="G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Asesor'!E424, "")
</f>
        <v/>
      </c>
      <c r="H424" s="84" t="str">
        <f t="array" ref="H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Asesor'!F424, "")
</f>
        <v/>
      </c>
      <c r="I424" s="84" t="str">
        <f t="array" ref="I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Asesor'!G424, "")
</f>
        <v/>
      </c>
      <c r="J424" s="84" t="str">
        <f t="array" ref="J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Asesor'!H424, "")
</f>
        <v/>
      </c>
      <c r="K424" s="84" t="str">
        <f t="array" ref="K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Asesor'!K424, "")
</f>
        <v/>
      </c>
      <c r="L424" s="84" t="str">
        <f t="array" ref="L424">IF(OR(
    AND('BD Asesor'!H424="Mensual", MATCH($B$2, {"Enero", "Febrero", "Marzo", "Abril", "Mayo", "Junio", "Julio", "Agosto", "Septiembre", "Octubre", "Noviembre", "Diciembre"}, 0)&gt;=1),
    AND('BD Asesor'!H424="Trimestral", MOD(MATCH($B$2, {"Enero", "Febrero", "Marzo", "Abril", "Mayo", "Junio", "Julio", "Agosto", "Septiembre", "Octubre", "Noviembre"}, 0)-MONTH('BD Asesor'!D424), 3)=0),
    AND('BD Asesor'!H424="Semestral", MOD(MATCH($B$2, {"Enero", "Febrero", "Marzo", "Abril", "Mayo", "Junio", "Julio", "Agosto", "Septiembre", "Octubre", "Noviembre"}, 0)-MONTH('BD Asesor'!D424), 6)=0),
    AND('BD Asesor'!H424="Anual", MONTH('BD Asesor'!D424)=MATCH($B$2, {"Enero", "Febrero", "Marzo", "Abril", "Mayo", "Junio", "Julio", "Agosto", "Septiembre", "Octubre", "Noviembre"}, 0))
), 'BD Asesor'!L424, "")
</f>
        <v/>
      </c>
    </row>
    <row r="425">
      <c r="C425" s="84" t="str">
        <f t="array" ref="C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Asesor'!A425, "")
</f>
        <v/>
      </c>
      <c r="D425" s="84" t="str">
        <f t="array" ref="D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Asesor'!B425, "")
</f>
        <v/>
      </c>
      <c r="E425" s="212" t="str">
        <f t="array" ref="E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Asesor'!C425, "")
</f>
        <v/>
      </c>
      <c r="F425" s="212" t="str">
        <f t="array" ref="F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Asesor'!D425, "")
</f>
        <v/>
      </c>
      <c r="G425" s="212" t="str">
        <f t="array" ref="G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Asesor'!E425, "")
</f>
        <v/>
      </c>
      <c r="H425" s="84" t="str">
        <f t="array" ref="H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Asesor'!F425, "")
</f>
        <v/>
      </c>
      <c r="I425" s="84" t="str">
        <f t="array" ref="I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Asesor'!G425, "")
</f>
        <v/>
      </c>
      <c r="J425" s="84" t="str">
        <f t="array" ref="J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Asesor'!H425, "")
</f>
        <v/>
      </c>
      <c r="K425" s="84" t="str">
        <f t="array" ref="K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Asesor'!K425, "")
</f>
        <v/>
      </c>
      <c r="L425" s="84" t="str">
        <f t="array" ref="L425">IF(OR(
    AND('BD Asesor'!H425="Mensual", MATCH($B$2, {"Enero", "Febrero", "Marzo", "Abril", "Mayo", "Junio", "Julio", "Agosto", "Septiembre", "Octubre", "Noviembre", "Diciembre"}, 0)&gt;=1),
    AND('BD Asesor'!H425="Trimestral", MOD(MATCH($B$2, {"Enero", "Febrero", "Marzo", "Abril", "Mayo", "Junio", "Julio", "Agosto", "Septiembre", "Octubre", "Noviembre"}, 0)-MONTH('BD Asesor'!D425), 3)=0),
    AND('BD Asesor'!H425="Semestral", MOD(MATCH($B$2, {"Enero", "Febrero", "Marzo", "Abril", "Mayo", "Junio", "Julio", "Agosto", "Septiembre", "Octubre", "Noviembre"}, 0)-MONTH('BD Asesor'!D425), 6)=0),
    AND('BD Asesor'!H425="Anual", MONTH('BD Asesor'!D425)=MATCH($B$2, {"Enero", "Febrero", "Marzo", "Abril", "Mayo", "Junio", "Julio", "Agosto", "Septiembre", "Octubre", "Noviembre"}, 0))
), 'BD Asesor'!L425, "")
</f>
        <v/>
      </c>
    </row>
    <row r="426">
      <c r="C426" s="84" t="str">
        <f t="array" ref="C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Asesor'!A426, "")
</f>
        <v/>
      </c>
      <c r="D426" s="84" t="str">
        <f t="array" ref="D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Asesor'!B426, "")
</f>
        <v/>
      </c>
      <c r="E426" s="212" t="str">
        <f t="array" ref="E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Asesor'!C426, "")
</f>
        <v/>
      </c>
      <c r="F426" s="212" t="str">
        <f t="array" ref="F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Asesor'!D426, "")
</f>
        <v/>
      </c>
      <c r="G426" s="212" t="str">
        <f t="array" ref="G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Asesor'!E426, "")
</f>
        <v/>
      </c>
      <c r="H426" s="84" t="str">
        <f t="array" ref="H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Asesor'!F426, "")
</f>
        <v/>
      </c>
      <c r="I426" s="84" t="str">
        <f t="array" ref="I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Asesor'!G426, "")
</f>
        <v/>
      </c>
      <c r="J426" s="84" t="str">
        <f t="array" ref="J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Asesor'!H426, "")
</f>
        <v/>
      </c>
      <c r="K426" s="84" t="str">
        <f t="array" ref="K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Asesor'!K426, "")
</f>
        <v/>
      </c>
      <c r="L426" s="84" t="str">
        <f t="array" ref="L426">IF(OR(
    AND('BD Asesor'!H426="Mensual", MATCH($B$2, {"Enero", "Febrero", "Marzo", "Abril", "Mayo", "Junio", "Julio", "Agosto", "Septiembre", "Octubre", "Noviembre", "Diciembre"}, 0)&gt;=1),
    AND('BD Asesor'!H426="Trimestral", MOD(MATCH($B$2, {"Enero", "Febrero", "Marzo", "Abril", "Mayo", "Junio", "Julio", "Agosto", "Septiembre", "Octubre", "Noviembre"}, 0)-MONTH('BD Asesor'!D426), 3)=0),
    AND('BD Asesor'!H426="Semestral", MOD(MATCH($B$2, {"Enero", "Febrero", "Marzo", "Abril", "Mayo", "Junio", "Julio", "Agosto", "Septiembre", "Octubre", "Noviembre"}, 0)-MONTH('BD Asesor'!D426), 6)=0),
    AND('BD Asesor'!H426="Anual", MONTH('BD Asesor'!D426)=MATCH($B$2, {"Enero", "Febrero", "Marzo", "Abril", "Mayo", "Junio", "Julio", "Agosto", "Septiembre", "Octubre", "Noviembre"}, 0))
), 'BD Asesor'!L426, "")
</f>
        <v/>
      </c>
    </row>
    <row r="427">
      <c r="C427" s="84" t="str">
        <f t="array" ref="C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Asesor'!A427, "")
</f>
        <v/>
      </c>
      <c r="D427" s="84" t="str">
        <f t="array" ref="D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Asesor'!B427, "")
</f>
        <v/>
      </c>
      <c r="E427" s="212" t="str">
        <f t="array" ref="E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Asesor'!C427, "")
</f>
        <v/>
      </c>
      <c r="F427" s="212" t="str">
        <f t="array" ref="F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Asesor'!D427, "")
</f>
        <v/>
      </c>
      <c r="G427" s="212" t="str">
        <f t="array" ref="G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Asesor'!E427, "")
</f>
        <v/>
      </c>
      <c r="H427" s="84" t="str">
        <f t="array" ref="H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Asesor'!F427, "")
</f>
        <v/>
      </c>
      <c r="I427" s="84" t="str">
        <f t="array" ref="I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Asesor'!G427, "")
</f>
        <v/>
      </c>
      <c r="J427" s="84" t="str">
        <f t="array" ref="J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Asesor'!H427, "")
</f>
        <v/>
      </c>
      <c r="K427" s="84" t="str">
        <f t="array" ref="K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Asesor'!K427, "")
</f>
        <v/>
      </c>
      <c r="L427" s="84" t="str">
        <f t="array" ref="L427">IF(OR(
    AND('BD Asesor'!H427="Mensual", MATCH($B$2, {"Enero", "Febrero", "Marzo", "Abril", "Mayo", "Junio", "Julio", "Agosto", "Septiembre", "Octubre", "Noviembre", "Diciembre"}, 0)&gt;=1),
    AND('BD Asesor'!H427="Trimestral", MOD(MATCH($B$2, {"Enero", "Febrero", "Marzo", "Abril", "Mayo", "Junio", "Julio", "Agosto", "Septiembre", "Octubre", "Noviembre"}, 0)-MONTH('BD Asesor'!D427), 3)=0),
    AND('BD Asesor'!H427="Semestral", MOD(MATCH($B$2, {"Enero", "Febrero", "Marzo", "Abril", "Mayo", "Junio", "Julio", "Agosto", "Septiembre", "Octubre", "Noviembre"}, 0)-MONTH('BD Asesor'!D427), 6)=0),
    AND('BD Asesor'!H427="Anual", MONTH('BD Asesor'!D427)=MATCH($B$2, {"Enero", "Febrero", "Marzo", "Abril", "Mayo", "Junio", "Julio", "Agosto", "Septiembre", "Octubre", "Noviembre"}, 0))
), 'BD Asesor'!L427, "")
</f>
        <v/>
      </c>
    </row>
    <row r="428">
      <c r="C428" s="84" t="str">
        <f t="array" ref="C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Asesor'!A428, "")
</f>
        <v/>
      </c>
      <c r="D428" s="84" t="str">
        <f t="array" ref="D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Asesor'!B428, "")
</f>
        <v/>
      </c>
      <c r="E428" s="212" t="str">
        <f t="array" ref="E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Asesor'!C428, "")
</f>
        <v/>
      </c>
      <c r="F428" s="212" t="str">
        <f t="array" ref="F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Asesor'!D428, "")
</f>
        <v/>
      </c>
      <c r="G428" s="212" t="str">
        <f t="array" ref="G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Asesor'!E428, "")
</f>
        <v/>
      </c>
      <c r="H428" s="84" t="str">
        <f t="array" ref="H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Asesor'!F428, "")
</f>
        <v/>
      </c>
      <c r="I428" s="84" t="str">
        <f t="array" ref="I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Asesor'!G428, "")
</f>
        <v/>
      </c>
      <c r="J428" s="84" t="str">
        <f t="array" ref="J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Asesor'!H428, "")
</f>
        <v/>
      </c>
      <c r="K428" s="84" t="str">
        <f t="array" ref="K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Asesor'!K428, "")
</f>
        <v/>
      </c>
      <c r="L428" s="84" t="str">
        <f t="array" ref="L428">IF(OR(
    AND('BD Asesor'!H428="Mensual", MATCH($B$2, {"Enero", "Febrero", "Marzo", "Abril", "Mayo", "Junio", "Julio", "Agosto", "Septiembre", "Octubre", "Noviembre", "Diciembre"}, 0)&gt;=1),
    AND('BD Asesor'!H428="Trimestral", MOD(MATCH($B$2, {"Enero", "Febrero", "Marzo", "Abril", "Mayo", "Junio", "Julio", "Agosto", "Septiembre", "Octubre", "Noviembre"}, 0)-MONTH('BD Asesor'!D428), 3)=0),
    AND('BD Asesor'!H428="Semestral", MOD(MATCH($B$2, {"Enero", "Febrero", "Marzo", "Abril", "Mayo", "Junio", "Julio", "Agosto", "Septiembre", "Octubre", "Noviembre"}, 0)-MONTH('BD Asesor'!D428), 6)=0),
    AND('BD Asesor'!H428="Anual", MONTH('BD Asesor'!D428)=MATCH($B$2, {"Enero", "Febrero", "Marzo", "Abril", "Mayo", "Junio", "Julio", "Agosto", "Septiembre", "Octubre", "Noviembre"}, 0))
), 'BD Asesor'!L428, "")
</f>
        <v/>
      </c>
    </row>
    <row r="429">
      <c r="C429" s="84" t="str">
        <f t="array" ref="C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Asesor'!A429, "")
</f>
        <v/>
      </c>
      <c r="D429" s="84" t="str">
        <f t="array" ref="D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Asesor'!B429, "")
</f>
        <v/>
      </c>
      <c r="E429" s="212" t="str">
        <f t="array" ref="E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Asesor'!C429, "")
</f>
        <v/>
      </c>
      <c r="F429" s="212" t="str">
        <f t="array" ref="F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Asesor'!D429, "")
</f>
        <v/>
      </c>
      <c r="G429" s="212" t="str">
        <f t="array" ref="G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Asesor'!E429, "")
</f>
        <v/>
      </c>
      <c r="H429" s="84" t="str">
        <f t="array" ref="H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Asesor'!F429, "")
</f>
        <v/>
      </c>
      <c r="I429" s="84" t="str">
        <f t="array" ref="I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Asesor'!G429, "")
</f>
        <v/>
      </c>
      <c r="J429" s="84" t="str">
        <f t="array" ref="J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Asesor'!H429, "")
</f>
        <v/>
      </c>
      <c r="K429" s="84" t="str">
        <f t="array" ref="K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Asesor'!K429, "")
</f>
        <v/>
      </c>
      <c r="L429" s="84" t="str">
        <f t="array" ref="L429">IF(OR(
    AND('BD Asesor'!H429="Mensual", MATCH($B$2, {"Enero", "Febrero", "Marzo", "Abril", "Mayo", "Junio", "Julio", "Agosto", "Septiembre", "Octubre", "Noviembre", "Diciembre"}, 0)&gt;=1),
    AND('BD Asesor'!H429="Trimestral", MOD(MATCH($B$2, {"Enero", "Febrero", "Marzo", "Abril", "Mayo", "Junio", "Julio", "Agosto", "Septiembre", "Octubre", "Noviembre"}, 0)-MONTH('BD Asesor'!D429), 3)=0),
    AND('BD Asesor'!H429="Semestral", MOD(MATCH($B$2, {"Enero", "Febrero", "Marzo", "Abril", "Mayo", "Junio", "Julio", "Agosto", "Septiembre", "Octubre", "Noviembre"}, 0)-MONTH('BD Asesor'!D429), 6)=0),
    AND('BD Asesor'!H429="Anual", MONTH('BD Asesor'!D429)=MATCH($B$2, {"Enero", "Febrero", "Marzo", "Abril", "Mayo", "Junio", "Julio", "Agosto", "Septiembre", "Octubre", "Noviembre"}, 0))
), 'BD Asesor'!L429, "")
</f>
        <v/>
      </c>
    </row>
    <row r="430">
      <c r="C430" s="84" t="str">
        <f t="array" ref="C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Asesor'!A430, "")
</f>
        <v/>
      </c>
      <c r="D430" s="84" t="str">
        <f t="array" ref="D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Asesor'!B430, "")
</f>
        <v/>
      </c>
      <c r="E430" s="212" t="str">
        <f t="array" ref="E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Asesor'!C430, "")
</f>
        <v/>
      </c>
      <c r="F430" s="212" t="str">
        <f t="array" ref="F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Asesor'!D430, "")
</f>
        <v/>
      </c>
      <c r="G430" s="212" t="str">
        <f t="array" ref="G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Asesor'!E430, "")
</f>
        <v/>
      </c>
      <c r="H430" s="84" t="str">
        <f t="array" ref="H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Asesor'!F430, "")
</f>
        <v/>
      </c>
      <c r="I430" s="84" t="str">
        <f t="array" ref="I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Asesor'!G430, "")
</f>
        <v/>
      </c>
      <c r="J430" s="84" t="str">
        <f t="array" ref="J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Asesor'!H430, "")
</f>
        <v/>
      </c>
      <c r="K430" s="84" t="str">
        <f t="array" ref="K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Asesor'!K430, "")
</f>
        <v/>
      </c>
      <c r="L430" s="84" t="str">
        <f t="array" ref="L430">IF(OR(
    AND('BD Asesor'!H430="Mensual", MATCH($B$2, {"Enero", "Febrero", "Marzo", "Abril", "Mayo", "Junio", "Julio", "Agosto", "Septiembre", "Octubre", "Noviembre", "Diciembre"}, 0)&gt;=1),
    AND('BD Asesor'!H430="Trimestral", MOD(MATCH($B$2, {"Enero", "Febrero", "Marzo", "Abril", "Mayo", "Junio", "Julio", "Agosto", "Septiembre", "Octubre", "Noviembre"}, 0)-MONTH('BD Asesor'!D430), 3)=0),
    AND('BD Asesor'!H430="Semestral", MOD(MATCH($B$2, {"Enero", "Febrero", "Marzo", "Abril", "Mayo", "Junio", "Julio", "Agosto", "Septiembre", "Octubre", "Noviembre"}, 0)-MONTH('BD Asesor'!D430), 6)=0),
    AND('BD Asesor'!H430="Anual", MONTH('BD Asesor'!D430)=MATCH($B$2, {"Enero", "Febrero", "Marzo", "Abril", "Mayo", "Junio", "Julio", "Agosto", "Septiembre", "Octubre", "Noviembre"}, 0))
), 'BD Asesor'!L430, "")
</f>
        <v/>
      </c>
    </row>
    <row r="431">
      <c r="C431" s="84" t="str">
        <f t="array" ref="C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Asesor'!A431, "")
</f>
        <v/>
      </c>
      <c r="D431" s="84" t="str">
        <f t="array" ref="D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Asesor'!B431, "")
</f>
        <v/>
      </c>
      <c r="E431" s="212" t="str">
        <f t="array" ref="E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Asesor'!C431, "")
</f>
        <v/>
      </c>
      <c r="F431" s="212" t="str">
        <f t="array" ref="F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Asesor'!D431, "")
</f>
        <v/>
      </c>
      <c r="G431" s="212" t="str">
        <f t="array" ref="G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Asesor'!E431, "")
</f>
        <v/>
      </c>
      <c r="H431" s="84" t="str">
        <f t="array" ref="H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Asesor'!F431, "")
</f>
        <v/>
      </c>
      <c r="I431" s="84" t="str">
        <f t="array" ref="I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Asesor'!G431, "")
</f>
        <v/>
      </c>
      <c r="J431" s="84" t="str">
        <f t="array" ref="J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Asesor'!H431, "")
</f>
        <v/>
      </c>
      <c r="K431" s="84" t="str">
        <f t="array" ref="K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Asesor'!K431, "")
</f>
        <v/>
      </c>
      <c r="L431" s="84" t="str">
        <f t="array" ref="L431">IF(OR(
    AND('BD Asesor'!H431="Mensual", MATCH($B$2, {"Enero", "Febrero", "Marzo", "Abril", "Mayo", "Junio", "Julio", "Agosto", "Septiembre", "Octubre", "Noviembre", "Diciembre"}, 0)&gt;=1),
    AND('BD Asesor'!H431="Trimestral", MOD(MATCH($B$2, {"Enero", "Febrero", "Marzo", "Abril", "Mayo", "Junio", "Julio", "Agosto", "Septiembre", "Octubre", "Noviembre"}, 0)-MONTH('BD Asesor'!D431), 3)=0),
    AND('BD Asesor'!H431="Semestral", MOD(MATCH($B$2, {"Enero", "Febrero", "Marzo", "Abril", "Mayo", "Junio", "Julio", "Agosto", "Septiembre", "Octubre", "Noviembre"}, 0)-MONTH('BD Asesor'!D431), 6)=0),
    AND('BD Asesor'!H431="Anual", MONTH('BD Asesor'!D431)=MATCH($B$2, {"Enero", "Febrero", "Marzo", "Abril", "Mayo", "Junio", "Julio", "Agosto", "Septiembre", "Octubre", "Noviembre"}, 0))
), 'BD Asesor'!L431, "")
</f>
        <v/>
      </c>
    </row>
    <row r="432">
      <c r="C432" s="84" t="str">
        <f t="array" ref="C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Asesor'!A432, "")
</f>
        <v/>
      </c>
      <c r="D432" s="84" t="str">
        <f t="array" ref="D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Asesor'!B432, "")
</f>
        <v/>
      </c>
      <c r="E432" s="212" t="str">
        <f t="array" ref="E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Asesor'!C432, "")
</f>
        <v/>
      </c>
      <c r="F432" s="212" t="str">
        <f t="array" ref="F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Asesor'!D432, "")
</f>
        <v/>
      </c>
      <c r="G432" s="212" t="str">
        <f t="array" ref="G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Asesor'!E432, "")
</f>
        <v/>
      </c>
      <c r="H432" s="84" t="str">
        <f t="array" ref="H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Asesor'!F432, "")
</f>
        <v/>
      </c>
      <c r="I432" s="84" t="str">
        <f t="array" ref="I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Asesor'!G432, "")
</f>
        <v/>
      </c>
      <c r="J432" s="84" t="str">
        <f t="array" ref="J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Asesor'!H432, "")
</f>
        <v/>
      </c>
      <c r="K432" s="84" t="str">
        <f t="array" ref="K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Asesor'!K432, "")
</f>
        <v/>
      </c>
      <c r="L432" s="84" t="str">
        <f t="array" ref="L432">IF(OR(
    AND('BD Asesor'!H432="Mensual", MATCH($B$2, {"Enero", "Febrero", "Marzo", "Abril", "Mayo", "Junio", "Julio", "Agosto", "Septiembre", "Octubre", "Noviembre", "Diciembre"}, 0)&gt;=1),
    AND('BD Asesor'!H432="Trimestral", MOD(MATCH($B$2, {"Enero", "Febrero", "Marzo", "Abril", "Mayo", "Junio", "Julio", "Agosto", "Septiembre", "Octubre", "Noviembre"}, 0)-MONTH('BD Asesor'!D432), 3)=0),
    AND('BD Asesor'!H432="Semestral", MOD(MATCH($B$2, {"Enero", "Febrero", "Marzo", "Abril", "Mayo", "Junio", "Julio", "Agosto", "Septiembre", "Octubre", "Noviembre"}, 0)-MONTH('BD Asesor'!D432), 6)=0),
    AND('BD Asesor'!H432="Anual", MONTH('BD Asesor'!D432)=MATCH($B$2, {"Enero", "Febrero", "Marzo", "Abril", "Mayo", "Junio", "Julio", "Agosto", "Septiembre", "Octubre", "Noviembre"}, 0))
), 'BD Asesor'!L432, "")
</f>
        <v/>
      </c>
    </row>
    <row r="433">
      <c r="C433" s="84" t="str">
        <f t="array" ref="C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Asesor'!A433, "")
</f>
        <v/>
      </c>
      <c r="D433" s="84" t="str">
        <f t="array" ref="D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Asesor'!B433, "")
</f>
        <v/>
      </c>
      <c r="E433" s="212" t="str">
        <f t="array" ref="E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Asesor'!C433, "")
</f>
        <v/>
      </c>
      <c r="F433" s="212" t="str">
        <f t="array" ref="F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Asesor'!D433, "")
</f>
        <v/>
      </c>
      <c r="G433" s="212" t="str">
        <f t="array" ref="G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Asesor'!E433, "")
</f>
        <v/>
      </c>
      <c r="H433" s="84" t="str">
        <f t="array" ref="H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Asesor'!F433, "")
</f>
        <v/>
      </c>
      <c r="I433" s="84" t="str">
        <f t="array" ref="I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Asesor'!G433, "")
</f>
        <v/>
      </c>
      <c r="J433" s="84" t="str">
        <f t="array" ref="J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Asesor'!H433, "")
</f>
        <v/>
      </c>
      <c r="K433" s="84" t="str">
        <f t="array" ref="K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Asesor'!K433, "")
</f>
        <v/>
      </c>
      <c r="L433" s="84" t="str">
        <f t="array" ref="L433">IF(OR(
    AND('BD Asesor'!H433="Mensual", MATCH($B$2, {"Enero", "Febrero", "Marzo", "Abril", "Mayo", "Junio", "Julio", "Agosto", "Septiembre", "Octubre", "Noviembre", "Diciembre"}, 0)&gt;=1),
    AND('BD Asesor'!H433="Trimestral", MOD(MATCH($B$2, {"Enero", "Febrero", "Marzo", "Abril", "Mayo", "Junio", "Julio", "Agosto", "Septiembre", "Octubre", "Noviembre"}, 0)-MONTH('BD Asesor'!D433), 3)=0),
    AND('BD Asesor'!H433="Semestral", MOD(MATCH($B$2, {"Enero", "Febrero", "Marzo", "Abril", "Mayo", "Junio", "Julio", "Agosto", "Septiembre", "Octubre", "Noviembre"}, 0)-MONTH('BD Asesor'!D433), 6)=0),
    AND('BD Asesor'!H433="Anual", MONTH('BD Asesor'!D433)=MATCH($B$2, {"Enero", "Febrero", "Marzo", "Abril", "Mayo", "Junio", "Julio", "Agosto", "Septiembre", "Octubre", "Noviembre"}, 0))
), 'BD Asesor'!L433, "")
</f>
        <v/>
      </c>
    </row>
    <row r="434">
      <c r="C434" s="84" t="str">
        <f t="array" ref="C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Asesor'!A434, "")
</f>
        <v/>
      </c>
      <c r="D434" s="84" t="str">
        <f t="array" ref="D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Asesor'!B434, "")
</f>
        <v/>
      </c>
      <c r="E434" s="212" t="str">
        <f t="array" ref="E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Asesor'!C434, "")
</f>
        <v/>
      </c>
      <c r="F434" s="212" t="str">
        <f t="array" ref="F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Asesor'!D434, "")
</f>
        <v/>
      </c>
      <c r="G434" s="212" t="str">
        <f t="array" ref="G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Asesor'!E434, "")
</f>
        <v/>
      </c>
      <c r="H434" s="84" t="str">
        <f t="array" ref="H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Asesor'!F434, "")
</f>
        <v/>
      </c>
      <c r="I434" s="84" t="str">
        <f t="array" ref="I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Asesor'!G434, "")
</f>
        <v/>
      </c>
      <c r="J434" s="84" t="str">
        <f t="array" ref="J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Asesor'!H434, "")
</f>
        <v/>
      </c>
      <c r="K434" s="84" t="str">
        <f t="array" ref="K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Asesor'!K434, "")
</f>
        <v/>
      </c>
      <c r="L434" s="84" t="str">
        <f t="array" ref="L434">IF(OR(
    AND('BD Asesor'!H434="Mensual", MATCH($B$2, {"Enero", "Febrero", "Marzo", "Abril", "Mayo", "Junio", "Julio", "Agosto", "Septiembre", "Octubre", "Noviembre", "Diciembre"}, 0)&gt;=1),
    AND('BD Asesor'!H434="Trimestral", MOD(MATCH($B$2, {"Enero", "Febrero", "Marzo", "Abril", "Mayo", "Junio", "Julio", "Agosto", "Septiembre", "Octubre", "Noviembre"}, 0)-MONTH('BD Asesor'!D434), 3)=0),
    AND('BD Asesor'!H434="Semestral", MOD(MATCH($B$2, {"Enero", "Febrero", "Marzo", "Abril", "Mayo", "Junio", "Julio", "Agosto", "Septiembre", "Octubre", "Noviembre"}, 0)-MONTH('BD Asesor'!D434), 6)=0),
    AND('BD Asesor'!H434="Anual", MONTH('BD Asesor'!D434)=MATCH($B$2, {"Enero", "Febrero", "Marzo", "Abril", "Mayo", "Junio", "Julio", "Agosto", "Septiembre", "Octubre", "Noviembre"}, 0))
), 'BD Asesor'!L434, "")
</f>
        <v/>
      </c>
    </row>
    <row r="435">
      <c r="C435" s="84" t="str">
        <f t="array" ref="C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Asesor'!A435, "")
</f>
        <v/>
      </c>
      <c r="D435" s="84" t="str">
        <f t="array" ref="D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Asesor'!B435, "")
</f>
        <v/>
      </c>
      <c r="E435" s="212" t="str">
        <f t="array" ref="E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Asesor'!C435, "")
</f>
        <v/>
      </c>
      <c r="F435" s="212" t="str">
        <f t="array" ref="F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Asesor'!D435, "")
</f>
        <v/>
      </c>
      <c r="G435" s="212" t="str">
        <f t="array" ref="G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Asesor'!E435, "")
</f>
        <v/>
      </c>
      <c r="H435" s="84" t="str">
        <f t="array" ref="H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Asesor'!F435, "")
</f>
        <v/>
      </c>
      <c r="I435" s="84" t="str">
        <f t="array" ref="I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Asesor'!G435, "")
</f>
        <v/>
      </c>
      <c r="J435" s="84" t="str">
        <f t="array" ref="J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Asesor'!H435, "")
</f>
        <v/>
      </c>
      <c r="K435" s="84" t="str">
        <f t="array" ref="K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Asesor'!K435, "")
</f>
        <v/>
      </c>
      <c r="L435" s="84" t="str">
        <f t="array" ref="L435">IF(OR(
    AND('BD Asesor'!H435="Mensual", MATCH($B$2, {"Enero", "Febrero", "Marzo", "Abril", "Mayo", "Junio", "Julio", "Agosto", "Septiembre", "Octubre", "Noviembre", "Diciembre"}, 0)&gt;=1),
    AND('BD Asesor'!H435="Trimestral", MOD(MATCH($B$2, {"Enero", "Febrero", "Marzo", "Abril", "Mayo", "Junio", "Julio", "Agosto", "Septiembre", "Octubre", "Noviembre"}, 0)-MONTH('BD Asesor'!D435), 3)=0),
    AND('BD Asesor'!H435="Semestral", MOD(MATCH($B$2, {"Enero", "Febrero", "Marzo", "Abril", "Mayo", "Junio", "Julio", "Agosto", "Septiembre", "Octubre", "Noviembre"}, 0)-MONTH('BD Asesor'!D435), 6)=0),
    AND('BD Asesor'!H435="Anual", MONTH('BD Asesor'!D435)=MATCH($B$2, {"Enero", "Febrero", "Marzo", "Abril", "Mayo", "Junio", "Julio", "Agosto", "Septiembre", "Octubre", "Noviembre"}, 0))
), 'BD Asesor'!L435, "")
</f>
        <v/>
      </c>
    </row>
    <row r="436">
      <c r="C436" s="84" t="str">
        <f t="array" ref="C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Asesor'!A436, "")
</f>
        <v/>
      </c>
      <c r="D436" s="84" t="str">
        <f t="array" ref="D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Asesor'!B436, "")
</f>
        <v/>
      </c>
      <c r="E436" s="212" t="str">
        <f t="array" ref="E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Asesor'!C436, "")
</f>
        <v/>
      </c>
      <c r="F436" s="212" t="str">
        <f t="array" ref="F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Asesor'!D436, "")
</f>
        <v/>
      </c>
      <c r="G436" s="212" t="str">
        <f t="array" ref="G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Asesor'!E436, "")
</f>
        <v/>
      </c>
      <c r="H436" s="84" t="str">
        <f t="array" ref="H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Asesor'!F436, "")
</f>
        <v/>
      </c>
      <c r="I436" s="84" t="str">
        <f t="array" ref="I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Asesor'!G436, "")
</f>
        <v/>
      </c>
      <c r="J436" s="84" t="str">
        <f t="array" ref="J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Asesor'!H436, "")
</f>
        <v/>
      </c>
      <c r="K436" s="84" t="str">
        <f t="array" ref="K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Asesor'!K436, "")
</f>
        <v/>
      </c>
      <c r="L436" s="84" t="str">
        <f t="array" ref="L436">IF(OR(
    AND('BD Asesor'!H436="Mensual", MATCH($B$2, {"Enero", "Febrero", "Marzo", "Abril", "Mayo", "Junio", "Julio", "Agosto", "Septiembre", "Octubre", "Noviembre", "Diciembre"}, 0)&gt;=1),
    AND('BD Asesor'!H436="Trimestral", MOD(MATCH($B$2, {"Enero", "Febrero", "Marzo", "Abril", "Mayo", "Junio", "Julio", "Agosto", "Septiembre", "Octubre", "Noviembre"}, 0)-MONTH('BD Asesor'!D436), 3)=0),
    AND('BD Asesor'!H436="Semestral", MOD(MATCH($B$2, {"Enero", "Febrero", "Marzo", "Abril", "Mayo", "Junio", "Julio", "Agosto", "Septiembre", "Octubre", "Noviembre"}, 0)-MONTH('BD Asesor'!D436), 6)=0),
    AND('BD Asesor'!H436="Anual", MONTH('BD Asesor'!D436)=MATCH($B$2, {"Enero", "Febrero", "Marzo", "Abril", "Mayo", "Junio", "Julio", "Agosto", "Septiembre", "Octubre", "Noviembre"}, 0))
), 'BD Asesor'!L436, "")
</f>
        <v/>
      </c>
    </row>
    <row r="437">
      <c r="C437" s="84" t="str">
        <f t="array" ref="C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Asesor'!A437, "")
</f>
        <v/>
      </c>
      <c r="D437" s="84" t="str">
        <f t="array" ref="D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Asesor'!B437, "")
</f>
        <v/>
      </c>
      <c r="E437" s="212" t="str">
        <f t="array" ref="E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Asesor'!C437, "")
</f>
        <v/>
      </c>
      <c r="F437" s="212" t="str">
        <f t="array" ref="F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Asesor'!D437, "")
</f>
        <v/>
      </c>
      <c r="G437" s="212" t="str">
        <f t="array" ref="G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Asesor'!E437, "")
</f>
        <v/>
      </c>
      <c r="H437" s="84" t="str">
        <f t="array" ref="H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Asesor'!F437, "")
</f>
        <v/>
      </c>
      <c r="I437" s="84" t="str">
        <f t="array" ref="I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Asesor'!G437, "")
</f>
        <v/>
      </c>
      <c r="J437" s="84" t="str">
        <f t="array" ref="J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Asesor'!H437, "")
</f>
        <v/>
      </c>
      <c r="K437" s="84" t="str">
        <f t="array" ref="K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Asesor'!K437, "")
</f>
        <v/>
      </c>
      <c r="L437" s="84" t="str">
        <f t="array" ref="L437">IF(OR(
    AND('BD Asesor'!H437="Mensual", MATCH($B$2, {"Enero", "Febrero", "Marzo", "Abril", "Mayo", "Junio", "Julio", "Agosto", "Septiembre", "Octubre", "Noviembre", "Diciembre"}, 0)&gt;=1),
    AND('BD Asesor'!H437="Trimestral", MOD(MATCH($B$2, {"Enero", "Febrero", "Marzo", "Abril", "Mayo", "Junio", "Julio", "Agosto", "Septiembre", "Octubre", "Noviembre"}, 0)-MONTH('BD Asesor'!D437), 3)=0),
    AND('BD Asesor'!H437="Semestral", MOD(MATCH($B$2, {"Enero", "Febrero", "Marzo", "Abril", "Mayo", "Junio", "Julio", "Agosto", "Septiembre", "Octubre", "Noviembre"}, 0)-MONTH('BD Asesor'!D437), 6)=0),
    AND('BD Asesor'!H437="Anual", MONTH('BD Asesor'!D437)=MATCH($B$2, {"Enero", "Febrero", "Marzo", "Abril", "Mayo", "Junio", "Julio", "Agosto", "Septiembre", "Octubre", "Noviembre"}, 0))
), 'BD Asesor'!L437, "")
</f>
        <v/>
      </c>
    </row>
    <row r="438">
      <c r="C438" s="84" t="str">
        <f t="array" ref="C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Asesor'!A438, "")
</f>
        <v/>
      </c>
      <c r="D438" s="84" t="str">
        <f t="array" ref="D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Asesor'!B438, "")
</f>
        <v/>
      </c>
      <c r="E438" s="212" t="str">
        <f t="array" ref="E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Asesor'!C438, "")
</f>
        <v/>
      </c>
      <c r="F438" s="212" t="str">
        <f t="array" ref="F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Asesor'!D438, "")
</f>
        <v/>
      </c>
      <c r="G438" s="212" t="str">
        <f t="array" ref="G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Asesor'!E438, "")
</f>
        <v/>
      </c>
      <c r="H438" s="84" t="str">
        <f t="array" ref="H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Asesor'!F438, "")
</f>
        <v/>
      </c>
      <c r="I438" s="84" t="str">
        <f t="array" ref="I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Asesor'!G438, "")
</f>
        <v/>
      </c>
      <c r="J438" s="84" t="str">
        <f t="array" ref="J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Asesor'!H438, "")
</f>
        <v/>
      </c>
      <c r="K438" s="84" t="str">
        <f t="array" ref="K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Asesor'!K438, "")
</f>
        <v/>
      </c>
      <c r="L438" s="84" t="str">
        <f t="array" ref="L438">IF(OR(
    AND('BD Asesor'!H438="Mensual", MATCH($B$2, {"Enero", "Febrero", "Marzo", "Abril", "Mayo", "Junio", "Julio", "Agosto", "Septiembre", "Octubre", "Noviembre", "Diciembre"}, 0)&gt;=1),
    AND('BD Asesor'!H438="Trimestral", MOD(MATCH($B$2, {"Enero", "Febrero", "Marzo", "Abril", "Mayo", "Junio", "Julio", "Agosto", "Septiembre", "Octubre", "Noviembre"}, 0)-MONTH('BD Asesor'!D438), 3)=0),
    AND('BD Asesor'!H438="Semestral", MOD(MATCH($B$2, {"Enero", "Febrero", "Marzo", "Abril", "Mayo", "Junio", "Julio", "Agosto", "Septiembre", "Octubre", "Noviembre"}, 0)-MONTH('BD Asesor'!D438), 6)=0),
    AND('BD Asesor'!H438="Anual", MONTH('BD Asesor'!D438)=MATCH($B$2, {"Enero", "Febrero", "Marzo", "Abril", "Mayo", "Junio", "Julio", "Agosto", "Septiembre", "Octubre", "Noviembre"}, 0))
), 'BD Asesor'!L438, "")
</f>
        <v/>
      </c>
    </row>
    <row r="439">
      <c r="C439" s="84" t="str">
        <f t="array" ref="C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Asesor'!A439, "")
</f>
        <v/>
      </c>
      <c r="D439" s="84" t="str">
        <f t="array" ref="D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Asesor'!B439, "")
</f>
        <v/>
      </c>
      <c r="E439" s="212" t="str">
        <f t="array" ref="E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Asesor'!C439, "")
</f>
        <v/>
      </c>
      <c r="F439" s="212" t="str">
        <f t="array" ref="F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Asesor'!D439, "")
</f>
        <v/>
      </c>
      <c r="G439" s="212" t="str">
        <f t="array" ref="G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Asesor'!E439, "")
</f>
        <v/>
      </c>
      <c r="H439" s="84" t="str">
        <f t="array" ref="H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Asesor'!F439, "")
</f>
        <v/>
      </c>
      <c r="I439" s="84" t="str">
        <f t="array" ref="I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Asesor'!G439, "")
</f>
        <v/>
      </c>
      <c r="J439" s="84" t="str">
        <f t="array" ref="J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Asesor'!H439, "")
</f>
        <v/>
      </c>
      <c r="K439" s="84" t="str">
        <f t="array" ref="K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Asesor'!K439, "")
</f>
        <v/>
      </c>
      <c r="L439" s="84" t="str">
        <f t="array" ref="L439">IF(OR(
    AND('BD Asesor'!H439="Mensual", MATCH($B$2, {"Enero", "Febrero", "Marzo", "Abril", "Mayo", "Junio", "Julio", "Agosto", "Septiembre", "Octubre", "Noviembre", "Diciembre"}, 0)&gt;=1),
    AND('BD Asesor'!H439="Trimestral", MOD(MATCH($B$2, {"Enero", "Febrero", "Marzo", "Abril", "Mayo", "Junio", "Julio", "Agosto", "Septiembre", "Octubre", "Noviembre"}, 0)-MONTH('BD Asesor'!D439), 3)=0),
    AND('BD Asesor'!H439="Semestral", MOD(MATCH($B$2, {"Enero", "Febrero", "Marzo", "Abril", "Mayo", "Junio", "Julio", "Agosto", "Septiembre", "Octubre", "Noviembre"}, 0)-MONTH('BD Asesor'!D439), 6)=0),
    AND('BD Asesor'!H439="Anual", MONTH('BD Asesor'!D439)=MATCH($B$2, {"Enero", "Febrero", "Marzo", "Abril", "Mayo", "Junio", "Julio", "Agosto", "Septiembre", "Octubre", "Noviembre"}, 0))
), 'BD Asesor'!L439, "")
</f>
        <v/>
      </c>
    </row>
    <row r="440">
      <c r="C440" s="84" t="str">
        <f t="array" ref="C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Asesor'!A440, "")
</f>
        <v/>
      </c>
      <c r="D440" s="84" t="str">
        <f t="array" ref="D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Asesor'!B440, "")
</f>
        <v/>
      </c>
      <c r="E440" s="212" t="str">
        <f t="array" ref="E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Asesor'!C440, "")
</f>
        <v/>
      </c>
      <c r="F440" s="212" t="str">
        <f t="array" ref="F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Asesor'!D440, "")
</f>
        <v/>
      </c>
      <c r="G440" s="212" t="str">
        <f t="array" ref="G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Asesor'!E440, "")
</f>
        <v/>
      </c>
      <c r="H440" s="84" t="str">
        <f t="array" ref="H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Asesor'!F440, "")
</f>
        <v/>
      </c>
      <c r="I440" s="84" t="str">
        <f t="array" ref="I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Asesor'!G440, "")
</f>
        <v/>
      </c>
      <c r="J440" s="84" t="str">
        <f t="array" ref="J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Asesor'!H440, "")
</f>
        <v/>
      </c>
      <c r="K440" s="84" t="str">
        <f t="array" ref="K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Asesor'!K440, "")
</f>
        <v/>
      </c>
      <c r="L440" s="84" t="str">
        <f t="array" ref="L440">IF(OR(
    AND('BD Asesor'!H440="Mensual", MATCH($B$2, {"Enero", "Febrero", "Marzo", "Abril", "Mayo", "Junio", "Julio", "Agosto", "Septiembre", "Octubre", "Noviembre", "Diciembre"}, 0)&gt;=1),
    AND('BD Asesor'!H440="Trimestral", MOD(MATCH($B$2, {"Enero", "Febrero", "Marzo", "Abril", "Mayo", "Junio", "Julio", "Agosto", "Septiembre", "Octubre", "Noviembre"}, 0)-MONTH('BD Asesor'!D440), 3)=0),
    AND('BD Asesor'!H440="Semestral", MOD(MATCH($B$2, {"Enero", "Febrero", "Marzo", "Abril", "Mayo", "Junio", "Julio", "Agosto", "Septiembre", "Octubre", "Noviembre"}, 0)-MONTH('BD Asesor'!D440), 6)=0),
    AND('BD Asesor'!H440="Anual", MONTH('BD Asesor'!D440)=MATCH($B$2, {"Enero", "Febrero", "Marzo", "Abril", "Mayo", "Junio", "Julio", "Agosto", "Septiembre", "Octubre", "Noviembre"}, 0))
), 'BD Asesor'!L440, "")
</f>
        <v/>
      </c>
    </row>
    <row r="441">
      <c r="C441" s="84" t="str">
        <f t="array" ref="C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Asesor'!A441, "")
</f>
        <v/>
      </c>
      <c r="D441" s="84" t="str">
        <f t="array" ref="D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Asesor'!B441, "")
</f>
        <v/>
      </c>
      <c r="E441" s="212" t="str">
        <f t="array" ref="E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Asesor'!C441, "")
</f>
        <v/>
      </c>
      <c r="F441" s="212" t="str">
        <f t="array" ref="F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Asesor'!D441, "")
</f>
        <v/>
      </c>
      <c r="G441" s="212" t="str">
        <f t="array" ref="G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Asesor'!E441, "")
</f>
        <v/>
      </c>
      <c r="H441" s="84" t="str">
        <f t="array" ref="H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Asesor'!F441, "")
</f>
        <v/>
      </c>
      <c r="I441" s="84" t="str">
        <f t="array" ref="I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Asesor'!G441, "")
</f>
        <v/>
      </c>
      <c r="J441" s="84" t="str">
        <f t="array" ref="J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Asesor'!H441, "")
</f>
        <v/>
      </c>
      <c r="K441" s="84" t="str">
        <f t="array" ref="K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Asesor'!K441, "")
</f>
        <v/>
      </c>
      <c r="L441" s="84" t="str">
        <f t="array" ref="L441">IF(OR(
    AND('BD Asesor'!H441="Mensual", MATCH($B$2, {"Enero", "Febrero", "Marzo", "Abril", "Mayo", "Junio", "Julio", "Agosto", "Septiembre", "Octubre", "Noviembre", "Diciembre"}, 0)&gt;=1),
    AND('BD Asesor'!H441="Trimestral", MOD(MATCH($B$2, {"Enero", "Febrero", "Marzo", "Abril", "Mayo", "Junio", "Julio", "Agosto", "Septiembre", "Octubre", "Noviembre"}, 0)-MONTH('BD Asesor'!D441), 3)=0),
    AND('BD Asesor'!H441="Semestral", MOD(MATCH($B$2, {"Enero", "Febrero", "Marzo", "Abril", "Mayo", "Junio", "Julio", "Agosto", "Septiembre", "Octubre", "Noviembre"}, 0)-MONTH('BD Asesor'!D441), 6)=0),
    AND('BD Asesor'!H441="Anual", MONTH('BD Asesor'!D441)=MATCH($B$2, {"Enero", "Febrero", "Marzo", "Abril", "Mayo", "Junio", "Julio", "Agosto", "Septiembre", "Octubre", "Noviembre"}, 0))
), 'BD Asesor'!L441, "")
</f>
        <v/>
      </c>
    </row>
    <row r="442">
      <c r="C442" s="84" t="str">
        <f t="array" ref="C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Asesor'!A442, "")
</f>
        <v/>
      </c>
      <c r="D442" s="84" t="str">
        <f t="array" ref="D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Asesor'!B442, "")
</f>
        <v/>
      </c>
      <c r="E442" s="212" t="str">
        <f t="array" ref="E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Asesor'!C442, "")
</f>
        <v/>
      </c>
      <c r="F442" s="212" t="str">
        <f t="array" ref="F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Asesor'!D442, "")
</f>
        <v/>
      </c>
      <c r="G442" s="212" t="str">
        <f t="array" ref="G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Asesor'!E442, "")
</f>
        <v/>
      </c>
      <c r="H442" s="84" t="str">
        <f t="array" ref="H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Asesor'!F442, "")
</f>
        <v/>
      </c>
      <c r="I442" s="84" t="str">
        <f t="array" ref="I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Asesor'!G442, "")
</f>
        <v/>
      </c>
      <c r="J442" s="84" t="str">
        <f t="array" ref="J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Asesor'!H442, "")
</f>
        <v/>
      </c>
      <c r="K442" s="84" t="str">
        <f t="array" ref="K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Asesor'!K442, "")
</f>
        <v/>
      </c>
      <c r="L442" s="84" t="str">
        <f t="array" ref="L442">IF(OR(
    AND('BD Asesor'!H442="Mensual", MATCH($B$2, {"Enero", "Febrero", "Marzo", "Abril", "Mayo", "Junio", "Julio", "Agosto", "Septiembre", "Octubre", "Noviembre", "Diciembre"}, 0)&gt;=1),
    AND('BD Asesor'!H442="Trimestral", MOD(MATCH($B$2, {"Enero", "Febrero", "Marzo", "Abril", "Mayo", "Junio", "Julio", "Agosto", "Septiembre", "Octubre", "Noviembre"}, 0)-MONTH('BD Asesor'!D442), 3)=0),
    AND('BD Asesor'!H442="Semestral", MOD(MATCH($B$2, {"Enero", "Febrero", "Marzo", "Abril", "Mayo", "Junio", "Julio", "Agosto", "Septiembre", "Octubre", "Noviembre"}, 0)-MONTH('BD Asesor'!D442), 6)=0),
    AND('BD Asesor'!H442="Anual", MONTH('BD Asesor'!D442)=MATCH($B$2, {"Enero", "Febrero", "Marzo", "Abril", "Mayo", "Junio", "Julio", "Agosto", "Septiembre", "Octubre", "Noviembre"}, 0))
), 'BD Asesor'!L442, "")
</f>
        <v/>
      </c>
    </row>
    <row r="443">
      <c r="C443" s="84" t="str">
        <f t="array" ref="C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Asesor'!A443, "")
</f>
        <v/>
      </c>
      <c r="D443" s="84" t="str">
        <f t="array" ref="D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Asesor'!B443, "")
</f>
        <v/>
      </c>
      <c r="E443" s="212" t="str">
        <f t="array" ref="E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Asesor'!C443, "")
</f>
        <v/>
      </c>
      <c r="F443" s="212" t="str">
        <f t="array" ref="F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Asesor'!D443, "")
</f>
        <v/>
      </c>
      <c r="G443" s="212" t="str">
        <f t="array" ref="G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Asesor'!E443, "")
</f>
        <v/>
      </c>
      <c r="H443" s="84" t="str">
        <f t="array" ref="H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Asesor'!F443, "")
</f>
        <v/>
      </c>
      <c r="I443" s="84" t="str">
        <f t="array" ref="I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Asesor'!G443, "")
</f>
        <v/>
      </c>
      <c r="J443" s="84" t="str">
        <f t="array" ref="J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Asesor'!H443, "")
</f>
        <v/>
      </c>
      <c r="K443" s="84" t="str">
        <f t="array" ref="K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Asesor'!K443, "")
</f>
        <v/>
      </c>
      <c r="L443" s="84" t="str">
        <f t="array" ref="L443">IF(OR(
    AND('BD Asesor'!H443="Mensual", MATCH($B$2, {"Enero", "Febrero", "Marzo", "Abril", "Mayo", "Junio", "Julio", "Agosto", "Septiembre", "Octubre", "Noviembre", "Diciembre"}, 0)&gt;=1),
    AND('BD Asesor'!H443="Trimestral", MOD(MATCH($B$2, {"Enero", "Febrero", "Marzo", "Abril", "Mayo", "Junio", "Julio", "Agosto", "Septiembre", "Octubre", "Noviembre"}, 0)-MONTH('BD Asesor'!D443), 3)=0),
    AND('BD Asesor'!H443="Semestral", MOD(MATCH($B$2, {"Enero", "Febrero", "Marzo", "Abril", "Mayo", "Junio", "Julio", "Agosto", "Septiembre", "Octubre", "Noviembre"}, 0)-MONTH('BD Asesor'!D443), 6)=0),
    AND('BD Asesor'!H443="Anual", MONTH('BD Asesor'!D443)=MATCH($B$2, {"Enero", "Febrero", "Marzo", "Abril", "Mayo", "Junio", "Julio", "Agosto", "Septiembre", "Octubre", "Noviembre"}, 0))
), 'BD Asesor'!L443, "")
</f>
        <v/>
      </c>
    </row>
    <row r="444">
      <c r="C444" s="84" t="str">
        <f t="array" ref="C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Asesor'!A444, "")
</f>
        <v/>
      </c>
      <c r="D444" s="84" t="str">
        <f t="array" ref="D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Asesor'!B444, "")
</f>
        <v/>
      </c>
      <c r="E444" s="212" t="str">
        <f t="array" ref="E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Asesor'!C444, "")
</f>
        <v/>
      </c>
      <c r="F444" s="212" t="str">
        <f t="array" ref="F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Asesor'!D444, "")
</f>
        <v/>
      </c>
      <c r="G444" s="212" t="str">
        <f t="array" ref="G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Asesor'!E444, "")
</f>
        <v/>
      </c>
      <c r="H444" s="84" t="str">
        <f t="array" ref="H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Asesor'!F444, "")
</f>
        <v/>
      </c>
      <c r="I444" s="84" t="str">
        <f t="array" ref="I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Asesor'!G444, "")
</f>
        <v/>
      </c>
      <c r="J444" s="84" t="str">
        <f t="array" ref="J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Asesor'!H444, "")
</f>
        <v/>
      </c>
      <c r="K444" s="84" t="str">
        <f t="array" ref="K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Asesor'!K444, "")
</f>
        <v/>
      </c>
      <c r="L444" s="84" t="str">
        <f t="array" ref="L444">IF(OR(
    AND('BD Asesor'!H444="Mensual", MATCH($B$2, {"Enero", "Febrero", "Marzo", "Abril", "Mayo", "Junio", "Julio", "Agosto", "Septiembre", "Octubre", "Noviembre", "Diciembre"}, 0)&gt;=1),
    AND('BD Asesor'!H444="Trimestral", MOD(MATCH($B$2, {"Enero", "Febrero", "Marzo", "Abril", "Mayo", "Junio", "Julio", "Agosto", "Septiembre", "Octubre", "Noviembre"}, 0)-MONTH('BD Asesor'!D444), 3)=0),
    AND('BD Asesor'!H444="Semestral", MOD(MATCH($B$2, {"Enero", "Febrero", "Marzo", "Abril", "Mayo", "Junio", "Julio", "Agosto", "Septiembre", "Octubre", "Noviembre"}, 0)-MONTH('BD Asesor'!D444), 6)=0),
    AND('BD Asesor'!H444="Anual", MONTH('BD Asesor'!D444)=MATCH($B$2, {"Enero", "Febrero", "Marzo", "Abril", "Mayo", "Junio", "Julio", "Agosto", "Septiembre", "Octubre", "Noviembre"}, 0))
), 'BD Asesor'!L444, "")
</f>
        <v/>
      </c>
    </row>
    <row r="445">
      <c r="C445" s="84" t="str">
        <f t="array" ref="C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Asesor'!A445, "")
</f>
        <v/>
      </c>
      <c r="D445" s="84" t="str">
        <f t="array" ref="D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Asesor'!B445, "")
</f>
        <v/>
      </c>
      <c r="E445" s="212" t="str">
        <f t="array" ref="E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Asesor'!C445, "")
</f>
        <v/>
      </c>
      <c r="F445" s="212" t="str">
        <f t="array" ref="F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Asesor'!D445, "")
</f>
        <v/>
      </c>
      <c r="G445" s="212" t="str">
        <f t="array" ref="G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Asesor'!E445, "")
</f>
        <v/>
      </c>
      <c r="H445" s="84" t="str">
        <f t="array" ref="H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Asesor'!F445, "")
</f>
        <v/>
      </c>
      <c r="I445" s="84" t="str">
        <f t="array" ref="I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Asesor'!G445, "")
</f>
        <v/>
      </c>
      <c r="J445" s="84" t="str">
        <f t="array" ref="J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Asesor'!H445, "")
</f>
        <v/>
      </c>
      <c r="K445" s="84" t="str">
        <f t="array" ref="K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Asesor'!K445, "")
</f>
        <v/>
      </c>
      <c r="L445" s="84" t="str">
        <f t="array" ref="L445">IF(OR(
    AND('BD Asesor'!H445="Mensual", MATCH($B$2, {"Enero", "Febrero", "Marzo", "Abril", "Mayo", "Junio", "Julio", "Agosto", "Septiembre", "Octubre", "Noviembre", "Diciembre"}, 0)&gt;=1),
    AND('BD Asesor'!H445="Trimestral", MOD(MATCH($B$2, {"Enero", "Febrero", "Marzo", "Abril", "Mayo", "Junio", "Julio", "Agosto", "Septiembre", "Octubre", "Noviembre"}, 0)-MONTH('BD Asesor'!D445), 3)=0),
    AND('BD Asesor'!H445="Semestral", MOD(MATCH($B$2, {"Enero", "Febrero", "Marzo", "Abril", "Mayo", "Junio", "Julio", "Agosto", "Septiembre", "Octubre", "Noviembre"}, 0)-MONTH('BD Asesor'!D445), 6)=0),
    AND('BD Asesor'!H445="Anual", MONTH('BD Asesor'!D445)=MATCH($B$2, {"Enero", "Febrero", "Marzo", "Abril", "Mayo", "Junio", "Julio", "Agosto", "Septiembre", "Octubre", "Noviembre"}, 0))
), 'BD Asesor'!L445, "")
</f>
        <v/>
      </c>
    </row>
    <row r="446">
      <c r="C446" s="84" t="str">
        <f t="array" ref="C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Asesor'!A446, "")
</f>
        <v/>
      </c>
      <c r="D446" s="84" t="str">
        <f t="array" ref="D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Asesor'!B446, "")
</f>
        <v/>
      </c>
      <c r="E446" s="212" t="str">
        <f t="array" ref="E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Asesor'!C446, "")
</f>
        <v/>
      </c>
      <c r="F446" s="212" t="str">
        <f t="array" ref="F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Asesor'!D446, "")
</f>
        <v/>
      </c>
      <c r="G446" s="212" t="str">
        <f t="array" ref="G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Asesor'!E446, "")
</f>
        <v/>
      </c>
      <c r="H446" s="84" t="str">
        <f t="array" ref="H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Asesor'!F446, "")
</f>
        <v/>
      </c>
      <c r="I446" s="84" t="str">
        <f t="array" ref="I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Asesor'!G446, "")
</f>
        <v/>
      </c>
      <c r="J446" s="84" t="str">
        <f t="array" ref="J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Asesor'!H446, "")
</f>
        <v/>
      </c>
      <c r="K446" s="84" t="str">
        <f t="array" ref="K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Asesor'!K446, "")
</f>
        <v/>
      </c>
      <c r="L446" s="84" t="str">
        <f t="array" ref="L446">IF(OR(
    AND('BD Asesor'!H446="Mensual", MATCH($B$2, {"Enero", "Febrero", "Marzo", "Abril", "Mayo", "Junio", "Julio", "Agosto", "Septiembre", "Octubre", "Noviembre", "Diciembre"}, 0)&gt;=1),
    AND('BD Asesor'!H446="Trimestral", MOD(MATCH($B$2, {"Enero", "Febrero", "Marzo", "Abril", "Mayo", "Junio", "Julio", "Agosto", "Septiembre", "Octubre", "Noviembre"}, 0)-MONTH('BD Asesor'!D446), 3)=0),
    AND('BD Asesor'!H446="Semestral", MOD(MATCH($B$2, {"Enero", "Febrero", "Marzo", "Abril", "Mayo", "Junio", "Julio", "Agosto", "Septiembre", "Octubre", "Noviembre"}, 0)-MONTH('BD Asesor'!D446), 6)=0),
    AND('BD Asesor'!H446="Anual", MONTH('BD Asesor'!D446)=MATCH($B$2, {"Enero", "Febrero", "Marzo", "Abril", "Mayo", "Junio", "Julio", "Agosto", "Septiembre", "Octubre", "Noviembre"}, 0))
), 'BD Asesor'!L446, "")
</f>
        <v/>
      </c>
    </row>
    <row r="447">
      <c r="C447" s="84" t="str">
        <f t="array" ref="C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Asesor'!A447, "")
</f>
        <v/>
      </c>
      <c r="D447" s="84" t="str">
        <f t="array" ref="D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Asesor'!B447, "")
</f>
        <v/>
      </c>
      <c r="E447" s="212" t="str">
        <f t="array" ref="E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Asesor'!C447, "")
</f>
        <v/>
      </c>
      <c r="F447" s="212" t="str">
        <f t="array" ref="F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Asesor'!D447, "")
</f>
        <v/>
      </c>
      <c r="G447" s="212" t="str">
        <f t="array" ref="G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Asesor'!E447, "")
</f>
        <v/>
      </c>
      <c r="H447" s="84" t="str">
        <f t="array" ref="H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Asesor'!F447, "")
</f>
        <v/>
      </c>
      <c r="I447" s="84" t="str">
        <f t="array" ref="I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Asesor'!G447, "")
</f>
        <v/>
      </c>
      <c r="J447" s="84" t="str">
        <f t="array" ref="J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Asesor'!H447, "")
</f>
        <v/>
      </c>
      <c r="K447" s="84" t="str">
        <f t="array" ref="K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Asesor'!K447, "")
</f>
        <v/>
      </c>
      <c r="L447" s="84" t="str">
        <f t="array" ref="L447">IF(OR(
    AND('BD Asesor'!H447="Mensual", MATCH($B$2, {"Enero", "Febrero", "Marzo", "Abril", "Mayo", "Junio", "Julio", "Agosto", "Septiembre", "Octubre", "Noviembre", "Diciembre"}, 0)&gt;=1),
    AND('BD Asesor'!H447="Trimestral", MOD(MATCH($B$2, {"Enero", "Febrero", "Marzo", "Abril", "Mayo", "Junio", "Julio", "Agosto", "Septiembre", "Octubre", "Noviembre"}, 0)-MONTH('BD Asesor'!D447), 3)=0),
    AND('BD Asesor'!H447="Semestral", MOD(MATCH($B$2, {"Enero", "Febrero", "Marzo", "Abril", "Mayo", "Junio", "Julio", "Agosto", "Septiembre", "Octubre", "Noviembre"}, 0)-MONTH('BD Asesor'!D447), 6)=0),
    AND('BD Asesor'!H447="Anual", MONTH('BD Asesor'!D447)=MATCH($B$2, {"Enero", "Febrero", "Marzo", "Abril", "Mayo", "Junio", "Julio", "Agosto", "Septiembre", "Octubre", "Noviembre"}, 0))
), 'BD Asesor'!L447, "")
</f>
        <v/>
      </c>
    </row>
    <row r="448">
      <c r="C448" s="84" t="str">
        <f t="array" ref="C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Asesor'!A448, "")
</f>
        <v/>
      </c>
      <c r="D448" s="84" t="str">
        <f t="array" ref="D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Asesor'!B448, "")
</f>
        <v/>
      </c>
      <c r="E448" s="212" t="str">
        <f t="array" ref="E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Asesor'!C448, "")
</f>
        <v/>
      </c>
      <c r="F448" s="212" t="str">
        <f t="array" ref="F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Asesor'!D448, "")
</f>
        <v/>
      </c>
      <c r="G448" s="212" t="str">
        <f t="array" ref="G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Asesor'!E448, "")
</f>
        <v/>
      </c>
      <c r="H448" s="84" t="str">
        <f t="array" ref="H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Asesor'!F448, "")
</f>
        <v/>
      </c>
      <c r="I448" s="84" t="str">
        <f t="array" ref="I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Asesor'!G448, "")
</f>
        <v/>
      </c>
      <c r="J448" s="84" t="str">
        <f t="array" ref="J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Asesor'!H448, "")
</f>
        <v/>
      </c>
      <c r="K448" s="84" t="str">
        <f t="array" ref="K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Asesor'!K448, "")
</f>
        <v/>
      </c>
      <c r="L448" s="84" t="str">
        <f t="array" ref="L448">IF(OR(
    AND('BD Asesor'!H448="Mensual", MATCH($B$2, {"Enero", "Febrero", "Marzo", "Abril", "Mayo", "Junio", "Julio", "Agosto", "Septiembre", "Octubre", "Noviembre", "Diciembre"}, 0)&gt;=1),
    AND('BD Asesor'!H448="Trimestral", MOD(MATCH($B$2, {"Enero", "Febrero", "Marzo", "Abril", "Mayo", "Junio", "Julio", "Agosto", "Septiembre", "Octubre", "Noviembre"}, 0)-MONTH('BD Asesor'!D448), 3)=0),
    AND('BD Asesor'!H448="Semestral", MOD(MATCH($B$2, {"Enero", "Febrero", "Marzo", "Abril", "Mayo", "Junio", "Julio", "Agosto", "Septiembre", "Octubre", "Noviembre"}, 0)-MONTH('BD Asesor'!D448), 6)=0),
    AND('BD Asesor'!H448="Anual", MONTH('BD Asesor'!D448)=MATCH($B$2, {"Enero", "Febrero", "Marzo", "Abril", "Mayo", "Junio", "Julio", "Agosto", "Septiembre", "Octubre", "Noviembre"}, 0))
), 'BD Asesor'!L448, "")
</f>
        <v/>
      </c>
    </row>
    <row r="449">
      <c r="C449" s="84" t="str">
        <f t="array" ref="C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Asesor'!A449, "")
</f>
        <v/>
      </c>
      <c r="D449" s="84" t="str">
        <f t="array" ref="D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Asesor'!B449, "")
</f>
        <v/>
      </c>
      <c r="E449" s="212" t="str">
        <f t="array" ref="E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Asesor'!C449, "")
</f>
        <v/>
      </c>
      <c r="F449" s="212" t="str">
        <f t="array" ref="F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Asesor'!D449, "")
</f>
        <v/>
      </c>
      <c r="G449" s="212" t="str">
        <f t="array" ref="G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Asesor'!E449, "")
</f>
        <v/>
      </c>
      <c r="H449" s="84" t="str">
        <f t="array" ref="H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Asesor'!F449, "")
</f>
        <v/>
      </c>
      <c r="I449" s="84" t="str">
        <f t="array" ref="I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Asesor'!G449, "")
</f>
        <v/>
      </c>
      <c r="J449" s="84" t="str">
        <f t="array" ref="J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Asesor'!H449, "")
</f>
        <v/>
      </c>
      <c r="K449" s="84" t="str">
        <f t="array" ref="K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Asesor'!K449, "")
</f>
        <v/>
      </c>
      <c r="L449" s="84" t="str">
        <f t="array" ref="L449">IF(OR(
    AND('BD Asesor'!H449="Mensual", MATCH($B$2, {"Enero", "Febrero", "Marzo", "Abril", "Mayo", "Junio", "Julio", "Agosto", "Septiembre", "Octubre", "Noviembre", "Diciembre"}, 0)&gt;=1),
    AND('BD Asesor'!H449="Trimestral", MOD(MATCH($B$2, {"Enero", "Febrero", "Marzo", "Abril", "Mayo", "Junio", "Julio", "Agosto", "Septiembre", "Octubre", "Noviembre"}, 0)-MONTH('BD Asesor'!D449), 3)=0),
    AND('BD Asesor'!H449="Semestral", MOD(MATCH($B$2, {"Enero", "Febrero", "Marzo", "Abril", "Mayo", "Junio", "Julio", "Agosto", "Septiembre", "Octubre", "Noviembre"}, 0)-MONTH('BD Asesor'!D449), 6)=0),
    AND('BD Asesor'!H449="Anual", MONTH('BD Asesor'!D449)=MATCH($B$2, {"Enero", "Febrero", "Marzo", "Abril", "Mayo", "Junio", "Julio", "Agosto", "Septiembre", "Octubre", "Noviembre"}, 0))
), 'BD Asesor'!L449, "")
</f>
        <v/>
      </c>
    </row>
    <row r="450">
      <c r="C450" s="84" t="str">
        <f t="array" ref="C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Asesor'!A450, "")
</f>
        <v/>
      </c>
      <c r="D450" s="84" t="str">
        <f t="array" ref="D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Asesor'!B450, "")
</f>
        <v/>
      </c>
      <c r="E450" s="212" t="str">
        <f t="array" ref="E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Asesor'!C450, "")
</f>
        <v/>
      </c>
      <c r="F450" s="212" t="str">
        <f t="array" ref="F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Asesor'!D450, "")
</f>
        <v/>
      </c>
      <c r="G450" s="212" t="str">
        <f t="array" ref="G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Asesor'!E450, "")
</f>
        <v/>
      </c>
      <c r="H450" s="84" t="str">
        <f t="array" ref="H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Asesor'!F450, "")
</f>
        <v/>
      </c>
      <c r="I450" s="84" t="str">
        <f t="array" ref="I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Asesor'!G450, "")
</f>
        <v/>
      </c>
      <c r="J450" s="84" t="str">
        <f t="array" ref="J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Asesor'!H450, "")
</f>
        <v/>
      </c>
      <c r="K450" s="84" t="str">
        <f t="array" ref="K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Asesor'!K450, "")
</f>
        <v/>
      </c>
      <c r="L450" s="84" t="str">
        <f t="array" ref="L450">IF(OR(
    AND('BD Asesor'!H450="Mensual", MATCH($B$2, {"Enero", "Febrero", "Marzo", "Abril", "Mayo", "Junio", "Julio", "Agosto", "Septiembre", "Octubre", "Noviembre", "Diciembre"}, 0)&gt;=1),
    AND('BD Asesor'!H450="Trimestral", MOD(MATCH($B$2, {"Enero", "Febrero", "Marzo", "Abril", "Mayo", "Junio", "Julio", "Agosto", "Septiembre", "Octubre", "Noviembre"}, 0)-MONTH('BD Asesor'!D450), 3)=0),
    AND('BD Asesor'!H450="Semestral", MOD(MATCH($B$2, {"Enero", "Febrero", "Marzo", "Abril", "Mayo", "Junio", "Julio", "Agosto", "Septiembre", "Octubre", "Noviembre"}, 0)-MONTH('BD Asesor'!D450), 6)=0),
    AND('BD Asesor'!H450="Anual", MONTH('BD Asesor'!D450)=MATCH($B$2, {"Enero", "Febrero", "Marzo", "Abril", "Mayo", "Junio", "Julio", "Agosto", "Septiembre", "Octubre", "Noviembre"}, 0))
), 'BD Asesor'!L450, "")
</f>
        <v/>
      </c>
    </row>
    <row r="451">
      <c r="C451" s="84" t="str">
        <f t="array" ref="C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Asesor'!A451, "")
</f>
        <v/>
      </c>
      <c r="D451" s="84" t="str">
        <f t="array" ref="D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Asesor'!B451, "")
</f>
        <v/>
      </c>
      <c r="E451" s="212" t="str">
        <f t="array" ref="E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Asesor'!C451, "")
</f>
        <v/>
      </c>
      <c r="F451" s="212" t="str">
        <f t="array" ref="F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Asesor'!D451, "")
</f>
        <v/>
      </c>
      <c r="G451" s="212" t="str">
        <f t="array" ref="G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Asesor'!E451, "")
</f>
        <v/>
      </c>
      <c r="H451" s="84" t="str">
        <f t="array" ref="H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Asesor'!F451, "")
</f>
        <v/>
      </c>
      <c r="I451" s="84" t="str">
        <f t="array" ref="I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Asesor'!G451, "")
</f>
        <v/>
      </c>
      <c r="J451" s="84" t="str">
        <f t="array" ref="J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Asesor'!H451, "")
</f>
        <v/>
      </c>
      <c r="K451" s="84" t="str">
        <f t="array" ref="K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Asesor'!K451, "")
</f>
        <v/>
      </c>
      <c r="L451" s="84" t="str">
        <f t="array" ref="L451">IF(OR(
    AND('BD Asesor'!H451="Mensual", MATCH($B$2, {"Enero", "Febrero", "Marzo", "Abril", "Mayo", "Junio", "Julio", "Agosto", "Septiembre", "Octubre", "Noviembre", "Diciembre"}, 0)&gt;=1),
    AND('BD Asesor'!H451="Trimestral", MOD(MATCH($B$2, {"Enero", "Febrero", "Marzo", "Abril", "Mayo", "Junio", "Julio", "Agosto", "Septiembre", "Octubre", "Noviembre"}, 0)-MONTH('BD Asesor'!D451), 3)=0),
    AND('BD Asesor'!H451="Semestral", MOD(MATCH($B$2, {"Enero", "Febrero", "Marzo", "Abril", "Mayo", "Junio", "Julio", "Agosto", "Septiembre", "Octubre", "Noviembre"}, 0)-MONTH('BD Asesor'!D451), 6)=0),
    AND('BD Asesor'!H451="Anual", MONTH('BD Asesor'!D451)=MATCH($B$2, {"Enero", "Febrero", "Marzo", "Abril", "Mayo", "Junio", "Julio", "Agosto", "Septiembre", "Octubre", "Noviembre"}, 0))
), 'BD Asesor'!L451, "")
</f>
        <v/>
      </c>
    </row>
    <row r="452">
      <c r="C452" s="84" t="str">
        <f t="array" ref="C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Asesor'!A452, "")
</f>
        <v/>
      </c>
      <c r="D452" s="84" t="str">
        <f t="array" ref="D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Asesor'!B452, "")
</f>
        <v/>
      </c>
      <c r="E452" s="212" t="str">
        <f t="array" ref="E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Asesor'!C452, "")
</f>
        <v/>
      </c>
      <c r="F452" s="212" t="str">
        <f t="array" ref="F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Asesor'!D452, "")
</f>
        <v/>
      </c>
      <c r="G452" s="212" t="str">
        <f t="array" ref="G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Asesor'!E452, "")
</f>
        <v/>
      </c>
      <c r="H452" s="84" t="str">
        <f t="array" ref="H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Asesor'!F452, "")
</f>
        <v/>
      </c>
      <c r="I452" s="84" t="str">
        <f t="array" ref="I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Asesor'!G452, "")
</f>
        <v/>
      </c>
      <c r="J452" s="84" t="str">
        <f t="array" ref="J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Asesor'!H452, "")
</f>
        <v/>
      </c>
      <c r="K452" s="84" t="str">
        <f t="array" ref="K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Asesor'!K452, "")
</f>
        <v/>
      </c>
      <c r="L452" s="84" t="str">
        <f t="array" ref="L452">IF(OR(
    AND('BD Asesor'!H452="Mensual", MATCH($B$2, {"Enero", "Febrero", "Marzo", "Abril", "Mayo", "Junio", "Julio", "Agosto", "Septiembre", "Octubre", "Noviembre", "Diciembre"}, 0)&gt;=1),
    AND('BD Asesor'!H452="Trimestral", MOD(MATCH($B$2, {"Enero", "Febrero", "Marzo", "Abril", "Mayo", "Junio", "Julio", "Agosto", "Septiembre", "Octubre", "Noviembre"}, 0)-MONTH('BD Asesor'!D452), 3)=0),
    AND('BD Asesor'!H452="Semestral", MOD(MATCH($B$2, {"Enero", "Febrero", "Marzo", "Abril", "Mayo", "Junio", "Julio", "Agosto", "Septiembre", "Octubre", "Noviembre"}, 0)-MONTH('BD Asesor'!D452), 6)=0),
    AND('BD Asesor'!H452="Anual", MONTH('BD Asesor'!D452)=MATCH($B$2, {"Enero", "Febrero", "Marzo", "Abril", "Mayo", "Junio", "Julio", "Agosto", "Septiembre", "Octubre", "Noviembre"}, 0))
), 'BD Asesor'!L452, "")
</f>
        <v/>
      </c>
    </row>
    <row r="453">
      <c r="C453" s="84" t="str">
        <f t="array" ref="C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Asesor'!A453, "")
</f>
        <v/>
      </c>
      <c r="D453" s="84" t="str">
        <f t="array" ref="D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Asesor'!B453, "")
</f>
        <v/>
      </c>
      <c r="E453" s="212" t="str">
        <f t="array" ref="E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Asesor'!C453, "")
</f>
        <v/>
      </c>
      <c r="F453" s="212" t="str">
        <f t="array" ref="F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Asesor'!D453, "")
</f>
        <v/>
      </c>
      <c r="G453" s="212" t="str">
        <f t="array" ref="G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Asesor'!E453, "")
</f>
        <v/>
      </c>
      <c r="H453" s="84" t="str">
        <f t="array" ref="H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Asesor'!F453, "")
</f>
        <v/>
      </c>
      <c r="I453" s="84" t="str">
        <f t="array" ref="I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Asesor'!G453, "")
</f>
        <v/>
      </c>
      <c r="J453" s="84" t="str">
        <f t="array" ref="J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Asesor'!H453, "")
</f>
        <v/>
      </c>
      <c r="K453" s="84" t="str">
        <f t="array" ref="K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Asesor'!K453, "")
</f>
        <v/>
      </c>
      <c r="L453" s="84" t="str">
        <f t="array" ref="L453">IF(OR(
    AND('BD Asesor'!H453="Mensual", MATCH($B$2, {"Enero", "Febrero", "Marzo", "Abril", "Mayo", "Junio", "Julio", "Agosto", "Septiembre", "Octubre", "Noviembre", "Diciembre"}, 0)&gt;=1),
    AND('BD Asesor'!H453="Trimestral", MOD(MATCH($B$2, {"Enero", "Febrero", "Marzo", "Abril", "Mayo", "Junio", "Julio", "Agosto", "Septiembre", "Octubre", "Noviembre"}, 0)-MONTH('BD Asesor'!D453), 3)=0),
    AND('BD Asesor'!H453="Semestral", MOD(MATCH($B$2, {"Enero", "Febrero", "Marzo", "Abril", "Mayo", "Junio", "Julio", "Agosto", "Septiembre", "Octubre", "Noviembre"}, 0)-MONTH('BD Asesor'!D453), 6)=0),
    AND('BD Asesor'!H453="Anual", MONTH('BD Asesor'!D453)=MATCH($B$2, {"Enero", "Febrero", "Marzo", "Abril", "Mayo", "Junio", "Julio", "Agosto", "Septiembre", "Octubre", "Noviembre"}, 0))
), 'BD Asesor'!L453, "")
</f>
        <v/>
      </c>
    </row>
    <row r="454">
      <c r="C454" s="84" t="str">
        <f t="array" ref="C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Asesor'!A454, "")
</f>
        <v/>
      </c>
      <c r="D454" s="84" t="str">
        <f t="array" ref="D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Asesor'!B454, "")
</f>
        <v/>
      </c>
      <c r="E454" s="212" t="str">
        <f t="array" ref="E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Asesor'!C454, "")
</f>
        <v/>
      </c>
      <c r="F454" s="212" t="str">
        <f t="array" ref="F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Asesor'!D454, "")
</f>
        <v/>
      </c>
      <c r="G454" s="212" t="str">
        <f t="array" ref="G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Asesor'!E454, "")
</f>
        <v/>
      </c>
      <c r="H454" s="84" t="str">
        <f t="array" ref="H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Asesor'!F454, "")
</f>
        <v/>
      </c>
      <c r="I454" s="84" t="str">
        <f t="array" ref="I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Asesor'!G454, "")
</f>
        <v/>
      </c>
      <c r="J454" s="84" t="str">
        <f t="array" ref="J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Asesor'!H454, "")
</f>
        <v/>
      </c>
      <c r="K454" s="84" t="str">
        <f t="array" ref="K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Asesor'!K454, "")
</f>
        <v/>
      </c>
      <c r="L454" s="84" t="str">
        <f t="array" ref="L454">IF(OR(
    AND('BD Asesor'!H454="Mensual", MATCH($B$2, {"Enero", "Febrero", "Marzo", "Abril", "Mayo", "Junio", "Julio", "Agosto", "Septiembre", "Octubre", "Noviembre", "Diciembre"}, 0)&gt;=1),
    AND('BD Asesor'!H454="Trimestral", MOD(MATCH($B$2, {"Enero", "Febrero", "Marzo", "Abril", "Mayo", "Junio", "Julio", "Agosto", "Septiembre", "Octubre", "Noviembre"}, 0)-MONTH('BD Asesor'!D454), 3)=0),
    AND('BD Asesor'!H454="Semestral", MOD(MATCH($B$2, {"Enero", "Febrero", "Marzo", "Abril", "Mayo", "Junio", "Julio", "Agosto", "Septiembre", "Octubre", "Noviembre"}, 0)-MONTH('BD Asesor'!D454), 6)=0),
    AND('BD Asesor'!H454="Anual", MONTH('BD Asesor'!D454)=MATCH($B$2, {"Enero", "Febrero", "Marzo", "Abril", "Mayo", "Junio", "Julio", "Agosto", "Septiembre", "Octubre", "Noviembre"}, 0))
), 'BD Asesor'!L454, "")
</f>
        <v/>
      </c>
    </row>
    <row r="455">
      <c r="C455" s="84" t="str">
        <f t="array" ref="C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Asesor'!A455, "")
</f>
        <v/>
      </c>
      <c r="D455" s="84" t="str">
        <f t="array" ref="D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Asesor'!B455, "")
</f>
        <v/>
      </c>
      <c r="E455" s="212" t="str">
        <f t="array" ref="E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Asesor'!C455, "")
</f>
        <v/>
      </c>
      <c r="F455" s="212" t="str">
        <f t="array" ref="F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Asesor'!D455, "")
</f>
        <v/>
      </c>
      <c r="G455" s="212" t="str">
        <f t="array" ref="G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Asesor'!E455, "")
</f>
        <v/>
      </c>
      <c r="H455" s="84" t="str">
        <f t="array" ref="H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Asesor'!F455, "")
</f>
        <v/>
      </c>
      <c r="I455" s="84" t="str">
        <f t="array" ref="I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Asesor'!G455, "")
</f>
        <v/>
      </c>
      <c r="J455" s="84" t="str">
        <f t="array" ref="J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Asesor'!H455, "")
</f>
        <v/>
      </c>
      <c r="K455" s="84" t="str">
        <f t="array" ref="K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Asesor'!K455, "")
</f>
        <v/>
      </c>
      <c r="L455" s="84" t="str">
        <f t="array" ref="L455">IF(OR(
    AND('BD Asesor'!H455="Mensual", MATCH($B$2, {"Enero", "Febrero", "Marzo", "Abril", "Mayo", "Junio", "Julio", "Agosto", "Septiembre", "Octubre", "Noviembre", "Diciembre"}, 0)&gt;=1),
    AND('BD Asesor'!H455="Trimestral", MOD(MATCH($B$2, {"Enero", "Febrero", "Marzo", "Abril", "Mayo", "Junio", "Julio", "Agosto", "Septiembre", "Octubre", "Noviembre"}, 0)-MONTH('BD Asesor'!D455), 3)=0),
    AND('BD Asesor'!H455="Semestral", MOD(MATCH($B$2, {"Enero", "Febrero", "Marzo", "Abril", "Mayo", "Junio", "Julio", "Agosto", "Septiembre", "Octubre", "Noviembre"}, 0)-MONTH('BD Asesor'!D455), 6)=0),
    AND('BD Asesor'!H455="Anual", MONTH('BD Asesor'!D455)=MATCH($B$2, {"Enero", "Febrero", "Marzo", "Abril", "Mayo", "Junio", "Julio", "Agosto", "Septiembre", "Octubre", "Noviembre"}, 0))
), 'BD Asesor'!L455, "")
</f>
        <v/>
      </c>
    </row>
    <row r="456">
      <c r="C456" s="84" t="str">
        <f t="array" ref="C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Asesor'!A456, "")
</f>
        <v/>
      </c>
      <c r="D456" s="84" t="str">
        <f t="array" ref="D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Asesor'!B456, "")
</f>
        <v/>
      </c>
      <c r="E456" s="212" t="str">
        <f t="array" ref="E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Asesor'!C456, "")
</f>
        <v/>
      </c>
      <c r="F456" s="212" t="str">
        <f t="array" ref="F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Asesor'!D456, "")
</f>
        <v/>
      </c>
      <c r="G456" s="212" t="str">
        <f t="array" ref="G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Asesor'!E456, "")
</f>
        <v/>
      </c>
      <c r="H456" s="84" t="str">
        <f t="array" ref="H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Asesor'!F456, "")
</f>
        <v/>
      </c>
      <c r="I456" s="84" t="str">
        <f t="array" ref="I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Asesor'!G456, "")
</f>
        <v/>
      </c>
      <c r="J456" s="84" t="str">
        <f t="array" ref="J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Asesor'!H456, "")
</f>
        <v/>
      </c>
      <c r="K456" s="84" t="str">
        <f t="array" ref="K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Asesor'!K456, "")
</f>
        <v/>
      </c>
      <c r="L456" s="84" t="str">
        <f t="array" ref="L456">IF(OR(
    AND('BD Asesor'!H456="Mensual", MATCH($B$2, {"Enero", "Febrero", "Marzo", "Abril", "Mayo", "Junio", "Julio", "Agosto", "Septiembre", "Octubre", "Noviembre", "Diciembre"}, 0)&gt;=1),
    AND('BD Asesor'!H456="Trimestral", MOD(MATCH($B$2, {"Enero", "Febrero", "Marzo", "Abril", "Mayo", "Junio", "Julio", "Agosto", "Septiembre", "Octubre", "Noviembre"}, 0)-MONTH('BD Asesor'!D456), 3)=0),
    AND('BD Asesor'!H456="Semestral", MOD(MATCH($B$2, {"Enero", "Febrero", "Marzo", "Abril", "Mayo", "Junio", "Julio", "Agosto", "Septiembre", "Octubre", "Noviembre"}, 0)-MONTH('BD Asesor'!D456), 6)=0),
    AND('BD Asesor'!H456="Anual", MONTH('BD Asesor'!D456)=MATCH($B$2, {"Enero", "Febrero", "Marzo", "Abril", "Mayo", "Junio", "Julio", "Agosto", "Septiembre", "Octubre", "Noviembre"}, 0))
), 'BD Asesor'!L456, "")
</f>
        <v/>
      </c>
    </row>
    <row r="457">
      <c r="C457" s="84" t="str">
        <f t="array" ref="C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Asesor'!A457, "")
</f>
        <v/>
      </c>
      <c r="D457" s="84" t="str">
        <f t="array" ref="D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Asesor'!B457, "")
</f>
        <v/>
      </c>
      <c r="E457" s="212" t="str">
        <f t="array" ref="E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Asesor'!C457, "")
</f>
        <v/>
      </c>
      <c r="F457" s="212" t="str">
        <f t="array" ref="F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Asesor'!D457, "")
</f>
        <v/>
      </c>
      <c r="G457" s="212" t="str">
        <f t="array" ref="G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Asesor'!E457, "")
</f>
        <v/>
      </c>
      <c r="H457" s="84" t="str">
        <f t="array" ref="H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Asesor'!F457, "")
</f>
        <v/>
      </c>
      <c r="I457" s="84" t="str">
        <f t="array" ref="I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Asesor'!G457, "")
</f>
        <v/>
      </c>
      <c r="J457" s="84" t="str">
        <f t="array" ref="J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Asesor'!H457, "")
</f>
        <v/>
      </c>
      <c r="K457" s="84" t="str">
        <f t="array" ref="K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Asesor'!K457, "")
</f>
        <v/>
      </c>
      <c r="L457" s="84" t="str">
        <f t="array" ref="L457">IF(OR(
    AND('BD Asesor'!H457="Mensual", MATCH($B$2, {"Enero", "Febrero", "Marzo", "Abril", "Mayo", "Junio", "Julio", "Agosto", "Septiembre", "Octubre", "Noviembre", "Diciembre"}, 0)&gt;=1),
    AND('BD Asesor'!H457="Trimestral", MOD(MATCH($B$2, {"Enero", "Febrero", "Marzo", "Abril", "Mayo", "Junio", "Julio", "Agosto", "Septiembre", "Octubre", "Noviembre"}, 0)-MONTH('BD Asesor'!D457), 3)=0),
    AND('BD Asesor'!H457="Semestral", MOD(MATCH($B$2, {"Enero", "Febrero", "Marzo", "Abril", "Mayo", "Junio", "Julio", "Agosto", "Septiembre", "Octubre", "Noviembre"}, 0)-MONTH('BD Asesor'!D457), 6)=0),
    AND('BD Asesor'!H457="Anual", MONTH('BD Asesor'!D457)=MATCH($B$2, {"Enero", "Febrero", "Marzo", "Abril", "Mayo", "Junio", "Julio", "Agosto", "Septiembre", "Octubre", "Noviembre"}, 0))
), 'BD Asesor'!L457, "")
</f>
        <v/>
      </c>
    </row>
    <row r="458">
      <c r="C458" s="84" t="str">
        <f t="array" ref="C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Asesor'!A458, "")
</f>
        <v/>
      </c>
      <c r="D458" s="84" t="str">
        <f t="array" ref="D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Asesor'!B458, "")
</f>
        <v/>
      </c>
      <c r="E458" s="212" t="str">
        <f t="array" ref="E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Asesor'!C458, "")
</f>
        <v/>
      </c>
      <c r="F458" s="212" t="str">
        <f t="array" ref="F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Asesor'!D458, "")
</f>
        <v/>
      </c>
      <c r="G458" s="212" t="str">
        <f t="array" ref="G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Asesor'!E458, "")
</f>
        <v/>
      </c>
      <c r="H458" s="84" t="str">
        <f t="array" ref="H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Asesor'!F458, "")
</f>
        <v/>
      </c>
      <c r="I458" s="84" t="str">
        <f t="array" ref="I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Asesor'!G458, "")
</f>
        <v/>
      </c>
      <c r="J458" s="84" t="str">
        <f t="array" ref="J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Asesor'!H458, "")
</f>
        <v/>
      </c>
      <c r="K458" s="84" t="str">
        <f t="array" ref="K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Asesor'!K458, "")
</f>
        <v/>
      </c>
      <c r="L458" s="84" t="str">
        <f t="array" ref="L458">IF(OR(
    AND('BD Asesor'!H458="Mensual", MATCH($B$2, {"Enero", "Febrero", "Marzo", "Abril", "Mayo", "Junio", "Julio", "Agosto", "Septiembre", "Octubre", "Noviembre", "Diciembre"}, 0)&gt;=1),
    AND('BD Asesor'!H458="Trimestral", MOD(MATCH($B$2, {"Enero", "Febrero", "Marzo", "Abril", "Mayo", "Junio", "Julio", "Agosto", "Septiembre", "Octubre", "Noviembre"}, 0)-MONTH('BD Asesor'!D458), 3)=0),
    AND('BD Asesor'!H458="Semestral", MOD(MATCH($B$2, {"Enero", "Febrero", "Marzo", "Abril", "Mayo", "Junio", "Julio", "Agosto", "Septiembre", "Octubre", "Noviembre"}, 0)-MONTH('BD Asesor'!D458), 6)=0),
    AND('BD Asesor'!H458="Anual", MONTH('BD Asesor'!D458)=MATCH($B$2, {"Enero", "Febrero", "Marzo", "Abril", "Mayo", "Junio", "Julio", "Agosto", "Septiembre", "Octubre", "Noviembre"}, 0))
), 'BD Asesor'!L458, "")
</f>
        <v/>
      </c>
    </row>
    <row r="459">
      <c r="C459" s="84" t="str">
        <f t="array" ref="C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Asesor'!A459, "")
</f>
        <v/>
      </c>
      <c r="D459" s="84" t="str">
        <f t="array" ref="D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Asesor'!B459, "")
</f>
        <v/>
      </c>
      <c r="E459" s="212" t="str">
        <f t="array" ref="E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Asesor'!C459, "")
</f>
        <v/>
      </c>
      <c r="F459" s="212" t="str">
        <f t="array" ref="F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Asesor'!D459, "")
</f>
        <v/>
      </c>
      <c r="G459" s="212" t="str">
        <f t="array" ref="G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Asesor'!E459, "")
</f>
        <v/>
      </c>
      <c r="H459" s="84" t="str">
        <f t="array" ref="H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Asesor'!F459, "")
</f>
        <v/>
      </c>
      <c r="I459" s="84" t="str">
        <f t="array" ref="I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Asesor'!G459, "")
</f>
        <v/>
      </c>
      <c r="J459" s="84" t="str">
        <f t="array" ref="J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Asesor'!H459, "")
</f>
        <v/>
      </c>
      <c r="K459" s="84" t="str">
        <f t="array" ref="K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Asesor'!K459, "")
</f>
        <v/>
      </c>
      <c r="L459" s="84" t="str">
        <f t="array" ref="L459">IF(OR(
    AND('BD Asesor'!H459="Mensual", MATCH($B$2, {"Enero", "Febrero", "Marzo", "Abril", "Mayo", "Junio", "Julio", "Agosto", "Septiembre", "Octubre", "Noviembre", "Diciembre"}, 0)&gt;=1),
    AND('BD Asesor'!H459="Trimestral", MOD(MATCH($B$2, {"Enero", "Febrero", "Marzo", "Abril", "Mayo", "Junio", "Julio", "Agosto", "Septiembre", "Octubre", "Noviembre"}, 0)-MONTH('BD Asesor'!D459), 3)=0),
    AND('BD Asesor'!H459="Semestral", MOD(MATCH($B$2, {"Enero", "Febrero", "Marzo", "Abril", "Mayo", "Junio", "Julio", "Agosto", "Septiembre", "Octubre", "Noviembre"}, 0)-MONTH('BD Asesor'!D459), 6)=0),
    AND('BD Asesor'!H459="Anual", MONTH('BD Asesor'!D459)=MATCH($B$2, {"Enero", "Febrero", "Marzo", "Abril", "Mayo", "Junio", "Julio", "Agosto", "Septiembre", "Octubre", "Noviembre"}, 0))
), 'BD Asesor'!L459, "")
</f>
        <v/>
      </c>
    </row>
    <row r="460">
      <c r="C460" s="84" t="str">
        <f t="array" ref="C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Asesor'!A460, "")
</f>
        <v/>
      </c>
      <c r="D460" s="84" t="str">
        <f t="array" ref="D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Asesor'!B460, "")
</f>
        <v/>
      </c>
      <c r="E460" s="212" t="str">
        <f t="array" ref="E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Asesor'!C460, "")
</f>
        <v/>
      </c>
      <c r="F460" s="212" t="str">
        <f t="array" ref="F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Asesor'!D460, "")
</f>
        <v/>
      </c>
      <c r="G460" s="212" t="str">
        <f t="array" ref="G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Asesor'!E460, "")
</f>
        <v/>
      </c>
      <c r="H460" s="84" t="str">
        <f t="array" ref="H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Asesor'!F460, "")
</f>
        <v/>
      </c>
      <c r="I460" s="84" t="str">
        <f t="array" ref="I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Asesor'!G460, "")
</f>
        <v/>
      </c>
      <c r="J460" s="84" t="str">
        <f t="array" ref="J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Asesor'!H460, "")
</f>
        <v/>
      </c>
      <c r="K460" s="84" t="str">
        <f t="array" ref="K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Asesor'!K460, "")
</f>
        <v/>
      </c>
      <c r="L460" s="84" t="str">
        <f t="array" ref="L460">IF(OR(
    AND('BD Asesor'!H460="Mensual", MATCH($B$2, {"Enero", "Febrero", "Marzo", "Abril", "Mayo", "Junio", "Julio", "Agosto", "Septiembre", "Octubre", "Noviembre", "Diciembre"}, 0)&gt;=1),
    AND('BD Asesor'!H460="Trimestral", MOD(MATCH($B$2, {"Enero", "Febrero", "Marzo", "Abril", "Mayo", "Junio", "Julio", "Agosto", "Septiembre", "Octubre", "Noviembre"}, 0)-MONTH('BD Asesor'!D460), 3)=0),
    AND('BD Asesor'!H460="Semestral", MOD(MATCH($B$2, {"Enero", "Febrero", "Marzo", "Abril", "Mayo", "Junio", "Julio", "Agosto", "Septiembre", "Octubre", "Noviembre"}, 0)-MONTH('BD Asesor'!D460), 6)=0),
    AND('BD Asesor'!H460="Anual", MONTH('BD Asesor'!D460)=MATCH($B$2, {"Enero", "Febrero", "Marzo", "Abril", "Mayo", "Junio", "Julio", "Agosto", "Septiembre", "Octubre", "Noviembre"}, 0))
), 'BD Asesor'!L460, "")
</f>
        <v/>
      </c>
    </row>
    <row r="461">
      <c r="C461" s="84" t="str">
        <f t="array" ref="C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Asesor'!A461, "")
</f>
        <v/>
      </c>
      <c r="D461" s="84" t="str">
        <f t="array" ref="D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Asesor'!B461, "")
</f>
        <v/>
      </c>
      <c r="E461" s="212" t="str">
        <f t="array" ref="E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Asesor'!C461, "")
</f>
        <v/>
      </c>
      <c r="F461" s="212" t="str">
        <f t="array" ref="F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Asesor'!D461, "")
</f>
        <v/>
      </c>
      <c r="G461" s="212" t="str">
        <f t="array" ref="G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Asesor'!E461, "")
</f>
        <v/>
      </c>
      <c r="H461" s="84" t="str">
        <f t="array" ref="H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Asesor'!F461, "")
</f>
        <v/>
      </c>
      <c r="I461" s="84" t="str">
        <f t="array" ref="I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Asesor'!G461, "")
</f>
        <v/>
      </c>
      <c r="J461" s="84" t="str">
        <f t="array" ref="J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Asesor'!H461, "")
</f>
        <v/>
      </c>
      <c r="K461" s="84" t="str">
        <f t="array" ref="K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Asesor'!K461, "")
</f>
        <v/>
      </c>
      <c r="L461" s="84" t="str">
        <f t="array" ref="L461">IF(OR(
    AND('BD Asesor'!H461="Mensual", MATCH($B$2, {"Enero", "Febrero", "Marzo", "Abril", "Mayo", "Junio", "Julio", "Agosto", "Septiembre", "Octubre", "Noviembre", "Diciembre"}, 0)&gt;=1),
    AND('BD Asesor'!H461="Trimestral", MOD(MATCH($B$2, {"Enero", "Febrero", "Marzo", "Abril", "Mayo", "Junio", "Julio", "Agosto", "Septiembre", "Octubre", "Noviembre"}, 0)-MONTH('BD Asesor'!D461), 3)=0),
    AND('BD Asesor'!H461="Semestral", MOD(MATCH($B$2, {"Enero", "Febrero", "Marzo", "Abril", "Mayo", "Junio", "Julio", "Agosto", "Septiembre", "Octubre", "Noviembre"}, 0)-MONTH('BD Asesor'!D461), 6)=0),
    AND('BD Asesor'!H461="Anual", MONTH('BD Asesor'!D461)=MATCH($B$2, {"Enero", "Febrero", "Marzo", "Abril", "Mayo", "Junio", "Julio", "Agosto", "Septiembre", "Octubre", "Noviembre"}, 0))
), 'BD Asesor'!L461, "")
</f>
        <v/>
      </c>
    </row>
    <row r="462">
      <c r="C462" s="84" t="str">
        <f t="array" ref="C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Asesor'!A462, "")
</f>
        <v/>
      </c>
      <c r="D462" s="84" t="str">
        <f t="array" ref="D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Asesor'!B462, "")
</f>
        <v/>
      </c>
      <c r="E462" s="212" t="str">
        <f t="array" ref="E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Asesor'!C462, "")
</f>
        <v/>
      </c>
      <c r="F462" s="212" t="str">
        <f t="array" ref="F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Asesor'!D462, "")
</f>
        <v/>
      </c>
      <c r="G462" s="212" t="str">
        <f t="array" ref="G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Asesor'!E462, "")
</f>
        <v/>
      </c>
      <c r="H462" s="84" t="str">
        <f t="array" ref="H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Asesor'!F462, "")
</f>
        <v/>
      </c>
      <c r="I462" s="84" t="str">
        <f t="array" ref="I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Asesor'!G462, "")
</f>
        <v/>
      </c>
      <c r="J462" s="84" t="str">
        <f t="array" ref="J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Asesor'!H462, "")
</f>
        <v/>
      </c>
      <c r="K462" s="84" t="str">
        <f t="array" ref="K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Asesor'!K462, "")
</f>
        <v/>
      </c>
      <c r="L462" s="84" t="str">
        <f t="array" ref="L462">IF(OR(
    AND('BD Asesor'!H462="Mensual", MATCH($B$2, {"Enero", "Febrero", "Marzo", "Abril", "Mayo", "Junio", "Julio", "Agosto", "Septiembre", "Octubre", "Noviembre", "Diciembre"}, 0)&gt;=1),
    AND('BD Asesor'!H462="Trimestral", MOD(MATCH($B$2, {"Enero", "Febrero", "Marzo", "Abril", "Mayo", "Junio", "Julio", "Agosto", "Septiembre", "Octubre", "Noviembre"}, 0)-MONTH('BD Asesor'!D462), 3)=0),
    AND('BD Asesor'!H462="Semestral", MOD(MATCH($B$2, {"Enero", "Febrero", "Marzo", "Abril", "Mayo", "Junio", "Julio", "Agosto", "Septiembre", "Octubre", "Noviembre"}, 0)-MONTH('BD Asesor'!D462), 6)=0),
    AND('BD Asesor'!H462="Anual", MONTH('BD Asesor'!D462)=MATCH($B$2, {"Enero", "Febrero", "Marzo", "Abril", "Mayo", "Junio", "Julio", "Agosto", "Septiembre", "Octubre", "Noviembre"}, 0))
), 'BD Asesor'!L462, "")
</f>
        <v/>
      </c>
    </row>
    <row r="463">
      <c r="C463" s="84" t="str">
        <f t="array" ref="C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Asesor'!A463, "")
</f>
        <v/>
      </c>
      <c r="D463" s="84" t="str">
        <f t="array" ref="D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Asesor'!B463, "")
</f>
        <v/>
      </c>
      <c r="E463" s="212" t="str">
        <f t="array" ref="E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Asesor'!C463, "")
</f>
        <v/>
      </c>
      <c r="F463" s="212" t="str">
        <f t="array" ref="F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Asesor'!D463, "")
</f>
        <v/>
      </c>
      <c r="G463" s="212" t="str">
        <f t="array" ref="G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Asesor'!E463, "")
</f>
        <v/>
      </c>
      <c r="H463" s="84" t="str">
        <f t="array" ref="H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Asesor'!F463, "")
</f>
        <v/>
      </c>
      <c r="I463" s="84" t="str">
        <f t="array" ref="I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Asesor'!G463, "")
</f>
        <v/>
      </c>
      <c r="J463" s="84" t="str">
        <f t="array" ref="J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Asesor'!H463, "")
</f>
        <v/>
      </c>
      <c r="K463" s="84" t="str">
        <f t="array" ref="K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Asesor'!K463, "")
</f>
        <v/>
      </c>
      <c r="L463" s="84" t="str">
        <f t="array" ref="L463">IF(OR(
    AND('BD Asesor'!H463="Mensual", MATCH($B$2, {"Enero", "Febrero", "Marzo", "Abril", "Mayo", "Junio", "Julio", "Agosto", "Septiembre", "Octubre", "Noviembre", "Diciembre"}, 0)&gt;=1),
    AND('BD Asesor'!H463="Trimestral", MOD(MATCH($B$2, {"Enero", "Febrero", "Marzo", "Abril", "Mayo", "Junio", "Julio", "Agosto", "Septiembre", "Octubre", "Noviembre"}, 0)-MONTH('BD Asesor'!D463), 3)=0),
    AND('BD Asesor'!H463="Semestral", MOD(MATCH($B$2, {"Enero", "Febrero", "Marzo", "Abril", "Mayo", "Junio", "Julio", "Agosto", "Septiembre", "Octubre", "Noviembre"}, 0)-MONTH('BD Asesor'!D463), 6)=0),
    AND('BD Asesor'!H463="Anual", MONTH('BD Asesor'!D463)=MATCH($B$2, {"Enero", "Febrero", "Marzo", "Abril", "Mayo", "Junio", "Julio", "Agosto", "Septiembre", "Octubre", "Noviembre"}, 0))
), 'BD Asesor'!L463, "")
</f>
        <v/>
      </c>
    </row>
    <row r="464">
      <c r="C464" s="84" t="str">
        <f t="array" ref="C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Asesor'!A464, "")
</f>
        <v/>
      </c>
      <c r="D464" s="84" t="str">
        <f t="array" ref="D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Asesor'!B464, "")
</f>
        <v/>
      </c>
      <c r="E464" s="212" t="str">
        <f t="array" ref="E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Asesor'!C464, "")
</f>
        <v/>
      </c>
      <c r="F464" s="212" t="str">
        <f t="array" ref="F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Asesor'!D464, "")
</f>
        <v/>
      </c>
      <c r="G464" s="212" t="str">
        <f t="array" ref="G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Asesor'!E464, "")
</f>
        <v/>
      </c>
      <c r="H464" s="84" t="str">
        <f t="array" ref="H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Asesor'!F464, "")
</f>
        <v/>
      </c>
      <c r="I464" s="84" t="str">
        <f t="array" ref="I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Asesor'!G464, "")
</f>
        <v/>
      </c>
      <c r="J464" s="84" t="str">
        <f t="array" ref="J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Asesor'!H464, "")
</f>
        <v/>
      </c>
      <c r="K464" s="84" t="str">
        <f t="array" ref="K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Asesor'!K464, "")
</f>
        <v/>
      </c>
      <c r="L464" s="84" t="str">
        <f t="array" ref="L464">IF(OR(
    AND('BD Asesor'!H464="Mensual", MATCH($B$2, {"Enero", "Febrero", "Marzo", "Abril", "Mayo", "Junio", "Julio", "Agosto", "Septiembre", "Octubre", "Noviembre", "Diciembre"}, 0)&gt;=1),
    AND('BD Asesor'!H464="Trimestral", MOD(MATCH($B$2, {"Enero", "Febrero", "Marzo", "Abril", "Mayo", "Junio", "Julio", "Agosto", "Septiembre", "Octubre", "Noviembre"}, 0)-MONTH('BD Asesor'!D464), 3)=0),
    AND('BD Asesor'!H464="Semestral", MOD(MATCH($B$2, {"Enero", "Febrero", "Marzo", "Abril", "Mayo", "Junio", "Julio", "Agosto", "Septiembre", "Octubre", "Noviembre"}, 0)-MONTH('BD Asesor'!D464), 6)=0),
    AND('BD Asesor'!H464="Anual", MONTH('BD Asesor'!D464)=MATCH($B$2, {"Enero", "Febrero", "Marzo", "Abril", "Mayo", "Junio", "Julio", "Agosto", "Septiembre", "Octubre", "Noviembre"}, 0))
), 'BD Asesor'!L464, "")
</f>
        <v/>
      </c>
    </row>
    <row r="465">
      <c r="C465" s="84" t="str">
        <f t="array" ref="C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Asesor'!A465, "")
</f>
        <v/>
      </c>
      <c r="D465" s="84" t="str">
        <f t="array" ref="D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Asesor'!B465, "")
</f>
        <v/>
      </c>
      <c r="E465" s="212" t="str">
        <f t="array" ref="E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Asesor'!C465, "")
</f>
        <v/>
      </c>
      <c r="F465" s="212" t="str">
        <f t="array" ref="F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Asesor'!D465, "")
</f>
        <v/>
      </c>
      <c r="G465" s="212" t="str">
        <f t="array" ref="G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Asesor'!E465, "")
</f>
        <v/>
      </c>
      <c r="H465" s="84" t="str">
        <f t="array" ref="H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Asesor'!F465, "")
</f>
        <v/>
      </c>
      <c r="I465" s="84" t="str">
        <f t="array" ref="I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Asesor'!G465, "")
</f>
        <v/>
      </c>
      <c r="J465" s="84" t="str">
        <f t="array" ref="J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Asesor'!H465, "")
</f>
        <v/>
      </c>
      <c r="K465" s="84" t="str">
        <f t="array" ref="K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Asesor'!K465, "")
</f>
        <v/>
      </c>
      <c r="L465" s="84" t="str">
        <f t="array" ref="L465">IF(OR(
    AND('BD Asesor'!H465="Mensual", MATCH($B$2, {"Enero", "Febrero", "Marzo", "Abril", "Mayo", "Junio", "Julio", "Agosto", "Septiembre", "Octubre", "Noviembre", "Diciembre"}, 0)&gt;=1),
    AND('BD Asesor'!H465="Trimestral", MOD(MATCH($B$2, {"Enero", "Febrero", "Marzo", "Abril", "Mayo", "Junio", "Julio", "Agosto", "Septiembre", "Octubre", "Noviembre"}, 0)-MONTH('BD Asesor'!D465), 3)=0),
    AND('BD Asesor'!H465="Semestral", MOD(MATCH($B$2, {"Enero", "Febrero", "Marzo", "Abril", "Mayo", "Junio", "Julio", "Agosto", "Septiembre", "Octubre", "Noviembre"}, 0)-MONTH('BD Asesor'!D465), 6)=0),
    AND('BD Asesor'!H465="Anual", MONTH('BD Asesor'!D465)=MATCH($B$2, {"Enero", "Febrero", "Marzo", "Abril", "Mayo", "Junio", "Julio", "Agosto", "Septiembre", "Octubre", "Noviembre"}, 0))
), 'BD Asesor'!L465, "")
</f>
        <v/>
      </c>
    </row>
    <row r="466">
      <c r="C466" s="84" t="str">
        <f t="array" ref="C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Asesor'!A466, "")
</f>
        <v/>
      </c>
      <c r="D466" s="84" t="str">
        <f t="array" ref="D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Asesor'!B466, "")
</f>
        <v/>
      </c>
      <c r="E466" s="212" t="str">
        <f t="array" ref="E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Asesor'!C466, "")
</f>
        <v/>
      </c>
      <c r="F466" s="212" t="str">
        <f t="array" ref="F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Asesor'!D466, "")
</f>
        <v/>
      </c>
      <c r="G466" s="212" t="str">
        <f t="array" ref="G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Asesor'!E466, "")
</f>
        <v/>
      </c>
      <c r="H466" s="84" t="str">
        <f t="array" ref="H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Asesor'!F466, "")
</f>
        <v/>
      </c>
      <c r="I466" s="84" t="str">
        <f t="array" ref="I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Asesor'!G466, "")
</f>
        <v/>
      </c>
      <c r="J466" s="84" t="str">
        <f t="array" ref="J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Asesor'!H466, "")
</f>
        <v/>
      </c>
      <c r="K466" s="84" t="str">
        <f t="array" ref="K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Asesor'!K466, "")
</f>
        <v/>
      </c>
      <c r="L466" s="84" t="str">
        <f t="array" ref="L466">IF(OR(
    AND('BD Asesor'!H466="Mensual", MATCH($B$2, {"Enero", "Febrero", "Marzo", "Abril", "Mayo", "Junio", "Julio", "Agosto", "Septiembre", "Octubre", "Noviembre", "Diciembre"}, 0)&gt;=1),
    AND('BD Asesor'!H466="Trimestral", MOD(MATCH($B$2, {"Enero", "Febrero", "Marzo", "Abril", "Mayo", "Junio", "Julio", "Agosto", "Septiembre", "Octubre", "Noviembre"}, 0)-MONTH('BD Asesor'!D466), 3)=0),
    AND('BD Asesor'!H466="Semestral", MOD(MATCH($B$2, {"Enero", "Febrero", "Marzo", "Abril", "Mayo", "Junio", "Julio", "Agosto", "Septiembre", "Octubre", "Noviembre"}, 0)-MONTH('BD Asesor'!D466), 6)=0),
    AND('BD Asesor'!H466="Anual", MONTH('BD Asesor'!D466)=MATCH($B$2, {"Enero", "Febrero", "Marzo", "Abril", "Mayo", "Junio", "Julio", "Agosto", "Septiembre", "Octubre", "Noviembre"}, 0))
), 'BD Asesor'!L466, "")
</f>
        <v/>
      </c>
    </row>
    <row r="467">
      <c r="C467" s="84" t="str">
        <f t="array" ref="C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Asesor'!A467, "")
</f>
        <v/>
      </c>
      <c r="D467" s="84" t="str">
        <f t="array" ref="D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Asesor'!B467, "")
</f>
        <v/>
      </c>
      <c r="E467" s="212" t="str">
        <f t="array" ref="E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Asesor'!C467, "")
</f>
        <v/>
      </c>
      <c r="F467" s="212" t="str">
        <f t="array" ref="F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Asesor'!D467, "")
</f>
        <v/>
      </c>
      <c r="G467" s="212" t="str">
        <f t="array" ref="G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Asesor'!E467, "")
</f>
        <v/>
      </c>
      <c r="H467" s="84" t="str">
        <f t="array" ref="H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Asesor'!F467, "")
</f>
        <v/>
      </c>
      <c r="I467" s="84" t="str">
        <f t="array" ref="I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Asesor'!G467, "")
</f>
        <v/>
      </c>
      <c r="J467" s="84" t="str">
        <f t="array" ref="J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Asesor'!H467, "")
</f>
        <v/>
      </c>
      <c r="K467" s="84" t="str">
        <f t="array" ref="K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Asesor'!K467, "")
</f>
        <v/>
      </c>
      <c r="L467" s="84" t="str">
        <f t="array" ref="L467">IF(OR(
    AND('BD Asesor'!H467="Mensual", MATCH($B$2, {"Enero", "Febrero", "Marzo", "Abril", "Mayo", "Junio", "Julio", "Agosto", "Septiembre", "Octubre", "Noviembre", "Diciembre"}, 0)&gt;=1),
    AND('BD Asesor'!H467="Trimestral", MOD(MATCH($B$2, {"Enero", "Febrero", "Marzo", "Abril", "Mayo", "Junio", "Julio", "Agosto", "Septiembre", "Octubre", "Noviembre"}, 0)-MONTH('BD Asesor'!D467), 3)=0),
    AND('BD Asesor'!H467="Semestral", MOD(MATCH($B$2, {"Enero", "Febrero", "Marzo", "Abril", "Mayo", "Junio", "Julio", "Agosto", "Septiembre", "Octubre", "Noviembre"}, 0)-MONTH('BD Asesor'!D467), 6)=0),
    AND('BD Asesor'!H467="Anual", MONTH('BD Asesor'!D467)=MATCH($B$2, {"Enero", "Febrero", "Marzo", "Abril", "Mayo", "Junio", "Julio", "Agosto", "Septiembre", "Octubre", "Noviembre"}, 0))
), 'BD Asesor'!L467, "")
</f>
        <v/>
      </c>
    </row>
    <row r="468">
      <c r="C468" s="84" t="str">
        <f t="array" ref="C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Asesor'!A468, "")
</f>
        <v/>
      </c>
      <c r="D468" s="84" t="str">
        <f t="array" ref="D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Asesor'!B468, "")
</f>
        <v/>
      </c>
      <c r="E468" s="212" t="str">
        <f t="array" ref="E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Asesor'!C468, "")
</f>
        <v/>
      </c>
      <c r="F468" s="212" t="str">
        <f t="array" ref="F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Asesor'!D468, "")
</f>
        <v/>
      </c>
      <c r="G468" s="212" t="str">
        <f t="array" ref="G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Asesor'!E468, "")
</f>
        <v/>
      </c>
      <c r="H468" s="84" t="str">
        <f t="array" ref="H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Asesor'!F468, "")
</f>
        <v/>
      </c>
      <c r="I468" s="84" t="str">
        <f t="array" ref="I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Asesor'!G468, "")
</f>
        <v/>
      </c>
      <c r="J468" s="84" t="str">
        <f t="array" ref="J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Asesor'!H468, "")
</f>
        <v/>
      </c>
      <c r="K468" s="84" t="str">
        <f t="array" ref="K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Asesor'!K468, "")
</f>
        <v/>
      </c>
      <c r="L468" s="84" t="str">
        <f t="array" ref="L468">IF(OR(
    AND('BD Asesor'!H468="Mensual", MATCH($B$2, {"Enero", "Febrero", "Marzo", "Abril", "Mayo", "Junio", "Julio", "Agosto", "Septiembre", "Octubre", "Noviembre", "Diciembre"}, 0)&gt;=1),
    AND('BD Asesor'!H468="Trimestral", MOD(MATCH($B$2, {"Enero", "Febrero", "Marzo", "Abril", "Mayo", "Junio", "Julio", "Agosto", "Septiembre", "Octubre", "Noviembre"}, 0)-MONTH('BD Asesor'!D468), 3)=0),
    AND('BD Asesor'!H468="Semestral", MOD(MATCH($B$2, {"Enero", "Febrero", "Marzo", "Abril", "Mayo", "Junio", "Julio", "Agosto", "Septiembre", "Octubre", "Noviembre"}, 0)-MONTH('BD Asesor'!D468), 6)=0),
    AND('BD Asesor'!H468="Anual", MONTH('BD Asesor'!D468)=MATCH($B$2, {"Enero", "Febrero", "Marzo", "Abril", "Mayo", "Junio", "Julio", "Agosto", "Septiembre", "Octubre", "Noviembre"}, 0))
), 'BD Asesor'!L468, "")
</f>
        <v/>
      </c>
    </row>
    <row r="469">
      <c r="C469" s="84" t="str">
        <f t="array" ref="C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Asesor'!A469, "")
</f>
        <v/>
      </c>
      <c r="D469" s="84" t="str">
        <f t="array" ref="D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Asesor'!B469, "")
</f>
        <v/>
      </c>
      <c r="E469" s="212" t="str">
        <f t="array" ref="E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Asesor'!C469, "")
</f>
        <v/>
      </c>
      <c r="F469" s="212" t="str">
        <f t="array" ref="F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Asesor'!D469, "")
</f>
        <v/>
      </c>
      <c r="G469" s="212" t="str">
        <f t="array" ref="G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Asesor'!E469, "")
</f>
        <v/>
      </c>
      <c r="H469" s="84" t="str">
        <f t="array" ref="H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Asesor'!F469, "")
</f>
        <v/>
      </c>
      <c r="I469" s="84" t="str">
        <f t="array" ref="I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Asesor'!G469, "")
</f>
        <v/>
      </c>
      <c r="J469" s="84" t="str">
        <f t="array" ref="J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Asesor'!H469, "")
</f>
        <v/>
      </c>
      <c r="K469" s="84" t="str">
        <f t="array" ref="K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Asesor'!K469, "")
</f>
        <v/>
      </c>
      <c r="L469" s="84" t="str">
        <f t="array" ref="L469">IF(OR(
    AND('BD Asesor'!H469="Mensual", MATCH($B$2, {"Enero", "Febrero", "Marzo", "Abril", "Mayo", "Junio", "Julio", "Agosto", "Septiembre", "Octubre", "Noviembre", "Diciembre"}, 0)&gt;=1),
    AND('BD Asesor'!H469="Trimestral", MOD(MATCH($B$2, {"Enero", "Febrero", "Marzo", "Abril", "Mayo", "Junio", "Julio", "Agosto", "Septiembre", "Octubre", "Noviembre"}, 0)-MONTH('BD Asesor'!D469), 3)=0),
    AND('BD Asesor'!H469="Semestral", MOD(MATCH($B$2, {"Enero", "Febrero", "Marzo", "Abril", "Mayo", "Junio", "Julio", "Agosto", "Septiembre", "Octubre", "Noviembre"}, 0)-MONTH('BD Asesor'!D469), 6)=0),
    AND('BD Asesor'!H469="Anual", MONTH('BD Asesor'!D469)=MATCH($B$2, {"Enero", "Febrero", "Marzo", "Abril", "Mayo", "Junio", "Julio", "Agosto", "Septiembre", "Octubre", "Noviembre"}, 0))
), 'BD Asesor'!L469, "")
</f>
        <v/>
      </c>
    </row>
    <row r="470">
      <c r="C470" s="84" t="str">
        <f t="array" ref="C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Asesor'!A470, "")
</f>
        <v/>
      </c>
      <c r="D470" s="84" t="str">
        <f t="array" ref="D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Asesor'!B470, "")
</f>
        <v/>
      </c>
      <c r="E470" s="212" t="str">
        <f t="array" ref="E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Asesor'!C470, "")
</f>
        <v/>
      </c>
      <c r="F470" s="212" t="str">
        <f t="array" ref="F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Asesor'!D470, "")
</f>
        <v/>
      </c>
      <c r="G470" s="212" t="str">
        <f t="array" ref="G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Asesor'!E470, "")
</f>
        <v/>
      </c>
      <c r="H470" s="84" t="str">
        <f t="array" ref="H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Asesor'!F470, "")
</f>
        <v/>
      </c>
      <c r="I470" s="84" t="str">
        <f t="array" ref="I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Asesor'!G470, "")
</f>
        <v/>
      </c>
      <c r="J470" s="84" t="str">
        <f t="array" ref="J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Asesor'!H470, "")
</f>
        <v/>
      </c>
      <c r="K470" s="84" t="str">
        <f t="array" ref="K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Asesor'!K470, "")
</f>
        <v/>
      </c>
      <c r="L470" s="84" t="str">
        <f t="array" ref="L470">IF(OR(
    AND('BD Asesor'!H470="Mensual", MATCH($B$2, {"Enero", "Febrero", "Marzo", "Abril", "Mayo", "Junio", "Julio", "Agosto", "Septiembre", "Octubre", "Noviembre", "Diciembre"}, 0)&gt;=1),
    AND('BD Asesor'!H470="Trimestral", MOD(MATCH($B$2, {"Enero", "Febrero", "Marzo", "Abril", "Mayo", "Junio", "Julio", "Agosto", "Septiembre", "Octubre", "Noviembre"}, 0)-MONTH('BD Asesor'!D470), 3)=0),
    AND('BD Asesor'!H470="Semestral", MOD(MATCH($B$2, {"Enero", "Febrero", "Marzo", "Abril", "Mayo", "Junio", "Julio", "Agosto", "Septiembre", "Octubre", "Noviembre"}, 0)-MONTH('BD Asesor'!D470), 6)=0),
    AND('BD Asesor'!H470="Anual", MONTH('BD Asesor'!D470)=MATCH($B$2, {"Enero", "Febrero", "Marzo", "Abril", "Mayo", "Junio", "Julio", "Agosto", "Septiembre", "Octubre", "Noviembre"}, 0))
), 'BD Asesor'!L470, "")
</f>
        <v/>
      </c>
    </row>
    <row r="471">
      <c r="C471" s="84" t="str">
        <f t="array" ref="C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Asesor'!A471, "")
</f>
        <v/>
      </c>
      <c r="D471" s="84" t="str">
        <f t="array" ref="D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Asesor'!B471, "")
</f>
        <v/>
      </c>
      <c r="E471" s="212" t="str">
        <f t="array" ref="E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Asesor'!C471, "")
</f>
        <v/>
      </c>
      <c r="F471" s="212" t="str">
        <f t="array" ref="F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Asesor'!D471, "")
</f>
        <v/>
      </c>
      <c r="G471" s="212" t="str">
        <f t="array" ref="G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Asesor'!E471, "")
</f>
        <v/>
      </c>
      <c r="H471" s="84" t="str">
        <f t="array" ref="H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Asesor'!F471, "")
</f>
        <v/>
      </c>
      <c r="I471" s="84" t="str">
        <f t="array" ref="I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Asesor'!G471, "")
</f>
        <v/>
      </c>
      <c r="J471" s="84" t="str">
        <f t="array" ref="J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Asesor'!H471, "")
</f>
        <v/>
      </c>
      <c r="K471" s="84" t="str">
        <f t="array" ref="K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Asesor'!K471, "")
</f>
        <v/>
      </c>
      <c r="L471" s="84" t="str">
        <f t="array" ref="L471">IF(OR(
    AND('BD Asesor'!H471="Mensual", MATCH($B$2, {"Enero", "Febrero", "Marzo", "Abril", "Mayo", "Junio", "Julio", "Agosto", "Septiembre", "Octubre", "Noviembre", "Diciembre"}, 0)&gt;=1),
    AND('BD Asesor'!H471="Trimestral", MOD(MATCH($B$2, {"Enero", "Febrero", "Marzo", "Abril", "Mayo", "Junio", "Julio", "Agosto", "Septiembre", "Octubre", "Noviembre"}, 0)-MONTH('BD Asesor'!D471), 3)=0),
    AND('BD Asesor'!H471="Semestral", MOD(MATCH($B$2, {"Enero", "Febrero", "Marzo", "Abril", "Mayo", "Junio", "Julio", "Agosto", "Septiembre", "Octubre", "Noviembre"}, 0)-MONTH('BD Asesor'!D471), 6)=0),
    AND('BD Asesor'!H471="Anual", MONTH('BD Asesor'!D471)=MATCH($B$2, {"Enero", "Febrero", "Marzo", "Abril", "Mayo", "Junio", "Julio", "Agosto", "Septiembre", "Octubre", "Noviembre"}, 0))
), 'BD Asesor'!L471, "")
</f>
        <v/>
      </c>
    </row>
    <row r="472">
      <c r="C472" s="84" t="str">
        <f t="array" ref="C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Asesor'!A472, "")
</f>
        <v/>
      </c>
      <c r="D472" s="84" t="str">
        <f t="array" ref="D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Asesor'!B472, "")
</f>
        <v/>
      </c>
      <c r="E472" s="212" t="str">
        <f t="array" ref="E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Asesor'!C472, "")
</f>
        <v/>
      </c>
      <c r="F472" s="212" t="str">
        <f t="array" ref="F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Asesor'!D472, "")
</f>
        <v/>
      </c>
      <c r="G472" s="212" t="str">
        <f t="array" ref="G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Asesor'!E472, "")
</f>
        <v/>
      </c>
      <c r="H472" s="84" t="str">
        <f t="array" ref="H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Asesor'!F472, "")
</f>
        <v/>
      </c>
      <c r="I472" s="84" t="str">
        <f t="array" ref="I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Asesor'!G472, "")
</f>
        <v/>
      </c>
      <c r="J472" s="84" t="str">
        <f t="array" ref="J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Asesor'!H472, "")
</f>
        <v/>
      </c>
      <c r="K472" s="84" t="str">
        <f t="array" ref="K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Asesor'!K472, "")
</f>
        <v/>
      </c>
      <c r="L472" s="84" t="str">
        <f t="array" ref="L472">IF(OR(
    AND('BD Asesor'!H472="Mensual", MATCH($B$2, {"Enero", "Febrero", "Marzo", "Abril", "Mayo", "Junio", "Julio", "Agosto", "Septiembre", "Octubre", "Noviembre", "Diciembre"}, 0)&gt;=1),
    AND('BD Asesor'!H472="Trimestral", MOD(MATCH($B$2, {"Enero", "Febrero", "Marzo", "Abril", "Mayo", "Junio", "Julio", "Agosto", "Septiembre", "Octubre", "Noviembre"}, 0)-MONTH('BD Asesor'!D472), 3)=0),
    AND('BD Asesor'!H472="Semestral", MOD(MATCH($B$2, {"Enero", "Febrero", "Marzo", "Abril", "Mayo", "Junio", "Julio", "Agosto", "Septiembre", "Octubre", "Noviembre"}, 0)-MONTH('BD Asesor'!D472), 6)=0),
    AND('BD Asesor'!H472="Anual", MONTH('BD Asesor'!D472)=MATCH($B$2, {"Enero", "Febrero", "Marzo", "Abril", "Mayo", "Junio", "Julio", "Agosto", "Septiembre", "Octubre", "Noviembre"}, 0))
), 'BD Asesor'!L472, "")
</f>
        <v/>
      </c>
    </row>
    <row r="473">
      <c r="C473" s="84" t="str">
        <f t="array" ref="C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Asesor'!A473, "")
</f>
        <v/>
      </c>
      <c r="D473" s="84" t="str">
        <f t="array" ref="D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Asesor'!B473, "")
</f>
        <v/>
      </c>
      <c r="E473" s="212" t="str">
        <f t="array" ref="E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Asesor'!C473, "")
</f>
        <v/>
      </c>
      <c r="F473" s="212" t="str">
        <f t="array" ref="F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Asesor'!D473, "")
</f>
        <v/>
      </c>
      <c r="G473" s="212" t="str">
        <f t="array" ref="G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Asesor'!E473, "")
</f>
        <v/>
      </c>
      <c r="H473" s="84" t="str">
        <f t="array" ref="H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Asesor'!F473, "")
</f>
        <v/>
      </c>
      <c r="I473" s="84" t="str">
        <f t="array" ref="I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Asesor'!G473, "")
</f>
        <v/>
      </c>
      <c r="J473" s="84" t="str">
        <f t="array" ref="J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Asesor'!H473, "")
</f>
        <v/>
      </c>
      <c r="K473" s="84" t="str">
        <f t="array" ref="K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Asesor'!K473, "")
</f>
        <v/>
      </c>
      <c r="L473" s="84" t="str">
        <f t="array" ref="L473">IF(OR(
    AND('BD Asesor'!H473="Mensual", MATCH($B$2, {"Enero", "Febrero", "Marzo", "Abril", "Mayo", "Junio", "Julio", "Agosto", "Septiembre", "Octubre", "Noviembre", "Diciembre"}, 0)&gt;=1),
    AND('BD Asesor'!H473="Trimestral", MOD(MATCH($B$2, {"Enero", "Febrero", "Marzo", "Abril", "Mayo", "Junio", "Julio", "Agosto", "Septiembre", "Octubre", "Noviembre"}, 0)-MONTH('BD Asesor'!D473), 3)=0),
    AND('BD Asesor'!H473="Semestral", MOD(MATCH($B$2, {"Enero", "Febrero", "Marzo", "Abril", "Mayo", "Junio", "Julio", "Agosto", "Septiembre", "Octubre", "Noviembre"}, 0)-MONTH('BD Asesor'!D473), 6)=0),
    AND('BD Asesor'!H473="Anual", MONTH('BD Asesor'!D473)=MATCH($B$2, {"Enero", "Febrero", "Marzo", "Abril", "Mayo", "Junio", "Julio", "Agosto", "Septiembre", "Octubre", "Noviembre"}, 0))
), 'BD Asesor'!L473, "")
</f>
        <v/>
      </c>
    </row>
    <row r="474">
      <c r="C474" s="84" t="str">
        <f t="array" ref="C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Asesor'!A474, "")
</f>
        <v/>
      </c>
      <c r="D474" s="84" t="str">
        <f t="array" ref="D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Asesor'!B474, "")
</f>
        <v/>
      </c>
      <c r="E474" s="212" t="str">
        <f t="array" ref="E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Asesor'!C474, "")
</f>
        <v/>
      </c>
      <c r="F474" s="212" t="str">
        <f t="array" ref="F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Asesor'!D474, "")
</f>
        <v/>
      </c>
      <c r="G474" s="212" t="str">
        <f t="array" ref="G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Asesor'!E474, "")
</f>
        <v/>
      </c>
      <c r="H474" s="84" t="str">
        <f t="array" ref="H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Asesor'!F474, "")
</f>
        <v/>
      </c>
      <c r="I474" s="84" t="str">
        <f t="array" ref="I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Asesor'!G474, "")
</f>
        <v/>
      </c>
      <c r="J474" s="84" t="str">
        <f t="array" ref="J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Asesor'!H474, "")
</f>
        <v/>
      </c>
      <c r="K474" s="84" t="str">
        <f t="array" ref="K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Asesor'!K474, "")
</f>
        <v/>
      </c>
      <c r="L474" s="84" t="str">
        <f t="array" ref="L474">IF(OR(
    AND('BD Asesor'!H474="Mensual", MATCH($B$2, {"Enero", "Febrero", "Marzo", "Abril", "Mayo", "Junio", "Julio", "Agosto", "Septiembre", "Octubre", "Noviembre", "Diciembre"}, 0)&gt;=1),
    AND('BD Asesor'!H474="Trimestral", MOD(MATCH($B$2, {"Enero", "Febrero", "Marzo", "Abril", "Mayo", "Junio", "Julio", "Agosto", "Septiembre", "Octubre", "Noviembre"}, 0)-MONTH('BD Asesor'!D474), 3)=0),
    AND('BD Asesor'!H474="Semestral", MOD(MATCH($B$2, {"Enero", "Febrero", "Marzo", "Abril", "Mayo", "Junio", "Julio", "Agosto", "Septiembre", "Octubre", "Noviembre"}, 0)-MONTH('BD Asesor'!D474), 6)=0),
    AND('BD Asesor'!H474="Anual", MONTH('BD Asesor'!D474)=MATCH($B$2, {"Enero", "Febrero", "Marzo", "Abril", "Mayo", "Junio", "Julio", "Agosto", "Septiembre", "Octubre", "Noviembre"}, 0))
), 'BD Asesor'!L474, "")
</f>
        <v/>
      </c>
    </row>
    <row r="475">
      <c r="C475" s="84" t="str">
        <f t="array" ref="C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Asesor'!A475, "")
</f>
        <v/>
      </c>
      <c r="D475" s="84" t="str">
        <f t="array" ref="D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Asesor'!B475, "")
</f>
        <v/>
      </c>
      <c r="E475" s="212" t="str">
        <f t="array" ref="E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Asesor'!C475, "")
</f>
        <v/>
      </c>
      <c r="F475" s="212" t="str">
        <f t="array" ref="F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Asesor'!D475, "")
</f>
        <v/>
      </c>
      <c r="G475" s="212" t="str">
        <f t="array" ref="G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Asesor'!E475, "")
</f>
        <v/>
      </c>
      <c r="H475" s="84" t="str">
        <f t="array" ref="H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Asesor'!F475, "")
</f>
        <v/>
      </c>
      <c r="I475" s="84" t="str">
        <f t="array" ref="I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Asesor'!G475, "")
</f>
        <v/>
      </c>
      <c r="J475" s="84" t="str">
        <f t="array" ref="J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Asesor'!H475, "")
</f>
        <v/>
      </c>
      <c r="K475" s="84" t="str">
        <f t="array" ref="K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Asesor'!K475, "")
</f>
        <v/>
      </c>
      <c r="L475" s="84" t="str">
        <f t="array" ref="L475">IF(OR(
    AND('BD Asesor'!H475="Mensual", MATCH($B$2, {"Enero", "Febrero", "Marzo", "Abril", "Mayo", "Junio", "Julio", "Agosto", "Septiembre", "Octubre", "Noviembre", "Diciembre"}, 0)&gt;=1),
    AND('BD Asesor'!H475="Trimestral", MOD(MATCH($B$2, {"Enero", "Febrero", "Marzo", "Abril", "Mayo", "Junio", "Julio", "Agosto", "Septiembre", "Octubre", "Noviembre"}, 0)-MONTH('BD Asesor'!D475), 3)=0),
    AND('BD Asesor'!H475="Semestral", MOD(MATCH($B$2, {"Enero", "Febrero", "Marzo", "Abril", "Mayo", "Junio", "Julio", "Agosto", "Septiembre", "Octubre", "Noviembre"}, 0)-MONTH('BD Asesor'!D475), 6)=0),
    AND('BD Asesor'!H475="Anual", MONTH('BD Asesor'!D475)=MATCH($B$2, {"Enero", "Febrero", "Marzo", "Abril", "Mayo", "Junio", "Julio", "Agosto", "Septiembre", "Octubre", "Noviembre"}, 0))
), 'BD Asesor'!L475, "")
</f>
        <v/>
      </c>
    </row>
    <row r="476">
      <c r="C476" s="84" t="str">
        <f t="array" ref="C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Asesor'!A476, "")
</f>
        <v/>
      </c>
      <c r="D476" s="84" t="str">
        <f t="array" ref="D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Asesor'!B476, "")
</f>
        <v/>
      </c>
      <c r="E476" s="212" t="str">
        <f t="array" ref="E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Asesor'!C476, "")
</f>
        <v/>
      </c>
      <c r="F476" s="212" t="str">
        <f t="array" ref="F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Asesor'!D476, "")
</f>
        <v/>
      </c>
      <c r="G476" s="212" t="str">
        <f t="array" ref="G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Asesor'!E476, "")
</f>
        <v/>
      </c>
      <c r="H476" s="84" t="str">
        <f t="array" ref="H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Asesor'!F476, "")
</f>
        <v/>
      </c>
      <c r="I476" s="84" t="str">
        <f t="array" ref="I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Asesor'!G476, "")
</f>
        <v/>
      </c>
      <c r="J476" s="84" t="str">
        <f t="array" ref="J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Asesor'!H476, "")
</f>
        <v/>
      </c>
      <c r="K476" s="84" t="str">
        <f t="array" ref="K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Asesor'!K476, "")
</f>
        <v/>
      </c>
      <c r="L476" s="84" t="str">
        <f t="array" ref="L476">IF(OR(
    AND('BD Asesor'!H476="Mensual", MATCH($B$2, {"Enero", "Febrero", "Marzo", "Abril", "Mayo", "Junio", "Julio", "Agosto", "Septiembre", "Octubre", "Noviembre", "Diciembre"}, 0)&gt;=1),
    AND('BD Asesor'!H476="Trimestral", MOD(MATCH($B$2, {"Enero", "Febrero", "Marzo", "Abril", "Mayo", "Junio", "Julio", "Agosto", "Septiembre", "Octubre", "Noviembre"}, 0)-MONTH('BD Asesor'!D476), 3)=0),
    AND('BD Asesor'!H476="Semestral", MOD(MATCH($B$2, {"Enero", "Febrero", "Marzo", "Abril", "Mayo", "Junio", "Julio", "Agosto", "Septiembre", "Octubre", "Noviembre"}, 0)-MONTH('BD Asesor'!D476), 6)=0),
    AND('BD Asesor'!H476="Anual", MONTH('BD Asesor'!D476)=MATCH($B$2, {"Enero", "Febrero", "Marzo", "Abril", "Mayo", "Junio", "Julio", "Agosto", "Septiembre", "Octubre", "Noviembre"}, 0))
), 'BD Asesor'!L476, "")
</f>
        <v/>
      </c>
    </row>
    <row r="477">
      <c r="C477" s="84" t="str">
        <f t="array" ref="C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Asesor'!A477, "")
</f>
        <v/>
      </c>
      <c r="D477" s="84" t="str">
        <f t="array" ref="D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Asesor'!B477, "")
</f>
        <v/>
      </c>
      <c r="E477" s="212" t="str">
        <f t="array" ref="E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Asesor'!C477, "")
</f>
        <v/>
      </c>
      <c r="F477" s="212" t="str">
        <f t="array" ref="F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Asesor'!D477, "")
</f>
        <v/>
      </c>
      <c r="G477" s="212" t="str">
        <f t="array" ref="G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Asesor'!E477, "")
</f>
        <v/>
      </c>
      <c r="H477" s="84" t="str">
        <f t="array" ref="H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Asesor'!F477, "")
</f>
        <v/>
      </c>
      <c r="I477" s="84" t="str">
        <f t="array" ref="I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Asesor'!G477, "")
</f>
        <v/>
      </c>
      <c r="J477" s="84" t="str">
        <f t="array" ref="J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Asesor'!H477, "")
</f>
        <v/>
      </c>
      <c r="K477" s="84" t="str">
        <f t="array" ref="K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Asesor'!K477, "")
</f>
        <v/>
      </c>
      <c r="L477" s="84" t="str">
        <f t="array" ref="L477">IF(OR(
    AND('BD Asesor'!H477="Mensual", MATCH($B$2, {"Enero", "Febrero", "Marzo", "Abril", "Mayo", "Junio", "Julio", "Agosto", "Septiembre", "Octubre", "Noviembre", "Diciembre"}, 0)&gt;=1),
    AND('BD Asesor'!H477="Trimestral", MOD(MATCH($B$2, {"Enero", "Febrero", "Marzo", "Abril", "Mayo", "Junio", "Julio", "Agosto", "Septiembre", "Octubre", "Noviembre"}, 0)-MONTH('BD Asesor'!D477), 3)=0),
    AND('BD Asesor'!H477="Semestral", MOD(MATCH($B$2, {"Enero", "Febrero", "Marzo", "Abril", "Mayo", "Junio", "Julio", "Agosto", "Septiembre", "Octubre", "Noviembre"}, 0)-MONTH('BD Asesor'!D477), 6)=0),
    AND('BD Asesor'!H477="Anual", MONTH('BD Asesor'!D477)=MATCH($B$2, {"Enero", "Febrero", "Marzo", "Abril", "Mayo", "Junio", "Julio", "Agosto", "Septiembre", "Octubre", "Noviembre"}, 0))
), 'BD Asesor'!L477, "")
</f>
        <v/>
      </c>
    </row>
    <row r="478">
      <c r="C478" s="84" t="str">
        <f t="array" ref="C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Asesor'!A478, "")
</f>
        <v/>
      </c>
      <c r="D478" s="84" t="str">
        <f t="array" ref="D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Asesor'!B478, "")
</f>
        <v/>
      </c>
      <c r="E478" s="212" t="str">
        <f t="array" ref="E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Asesor'!C478, "")
</f>
        <v/>
      </c>
      <c r="F478" s="212" t="str">
        <f t="array" ref="F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Asesor'!D478, "")
</f>
        <v/>
      </c>
      <c r="G478" s="212" t="str">
        <f t="array" ref="G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Asesor'!E478, "")
</f>
        <v/>
      </c>
      <c r="H478" s="84" t="str">
        <f t="array" ref="H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Asesor'!F478, "")
</f>
        <v/>
      </c>
      <c r="I478" s="84" t="str">
        <f t="array" ref="I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Asesor'!G478, "")
</f>
        <v/>
      </c>
      <c r="J478" s="84" t="str">
        <f t="array" ref="J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Asesor'!H478, "")
</f>
        <v/>
      </c>
      <c r="K478" s="84" t="str">
        <f t="array" ref="K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Asesor'!K478, "")
</f>
        <v/>
      </c>
      <c r="L478" s="84" t="str">
        <f t="array" ref="L478">IF(OR(
    AND('BD Asesor'!H478="Mensual", MATCH($B$2, {"Enero", "Febrero", "Marzo", "Abril", "Mayo", "Junio", "Julio", "Agosto", "Septiembre", "Octubre", "Noviembre", "Diciembre"}, 0)&gt;=1),
    AND('BD Asesor'!H478="Trimestral", MOD(MATCH($B$2, {"Enero", "Febrero", "Marzo", "Abril", "Mayo", "Junio", "Julio", "Agosto", "Septiembre", "Octubre", "Noviembre"}, 0)-MONTH('BD Asesor'!D478), 3)=0),
    AND('BD Asesor'!H478="Semestral", MOD(MATCH($B$2, {"Enero", "Febrero", "Marzo", "Abril", "Mayo", "Junio", "Julio", "Agosto", "Septiembre", "Octubre", "Noviembre"}, 0)-MONTH('BD Asesor'!D478), 6)=0),
    AND('BD Asesor'!H478="Anual", MONTH('BD Asesor'!D478)=MATCH($B$2, {"Enero", "Febrero", "Marzo", "Abril", "Mayo", "Junio", "Julio", "Agosto", "Septiembre", "Octubre", "Noviembre"}, 0))
), 'BD Asesor'!L478, "")
</f>
        <v/>
      </c>
    </row>
    <row r="479">
      <c r="C479" s="84" t="str">
        <f t="array" ref="C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Asesor'!A479, "")
</f>
        <v/>
      </c>
      <c r="D479" s="84" t="str">
        <f t="array" ref="D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Asesor'!B479, "")
</f>
        <v/>
      </c>
      <c r="E479" s="212" t="str">
        <f t="array" ref="E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Asesor'!C479, "")
</f>
        <v/>
      </c>
      <c r="F479" s="212" t="str">
        <f t="array" ref="F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Asesor'!D479, "")
</f>
        <v/>
      </c>
      <c r="G479" s="212" t="str">
        <f t="array" ref="G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Asesor'!E479, "")
</f>
        <v/>
      </c>
      <c r="H479" s="84" t="str">
        <f t="array" ref="H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Asesor'!F479, "")
</f>
        <v/>
      </c>
      <c r="I479" s="84" t="str">
        <f t="array" ref="I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Asesor'!G479, "")
</f>
        <v/>
      </c>
      <c r="J479" s="84" t="str">
        <f t="array" ref="J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Asesor'!H479, "")
</f>
        <v/>
      </c>
      <c r="K479" s="84" t="str">
        <f t="array" ref="K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Asesor'!K479, "")
</f>
        <v/>
      </c>
      <c r="L479" s="84" t="str">
        <f t="array" ref="L479">IF(OR(
    AND('BD Asesor'!H479="Mensual", MATCH($B$2, {"Enero", "Febrero", "Marzo", "Abril", "Mayo", "Junio", "Julio", "Agosto", "Septiembre", "Octubre", "Noviembre", "Diciembre"}, 0)&gt;=1),
    AND('BD Asesor'!H479="Trimestral", MOD(MATCH($B$2, {"Enero", "Febrero", "Marzo", "Abril", "Mayo", "Junio", "Julio", "Agosto", "Septiembre", "Octubre", "Noviembre"}, 0)-MONTH('BD Asesor'!D479), 3)=0),
    AND('BD Asesor'!H479="Semestral", MOD(MATCH($B$2, {"Enero", "Febrero", "Marzo", "Abril", "Mayo", "Junio", "Julio", "Agosto", "Septiembre", "Octubre", "Noviembre"}, 0)-MONTH('BD Asesor'!D479), 6)=0),
    AND('BD Asesor'!H479="Anual", MONTH('BD Asesor'!D479)=MATCH($B$2, {"Enero", "Febrero", "Marzo", "Abril", "Mayo", "Junio", "Julio", "Agosto", "Septiembre", "Octubre", "Noviembre"}, 0))
), 'BD Asesor'!L479, "")
</f>
        <v/>
      </c>
    </row>
    <row r="480">
      <c r="C480" s="84" t="str">
        <f t="array" ref="C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Asesor'!A480, "")
</f>
        <v/>
      </c>
      <c r="D480" s="84" t="str">
        <f t="array" ref="D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Asesor'!B480, "")
</f>
        <v/>
      </c>
      <c r="E480" s="212" t="str">
        <f t="array" ref="E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Asesor'!C480, "")
</f>
        <v/>
      </c>
      <c r="F480" s="212" t="str">
        <f t="array" ref="F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Asesor'!D480, "")
</f>
        <v/>
      </c>
      <c r="G480" s="212" t="str">
        <f t="array" ref="G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Asesor'!E480, "")
</f>
        <v/>
      </c>
      <c r="H480" s="84" t="str">
        <f t="array" ref="H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Asesor'!F480, "")
</f>
        <v/>
      </c>
      <c r="I480" s="84" t="str">
        <f t="array" ref="I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Asesor'!G480, "")
</f>
        <v/>
      </c>
      <c r="J480" s="84" t="str">
        <f t="array" ref="J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Asesor'!H480, "")
</f>
        <v/>
      </c>
      <c r="K480" s="84" t="str">
        <f t="array" ref="K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Asesor'!K480, "")
</f>
        <v/>
      </c>
      <c r="L480" s="84" t="str">
        <f t="array" ref="L480">IF(OR(
    AND('BD Asesor'!H480="Mensual", MATCH($B$2, {"Enero", "Febrero", "Marzo", "Abril", "Mayo", "Junio", "Julio", "Agosto", "Septiembre", "Octubre", "Noviembre", "Diciembre"}, 0)&gt;=1),
    AND('BD Asesor'!H480="Trimestral", MOD(MATCH($B$2, {"Enero", "Febrero", "Marzo", "Abril", "Mayo", "Junio", "Julio", "Agosto", "Septiembre", "Octubre", "Noviembre"}, 0)-MONTH('BD Asesor'!D480), 3)=0),
    AND('BD Asesor'!H480="Semestral", MOD(MATCH($B$2, {"Enero", "Febrero", "Marzo", "Abril", "Mayo", "Junio", "Julio", "Agosto", "Septiembre", "Octubre", "Noviembre"}, 0)-MONTH('BD Asesor'!D480), 6)=0),
    AND('BD Asesor'!H480="Anual", MONTH('BD Asesor'!D480)=MATCH($B$2, {"Enero", "Febrero", "Marzo", "Abril", "Mayo", "Junio", "Julio", "Agosto", "Septiembre", "Octubre", "Noviembre"}, 0))
), 'BD Asesor'!L480, "")
</f>
        <v/>
      </c>
    </row>
    <row r="481">
      <c r="C481" s="84" t="str">
        <f t="array" ref="C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Asesor'!A481, "")
</f>
        <v/>
      </c>
      <c r="D481" s="84" t="str">
        <f t="array" ref="D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Asesor'!B481, "")
</f>
        <v/>
      </c>
      <c r="E481" s="212" t="str">
        <f t="array" ref="E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Asesor'!C481, "")
</f>
        <v/>
      </c>
      <c r="F481" s="212" t="str">
        <f t="array" ref="F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Asesor'!D481, "")
</f>
        <v/>
      </c>
      <c r="G481" s="212" t="str">
        <f t="array" ref="G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Asesor'!E481, "")
</f>
        <v/>
      </c>
      <c r="H481" s="84" t="str">
        <f t="array" ref="H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Asesor'!F481, "")
</f>
        <v/>
      </c>
      <c r="I481" s="84" t="str">
        <f t="array" ref="I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Asesor'!G481, "")
</f>
        <v/>
      </c>
      <c r="J481" s="84" t="str">
        <f t="array" ref="J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Asesor'!H481, "")
</f>
        <v/>
      </c>
      <c r="K481" s="84" t="str">
        <f t="array" ref="K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Asesor'!K481, "")
</f>
        <v/>
      </c>
      <c r="L481" s="84" t="str">
        <f t="array" ref="L481">IF(OR(
    AND('BD Asesor'!H481="Mensual", MATCH($B$2, {"Enero", "Febrero", "Marzo", "Abril", "Mayo", "Junio", "Julio", "Agosto", "Septiembre", "Octubre", "Noviembre", "Diciembre"}, 0)&gt;=1),
    AND('BD Asesor'!H481="Trimestral", MOD(MATCH($B$2, {"Enero", "Febrero", "Marzo", "Abril", "Mayo", "Junio", "Julio", "Agosto", "Septiembre", "Octubre", "Noviembre"}, 0)-MONTH('BD Asesor'!D481), 3)=0),
    AND('BD Asesor'!H481="Semestral", MOD(MATCH($B$2, {"Enero", "Febrero", "Marzo", "Abril", "Mayo", "Junio", "Julio", "Agosto", "Septiembre", "Octubre", "Noviembre"}, 0)-MONTH('BD Asesor'!D481), 6)=0),
    AND('BD Asesor'!H481="Anual", MONTH('BD Asesor'!D481)=MATCH($B$2, {"Enero", "Febrero", "Marzo", "Abril", "Mayo", "Junio", "Julio", "Agosto", "Septiembre", "Octubre", "Noviembre"}, 0))
), 'BD Asesor'!L481, "")
</f>
        <v/>
      </c>
    </row>
    <row r="482">
      <c r="C482" s="84" t="str">
        <f t="array" ref="C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Asesor'!A482, "")
</f>
        <v/>
      </c>
      <c r="D482" s="84" t="str">
        <f t="array" ref="D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Asesor'!B482, "")
</f>
        <v/>
      </c>
      <c r="E482" s="212" t="str">
        <f t="array" ref="E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Asesor'!C482, "")
</f>
        <v/>
      </c>
      <c r="F482" s="212" t="str">
        <f t="array" ref="F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Asesor'!D482, "")
</f>
        <v/>
      </c>
      <c r="G482" s="212" t="str">
        <f t="array" ref="G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Asesor'!E482, "")
</f>
        <v/>
      </c>
      <c r="H482" s="84" t="str">
        <f t="array" ref="H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Asesor'!F482, "")
</f>
        <v/>
      </c>
      <c r="I482" s="84" t="str">
        <f t="array" ref="I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Asesor'!G482, "")
</f>
        <v/>
      </c>
      <c r="J482" s="84" t="str">
        <f t="array" ref="J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Asesor'!H482, "")
</f>
        <v/>
      </c>
      <c r="K482" s="84" t="str">
        <f t="array" ref="K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Asesor'!K482, "")
</f>
        <v/>
      </c>
      <c r="L482" s="84" t="str">
        <f t="array" ref="L482">IF(OR(
    AND('BD Asesor'!H482="Mensual", MATCH($B$2, {"Enero", "Febrero", "Marzo", "Abril", "Mayo", "Junio", "Julio", "Agosto", "Septiembre", "Octubre", "Noviembre", "Diciembre"}, 0)&gt;=1),
    AND('BD Asesor'!H482="Trimestral", MOD(MATCH($B$2, {"Enero", "Febrero", "Marzo", "Abril", "Mayo", "Junio", "Julio", "Agosto", "Septiembre", "Octubre", "Noviembre"}, 0)-MONTH('BD Asesor'!D482), 3)=0),
    AND('BD Asesor'!H482="Semestral", MOD(MATCH($B$2, {"Enero", "Febrero", "Marzo", "Abril", "Mayo", "Junio", "Julio", "Agosto", "Septiembre", "Octubre", "Noviembre"}, 0)-MONTH('BD Asesor'!D482), 6)=0),
    AND('BD Asesor'!H482="Anual", MONTH('BD Asesor'!D482)=MATCH($B$2, {"Enero", "Febrero", "Marzo", "Abril", "Mayo", "Junio", "Julio", "Agosto", "Septiembre", "Octubre", "Noviembre"}, 0))
), 'BD Asesor'!L482, "")
</f>
        <v/>
      </c>
    </row>
    <row r="483">
      <c r="C483" s="84" t="str">
        <f t="array" ref="C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Asesor'!A483, "")
</f>
        <v/>
      </c>
      <c r="D483" s="84" t="str">
        <f t="array" ref="D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Asesor'!B483, "")
</f>
        <v/>
      </c>
      <c r="E483" s="212" t="str">
        <f t="array" ref="E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Asesor'!C483, "")
</f>
        <v/>
      </c>
      <c r="F483" s="212" t="str">
        <f t="array" ref="F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Asesor'!D483, "")
</f>
        <v/>
      </c>
      <c r="G483" s="212" t="str">
        <f t="array" ref="G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Asesor'!E483, "")
</f>
        <v/>
      </c>
      <c r="H483" s="84" t="str">
        <f t="array" ref="H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Asesor'!F483, "")
</f>
        <v/>
      </c>
      <c r="I483" s="84" t="str">
        <f t="array" ref="I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Asesor'!G483, "")
</f>
        <v/>
      </c>
      <c r="J483" s="84" t="str">
        <f t="array" ref="J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Asesor'!H483, "")
</f>
        <v/>
      </c>
      <c r="K483" s="84" t="str">
        <f t="array" ref="K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Asesor'!K483, "")
</f>
        <v/>
      </c>
      <c r="L483" s="84" t="str">
        <f t="array" ref="L483">IF(OR(
    AND('BD Asesor'!H483="Mensual", MATCH($B$2, {"Enero", "Febrero", "Marzo", "Abril", "Mayo", "Junio", "Julio", "Agosto", "Septiembre", "Octubre", "Noviembre", "Diciembre"}, 0)&gt;=1),
    AND('BD Asesor'!H483="Trimestral", MOD(MATCH($B$2, {"Enero", "Febrero", "Marzo", "Abril", "Mayo", "Junio", "Julio", "Agosto", "Septiembre", "Octubre", "Noviembre"}, 0)-MONTH('BD Asesor'!D483), 3)=0),
    AND('BD Asesor'!H483="Semestral", MOD(MATCH($B$2, {"Enero", "Febrero", "Marzo", "Abril", "Mayo", "Junio", "Julio", "Agosto", "Septiembre", "Octubre", "Noviembre"}, 0)-MONTH('BD Asesor'!D483), 6)=0),
    AND('BD Asesor'!H483="Anual", MONTH('BD Asesor'!D483)=MATCH($B$2, {"Enero", "Febrero", "Marzo", "Abril", "Mayo", "Junio", "Julio", "Agosto", "Septiembre", "Octubre", "Noviembre"}, 0))
), 'BD Asesor'!L483, "")
</f>
        <v/>
      </c>
    </row>
    <row r="484">
      <c r="C484" s="84" t="str">
        <f t="array" ref="C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Asesor'!A484, "")
</f>
        <v/>
      </c>
      <c r="D484" s="84" t="str">
        <f t="array" ref="D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Asesor'!B484, "")
</f>
        <v/>
      </c>
      <c r="E484" s="212" t="str">
        <f t="array" ref="E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Asesor'!C484, "")
</f>
        <v/>
      </c>
      <c r="F484" s="212" t="str">
        <f t="array" ref="F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Asesor'!D484, "")
</f>
        <v/>
      </c>
      <c r="G484" s="212" t="str">
        <f t="array" ref="G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Asesor'!E484, "")
</f>
        <v/>
      </c>
      <c r="H484" s="84" t="str">
        <f t="array" ref="H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Asesor'!F484, "")
</f>
        <v/>
      </c>
      <c r="I484" s="84" t="str">
        <f t="array" ref="I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Asesor'!G484, "")
</f>
        <v/>
      </c>
      <c r="J484" s="84" t="str">
        <f t="array" ref="J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Asesor'!H484, "")
</f>
        <v/>
      </c>
      <c r="K484" s="84" t="str">
        <f t="array" ref="K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Asesor'!K484, "")
</f>
        <v/>
      </c>
      <c r="L484" s="84" t="str">
        <f t="array" ref="L484">IF(OR(
    AND('BD Asesor'!H484="Mensual", MATCH($B$2, {"Enero", "Febrero", "Marzo", "Abril", "Mayo", "Junio", "Julio", "Agosto", "Septiembre", "Octubre", "Noviembre", "Diciembre"}, 0)&gt;=1),
    AND('BD Asesor'!H484="Trimestral", MOD(MATCH($B$2, {"Enero", "Febrero", "Marzo", "Abril", "Mayo", "Junio", "Julio", "Agosto", "Septiembre", "Octubre", "Noviembre"}, 0)-MONTH('BD Asesor'!D484), 3)=0),
    AND('BD Asesor'!H484="Semestral", MOD(MATCH($B$2, {"Enero", "Febrero", "Marzo", "Abril", "Mayo", "Junio", "Julio", "Agosto", "Septiembre", "Octubre", "Noviembre"}, 0)-MONTH('BD Asesor'!D484), 6)=0),
    AND('BD Asesor'!H484="Anual", MONTH('BD Asesor'!D484)=MATCH($B$2, {"Enero", "Febrero", "Marzo", "Abril", "Mayo", "Junio", "Julio", "Agosto", "Septiembre", "Octubre", "Noviembre"}, 0))
), 'BD Asesor'!L484, "")
</f>
        <v/>
      </c>
    </row>
    <row r="485">
      <c r="C485" s="84" t="str">
        <f t="array" ref="C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Asesor'!A485, "")
</f>
        <v/>
      </c>
      <c r="D485" s="84" t="str">
        <f t="array" ref="D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Asesor'!B485, "")
</f>
        <v/>
      </c>
      <c r="E485" s="212" t="str">
        <f t="array" ref="E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Asesor'!C485, "")
</f>
        <v/>
      </c>
      <c r="F485" s="212" t="str">
        <f t="array" ref="F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Asesor'!D485, "")
</f>
        <v/>
      </c>
      <c r="G485" s="212" t="str">
        <f t="array" ref="G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Asesor'!E485, "")
</f>
        <v/>
      </c>
      <c r="H485" s="84" t="str">
        <f t="array" ref="H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Asesor'!F485, "")
</f>
        <v/>
      </c>
      <c r="I485" s="84" t="str">
        <f t="array" ref="I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Asesor'!G485, "")
</f>
        <v/>
      </c>
      <c r="J485" s="84" t="str">
        <f t="array" ref="J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Asesor'!H485, "")
</f>
        <v/>
      </c>
      <c r="K485" s="84" t="str">
        <f t="array" ref="K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Asesor'!K485, "")
</f>
        <v/>
      </c>
      <c r="L485" s="84" t="str">
        <f t="array" ref="L485">IF(OR(
    AND('BD Asesor'!H485="Mensual", MATCH($B$2, {"Enero", "Febrero", "Marzo", "Abril", "Mayo", "Junio", "Julio", "Agosto", "Septiembre", "Octubre", "Noviembre", "Diciembre"}, 0)&gt;=1),
    AND('BD Asesor'!H485="Trimestral", MOD(MATCH($B$2, {"Enero", "Febrero", "Marzo", "Abril", "Mayo", "Junio", "Julio", "Agosto", "Septiembre", "Octubre", "Noviembre"}, 0)-MONTH('BD Asesor'!D485), 3)=0),
    AND('BD Asesor'!H485="Semestral", MOD(MATCH($B$2, {"Enero", "Febrero", "Marzo", "Abril", "Mayo", "Junio", "Julio", "Agosto", "Septiembre", "Octubre", "Noviembre"}, 0)-MONTH('BD Asesor'!D485), 6)=0),
    AND('BD Asesor'!H485="Anual", MONTH('BD Asesor'!D485)=MATCH($B$2, {"Enero", "Febrero", "Marzo", "Abril", "Mayo", "Junio", "Julio", "Agosto", "Septiembre", "Octubre", "Noviembre"}, 0))
), 'BD Asesor'!L485, "")
</f>
        <v/>
      </c>
    </row>
    <row r="486">
      <c r="C486" s="84" t="str">
        <f t="array" ref="C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Asesor'!A486, "")
</f>
        <v/>
      </c>
      <c r="D486" s="84" t="str">
        <f t="array" ref="D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Asesor'!B486, "")
</f>
        <v/>
      </c>
      <c r="E486" s="212" t="str">
        <f t="array" ref="E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Asesor'!C486, "")
</f>
        <v/>
      </c>
      <c r="F486" s="212" t="str">
        <f t="array" ref="F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Asesor'!D486, "")
</f>
        <v/>
      </c>
      <c r="G486" s="212" t="str">
        <f t="array" ref="G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Asesor'!E486, "")
</f>
        <v/>
      </c>
      <c r="H486" s="84" t="str">
        <f t="array" ref="H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Asesor'!F486, "")
</f>
        <v/>
      </c>
      <c r="I486" s="84" t="str">
        <f t="array" ref="I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Asesor'!G486, "")
</f>
        <v/>
      </c>
      <c r="J486" s="84" t="str">
        <f t="array" ref="J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Asesor'!H486, "")
</f>
        <v/>
      </c>
      <c r="K486" s="84" t="str">
        <f t="array" ref="K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Asesor'!K486, "")
</f>
        <v/>
      </c>
      <c r="L486" s="84" t="str">
        <f t="array" ref="L486">IF(OR(
    AND('BD Asesor'!H486="Mensual", MATCH($B$2, {"Enero", "Febrero", "Marzo", "Abril", "Mayo", "Junio", "Julio", "Agosto", "Septiembre", "Octubre", "Noviembre", "Diciembre"}, 0)&gt;=1),
    AND('BD Asesor'!H486="Trimestral", MOD(MATCH($B$2, {"Enero", "Febrero", "Marzo", "Abril", "Mayo", "Junio", "Julio", "Agosto", "Septiembre", "Octubre", "Noviembre"}, 0)-MONTH('BD Asesor'!D486), 3)=0),
    AND('BD Asesor'!H486="Semestral", MOD(MATCH($B$2, {"Enero", "Febrero", "Marzo", "Abril", "Mayo", "Junio", "Julio", "Agosto", "Septiembre", "Octubre", "Noviembre"}, 0)-MONTH('BD Asesor'!D486), 6)=0),
    AND('BD Asesor'!H486="Anual", MONTH('BD Asesor'!D486)=MATCH($B$2, {"Enero", "Febrero", "Marzo", "Abril", "Mayo", "Junio", "Julio", "Agosto", "Septiembre", "Octubre", "Noviembre"}, 0))
), 'BD Asesor'!L486, "")
</f>
        <v/>
      </c>
    </row>
    <row r="487">
      <c r="C487" s="84" t="str">
        <f t="array" ref="C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Asesor'!A487, "")
</f>
        <v/>
      </c>
      <c r="D487" s="84" t="str">
        <f t="array" ref="D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Asesor'!B487, "")
</f>
        <v/>
      </c>
      <c r="E487" s="212" t="str">
        <f t="array" ref="E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Asesor'!C487, "")
</f>
        <v/>
      </c>
      <c r="F487" s="212" t="str">
        <f t="array" ref="F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Asesor'!D487, "")
</f>
        <v/>
      </c>
      <c r="G487" s="212" t="str">
        <f t="array" ref="G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Asesor'!E487, "")
</f>
        <v/>
      </c>
      <c r="H487" s="84" t="str">
        <f t="array" ref="H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Asesor'!F487, "")
</f>
        <v/>
      </c>
      <c r="I487" s="84" t="str">
        <f t="array" ref="I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Asesor'!G487, "")
</f>
        <v/>
      </c>
      <c r="J487" s="84" t="str">
        <f t="array" ref="J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Asesor'!H487, "")
</f>
        <v/>
      </c>
      <c r="K487" s="84" t="str">
        <f t="array" ref="K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Asesor'!K487, "")
</f>
        <v/>
      </c>
      <c r="L487" s="84" t="str">
        <f t="array" ref="L487">IF(OR(
    AND('BD Asesor'!H487="Mensual", MATCH($B$2, {"Enero", "Febrero", "Marzo", "Abril", "Mayo", "Junio", "Julio", "Agosto", "Septiembre", "Octubre", "Noviembre", "Diciembre"}, 0)&gt;=1),
    AND('BD Asesor'!H487="Trimestral", MOD(MATCH($B$2, {"Enero", "Febrero", "Marzo", "Abril", "Mayo", "Junio", "Julio", "Agosto", "Septiembre", "Octubre", "Noviembre"}, 0)-MONTH('BD Asesor'!D487), 3)=0),
    AND('BD Asesor'!H487="Semestral", MOD(MATCH($B$2, {"Enero", "Febrero", "Marzo", "Abril", "Mayo", "Junio", "Julio", "Agosto", "Septiembre", "Octubre", "Noviembre"}, 0)-MONTH('BD Asesor'!D487), 6)=0),
    AND('BD Asesor'!H487="Anual", MONTH('BD Asesor'!D487)=MATCH($B$2, {"Enero", "Febrero", "Marzo", "Abril", "Mayo", "Junio", "Julio", "Agosto", "Septiembre", "Octubre", "Noviembre"}, 0))
), 'BD Asesor'!L487, "")
</f>
        <v/>
      </c>
    </row>
    <row r="488">
      <c r="C488" s="84" t="str">
        <f t="array" ref="C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Asesor'!A488, "")
</f>
        <v/>
      </c>
      <c r="D488" s="84" t="str">
        <f t="array" ref="D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Asesor'!B488, "")
</f>
        <v/>
      </c>
      <c r="E488" s="212" t="str">
        <f t="array" ref="E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Asesor'!C488, "")
</f>
        <v/>
      </c>
      <c r="F488" s="212" t="str">
        <f t="array" ref="F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Asesor'!D488, "")
</f>
        <v/>
      </c>
      <c r="G488" s="212" t="str">
        <f t="array" ref="G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Asesor'!E488, "")
</f>
        <v/>
      </c>
      <c r="H488" s="84" t="str">
        <f t="array" ref="H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Asesor'!F488, "")
</f>
        <v/>
      </c>
      <c r="I488" s="84" t="str">
        <f t="array" ref="I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Asesor'!G488, "")
</f>
        <v/>
      </c>
      <c r="J488" s="84" t="str">
        <f t="array" ref="J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Asesor'!H488, "")
</f>
        <v/>
      </c>
      <c r="K488" s="84" t="str">
        <f t="array" ref="K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Asesor'!K488, "")
</f>
        <v/>
      </c>
      <c r="L488" s="84" t="str">
        <f t="array" ref="L488">IF(OR(
    AND('BD Asesor'!H488="Mensual", MATCH($B$2, {"Enero", "Febrero", "Marzo", "Abril", "Mayo", "Junio", "Julio", "Agosto", "Septiembre", "Octubre", "Noviembre", "Diciembre"}, 0)&gt;=1),
    AND('BD Asesor'!H488="Trimestral", MOD(MATCH($B$2, {"Enero", "Febrero", "Marzo", "Abril", "Mayo", "Junio", "Julio", "Agosto", "Septiembre", "Octubre", "Noviembre"}, 0)-MONTH('BD Asesor'!D488), 3)=0),
    AND('BD Asesor'!H488="Semestral", MOD(MATCH($B$2, {"Enero", "Febrero", "Marzo", "Abril", "Mayo", "Junio", "Julio", "Agosto", "Septiembre", "Octubre", "Noviembre"}, 0)-MONTH('BD Asesor'!D488), 6)=0),
    AND('BD Asesor'!H488="Anual", MONTH('BD Asesor'!D488)=MATCH($B$2, {"Enero", "Febrero", "Marzo", "Abril", "Mayo", "Junio", "Julio", "Agosto", "Septiembre", "Octubre", "Noviembre"}, 0))
), 'BD Asesor'!L488, "")
</f>
        <v/>
      </c>
    </row>
    <row r="489">
      <c r="C489" s="84" t="str">
        <f t="array" ref="C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Asesor'!A489, "")
</f>
        <v/>
      </c>
      <c r="D489" s="84" t="str">
        <f t="array" ref="D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Asesor'!B489, "")
</f>
        <v/>
      </c>
      <c r="E489" s="212" t="str">
        <f t="array" ref="E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Asesor'!C489, "")
</f>
        <v/>
      </c>
      <c r="F489" s="212" t="str">
        <f t="array" ref="F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Asesor'!D489, "")
</f>
        <v/>
      </c>
      <c r="G489" s="212" t="str">
        <f t="array" ref="G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Asesor'!E489, "")
</f>
        <v/>
      </c>
      <c r="H489" s="84" t="str">
        <f t="array" ref="H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Asesor'!F489, "")
</f>
        <v/>
      </c>
      <c r="I489" s="84" t="str">
        <f t="array" ref="I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Asesor'!G489, "")
</f>
        <v/>
      </c>
      <c r="J489" s="84" t="str">
        <f t="array" ref="J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Asesor'!H489, "")
</f>
        <v/>
      </c>
      <c r="K489" s="84" t="str">
        <f t="array" ref="K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Asesor'!K489, "")
</f>
        <v/>
      </c>
      <c r="L489" s="84" t="str">
        <f t="array" ref="L489">IF(OR(
    AND('BD Asesor'!H489="Mensual", MATCH($B$2, {"Enero", "Febrero", "Marzo", "Abril", "Mayo", "Junio", "Julio", "Agosto", "Septiembre", "Octubre", "Noviembre", "Diciembre"}, 0)&gt;=1),
    AND('BD Asesor'!H489="Trimestral", MOD(MATCH($B$2, {"Enero", "Febrero", "Marzo", "Abril", "Mayo", "Junio", "Julio", "Agosto", "Septiembre", "Octubre", "Noviembre"}, 0)-MONTH('BD Asesor'!D489), 3)=0),
    AND('BD Asesor'!H489="Semestral", MOD(MATCH($B$2, {"Enero", "Febrero", "Marzo", "Abril", "Mayo", "Junio", "Julio", "Agosto", "Septiembre", "Octubre", "Noviembre"}, 0)-MONTH('BD Asesor'!D489), 6)=0),
    AND('BD Asesor'!H489="Anual", MONTH('BD Asesor'!D489)=MATCH($B$2, {"Enero", "Febrero", "Marzo", "Abril", "Mayo", "Junio", "Julio", "Agosto", "Septiembre", "Octubre", "Noviembre"}, 0))
), 'BD Asesor'!L489, "")
</f>
        <v/>
      </c>
    </row>
    <row r="490">
      <c r="C490" s="84" t="str">
        <f t="array" ref="C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Asesor'!A490, "")
</f>
        <v/>
      </c>
      <c r="D490" s="84" t="str">
        <f t="array" ref="D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Asesor'!B490, "")
</f>
        <v/>
      </c>
      <c r="E490" s="212" t="str">
        <f t="array" ref="E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Asesor'!C490, "")
</f>
        <v/>
      </c>
      <c r="F490" s="212" t="str">
        <f t="array" ref="F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Asesor'!D490, "")
</f>
        <v/>
      </c>
      <c r="G490" s="212" t="str">
        <f t="array" ref="G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Asesor'!E490, "")
</f>
        <v/>
      </c>
      <c r="H490" s="84" t="str">
        <f t="array" ref="H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Asesor'!F490, "")
</f>
        <v/>
      </c>
      <c r="I490" s="84" t="str">
        <f t="array" ref="I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Asesor'!G490, "")
</f>
        <v/>
      </c>
      <c r="J490" s="84" t="str">
        <f t="array" ref="J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Asesor'!H490, "")
</f>
        <v/>
      </c>
      <c r="K490" s="84" t="str">
        <f t="array" ref="K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Asesor'!K490, "")
</f>
        <v/>
      </c>
      <c r="L490" s="84" t="str">
        <f t="array" ref="L490">IF(OR(
    AND('BD Asesor'!H490="Mensual", MATCH($B$2, {"Enero", "Febrero", "Marzo", "Abril", "Mayo", "Junio", "Julio", "Agosto", "Septiembre", "Octubre", "Noviembre", "Diciembre"}, 0)&gt;=1),
    AND('BD Asesor'!H490="Trimestral", MOD(MATCH($B$2, {"Enero", "Febrero", "Marzo", "Abril", "Mayo", "Junio", "Julio", "Agosto", "Septiembre", "Octubre", "Noviembre"}, 0)-MONTH('BD Asesor'!D490), 3)=0),
    AND('BD Asesor'!H490="Semestral", MOD(MATCH($B$2, {"Enero", "Febrero", "Marzo", "Abril", "Mayo", "Junio", "Julio", "Agosto", "Septiembre", "Octubre", "Noviembre"}, 0)-MONTH('BD Asesor'!D490), 6)=0),
    AND('BD Asesor'!H490="Anual", MONTH('BD Asesor'!D490)=MATCH($B$2, {"Enero", "Febrero", "Marzo", "Abril", "Mayo", "Junio", "Julio", "Agosto", "Septiembre", "Octubre", "Noviembre"}, 0))
), 'BD Asesor'!L490, "")
</f>
        <v/>
      </c>
    </row>
    <row r="491">
      <c r="C491" s="84" t="str">
        <f t="array" ref="C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Asesor'!A491, "")
</f>
        <v/>
      </c>
      <c r="D491" s="84" t="str">
        <f t="array" ref="D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Asesor'!B491, "")
</f>
        <v/>
      </c>
      <c r="E491" s="212" t="str">
        <f t="array" ref="E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Asesor'!C491, "")
</f>
        <v/>
      </c>
      <c r="F491" s="212" t="str">
        <f t="array" ref="F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Asesor'!D491, "")
</f>
        <v/>
      </c>
      <c r="G491" s="212" t="str">
        <f t="array" ref="G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Asesor'!E491, "")
</f>
        <v/>
      </c>
      <c r="H491" s="84" t="str">
        <f t="array" ref="H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Asesor'!F491, "")
</f>
        <v/>
      </c>
      <c r="I491" s="84" t="str">
        <f t="array" ref="I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Asesor'!G491, "")
</f>
        <v/>
      </c>
      <c r="J491" s="84" t="str">
        <f t="array" ref="J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Asesor'!H491, "")
</f>
        <v/>
      </c>
      <c r="K491" s="84" t="str">
        <f t="array" ref="K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Asesor'!K491, "")
</f>
        <v/>
      </c>
      <c r="L491" s="84" t="str">
        <f t="array" ref="L491">IF(OR(
    AND('BD Asesor'!H491="Mensual", MATCH($B$2, {"Enero", "Febrero", "Marzo", "Abril", "Mayo", "Junio", "Julio", "Agosto", "Septiembre", "Octubre", "Noviembre", "Diciembre"}, 0)&gt;=1),
    AND('BD Asesor'!H491="Trimestral", MOD(MATCH($B$2, {"Enero", "Febrero", "Marzo", "Abril", "Mayo", "Junio", "Julio", "Agosto", "Septiembre", "Octubre", "Noviembre"}, 0)-MONTH('BD Asesor'!D491), 3)=0),
    AND('BD Asesor'!H491="Semestral", MOD(MATCH($B$2, {"Enero", "Febrero", "Marzo", "Abril", "Mayo", "Junio", "Julio", "Agosto", "Septiembre", "Octubre", "Noviembre"}, 0)-MONTH('BD Asesor'!D491), 6)=0),
    AND('BD Asesor'!H491="Anual", MONTH('BD Asesor'!D491)=MATCH($B$2, {"Enero", "Febrero", "Marzo", "Abril", "Mayo", "Junio", "Julio", "Agosto", "Septiembre", "Octubre", "Noviembre"}, 0))
), 'BD Asesor'!L491, "")
</f>
        <v/>
      </c>
    </row>
    <row r="492">
      <c r="C492" s="84" t="str">
        <f t="array" ref="C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Asesor'!A492, "")
</f>
        <v/>
      </c>
      <c r="D492" s="84" t="str">
        <f t="array" ref="D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Asesor'!B492, "")
</f>
        <v/>
      </c>
      <c r="E492" s="212" t="str">
        <f t="array" ref="E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Asesor'!C492, "")
</f>
        <v/>
      </c>
      <c r="F492" s="212" t="str">
        <f t="array" ref="F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Asesor'!D492, "")
</f>
        <v/>
      </c>
      <c r="G492" s="212" t="str">
        <f t="array" ref="G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Asesor'!E492, "")
</f>
        <v/>
      </c>
      <c r="H492" s="84" t="str">
        <f t="array" ref="H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Asesor'!F492, "")
</f>
        <v/>
      </c>
      <c r="I492" s="84" t="str">
        <f t="array" ref="I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Asesor'!G492, "")
</f>
        <v/>
      </c>
      <c r="J492" s="84" t="str">
        <f t="array" ref="J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Asesor'!H492, "")
</f>
        <v/>
      </c>
      <c r="K492" s="84" t="str">
        <f t="array" ref="K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Asesor'!K492, "")
</f>
        <v/>
      </c>
      <c r="L492" s="84" t="str">
        <f t="array" ref="L492">IF(OR(
    AND('BD Asesor'!H492="Mensual", MATCH($B$2, {"Enero", "Febrero", "Marzo", "Abril", "Mayo", "Junio", "Julio", "Agosto", "Septiembre", "Octubre", "Noviembre", "Diciembre"}, 0)&gt;=1),
    AND('BD Asesor'!H492="Trimestral", MOD(MATCH($B$2, {"Enero", "Febrero", "Marzo", "Abril", "Mayo", "Junio", "Julio", "Agosto", "Septiembre", "Octubre", "Noviembre"}, 0)-MONTH('BD Asesor'!D492), 3)=0),
    AND('BD Asesor'!H492="Semestral", MOD(MATCH($B$2, {"Enero", "Febrero", "Marzo", "Abril", "Mayo", "Junio", "Julio", "Agosto", "Septiembre", "Octubre", "Noviembre"}, 0)-MONTH('BD Asesor'!D492), 6)=0),
    AND('BD Asesor'!H492="Anual", MONTH('BD Asesor'!D492)=MATCH($B$2, {"Enero", "Febrero", "Marzo", "Abril", "Mayo", "Junio", "Julio", "Agosto", "Septiembre", "Octubre", "Noviembre"}, 0))
), 'BD Asesor'!L492, "")
</f>
        <v/>
      </c>
    </row>
    <row r="493">
      <c r="C493" s="84" t="str">
        <f t="array" ref="C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Asesor'!A493, "")
</f>
        <v/>
      </c>
      <c r="D493" s="84" t="str">
        <f t="array" ref="D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Asesor'!B493, "")
</f>
        <v/>
      </c>
      <c r="E493" s="212" t="str">
        <f t="array" ref="E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Asesor'!C493, "")
</f>
        <v/>
      </c>
      <c r="F493" s="212" t="str">
        <f t="array" ref="F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Asesor'!D493, "")
</f>
        <v/>
      </c>
      <c r="G493" s="212" t="str">
        <f t="array" ref="G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Asesor'!E493, "")
</f>
        <v/>
      </c>
      <c r="H493" s="84" t="str">
        <f t="array" ref="H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Asesor'!F493, "")
</f>
        <v/>
      </c>
      <c r="I493" s="84" t="str">
        <f t="array" ref="I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Asesor'!G493, "")
</f>
        <v/>
      </c>
      <c r="J493" s="84" t="str">
        <f t="array" ref="J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Asesor'!H493, "")
</f>
        <v/>
      </c>
      <c r="K493" s="84" t="str">
        <f t="array" ref="K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Asesor'!K493, "")
</f>
        <v/>
      </c>
      <c r="L493" s="84" t="str">
        <f t="array" ref="L493">IF(OR(
    AND('BD Asesor'!H493="Mensual", MATCH($B$2, {"Enero", "Febrero", "Marzo", "Abril", "Mayo", "Junio", "Julio", "Agosto", "Septiembre", "Octubre", "Noviembre", "Diciembre"}, 0)&gt;=1),
    AND('BD Asesor'!H493="Trimestral", MOD(MATCH($B$2, {"Enero", "Febrero", "Marzo", "Abril", "Mayo", "Junio", "Julio", "Agosto", "Septiembre", "Octubre", "Noviembre"}, 0)-MONTH('BD Asesor'!D493), 3)=0),
    AND('BD Asesor'!H493="Semestral", MOD(MATCH($B$2, {"Enero", "Febrero", "Marzo", "Abril", "Mayo", "Junio", "Julio", "Agosto", "Septiembre", "Octubre", "Noviembre"}, 0)-MONTH('BD Asesor'!D493), 6)=0),
    AND('BD Asesor'!H493="Anual", MONTH('BD Asesor'!D493)=MATCH($B$2, {"Enero", "Febrero", "Marzo", "Abril", "Mayo", "Junio", "Julio", "Agosto", "Septiembre", "Octubre", "Noviembre"}, 0))
), 'BD Asesor'!L493, "")
</f>
        <v/>
      </c>
    </row>
    <row r="494">
      <c r="C494" s="84" t="str">
        <f t="array" ref="C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Asesor'!A494, "")
</f>
        <v/>
      </c>
      <c r="D494" s="84" t="str">
        <f t="array" ref="D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Asesor'!B494, "")
</f>
        <v/>
      </c>
      <c r="E494" s="212" t="str">
        <f t="array" ref="E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Asesor'!C494, "")
</f>
        <v/>
      </c>
      <c r="F494" s="212" t="str">
        <f t="array" ref="F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Asesor'!D494, "")
</f>
        <v/>
      </c>
      <c r="G494" s="212" t="str">
        <f t="array" ref="G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Asesor'!E494, "")
</f>
        <v/>
      </c>
      <c r="H494" s="84" t="str">
        <f t="array" ref="H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Asesor'!F494, "")
</f>
        <v/>
      </c>
      <c r="I494" s="84" t="str">
        <f t="array" ref="I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Asesor'!G494, "")
</f>
        <v/>
      </c>
      <c r="J494" s="84" t="str">
        <f t="array" ref="J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Asesor'!H494, "")
</f>
        <v/>
      </c>
      <c r="K494" s="84" t="str">
        <f t="array" ref="K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Asesor'!K494, "")
</f>
        <v/>
      </c>
      <c r="L494" s="84" t="str">
        <f t="array" ref="L494">IF(OR(
    AND('BD Asesor'!H494="Mensual", MATCH($B$2, {"Enero", "Febrero", "Marzo", "Abril", "Mayo", "Junio", "Julio", "Agosto", "Septiembre", "Octubre", "Noviembre", "Diciembre"}, 0)&gt;=1),
    AND('BD Asesor'!H494="Trimestral", MOD(MATCH($B$2, {"Enero", "Febrero", "Marzo", "Abril", "Mayo", "Junio", "Julio", "Agosto", "Septiembre", "Octubre", "Noviembre"}, 0)-MONTH('BD Asesor'!D494), 3)=0),
    AND('BD Asesor'!H494="Semestral", MOD(MATCH($B$2, {"Enero", "Febrero", "Marzo", "Abril", "Mayo", "Junio", "Julio", "Agosto", "Septiembre", "Octubre", "Noviembre"}, 0)-MONTH('BD Asesor'!D494), 6)=0),
    AND('BD Asesor'!H494="Anual", MONTH('BD Asesor'!D494)=MATCH($B$2, {"Enero", "Febrero", "Marzo", "Abril", "Mayo", "Junio", "Julio", "Agosto", "Septiembre", "Octubre", "Noviembre"}, 0))
), 'BD Asesor'!L494, "")
</f>
        <v/>
      </c>
    </row>
    <row r="495">
      <c r="C495" s="84" t="str">
        <f t="array" ref="C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Asesor'!A495, "")
</f>
        <v/>
      </c>
      <c r="D495" s="84" t="str">
        <f t="array" ref="D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Asesor'!B495, "")
</f>
        <v/>
      </c>
      <c r="E495" s="212" t="str">
        <f t="array" ref="E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Asesor'!C495, "")
</f>
        <v/>
      </c>
      <c r="F495" s="212" t="str">
        <f t="array" ref="F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Asesor'!D495, "")
</f>
        <v/>
      </c>
      <c r="G495" s="212" t="str">
        <f t="array" ref="G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Asesor'!E495, "")
</f>
        <v/>
      </c>
      <c r="H495" s="84" t="str">
        <f t="array" ref="H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Asesor'!F495, "")
</f>
        <v/>
      </c>
      <c r="I495" s="84" t="str">
        <f t="array" ref="I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Asesor'!G495, "")
</f>
        <v/>
      </c>
      <c r="J495" s="84" t="str">
        <f t="array" ref="J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Asesor'!H495, "")
</f>
        <v/>
      </c>
      <c r="K495" s="84" t="str">
        <f t="array" ref="K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Asesor'!K495, "")
</f>
        <v/>
      </c>
      <c r="L495" s="84" t="str">
        <f t="array" ref="L495">IF(OR(
    AND('BD Asesor'!H495="Mensual", MATCH($B$2, {"Enero", "Febrero", "Marzo", "Abril", "Mayo", "Junio", "Julio", "Agosto", "Septiembre", "Octubre", "Noviembre", "Diciembre"}, 0)&gt;=1),
    AND('BD Asesor'!H495="Trimestral", MOD(MATCH($B$2, {"Enero", "Febrero", "Marzo", "Abril", "Mayo", "Junio", "Julio", "Agosto", "Septiembre", "Octubre", "Noviembre"}, 0)-MONTH('BD Asesor'!D495), 3)=0),
    AND('BD Asesor'!H495="Semestral", MOD(MATCH($B$2, {"Enero", "Febrero", "Marzo", "Abril", "Mayo", "Junio", "Julio", "Agosto", "Septiembre", "Octubre", "Noviembre"}, 0)-MONTH('BD Asesor'!D495), 6)=0),
    AND('BD Asesor'!H495="Anual", MONTH('BD Asesor'!D495)=MATCH($B$2, {"Enero", "Febrero", "Marzo", "Abril", "Mayo", "Junio", "Julio", "Agosto", "Septiembre", "Octubre", "Noviembre"}, 0))
), 'BD Asesor'!L495, "")
</f>
        <v/>
      </c>
    </row>
    <row r="496">
      <c r="C496" s="84" t="str">
        <f t="array" ref="C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Asesor'!A496, "")
</f>
        <v/>
      </c>
      <c r="D496" s="84" t="str">
        <f t="array" ref="D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Asesor'!B496, "")
</f>
        <v/>
      </c>
      <c r="E496" s="212" t="str">
        <f t="array" ref="E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Asesor'!C496, "")
</f>
        <v/>
      </c>
      <c r="F496" s="212" t="str">
        <f t="array" ref="F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Asesor'!D496, "")
</f>
        <v/>
      </c>
      <c r="G496" s="212" t="str">
        <f t="array" ref="G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Asesor'!E496, "")
</f>
        <v/>
      </c>
      <c r="H496" s="84" t="str">
        <f t="array" ref="H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Asesor'!F496, "")
</f>
        <v/>
      </c>
      <c r="I496" s="84" t="str">
        <f t="array" ref="I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Asesor'!G496, "")
</f>
        <v/>
      </c>
      <c r="J496" s="84" t="str">
        <f t="array" ref="J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Asesor'!H496, "")
</f>
        <v/>
      </c>
      <c r="K496" s="84" t="str">
        <f t="array" ref="K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Asesor'!K496, "")
</f>
        <v/>
      </c>
      <c r="L496" s="84" t="str">
        <f t="array" ref="L496">IF(OR(
    AND('BD Asesor'!H496="Mensual", MATCH($B$2, {"Enero", "Febrero", "Marzo", "Abril", "Mayo", "Junio", "Julio", "Agosto", "Septiembre", "Octubre", "Noviembre", "Diciembre"}, 0)&gt;=1),
    AND('BD Asesor'!H496="Trimestral", MOD(MATCH($B$2, {"Enero", "Febrero", "Marzo", "Abril", "Mayo", "Junio", "Julio", "Agosto", "Septiembre", "Octubre", "Noviembre"}, 0)-MONTH('BD Asesor'!D496), 3)=0),
    AND('BD Asesor'!H496="Semestral", MOD(MATCH($B$2, {"Enero", "Febrero", "Marzo", "Abril", "Mayo", "Junio", "Julio", "Agosto", "Septiembre", "Octubre", "Noviembre"}, 0)-MONTH('BD Asesor'!D496), 6)=0),
    AND('BD Asesor'!H496="Anual", MONTH('BD Asesor'!D496)=MATCH($B$2, {"Enero", "Febrero", "Marzo", "Abril", "Mayo", "Junio", "Julio", "Agosto", "Septiembre", "Octubre", "Noviembre"}, 0))
), 'BD Asesor'!L496, "")
</f>
        <v/>
      </c>
    </row>
    <row r="497">
      <c r="C497" s="84" t="str">
        <f t="array" ref="C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Asesor'!A497, "")
</f>
        <v/>
      </c>
      <c r="D497" s="84" t="str">
        <f t="array" ref="D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Asesor'!B497, "")
</f>
        <v/>
      </c>
      <c r="E497" s="212" t="str">
        <f t="array" ref="E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Asesor'!C497, "")
</f>
        <v/>
      </c>
      <c r="F497" s="212" t="str">
        <f t="array" ref="F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Asesor'!D497, "")
</f>
        <v/>
      </c>
      <c r="G497" s="212" t="str">
        <f t="array" ref="G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Asesor'!E497, "")
</f>
        <v/>
      </c>
      <c r="H497" s="84" t="str">
        <f t="array" ref="H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Asesor'!F497, "")
</f>
        <v/>
      </c>
      <c r="I497" s="84" t="str">
        <f t="array" ref="I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Asesor'!G497, "")
</f>
        <v/>
      </c>
      <c r="J497" s="84" t="str">
        <f t="array" ref="J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Asesor'!H497, "")
</f>
        <v/>
      </c>
      <c r="K497" s="84" t="str">
        <f t="array" ref="K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Asesor'!K497, "")
</f>
        <v/>
      </c>
      <c r="L497" s="84" t="str">
        <f t="array" ref="L497">IF(OR(
    AND('BD Asesor'!H497="Mensual", MATCH($B$2, {"Enero", "Febrero", "Marzo", "Abril", "Mayo", "Junio", "Julio", "Agosto", "Septiembre", "Octubre", "Noviembre", "Diciembre"}, 0)&gt;=1),
    AND('BD Asesor'!H497="Trimestral", MOD(MATCH($B$2, {"Enero", "Febrero", "Marzo", "Abril", "Mayo", "Junio", "Julio", "Agosto", "Septiembre", "Octubre", "Noviembre"}, 0)-MONTH('BD Asesor'!D497), 3)=0),
    AND('BD Asesor'!H497="Semestral", MOD(MATCH($B$2, {"Enero", "Febrero", "Marzo", "Abril", "Mayo", "Junio", "Julio", "Agosto", "Septiembre", "Octubre", "Noviembre"}, 0)-MONTH('BD Asesor'!D497), 6)=0),
    AND('BD Asesor'!H497="Anual", MONTH('BD Asesor'!D497)=MATCH($B$2, {"Enero", "Febrero", "Marzo", "Abril", "Mayo", "Junio", "Julio", "Agosto", "Septiembre", "Octubre", "Noviembre"}, 0))
), 'BD Asesor'!L497, "")
</f>
        <v/>
      </c>
    </row>
    <row r="498">
      <c r="C498" s="84" t="str">
        <f t="array" ref="C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Asesor'!A498, "")
</f>
        <v/>
      </c>
      <c r="D498" s="84" t="str">
        <f t="array" ref="D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Asesor'!B498, "")
</f>
        <v/>
      </c>
      <c r="E498" s="212" t="str">
        <f t="array" ref="E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Asesor'!C498, "")
</f>
        <v/>
      </c>
      <c r="F498" s="212" t="str">
        <f t="array" ref="F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Asesor'!D498, "")
</f>
        <v/>
      </c>
      <c r="G498" s="212" t="str">
        <f t="array" ref="G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Asesor'!E498, "")
</f>
        <v/>
      </c>
      <c r="H498" s="84" t="str">
        <f t="array" ref="H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Asesor'!F498, "")
</f>
        <v/>
      </c>
      <c r="I498" s="84" t="str">
        <f t="array" ref="I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Asesor'!G498, "")
</f>
        <v/>
      </c>
      <c r="J498" s="84" t="str">
        <f t="array" ref="J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Asesor'!H498, "")
</f>
        <v/>
      </c>
      <c r="K498" s="84" t="str">
        <f t="array" ref="K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Asesor'!K498, "")
</f>
        <v/>
      </c>
      <c r="L498" s="84" t="str">
        <f t="array" ref="L498">IF(OR(
    AND('BD Asesor'!H498="Mensual", MATCH($B$2, {"Enero", "Febrero", "Marzo", "Abril", "Mayo", "Junio", "Julio", "Agosto", "Septiembre", "Octubre", "Noviembre", "Diciembre"}, 0)&gt;=1),
    AND('BD Asesor'!H498="Trimestral", MOD(MATCH($B$2, {"Enero", "Febrero", "Marzo", "Abril", "Mayo", "Junio", "Julio", "Agosto", "Septiembre", "Octubre", "Noviembre"}, 0)-MONTH('BD Asesor'!D498), 3)=0),
    AND('BD Asesor'!H498="Semestral", MOD(MATCH($B$2, {"Enero", "Febrero", "Marzo", "Abril", "Mayo", "Junio", "Julio", "Agosto", "Septiembre", "Octubre", "Noviembre"}, 0)-MONTH('BD Asesor'!D498), 6)=0),
    AND('BD Asesor'!H498="Anual", MONTH('BD Asesor'!D498)=MATCH($B$2, {"Enero", "Febrero", "Marzo", "Abril", "Mayo", "Junio", "Julio", "Agosto", "Septiembre", "Octubre", "Noviembre"}, 0))
), 'BD Asesor'!L498, "")
</f>
        <v/>
      </c>
    </row>
    <row r="499">
      <c r="C499" s="84" t="str">
        <f t="array" ref="C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Asesor'!A499, "")
</f>
        <v/>
      </c>
      <c r="D499" s="84" t="str">
        <f t="array" ref="D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Asesor'!B499, "")
</f>
        <v/>
      </c>
      <c r="E499" s="212" t="str">
        <f t="array" ref="E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Asesor'!C499, "")
</f>
        <v/>
      </c>
      <c r="F499" s="212" t="str">
        <f t="array" ref="F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Asesor'!D499, "")
</f>
        <v/>
      </c>
      <c r="G499" s="212" t="str">
        <f t="array" ref="G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Asesor'!E499, "")
</f>
        <v/>
      </c>
      <c r="H499" s="84" t="str">
        <f t="array" ref="H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Asesor'!F499, "")
</f>
        <v/>
      </c>
      <c r="I499" s="84" t="str">
        <f t="array" ref="I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Asesor'!G499, "")
</f>
        <v/>
      </c>
      <c r="J499" s="84" t="str">
        <f t="array" ref="J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Asesor'!H499, "")
</f>
        <v/>
      </c>
      <c r="K499" s="84" t="str">
        <f t="array" ref="K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Asesor'!K499, "")
</f>
        <v/>
      </c>
      <c r="L499" s="84" t="str">
        <f t="array" ref="L499">IF(OR(
    AND('BD Asesor'!H499="Mensual", MATCH($B$2, {"Enero", "Febrero", "Marzo", "Abril", "Mayo", "Junio", "Julio", "Agosto", "Septiembre", "Octubre", "Noviembre", "Diciembre"}, 0)&gt;=1),
    AND('BD Asesor'!H499="Trimestral", MOD(MATCH($B$2, {"Enero", "Febrero", "Marzo", "Abril", "Mayo", "Junio", "Julio", "Agosto", "Septiembre", "Octubre", "Noviembre"}, 0)-MONTH('BD Asesor'!D499), 3)=0),
    AND('BD Asesor'!H499="Semestral", MOD(MATCH($B$2, {"Enero", "Febrero", "Marzo", "Abril", "Mayo", "Junio", "Julio", "Agosto", "Septiembre", "Octubre", "Noviembre"}, 0)-MONTH('BD Asesor'!D499), 6)=0),
    AND('BD Asesor'!H499="Anual", MONTH('BD Asesor'!D499)=MATCH($B$2, {"Enero", "Febrero", "Marzo", "Abril", "Mayo", "Junio", "Julio", "Agosto", "Septiembre", "Octubre", "Noviembre"}, 0))
), 'BD Asesor'!L499, "")
</f>
        <v/>
      </c>
    </row>
    <row r="500">
      <c r="C500" s="84" t="str">
        <f t="array" ref="C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Asesor'!A500, "")
</f>
        <v/>
      </c>
      <c r="D500" s="84" t="str">
        <f t="array" ref="D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Asesor'!B500, "")
</f>
        <v/>
      </c>
      <c r="E500" s="212" t="str">
        <f t="array" ref="E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Asesor'!C500, "")
</f>
        <v/>
      </c>
      <c r="F500" s="212" t="str">
        <f t="array" ref="F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Asesor'!D500, "")
</f>
        <v/>
      </c>
      <c r="G500" s="212" t="str">
        <f t="array" ref="G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Asesor'!E500, "")
</f>
        <v/>
      </c>
      <c r="H500" s="84" t="str">
        <f t="array" ref="H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Asesor'!F500, "")
</f>
        <v/>
      </c>
      <c r="I500" s="84" t="str">
        <f t="array" ref="I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Asesor'!G500, "")
</f>
        <v/>
      </c>
      <c r="J500" s="84" t="str">
        <f t="array" ref="J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Asesor'!H500, "")
</f>
        <v/>
      </c>
      <c r="K500" s="84" t="str">
        <f t="array" ref="K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Asesor'!K500, "")
</f>
        <v/>
      </c>
      <c r="L500" s="84" t="str">
        <f t="array" ref="L500">IF(OR(
    AND('BD Asesor'!H500="Mensual", MATCH($B$2, {"Enero", "Febrero", "Marzo", "Abril", "Mayo", "Junio", "Julio", "Agosto", "Septiembre", "Octubre", "Noviembre", "Diciembre"}, 0)&gt;=1),
    AND('BD Asesor'!H500="Trimestral", MOD(MATCH($B$2, {"Enero", "Febrero", "Marzo", "Abril", "Mayo", "Junio", "Julio", "Agosto", "Septiembre", "Octubre", "Noviembre"}, 0)-MONTH('BD Asesor'!D500), 3)=0),
    AND('BD Asesor'!H500="Semestral", MOD(MATCH($B$2, {"Enero", "Febrero", "Marzo", "Abril", "Mayo", "Junio", "Julio", "Agosto", "Septiembre", "Octubre", "Noviembre"}, 0)-MONTH('BD Asesor'!D500), 6)=0),
    AND('BD Asesor'!H500="Anual", MONTH('BD Asesor'!D500)=MATCH($B$2, {"Enero", "Febrero", "Marzo", "Abril", "Mayo", "Junio", "Julio", "Agosto", "Septiembre", "Octubre", "Noviembre"}, 0))
), 'BD Asesor'!L500, "")
</f>
        <v/>
      </c>
    </row>
    <row r="501">
      <c r="C501" s="84" t="str">
        <f t="array" ref="C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Asesor'!A501, "")
</f>
        <v/>
      </c>
      <c r="D501" s="84" t="str">
        <f t="array" ref="D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Asesor'!B501, "")
</f>
        <v/>
      </c>
      <c r="E501" s="212" t="str">
        <f t="array" ref="E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Asesor'!C501, "")
</f>
        <v/>
      </c>
      <c r="F501" s="212" t="str">
        <f t="array" ref="F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Asesor'!D501, "")
</f>
        <v/>
      </c>
      <c r="G501" s="212" t="str">
        <f t="array" ref="G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Asesor'!E501, "")
</f>
        <v/>
      </c>
      <c r="H501" s="84" t="str">
        <f t="array" ref="H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Asesor'!F501, "")
</f>
        <v/>
      </c>
      <c r="I501" s="84" t="str">
        <f t="array" ref="I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Asesor'!G501, "")
</f>
        <v/>
      </c>
      <c r="J501" s="84" t="str">
        <f t="array" ref="J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Asesor'!H501, "")
</f>
        <v/>
      </c>
      <c r="K501" s="84" t="str">
        <f t="array" ref="K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Asesor'!K501, "")
</f>
        <v/>
      </c>
      <c r="L501" s="84" t="str">
        <f t="array" ref="L501">IF(OR(
    AND('BD Asesor'!H501="Mensual", MATCH($B$2, {"Enero", "Febrero", "Marzo", "Abril", "Mayo", "Junio", "Julio", "Agosto", "Septiembre", "Octubre", "Noviembre", "Diciembre"}, 0)&gt;=1),
    AND('BD Asesor'!H501="Trimestral", MOD(MATCH($B$2, {"Enero", "Febrero", "Marzo", "Abril", "Mayo", "Junio", "Julio", "Agosto", "Septiembre", "Octubre", "Noviembre"}, 0)-MONTH('BD Asesor'!D501), 3)=0),
    AND('BD Asesor'!H501="Semestral", MOD(MATCH($B$2, {"Enero", "Febrero", "Marzo", "Abril", "Mayo", "Junio", "Julio", "Agosto", "Septiembre", "Octubre", "Noviembre"}, 0)-MONTH('BD Asesor'!D501), 6)=0),
    AND('BD Asesor'!H501="Anual", MONTH('BD Asesor'!D501)=MATCH($B$2, {"Enero", "Febrero", "Marzo", "Abril", "Mayo", "Junio", "Julio", "Agosto", "Septiembre", "Octubre", "Noviembre"}, 0))
), 'BD Asesor'!L501, "")
</f>
        <v/>
      </c>
    </row>
    <row r="502">
      <c r="C502" s="84" t="str">
        <f t="array" ref="C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Asesor'!A502, "")
</f>
        <v/>
      </c>
      <c r="D502" s="84" t="str">
        <f t="array" ref="D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Asesor'!B502, "")
</f>
        <v/>
      </c>
      <c r="E502" s="212" t="str">
        <f t="array" ref="E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Asesor'!C502, "")
</f>
        <v/>
      </c>
      <c r="F502" s="212" t="str">
        <f t="array" ref="F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Asesor'!D502, "")
</f>
        <v/>
      </c>
      <c r="G502" s="212" t="str">
        <f t="array" ref="G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Asesor'!E502, "")
</f>
        <v/>
      </c>
      <c r="H502" s="84" t="str">
        <f t="array" ref="H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Asesor'!F502, "")
</f>
        <v/>
      </c>
      <c r="I502" s="84" t="str">
        <f t="array" ref="I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Asesor'!G502, "")
</f>
        <v/>
      </c>
      <c r="J502" s="84" t="str">
        <f t="array" ref="J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Asesor'!H502, "")
</f>
        <v/>
      </c>
      <c r="K502" s="84" t="str">
        <f t="array" ref="K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Asesor'!K502, "")
</f>
        <v/>
      </c>
      <c r="L502" s="84" t="str">
        <f t="array" ref="L502">IF(OR(
    AND('BD Asesor'!H502="Mensual", MATCH($B$2, {"Enero", "Febrero", "Marzo", "Abril", "Mayo", "Junio", "Julio", "Agosto", "Septiembre", "Octubre", "Noviembre", "Diciembre"}, 0)&gt;=1),
    AND('BD Asesor'!H502="Trimestral", MOD(MATCH($B$2, {"Enero", "Febrero", "Marzo", "Abril", "Mayo", "Junio", "Julio", "Agosto", "Septiembre", "Octubre", "Noviembre"}, 0)-MONTH('BD Asesor'!D502), 3)=0),
    AND('BD Asesor'!H502="Semestral", MOD(MATCH($B$2, {"Enero", "Febrero", "Marzo", "Abril", "Mayo", "Junio", "Julio", "Agosto", "Septiembre", "Octubre", "Noviembre"}, 0)-MONTH('BD Asesor'!D502), 6)=0),
    AND('BD Asesor'!H502="Anual", MONTH('BD Asesor'!D502)=MATCH($B$2, {"Enero", "Febrero", "Marzo", "Abril", "Mayo", "Junio", "Julio", "Agosto", "Septiembre", "Octubre", "Noviembre"}, 0))
), 'BD Asesor'!L502, "")
</f>
        <v/>
      </c>
    </row>
    <row r="503">
      <c r="C503" s="84" t="str">
        <f t="array" ref="C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Asesor'!A503, "")
</f>
        <v/>
      </c>
      <c r="D503" s="84" t="str">
        <f t="array" ref="D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Asesor'!B503, "")
</f>
        <v/>
      </c>
      <c r="E503" s="212" t="str">
        <f t="array" ref="E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Asesor'!C503, "")
</f>
        <v/>
      </c>
      <c r="F503" s="212" t="str">
        <f t="array" ref="F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Asesor'!D503, "")
</f>
        <v/>
      </c>
      <c r="G503" s="212" t="str">
        <f t="array" ref="G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Asesor'!E503, "")
</f>
        <v/>
      </c>
      <c r="H503" s="84" t="str">
        <f t="array" ref="H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Asesor'!F503, "")
</f>
        <v/>
      </c>
      <c r="I503" s="84" t="str">
        <f t="array" ref="I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Asesor'!G503, "")
</f>
        <v/>
      </c>
      <c r="J503" s="84" t="str">
        <f t="array" ref="J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Asesor'!H503, "")
</f>
        <v/>
      </c>
      <c r="K503" s="84" t="str">
        <f t="array" ref="K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Asesor'!K503, "")
</f>
        <v/>
      </c>
      <c r="L503" s="84" t="str">
        <f t="array" ref="L503">IF(OR(
    AND('BD Asesor'!H503="Mensual", MATCH($B$2, {"Enero", "Febrero", "Marzo", "Abril", "Mayo", "Junio", "Julio", "Agosto", "Septiembre", "Octubre", "Noviembre", "Diciembre"}, 0)&gt;=1),
    AND('BD Asesor'!H503="Trimestral", MOD(MATCH($B$2, {"Enero", "Febrero", "Marzo", "Abril", "Mayo", "Junio", "Julio", "Agosto", "Septiembre", "Octubre", "Noviembre"}, 0)-MONTH('BD Asesor'!D503), 3)=0),
    AND('BD Asesor'!H503="Semestral", MOD(MATCH($B$2, {"Enero", "Febrero", "Marzo", "Abril", "Mayo", "Junio", "Julio", "Agosto", "Septiembre", "Octubre", "Noviembre"}, 0)-MONTH('BD Asesor'!D503), 6)=0),
    AND('BD Asesor'!H503="Anual", MONTH('BD Asesor'!D503)=MATCH($B$2, {"Enero", "Febrero", "Marzo", "Abril", "Mayo", "Junio", "Julio", "Agosto", "Septiembre", "Octubre", "Noviembre"}, 0))
), 'BD Asesor'!L503, "")
</f>
        <v/>
      </c>
    </row>
    <row r="504">
      <c r="C504" s="84" t="str">
        <f t="array" ref="C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Asesor'!A504, "")
</f>
        <v/>
      </c>
      <c r="D504" s="84" t="str">
        <f t="array" ref="D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Asesor'!B504, "")
</f>
        <v/>
      </c>
      <c r="E504" s="212" t="str">
        <f t="array" ref="E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Asesor'!C504, "")
</f>
        <v/>
      </c>
      <c r="F504" s="212" t="str">
        <f t="array" ref="F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Asesor'!D504, "")
</f>
        <v/>
      </c>
      <c r="G504" s="212" t="str">
        <f t="array" ref="G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Asesor'!E504, "")
</f>
        <v/>
      </c>
      <c r="H504" s="84" t="str">
        <f t="array" ref="H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Asesor'!F504, "")
</f>
        <v/>
      </c>
      <c r="I504" s="84" t="str">
        <f t="array" ref="I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Asesor'!G504, "")
</f>
        <v/>
      </c>
      <c r="J504" s="84" t="str">
        <f t="array" ref="J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Asesor'!H504, "")
</f>
        <v/>
      </c>
      <c r="K504" s="84" t="str">
        <f t="array" ref="K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Asesor'!K504, "")
</f>
        <v/>
      </c>
      <c r="L504" s="84" t="str">
        <f t="array" ref="L504">IF(OR(
    AND('BD Asesor'!H504="Mensual", MATCH($B$2, {"Enero", "Febrero", "Marzo", "Abril", "Mayo", "Junio", "Julio", "Agosto", "Septiembre", "Octubre", "Noviembre", "Diciembre"}, 0)&gt;=1),
    AND('BD Asesor'!H504="Trimestral", MOD(MATCH($B$2, {"Enero", "Febrero", "Marzo", "Abril", "Mayo", "Junio", "Julio", "Agosto", "Septiembre", "Octubre", "Noviembre"}, 0)-MONTH('BD Asesor'!D504), 3)=0),
    AND('BD Asesor'!H504="Semestral", MOD(MATCH($B$2, {"Enero", "Febrero", "Marzo", "Abril", "Mayo", "Junio", "Julio", "Agosto", "Septiembre", "Octubre", "Noviembre"}, 0)-MONTH('BD Asesor'!D504), 6)=0),
    AND('BD Asesor'!H504="Anual", MONTH('BD Asesor'!D504)=MATCH($B$2, {"Enero", "Febrero", "Marzo", "Abril", "Mayo", "Junio", "Julio", "Agosto", "Septiembre", "Octubre", "Noviembre"}, 0))
), 'BD Asesor'!L504, "")
</f>
        <v/>
      </c>
    </row>
    <row r="505">
      <c r="C505" s="84" t="str">
        <f t="array" ref="C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Asesor'!A505, "")
</f>
        <v/>
      </c>
      <c r="D505" s="84" t="str">
        <f t="array" ref="D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Asesor'!B505, "")
</f>
        <v/>
      </c>
      <c r="E505" s="212" t="str">
        <f t="array" ref="E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Asesor'!C505, "")
</f>
        <v/>
      </c>
      <c r="F505" s="212" t="str">
        <f t="array" ref="F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Asesor'!D505, "")
</f>
        <v/>
      </c>
      <c r="G505" s="212" t="str">
        <f t="array" ref="G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Asesor'!E505, "")
</f>
        <v/>
      </c>
      <c r="H505" s="84" t="str">
        <f t="array" ref="H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Asesor'!F505, "")
</f>
        <v/>
      </c>
      <c r="I505" s="84" t="str">
        <f t="array" ref="I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Asesor'!G505, "")
</f>
        <v/>
      </c>
      <c r="J505" s="84" t="str">
        <f t="array" ref="J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Asesor'!H505, "")
</f>
        <v/>
      </c>
      <c r="K505" s="84" t="str">
        <f t="array" ref="K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Asesor'!K505, "")
</f>
        <v/>
      </c>
      <c r="L505" s="84" t="str">
        <f t="array" ref="L505">IF(OR(
    AND('BD Asesor'!H505="Mensual", MATCH($B$2, {"Enero", "Febrero", "Marzo", "Abril", "Mayo", "Junio", "Julio", "Agosto", "Septiembre", "Octubre", "Noviembre", "Diciembre"}, 0)&gt;=1),
    AND('BD Asesor'!H505="Trimestral", MOD(MATCH($B$2, {"Enero", "Febrero", "Marzo", "Abril", "Mayo", "Junio", "Julio", "Agosto", "Septiembre", "Octubre", "Noviembre"}, 0)-MONTH('BD Asesor'!D505), 3)=0),
    AND('BD Asesor'!H505="Semestral", MOD(MATCH($B$2, {"Enero", "Febrero", "Marzo", "Abril", "Mayo", "Junio", "Julio", "Agosto", "Septiembre", "Octubre", "Noviembre"}, 0)-MONTH('BD Asesor'!D505), 6)=0),
    AND('BD Asesor'!H505="Anual", MONTH('BD Asesor'!D505)=MATCH($B$2, {"Enero", "Febrero", "Marzo", "Abril", "Mayo", "Junio", "Julio", "Agosto", "Septiembre", "Octubre", "Noviembre"}, 0))
), 'BD Asesor'!L505, "")
</f>
        <v/>
      </c>
    </row>
    <row r="506">
      <c r="C506" s="84" t="str">
        <f t="array" ref="C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Asesor'!A506, "")
</f>
        <v/>
      </c>
      <c r="D506" s="84" t="str">
        <f t="array" ref="D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Asesor'!B506, "")
</f>
        <v/>
      </c>
      <c r="E506" s="212" t="str">
        <f t="array" ref="E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Asesor'!C506, "")
</f>
        <v/>
      </c>
      <c r="F506" s="212" t="str">
        <f t="array" ref="F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Asesor'!D506, "")
</f>
        <v/>
      </c>
      <c r="G506" s="212" t="str">
        <f t="array" ref="G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Asesor'!E506, "")
</f>
        <v/>
      </c>
      <c r="H506" s="84" t="str">
        <f t="array" ref="H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Asesor'!F506, "")
</f>
        <v/>
      </c>
      <c r="I506" s="84" t="str">
        <f t="array" ref="I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Asesor'!G506, "")
</f>
        <v/>
      </c>
      <c r="J506" s="84" t="str">
        <f t="array" ref="J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Asesor'!H506, "")
</f>
        <v/>
      </c>
      <c r="K506" s="84" t="str">
        <f t="array" ref="K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Asesor'!K506, "")
</f>
        <v/>
      </c>
      <c r="L506" s="84" t="str">
        <f t="array" ref="L506">IF(OR(
    AND('BD Asesor'!H506="Mensual", MATCH($B$2, {"Enero", "Febrero", "Marzo", "Abril", "Mayo", "Junio", "Julio", "Agosto", "Septiembre", "Octubre", "Noviembre", "Diciembre"}, 0)&gt;=1),
    AND('BD Asesor'!H506="Trimestral", MOD(MATCH($B$2, {"Enero", "Febrero", "Marzo", "Abril", "Mayo", "Junio", "Julio", "Agosto", "Septiembre", "Octubre", "Noviembre"}, 0)-MONTH('BD Asesor'!D506), 3)=0),
    AND('BD Asesor'!H506="Semestral", MOD(MATCH($B$2, {"Enero", "Febrero", "Marzo", "Abril", "Mayo", "Junio", "Julio", "Agosto", "Septiembre", "Octubre", "Noviembre"}, 0)-MONTH('BD Asesor'!D506), 6)=0),
    AND('BD Asesor'!H506="Anual", MONTH('BD Asesor'!D506)=MATCH($B$2, {"Enero", "Febrero", "Marzo", "Abril", "Mayo", "Junio", "Julio", "Agosto", "Septiembre", "Octubre", "Noviembre"}, 0))
), 'BD Asesor'!L506, "")
</f>
        <v/>
      </c>
    </row>
    <row r="507">
      <c r="C507" s="84" t="str">
        <f t="array" ref="C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Asesor'!A507, "")
</f>
        <v/>
      </c>
      <c r="D507" s="84" t="str">
        <f t="array" ref="D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Asesor'!B507, "")
</f>
        <v/>
      </c>
      <c r="E507" s="212" t="str">
        <f t="array" ref="E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Asesor'!C507, "")
</f>
        <v/>
      </c>
      <c r="F507" s="212" t="str">
        <f t="array" ref="F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Asesor'!D507, "")
</f>
        <v/>
      </c>
      <c r="G507" s="212" t="str">
        <f t="array" ref="G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Asesor'!E507, "")
</f>
        <v/>
      </c>
      <c r="H507" s="84" t="str">
        <f t="array" ref="H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Asesor'!F507, "")
</f>
        <v/>
      </c>
      <c r="I507" s="84" t="str">
        <f t="array" ref="I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Asesor'!G507, "")
</f>
        <v/>
      </c>
      <c r="J507" s="84" t="str">
        <f t="array" ref="J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Asesor'!H507, "")
</f>
        <v/>
      </c>
      <c r="K507" s="84" t="str">
        <f t="array" ref="K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Asesor'!K507, "")
</f>
        <v/>
      </c>
      <c r="L507" s="84" t="str">
        <f t="array" ref="L507">IF(OR(
    AND('BD Asesor'!H507="Mensual", MATCH($B$2, {"Enero", "Febrero", "Marzo", "Abril", "Mayo", "Junio", "Julio", "Agosto", "Septiembre", "Octubre", "Noviembre", "Diciembre"}, 0)&gt;=1),
    AND('BD Asesor'!H507="Trimestral", MOD(MATCH($B$2, {"Enero", "Febrero", "Marzo", "Abril", "Mayo", "Junio", "Julio", "Agosto", "Septiembre", "Octubre", "Noviembre"}, 0)-MONTH('BD Asesor'!D507), 3)=0),
    AND('BD Asesor'!H507="Semestral", MOD(MATCH($B$2, {"Enero", "Febrero", "Marzo", "Abril", "Mayo", "Junio", "Julio", "Agosto", "Septiembre", "Octubre", "Noviembre"}, 0)-MONTH('BD Asesor'!D507), 6)=0),
    AND('BD Asesor'!H507="Anual", MONTH('BD Asesor'!D507)=MATCH($B$2, {"Enero", "Febrero", "Marzo", "Abril", "Mayo", "Junio", "Julio", "Agosto", "Septiembre", "Octubre", "Noviembre"}, 0))
), 'BD Asesor'!L507, "")
</f>
        <v/>
      </c>
    </row>
    <row r="508">
      <c r="C508" s="84" t="str">
        <f t="array" ref="C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Asesor'!A508, "")
</f>
        <v/>
      </c>
      <c r="D508" s="84" t="str">
        <f t="array" ref="D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Asesor'!B508, "")
</f>
        <v/>
      </c>
      <c r="E508" s="212" t="str">
        <f t="array" ref="E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Asesor'!C508, "")
</f>
        <v/>
      </c>
      <c r="F508" s="212" t="str">
        <f t="array" ref="F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Asesor'!D508, "")
</f>
        <v/>
      </c>
      <c r="G508" s="212" t="str">
        <f t="array" ref="G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Asesor'!E508, "")
</f>
        <v/>
      </c>
      <c r="H508" s="84" t="str">
        <f t="array" ref="H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Asesor'!F508, "")
</f>
        <v/>
      </c>
      <c r="I508" s="84" t="str">
        <f t="array" ref="I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Asesor'!G508, "")
</f>
        <v/>
      </c>
      <c r="J508" s="84" t="str">
        <f t="array" ref="J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Asesor'!H508, "")
</f>
        <v/>
      </c>
      <c r="K508" s="84" t="str">
        <f t="array" ref="K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Asesor'!K508, "")
</f>
        <v/>
      </c>
      <c r="L508" s="84" t="str">
        <f t="array" ref="L508">IF(OR(
    AND('BD Asesor'!H508="Mensual", MATCH($B$2, {"Enero", "Febrero", "Marzo", "Abril", "Mayo", "Junio", "Julio", "Agosto", "Septiembre", "Octubre", "Noviembre", "Diciembre"}, 0)&gt;=1),
    AND('BD Asesor'!H508="Trimestral", MOD(MATCH($B$2, {"Enero", "Febrero", "Marzo", "Abril", "Mayo", "Junio", "Julio", "Agosto", "Septiembre", "Octubre", "Noviembre"}, 0)-MONTH('BD Asesor'!D508), 3)=0),
    AND('BD Asesor'!H508="Semestral", MOD(MATCH($B$2, {"Enero", "Febrero", "Marzo", "Abril", "Mayo", "Junio", "Julio", "Agosto", "Septiembre", "Octubre", "Noviembre"}, 0)-MONTH('BD Asesor'!D508), 6)=0),
    AND('BD Asesor'!H508="Anual", MONTH('BD Asesor'!D508)=MATCH($B$2, {"Enero", "Febrero", "Marzo", "Abril", "Mayo", "Junio", "Julio", "Agosto", "Septiembre", "Octubre", "Noviembre"}, 0))
), 'BD Asesor'!L508, "")
</f>
        <v/>
      </c>
    </row>
    <row r="509">
      <c r="C509" s="84" t="str">
        <f t="array" ref="C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Asesor'!A509, "")
</f>
        <v/>
      </c>
      <c r="D509" s="84" t="str">
        <f t="array" ref="D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Asesor'!B509, "")
</f>
        <v/>
      </c>
      <c r="E509" s="212" t="str">
        <f t="array" ref="E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Asesor'!C509, "")
</f>
        <v/>
      </c>
      <c r="F509" s="212" t="str">
        <f t="array" ref="F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Asesor'!D509, "")
</f>
        <v/>
      </c>
      <c r="G509" s="212" t="str">
        <f t="array" ref="G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Asesor'!E509, "")
</f>
        <v/>
      </c>
      <c r="H509" s="84" t="str">
        <f t="array" ref="H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Asesor'!F509, "")
</f>
        <v/>
      </c>
      <c r="I509" s="84" t="str">
        <f t="array" ref="I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Asesor'!G509, "")
</f>
        <v/>
      </c>
      <c r="J509" s="84" t="str">
        <f t="array" ref="J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Asesor'!H509, "")
</f>
        <v/>
      </c>
      <c r="K509" s="84" t="str">
        <f t="array" ref="K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Asesor'!K509, "")
</f>
        <v/>
      </c>
      <c r="L509" s="84" t="str">
        <f t="array" ref="L509">IF(OR(
    AND('BD Asesor'!H509="Mensual", MATCH($B$2, {"Enero", "Febrero", "Marzo", "Abril", "Mayo", "Junio", "Julio", "Agosto", "Septiembre", "Octubre", "Noviembre", "Diciembre"}, 0)&gt;=1),
    AND('BD Asesor'!H509="Trimestral", MOD(MATCH($B$2, {"Enero", "Febrero", "Marzo", "Abril", "Mayo", "Junio", "Julio", "Agosto", "Septiembre", "Octubre", "Noviembre"}, 0)-MONTH('BD Asesor'!D509), 3)=0),
    AND('BD Asesor'!H509="Semestral", MOD(MATCH($B$2, {"Enero", "Febrero", "Marzo", "Abril", "Mayo", "Junio", "Julio", "Agosto", "Septiembre", "Octubre", "Noviembre"}, 0)-MONTH('BD Asesor'!D509), 6)=0),
    AND('BD Asesor'!H509="Anual", MONTH('BD Asesor'!D509)=MATCH($B$2, {"Enero", "Febrero", "Marzo", "Abril", "Mayo", "Junio", "Julio", "Agosto", "Septiembre", "Octubre", "Noviembre"}, 0))
), 'BD Asesor'!L509, "")
</f>
        <v/>
      </c>
    </row>
    <row r="510">
      <c r="C510" s="84" t="str">
        <f t="array" ref="C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Asesor'!A510, "")
</f>
        <v/>
      </c>
      <c r="D510" s="84" t="str">
        <f t="array" ref="D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Asesor'!B510, "")
</f>
        <v/>
      </c>
      <c r="E510" s="212" t="str">
        <f t="array" ref="E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Asesor'!C510, "")
</f>
        <v/>
      </c>
      <c r="F510" s="212" t="str">
        <f t="array" ref="F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Asesor'!D510, "")
</f>
        <v/>
      </c>
      <c r="G510" s="212" t="str">
        <f t="array" ref="G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Asesor'!E510, "")
</f>
        <v/>
      </c>
      <c r="H510" s="84" t="str">
        <f t="array" ref="H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Asesor'!F510, "")
</f>
        <v/>
      </c>
      <c r="I510" s="84" t="str">
        <f t="array" ref="I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Asesor'!G510, "")
</f>
        <v/>
      </c>
      <c r="J510" s="84" t="str">
        <f t="array" ref="J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Asesor'!H510, "")
</f>
        <v/>
      </c>
      <c r="K510" s="84" t="str">
        <f t="array" ref="K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Asesor'!K510, "")
</f>
        <v/>
      </c>
      <c r="L510" s="84" t="str">
        <f t="array" ref="L510">IF(OR(
    AND('BD Asesor'!H510="Mensual", MATCH($B$2, {"Enero", "Febrero", "Marzo", "Abril", "Mayo", "Junio", "Julio", "Agosto", "Septiembre", "Octubre", "Noviembre", "Diciembre"}, 0)&gt;=1),
    AND('BD Asesor'!H510="Trimestral", MOD(MATCH($B$2, {"Enero", "Febrero", "Marzo", "Abril", "Mayo", "Junio", "Julio", "Agosto", "Septiembre", "Octubre", "Noviembre"}, 0)-MONTH('BD Asesor'!D510), 3)=0),
    AND('BD Asesor'!H510="Semestral", MOD(MATCH($B$2, {"Enero", "Febrero", "Marzo", "Abril", "Mayo", "Junio", "Julio", "Agosto", "Septiembre", "Octubre", "Noviembre"}, 0)-MONTH('BD Asesor'!D510), 6)=0),
    AND('BD Asesor'!H510="Anual", MONTH('BD Asesor'!D510)=MATCH($B$2, {"Enero", "Febrero", "Marzo", "Abril", "Mayo", "Junio", "Julio", "Agosto", "Septiembre", "Octubre", "Noviembre"}, 0))
), 'BD Asesor'!L510, "")
</f>
        <v/>
      </c>
    </row>
    <row r="511">
      <c r="C511" s="84" t="str">
        <f t="array" ref="C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Asesor'!A511, "")
</f>
        <v/>
      </c>
      <c r="D511" s="84" t="str">
        <f t="array" ref="D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Asesor'!B511, "")
</f>
        <v/>
      </c>
      <c r="E511" s="212" t="str">
        <f t="array" ref="E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Asesor'!C511, "")
</f>
        <v/>
      </c>
      <c r="F511" s="212" t="str">
        <f t="array" ref="F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Asesor'!D511, "")
</f>
        <v/>
      </c>
      <c r="G511" s="212" t="str">
        <f t="array" ref="G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Asesor'!E511, "")
</f>
        <v/>
      </c>
      <c r="H511" s="84" t="str">
        <f t="array" ref="H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Asesor'!F511, "")
</f>
        <v/>
      </c>
      <c r="I511" s="84" t="str">
        <f t="array" ref="I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Asesor'!G511, "")
</f>
        <v/>
      </c>
      <c r="J511" s="84" t="str">
        <f t="array" ref="J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Asesor'!H511, "")
</f>
        <v/>
      </c>
      <c r="K511" s="84" t="str">
        <f t="array" ref="K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Asesor'!K511, "")
</f>
        <v/>
      </c>
      <c r="L511" s="84" t="str">
        <f t="array" ref="L511">IF(OR(
    AND('BD Asesor'!H511="Mensual", MATCH($B$2, {"Enero", "Febrero", "Marzo", "Abril", "Mayo", "Junio", "Julio", "Agosto", "Septiembre", "Octubre", "Noviembre", "Diciembre"}, 0)&gt;=1),
    AND('BD Asesor'!H511="Trimestral", MOD(MATCH($B$2, {"Enero", "Febrero", "Marzo", "Abril", "Mayo", "Junio", "Julio", "Agosto", "Septiembre", "Octubre", "Noviembre"}, 0)-MONTH('BD Asesor'!D511), 3)=0),
    AND('BD Asesor'!H511="Semestral", MOD(MATCH($B$2, {"Enero", "Febrero", "Marzo", "Abril", "Mayo", "Junio", "Julio", "Agosto", "Septiembre", "Octubre", "Noviembre"}, 0)-MONTH('BD Asesor'!D511), 6)=0),
    AND('BD Asesor'!H511="Anual", MONTH('BD Asesor'!D511)=MATCH($B$2, {"Enero", "Febrero", "Marzo", "Abril", "Mayo", "Junio", "Julio", "Agosto", "Septiembre", "Octubre", "Noviembre"}, 0))
), 'BD Asesor'!L511, "")
</f>
        <v/>
      </c>
    </row>
    <row r="512">
      <c r="C512" s="84" t="str">
        <f t="array" ref="C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Asesor'!A512, "")
</f>
        <v/>
      </c>
      <c r="D512" s="84" t="str">
        <f t="array" ref="D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Asesor'!B512, "")
</f>
        <v/>
      </c>
      <c r="E512" s="212" t="str">
        <f t="array" ref="E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Asesor'!C512, "")
</f>
        <v/>
      </c>
      <c r="F512" s="212" t="str">
        <f t="array" ref="F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Asesor'!D512, "")
</f>
        <v/>
      </c>
      <c r="G512" s="212" t="str">
        <f t="array" ref="G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Asesor'!E512, "")
</f>
        <v/>
      </c>
      <c r="H512" s="84" t="str">
        <f t="array" ref="H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Asesor'!F512, "")
</f>
        <v/>
      </c>
      <c r="I512" s="84" t="str">
        <f t="array" ref="I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Asesor'!G512, "")
</f>
        <v/>
      </c>
      <c r="J512" s="84" t="str">
        <f t="array" ref="J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Asesor'!H512, "")
</f>
        <v/>
      </c>
      <c r="K512" s="84" t="str">
        <f t="array" ref="K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Asesor'!K512, "")
</f>
        <v/>
      </c>
      <c r="L512" s="84" t="str">
        <f t="array" ref="L512">IF(OR(
    AND('BD Asesor'!H512="Mensual", MATCH($B$2, {"Enero", "Febrero", "Marzo", "Abril", "Mayo", "Junio", "Julio", "Agosto", "Septiembre", "Octubre", "Noviembre", "Diciembre"}, 0)&gt;=1),
    AND('BD Asesor'!H512="Trimestral", MOD(MATCH($B$2, {"Enero", "Febrero", "Marzo", "Abril", "Mayo", "Junio", "Julio", "Agosto", "Septiembre", "Octubre", "Noviembre"}, 0)-MONTH('BD Asesor'!D512), 3)=0),
    AND('BD Asesor'!H512="Semestral", MOD(MATCH($B$2, {"Enero", "Febrero", "Marzo", "Abril", "Mayo", "Junio", "Julio", "Agosto", "Septiembre", "Octubre", "Noviembre"}, 0)-MONTH('BD Asesor'!D512), 6)=0),
    AND('BD Asesor'!H512="Anual", MONTH('BD Asesor'!D512)=MATCH($B$2, {"Enero", "Febrero", "Marzo", "Abril", "Mayo", "Junio", "Julio", "Agosto", "Septiembre", "Octubre", "Noviembre"}, 0))
), 'BD Asesor'!L512, "")
</f>
        <v/>
      </c>
    </row>
    <row r="513">
      <c r="C513" s="84" t="str">
        <f t="array" ref="C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Asesor'!A513, "")
</f>
        <v/>
      </c>
      <c r="D513" s="84" t="str">
        <f t="array" ref="D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Asesor'!B513, "")
</f>
        <v/>
      </c>
      <c r="E513" s="212" t="str">
        <f t="array" ref="E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Asesor'!C513, "")
</f>
        <v/>
      </c>
      <c r="F513" s="212" t="str">
        <f t="array" ref="F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Asesor'!D513, "")
</f>
        <v/>
      </c>
      <c r="G513" s="212" t="str">
        <f t="array" ref="G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Asesor'!E513, "")
</f>
        <v/>
      </c>
      <c r="H513" s="84" t="str">
        <f t="array" ref="H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Asesor'!F513, "")
</f>
        <v/>
      </c>
      <c r="I513" s="84" t="str">
        <f t="array" ref="I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Asesor'!G513, "")
</f>
        <v/>
      </c>
      <c r="J513" s="84" t="str">
        <f t="array" ref="J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Asesor'!H513, "")
</f>
        <v/>
      </c>
      <c r="K513" s="84" t="str">
        <f t="array" ref="K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Asesor'!K513, "")
</f>
        <v/>
      </c>
      <c r="L513" s="84" t="str">
        <f t="array" ref="L513">IF(OR(
    AND('BD Asesor'!H513="Mensual", MATCH($B$2, {"Enero", "Febrero", "Marzo", "Abril", "Mayo", "Junio", "Julio", "Agosto", "Septiembre", "Octubre", "Noviembre", "Diciembre"}, 0)&gt;=1),
    AND('BD Asesor'!H513="Trimestral", MOD(MATCH($B$2, {"Enero", "Febrero", "Marzo", "Abril", "Mayo", "Junio", "Julio", "Agosto", "Septiembre", "Octubre", "Noviembre"}, 0)-MONTH('BD Asesor'!D513), 3)=0),
    AND('BD Asesor'!H513="Semestral", MOD(MATCH($B$2, {"Enero", "Febrero", "Marzo", "Abril", "Mayo", "Junio", "Julio", "Agosto", "Septiembre", "Octubre", "Noviembre"}, 0)-MONTH('BD Asesor'!D513), 6)=0),
    AND('BD Asesor'!H513="Anual", MONTH('BD Asesor'!D513)=MATCH($B$2, {"Enero", "Febrero", "Marzo", "Abril", "Mayo", "Junio", "Julio", "Agosto", "Septiembre", "Octubre", "Noviembre"}, 0))
), 'BD Asesor'!L513, "")
</f>
        <v/>
      </c>
    </row>
    <row r="514">
      <c r="C514" s="84" t="str">
        <f t="array" ref="C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Asesor'!A514, "")
</f>
        <v/>
      </c>
      <c r="D514" s="84" t="str">
        <f t="array" ref="D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Asesor'!B514, "")
</f>
        <v/>
      </c>
      <c r="E514" s="212" t="str">
        <f t="array" ref="E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Asesor'!C514, "")
</f>
        <v/>
      </c>
      <c r="F514" s="212" t="str">
        <f t="array" ref="F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Asesor'!D514, "")
</f>
        <v/>
      </c>
      <c r="G514" s="212" t="str">
        <f t="array" ref="G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Asesor'!E514, "")
</f>
        <v/>
      </c>
      <c r="H514" s="84" t="str">
        <f t="array" ref="H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Asesor'!F514, "")
</f>
        <v/>
      </c>
      <c r="I514" s="84" t="str">
        <f t="array" ref="I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Asesor'!G514, "")
</f>
        <v/>
      </c>
      <c r="J514" s="84" t="str">
        <f t="array" ref="J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Asesor'!H514, "")
</f>
        <v/>
      </c>
      <c r="K514" s="84" t="str">
        <f t="array" ref="K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Asesor'!K514, "")
</f>
        <v/>
      </c>
      <c r="L514" s="84" t="str">
        <f t="array" ref="L514">IF(OR(
    AND('BD Asesor'!H514="Mensual", MATCH($B$2, {"Enero", "Febrero", "Marzo", "Abril", "Mayo", "Junio", "Julio", "Agosto", "Septiembre", "Octubre", "Noviembre", "Diciembre"}, 0)&gt;=1),
    AND('BD Asesor'!H514="Trimestral", MOD(MATCH($B$2, {"Enero", "Febrero", "Marzo", "Abril", "Mayo", "Junio", "Julio", "Agosto", "Septiembre", "Octubre", "Noviembre"}, 0)-MONTH('BD Asesor'!D514), 3)=0),
    AND('BD Asesor'!H514="Semestral", MOD(MATCH($B$2, {"Enero", "Febrero", "Marzo", "Abril", "Mayo", "Junio", "Julio", "Agosto", "Septiembre", "Octubre", "Noviembre"}, 0)-MONTH('BD Asesor'!D514), 6)=0),
    AND('BD Asesor'!H514="Anual", MONTH('BD Asesor'!D514)=MATCH($B$2, {"Enero", "Febrero", "Marzo", "Abril", "Mayo", "Junio", "Julio", "Agosto", "Septiembre", "Octubre", "Noviembre"}, 0))
), 'BD Asesor'!L514, "")
</f>
        <v/>
      </c>
    </row>
    <row r="515">
      <c r="C515" s="84" t="str">
        <f t="array" ref="C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Asesor'!A515, "")
</f>
        <v/>
      </c>
      <c r="D515" s="84" t="str">
        <f t="array" ref="D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Asesor'!B515, "")
</f>
        <v/>
      </c>
      <c r="E515" s="212" t="str">
        <f t="array" ref="E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Asesor'!C515, "")
</f>
        <v/>
      </c>
      <c r="F515" s="212" t="str">
        <f t="array" ref="F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Asesor'!D515, "")
</f>
        <v/>
      </c>
      <c r="G515" s="212" t="str">
        <f t="array" ref="G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Asesor'!E515, "")
</f>
        <v/>
      </c>
      <c r="H515" s="84" t="str">
        <f t="array" ref="H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Asesor'!F515, "")
</f>
        <v/>
      </c>
      <c r="I515" s="84" t="str">
        <f t="array" ref="I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Asesor'!G515, "")
</f>
        <v/>
      </c>
      <c r="J515" s="84" t="str">
        <f t="array" ref="J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Asesor'!H515, "")
</f>
        <v/>
      </c>
      <c r="K515" s="84" t="str">
        <f t="array" ref="K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Asesor'!K515, "")
</f>
        <v/>
      </c>
      <c r="L515" s="84" t="str">
        <f t="array" ref="L515">IF(OR(
    AND('BD Asesor'!H515="Mensual", MATCH($B$2, {"Enero", "Febrero", "Marzo", "Abril", "Mayo", "Junio", "Julio", "Agosto", "Septiembre", "Octubre", "Noviembre", "Diciembre"}, 0)&gt;=1),
    AND('BD Asesor'!H515="Trimestral", MOD(MATCH($B$2, {"Enero", "Febrero", "Marzo", "Abril", "Mayo", "Junio", "Julio", "Agosto", "Septiembre", "Octubre", "Noviembre"}, 0)-MONTH('BD Asesor'!D515), 3)=0),
    AND('BD Asesor'!H515="Semestral", MOD(MATCH($B$2, {"Enero", "Febrero", "Marzo", "Abril", "Mayo", "Junio", "Julio", "Agosto", "Septiembre", "Octubre", "Noviembre"}, 0)-MONTH('BD Asesor'!D515), 6)=0),
    AND('BD Asesor'!H515="Anual", MONTH('BD Asesor'!D515)=MATCH($B$2, {"Enero", "Febrero", "Marzo", "Abril", "Mayo", "Junio", "Julio", "Agosto", "Septiembre", "Octubre", "Noviembre"}, 0))
), 'BD Asesor'!L515, "")
</f>
        <v/>
      </c>
    </row>
    <row r="516">
      <c r="C516" s="84" t="str">
        <f t="array" ref="C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Asesor'!A516, "")
</f>
        <v/>
      </c>
      <c r="D516" s="84" t="str">
        <f t="array" ref="D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Asesor'!B516, "")
</f>
        <v/>
      </c>
      <c r="E516" s="212" t="str">
        <f t="array" ref="E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Asesor'!C516, "")
</f>
        <v/>
      </c>
      <c r="F516" s="212" t="str">
        <f t="array" ref="F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Asesor'!D516, "")
</f>
        <v/>
      </c>
      <c r="G516" s="212" t="str">
        <f t="array" ref="G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Asesor'!E516, "")
</f>
        <v/>
      </c>
      <c r="H516" s="84" t="str">
        <f t="array" ref="H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Asesor'!F516, "")
</f>
        <v/>
      </c>
      <c r="I516" s="84" t="str">
        <f t="array" ref="I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Asesor'!G516, "")
</f>
        <v/>
      </c>
      <c r="J516" s="84" t="str">
        <f t="array" ref="J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Asesor'!H516, "")
</f>
        <v/>
      </c>
      <c r="K516" s="84" t="str">
        <f t="array" ref="K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Asesor'!K516, "")
</f>
        <v/>
      </c>
      <c r="L516" s="84" t="str">
        <f t="array" ref="L516">IF(OR(
    AND('BD Asesor'!H516="Mensual", MATCH($B$2, {"Enero", "Febrero", "Marzo", "Abril", "Mayo", "Junio", "Julio", "Agosto", "Septiembre", "Octubre", "Noviembre", "Diciembre"}, 0)&gt;=1),
    AND('BD Asesor'!H516="Trimestral", MOD(MATCH($B$2, {"Enero", "Febrero", "Marzo", "Abril", "Mayo", "Junio", "Julio", "Agosto", "Septiembre", "Octubre", "Noviembre"}, 0)-MONTH('BD Asesor'!D516), 3)=0),
    AND('BD Asesor'!H516="Semestral", MOD(MATCH($B$2, {"Enero", "Febrero", "Marzo", "Abril", "Mayo", "Junio", "Julio", "Agosto", "Septiembre", "Octubre", "Noviembre"}, 0)-MONTH('BD Asesor'!D516), 6)=0),
    AND('BD Asesor'!H516="Anual", MONTH('BD Asesor'!D516)=MATCH($B$2, {"Enero", "Febrero", "Marzo", "Abril", "Mayo", "Junio", "Julio", "Agosto", "Septiembre", "Octubre", "Noviembre"}, 0))
), 'BD Asesor'!L516, "")
</f>
        <v/>
      </c>
    </row>
    <row r="517">
      <c r="C517" s="84" t="str">
        <f t="array" ref="C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Asesor'!A517, "")
</f>
        <v/>
      </c>
      <c r="D517" s="84" t="str">
        <f t="array" ref="D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Asesor'!B517, "")
</f>
        <v/>
      </c>
      <c r="E517" s="212" t="str">
        <f t="array" ref="E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Asesor'!C517, "")
</f>
        <v/>
      </c>
      <c r="F517" s="212" t="str">
        <f t="array" ref="F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Asesor'!D517, "")
</f>
        <v/>
      </c>
      <c r="G517" s="212" t="str">
        <f t="array" ref="G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Asesor'!E517, "")
</f>
        <v/>
      </c>
      <c r="H517" s="84" t="str">
        <f t="array" ref="H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Asesor'!F517, "")
</f>
        <v/>
      </c>
      <c r="I517" s="84" t="str">
        <f t="array" ref="I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Asesor'!G517, "")
</f>
        <v/>
      </c>
      <c r="J517" s="84" t="str">
        <f t="array" ref="J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Asesor'!H517, "")
</f>
        <v/>
      </c>
      <c r="K517" s="84" t="str">
        <f t="array" ref="K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Asesor'!K517, "")
</f>
        <v/>
      </c>
      <c r="L517" s="84" t="str">
        <f t="array" ref="L517">IF(OR(
    AND('BD Asesor'!H517="Mensual", MATCH($B$2, {"Enero", "Febrero", "Marzo", "Abril", "Mayo", "Junio", "Julio", "Agosto", "Septiembre", "Octubre", "Noviembre", "Diciembre"}, 0)&gt;=1),
    AND('BD Asesor'!H517="Trimestral", MOD(MATCH($B$2, {"Enero", "Febrero", "Marzo", "Abril", "Mayo", "Junio", "Julio", "Agosto", "Septiembre", "Octubre", "Noviembre"}, 0)-MONTH('BD Asesor'!D517), 3)=0),
    AND('BD Asesor'!H517="Semestral", MOD(MATCH($B$2, {"Enero", "Febrero", "Marzo", "Abril", "Mayo", "Junio", "Julio", "Agosto", "Septiembre", "Octubre", "Noviembre"}, 0)-MONTH('BD Asesor'!D517), 6)=0),
    AND('BD Asesor'!H517="Anual", MONTH('BD Asesor'!D517)=MATCH($B$2, {"Enero", "Febrero", "Marzo", "Abril", "Mayo", "Junio", "Julio", "Agosto", "Septiembre", "Octubre", "Noviembre"}, 0))
), 'BD Asesor'!L517, "")
</f>
        <v/>
      </c>
    </row>
    <row r="518">
      <c r="C518" s="84" t="str">
        <f t="array" ref="C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Asesor'!A518, "")
</f>
        <v/>
      </c>
      <c r="D518" s="84" t="str">
        <f t="array" ref="D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Asesor'!B518, "")
</f>
        <v/>
      </c>
      <c r="E518" s="212" t="str">
        <f t="array" ref="E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Asesor'!C518, "")
</f>
        <v/>
      </c>
      <c r="F518" s="212" t="str">
        <f t="array" ref="F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Asesor'!D518, "")
</f>
        <v/>
      </c>
      <c r="G518" s="212" t="str">
        <f t="array" ref="G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Asesor'!E518, "")
</f>
        <v/>
      </c>
      <c r="H518" s="84" t="str">
        <f t="array" ref="H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Asesor'!F518, "")
</f>
        <v/>
      </c>
      <c r="I518" s="84" t="str">
        <f t="array" ref="I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Asesor'!G518, "")
</f>
        <v/>
      </c>
      <c r="J518" s="84" t="str">
        <f t="array" ref="J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Asesor'!H518, "")
</f>
        <v/>
      </c>
      <c r="K518" s="84" t="str">
        <f t="array" ref="K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Asesor'!K518, "")
</f>
        <v/>
      </c>
      <c r="L518" s="84" t="str">
        <f t="array" ref="L518">IF(OR(
    AND('BD Asesor'!H518="Mensual", MATCH($B$2, {"Enero", "Febrero", "Marzo", "Abril", "Mayo", "Junio", "Julio", "Agosto", "Septiembre", "Octubre", "Noviembre", "Diciembre"}, 0)&gt;=1),
    AND('BD Asesor'!H518="Trimestral", MOD(MATCH($B$2, {"Enero", "Febrero", "Marzo", "Abril", "Mayo", "Junio", "Julio", "Agosto", "Septiembre", "Octubre", "Noviembre"}, 0)-MONTH('BD Asesor'!D518), 3)=0),
    AND('BD Asesor'!H518="Semestral", MOD(MATCH($B$2, {"Enero", "Febrero", "Marzo", "Abril", "Mayo", "Junio", "Julio", "Agosto", "Septiembre", "Octubre", "Noviembre"}, 0)-MONTH('BD Asesor'!D518), 6)=0),
    AND('BD Asesor'!H518="Anual", MONTH('BD Asesor'!D518)=MATCH($B$2, {"Enero", "Febrero", "Marzo", "Abril", "Mayo", "Junio", "Julio", "Agosto", "Septiembre", "Octubre", "Noviembre"}, 0))
), 'BD Asesor'!L518, "")
</f>
        <v/>
      </c>
    </row>
    <row r="519">
      <c r="C519" s="84" t="str">
        <f t="array" ref="C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Asesor'!A519, "")
</f>
        <v/>
      </c>
      <c r="D519" s="84" t="str">
        <f t="array" ref="D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Asesor'!B519, "")
</f>
        <v/>
      </c>
      <c r="E519" s="212" t="str">
        <f t="array" ref="E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Asesor'!C519, "")
</f>
        <v/>
      </c>
      <c r="F519" s="212" t="str">
        <f t="array" ref="F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Asesor'!D519, "")
</f>
        <v/>
      </c>
      <c r="G519" s="212" t="str">
        <f t="array" ref="G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Asesor'!E519, "")
</f>
        <v/>
      </c>
      <c r="H519" s="84" t="str">
        <f t="array" ref="H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Asesor'!F519, "")
</f>
        <v/>
      </c>
      <c r="I519" s="84" t="str">
        <f t="array" ref="I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Asesor'!G519, "")
</f>
        <v/>
      </c>
      <c r="J519" s="84" t="str">
        <f t="array" ref="J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Asesor'!H519, "")
</f>
        <v/>
      </c>
      <c r="K519" s="84" t="str">
        <f t="array" ref="K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Asesor'!K519, "")
</f>
        <v/>
      </c>
      <c r="L519" s="84" t="str">
        <f t="array" ref="L519">IF(OR(
    AND('BD Asesor'!H519="Mensual", MATCH($B$2, {"Enero", "Febrero", "Marzo", "Abril", "Mayo", "Junio", "Julio", "Agosto", "Septiembre", "Octubre", "Noviembre", "Diciembre"}, 0)&gt;=1),
    AND('BD Asesor'!H519="Trimestral", MOD(MATCH($B$2, {"Enero", "Febrero", "Marzo", "Abril", "Mayo", "Junio", "Julio", "Agosto", "Septiembre", "Octubre", "Noviembre"}, 0)-MONTH('BD Asesor'!D519), 3)=0),
    AND('BD Asesor'!H519="Semestral", MOD(MATCH($B$2, {"Enero", "Febrero", "Marzo", "Abril", "Mayo", "Junio", "Julio", "Agosto", "Septiembre", "Octubre", "Noviembre"}, 0)-MONTH('BD Asesor'!D519), 6)=0),
    AND('BD Asesor'!H519="Anual", MONTH('BD Asesor'!D519)=MATCH($B$2, {"Enero", "Febrero", "Marzo", "Abril", "Mayo", "Junio", "Julio", "Agosto", "Septiembre", "Octubre", "Noviembre"}, 0))
), 'BD Asesor'!L519, "")
</f>
        <v/>
      </c>
    </row>
    <row r="520">
      <c r="C520" s="84" t="str">
        <f t="array" ref="C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Asesor'!A520, "")
</f>
        <v/>
      </c>
      <c r="D520" s="84" t="str">
        <f t="array" ref="D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Asesor'!B520, "")
</f>
        <v/>
      </c>
      <c r="E520" s="212" t="str">
        <f t="array" ref="E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Asesor'!C520, "")
</f>
        <v/>
      </c>
      <c r="F520" s="212" t="str">
        <f t="array" ref="F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Asesor'!D520, "")
</f>
        <v/>
      </c>
      <c r="G520" s="212" t="str">
        <f t="array" ref="G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Asesor'!E520, "")
</f>
        <v/>
      </c>
      <c r="H520" s="84" t="str">
        <f t="array" ref="H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Asesor'!F520, "")
</f>
        <v/>
      </c>
      <c r="I520" s="84" t="str">
        <f t="array" ref="I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Asesor'!G520, "")
</f>
        <v/>
      </c>
      <c r="J520" s="84" t="str">
        <f t="array" ref="J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Asesor'!H520, "")
</f>
        <v/>
      </c>
      <c r="K520" s="84" t="str">
        <f t="array" ref="K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Asesor'!K520, "")
</f>
        <v/>
      </c>
      <c r="L520" s="84" t="str">
        <f t="array" ref="L520">IF(OR(
    AND('BD Asesor'!H520="Mensual", MATCH($B$2, {"Enero", "Febrero", "Marzo", "Abril", "Mayo", "Junio", "Julio", "Agosto", "Septiembre", "Octubre", "Noviembre", "Diciembre"}, 0)&gt;=1),
    AND('BD Asesor'!H520="Trimestral", MOD(MATCH($B$2, {"Enero", "Febrero", "Marzo", "Abril", "Mayo", "Junio", "Julio", "Agosto", "Septiembre", "Octubre", "Noviembre"}, 0)-MONTH('BD Asesor'!D520), 3)=0),
    AND('BD Asesor'!H520="Semestral", MOD(MATCH($B$2, {"Enero", "Febrero", "Marzo", "Abril", "Mayo", "Junio", "Julio", "Agosto", "Septiembre", "Octubre", "Noviembre"}, 0)-MONTH('BD Asesor'!D520), 6)=0),
    AND('BD Asesor'!H520="Anual", MONTH('BD Asesor'!D520)=MATCH($B$2, {"Enero", "Febrero", "Marzo", "Abril", "Mayo", "Junio", "Julio", "Agosto", "Septiembre", "Octubre", "Noviembre"}, 0))
), 'BD Asesor'!L520, "")
</f>
        <v/>
      </c>
    </row>
    <row r="521">
      <c r="C521" s="84" t="str">
        <f t="array" ref="C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Asesor'!A521, "")
</f>
        <v/>
      </c>
      <c r="D521" s="84" t="str">
        <f t="array" ref="D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Asesor'!B521, "")
</f>
        <v/>
      </c>
      <c r="E521" s="212" t="str">
        <f t="array" ref="E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Asesor'!C521, "")
</f>
        <v/>
      </c>
      <c r="F521" s="212" t="str">
        <f t="array" ref="F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Asesor'!D521, "")
</f>
        <v/>
      </c>
      <c r="G521" s="212" t="str">
        <f t="array" ref="G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Asesor'!E521, "")
</f>
        <v/>
      </c>
      <c r="H521" s="84" t="str">
        <f t="array" ref="H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Asesor'!F521, "")
</f>
        <v/>
      </c>
      <c r="I521" s="84" t="str">
        <f t="array" ref="I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Asesor'!G521, "")
</f>
        <v/>
      </c>
      <c r="J521" s="84" t="str">
        <f t="array" ref="J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Asesor'!H521, "")
</f>
        <v/>
      </c>
      <c r="K521" s="84" t="str">
        <f t="array" ref="K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Asesor'!K521, "")
</f>
        <v/>
      </c>
      <c r="L521" s="84" t="str">
        <f t="array" ref="L521">IF(OR(
    AND('BD Asesor'!H521="Mensual", MATCH($B$2, {"Enero", "Febrero", "Marzo", "Abril", "Mayo", "Junio", "Julio", "Agosto", "Septiembre", "Octubre", "Noviembre", "Diciembre"}, 0)&gt;=1),
    AND('BD Asesor'!H521="Trimestral", MOD(MATCH($B$2, {"Enero", "Febrero", "Marzo", "Abril", "Mayo", "Junio", "Julio", "Agosto", "Septiembre", "Octubre", "Noviembre"}, 0)-MONTH('BD Asesor'!D521), 3)=0),
    AND('BD Asesor'!H521="Semestral", MOD(MATCH($B$2, {"Enero", "Febrero", "Marzo", "Abril", "Mayo", "Junio", "Julio", "Agosto", "Septiembre", "Octubre", "Noviembre"}, 0)-MONTH('BD Asesor'!D521), 6)=0),
    AND('BD Asesor'!H521="Anual", MONTH('BD Asesor'!D521)=MATCH($B$2, {"Enero", "Febrero", "Marzo", "Abril", "Mayo", "Junio", "Julio", "Agosto", "Septiembre", "Octubre", "Noviembre"}, 0))
), 'BD Asesor'!L521, "")
</f>
        <v/>
      </c>
    </row>
    <row r="522">
      <c r="C522" s="84" t="str">
        <f t="array" ref="C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Asesor'!A522, "")
</f>
        <v/>
      </c>
      <c r="D522" s="84" t="str">
        <f t="array" ref="D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Asesor'!B522, "")
</f>
        <v/>
      </c>
      <c r="E522" s="212" t="str">
        <f t="array" ref="E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Asesor'!C522, "")
</f>
        <v/>
      </c>
      <c r="F522" s="212" t="str">
        <f t="array" ref="F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Asesor'!D522, "")
</f>
        <v/>
      </c>
      <c r="G522" s="212" t="str">
        <f t="array" ref="G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Asesor'!E522, "")
</f>
        <v/>
      </c>
      <c r="H522" s="84" t="str">
        <f t="array" ref="H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Asesor'!F522, "")
</f>
        <v/>
      </c>
      <c r="I522" s="84" t="str">
        <f t="array" ref="I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Asesor'!G522, "")
</f>
        <v/>
      </c>
      <c r="J522" s="84" t="str">
        <f t="array" ref="J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Asesor'!H522, "")
</f>
        <v/>
      </c>
      <c r="K522" s="84" t="str">
        <f t="array" ref="K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Asesor'!K522, "")
</f>
        <v/>
      </c>
      <c r="L522" s="84" t="str">
        <f t="array" ref="L522">IF(OR(
    AND('BD Asesor'!H522="Mensual", MATCH($B$2, {"Enero", "Febrero", "Marzo", "Abril", "Mayo", "Junio", "Julio", "Agosto", "Septiembre", "Octubre", "Noviembre", "Diciembre"}, 0)&gt;=1),
    AND('BD Asesor'!H522="Trimestral", MOD(MATCH($B$2, {"Enero", "Febrero", "Marzo", "Abril", "Mayo", "Junio", "Julio", "Agosto", "Septiembre", "Octubre", "Noviembre"}, 0)-MONTH('BD Asesor'!D522), 3)=0),
    AND('BD Asesor'!H522="Semestral", MOD(MATCH($B$2, {"Enero", "Febrero", "Marzo", "Abril", "Mayo", "Junio", "Julio", "Agosto", "Septiembre", "Octubre", "Noviembre"}, 0)-MONTH('BD Asesor'!D522), 6)=0),
    AND('BD Asesor'!H522="Anual", MONTH('BD Asesor'!D522)=MATCH($B$2, {"Enero", "Febrero", "Marzo", "Abril", "Mayo", "Junio", "Julio", "Agosto", "Septiembre", "Octubre", "Noviembre"}, 0))
), 'BD Asesor'!L522, "")
</f>
        <v/>
      </c>
    </row>
    <row r="523">
      <c r="C523" s="84" t="str">
        <f t="array" ref="C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Asesor'!A523, "")
</f>
        <v/>
      </c>
      <c r="D523" s="84" t="str">
        <f t="array" ref="D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Asesor'!B523, "")
</f>
        <v/>
      </c>
      <c r="E523" s="212" t="str">
        <f t="array" ref="E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Asesor'!C523, "")
</f>
        <v/>
      </c>
      <c r="F523" s="212" t="str">
        <f t="array" ref="F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Asesor'!D523, "")
</f>
        <v/>
      </c>
      <c r="G523" s="212" t="str">
        <f t="array" ref="G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Asesor'!E523, "")
</f>
        <v/>
      </c>
      <c r="H523" s="84" t="str">
        <f t="array" ref="H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Asesor'!F523, "")
</f>
        <v/>
      </c>
      <c r="I523" s="84" t="str">
        <f t="array" ref="I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Asesor'!G523, "")
</f>
        <v/>
      </c>
      <c r="J523" s="84" t="str">
        <f t="array" ref="J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Asesor'!H523, "")
</f>
        <v/>
      </c>
      <c r="K523" s="84" t="str">
        <f t="array" ref="K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Asesor'!K523, "")
</f>
        <v/>
      </c>
      <c r="L523" s="84" t="str">
        <f t="array" ref="L523">IF(OR(
    AND('BD Asesor'!H523="Mensual", MATCH($B$2, {"Enero", "Febrero", "Marzo", "Abril", "Mayo", "Junio", "Julio", "Agosto", "Septiembre", "Octubre", "Noviembre", "Diciembre"}, 0)&gt;=1),
    AND('BD Asesor'!H523="Trimestral", MOD(MATCH($B$2, {"Enero", "Febrero", "Marzo", "Abril", "Mayo", "Junio", "Julio", "Agosto", "Septiembre", "Octubre", "Noviembre"}, 0)-MONTH('BD Asesor'!D523), 3)=0),
    AND('BD Asesor'!H523="Semestral", MOD(MATCH($B$2, {"Enero", "Febrero", "Marzo", "Abril", "Mayo", "Junio", "Julio", "Agosto", "Septiembre", "Octubre", "Noviembre"}, 0)-MONTH('BD Asesor'!D523), 6)=0),
    AND('BD Asesor'!H523="Anual", MONTH('BD Asesor'!D523)=MATCH($B$2, {"Enero", "Febrero", "Marzo", "Abril", "Mayo", "Junio", "Julio", "Agosto", "Septiembre", "Octubre", "Noviembre"}, 0))
), 'BD Asesor'!L523, "")
</f>
        <v/>
      </c>
    </row>
    <row r="524">
      <c r="C524" s="84" t="str">
        <f t="array" ref="C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Asesor'!A524, "")
</f>
        <v/>
      </c>
      <c r="D524" s="84" t="str">
        <f t="array" ref="D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Asesor'!B524, "")
</f>
        <v/>
      </c>
      <c r="E524" s="212" t="str">
        <f t="array" ref="E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Asesor'!C524, "")
</f>
        <v/>
      </c>
      <c r="F524" s="212" t="str">
        <f t="array" ref="F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Asesor'!D524, "")
</f>
        <v/>
      </c>
      <c r="G524" s="212" t="str">
        <f t="array" ref="G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Asesor'!E524, "")
</f>
        <v/>
      </c>
      <c r="H524" s="84" t="str">
        <f t="array" ref="H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Asesor'!F524, "")
</f>
        <v/>
      </c>
      <c r="I524" s="84" t="str">
        <f t="array" ref="I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Asesor'!G524, "")
</f>
        <v/>
      </c>
      <c r="J524" s="84" t="str">
        <f t="array" ref="J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Asesor'!H524, "")
</f>
        <v/>
      </c>
      <c r="K524" s="84" t="str">
        <f t="array" ref="K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Asesor'!K524, "")
</f>
        <v/>
      </c>
      <c r="L524" s="84" t="str">
        <f t="array" ref="L524">IF(OR(
    AND('BD Asesor'!H524="Mensual", MATCH($B$2, {"Enero", "Febrero", "Marzo", "Abril", "Mayo", "Junio", "Julio", "Agosto", "Septiembre", "Octubre", "Noviembre", "Diciembre"}, 0)&gt;=1),
    AND('BD Asesor'!H524="Trimestral", MOD(MATCH($B$2, {"Enero", "Febrero", "Marzo", "Abril", "Mayo", "Junio", "Julio", "Agosto", "Septiembre", "Octubre", "Noviembre"}, 0)-MONTH('BD Asesor'!D524), 3)=0),
    AND('BD Asesor'!H524="Semestral", MOD(MATCH($B$2, {"Enero", "Febrero", "Marzo", "Abril", "Mayo", "Junio", "Julio", "Agosto", "Septiembre", "Octubre", "Noviembre"}, 0)-MONTH('BD Asesor'!D524), 6)=0),
    AND('BD Asesor'!H524="Anual", MONTH('BD Asesor'!D524)=MATCH($B$2, {"Enero", "Febrero", "Marzo", "Abril", "Mayo", "Junio", "Julio", "Agosto", "Septiembre", "Octubre", "Noviembre"}, 0))
), 'BD Asesor'!L524, "")
</f>
        <v/>
      </c>
    </row>
    <row r="525">
      <c r="C525" s="84" t="str">
        <f t="array" ref="C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Asesor'!A525, "")
</f>
        <v/>
      </c>
      <c r="D525" s="84" t="str">
        <f t="array" ref="D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Asesor'!B525, "")
</f>
        <v/>
      </c>
      <c r="E525" s="212" t="str">
        <f t="array" ref="E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Asesor'!C525, "")
</f>
        <v/>
      </c>
      <c r="F525" s="212" t="str">
        <f t="array" ref="F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Asesor'!D525, "")
</f>
        <v/>
      </c>
      <c r="G525" s="212" t="str">
        <f t="array" ref="G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Asesor'!E525, "")
</f>
        <v/>
      </c>
      <c r="H525" s="84" t="str">
        <f t="array" ref="H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Asesor'!F525, "")
</f>
        <v/>
      </c>
      <c r="I525" s="84" t="str">
        <f t="array" ref="I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Asesor'!G525, "")
</f>
        <v/>
      </c>
      <c r="J525" s="84" t="str">
        <f t="array" ref="J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Asesor'!H525, "")
</f>
        <v/>
      </c>
      <c r="K525" s="84" t="str">
        <f t="array" ref="K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Asesor'!K525, "")
</f>
        <v/>
      </c>
      <c r="L525" s="84" t="str">
        <f t="array" ref="L525">IF(OR(
    AND('BD Asesor'!H525="Mensual", MATCH($B$2, {"Enero", "Febrero", "Marzo", "Abril", "Mayo", "Junio", "Julio", "Agosto", "Septiembre", "Octubre", "Noviembre", "Diciembre"}, 0)&gt;=1),
    AND('BD Asesor'!H525="Trimestral", MOD(MATCH($B$2, {"Enero", "Febrero", "Marzo", "Abril", "Mayo", "Junio", "Julio", "Agosto", "Septiembre", "Octubre", "Noviembre"}, 0)-MONTH('BD Asesor'!D525), 3)=0),
    AND('BD Asesor'!H525="Semestral", MOD(MATCH($B$2, {"Enero", "Febrero", "Marzo", "Abril", "Mayo", "Junio", "Julio", "Agosto", "Septiembre", "Octubre", "Noviembre"}, 0)-MONTH('BD Asesor'!D525), 6)=0),
    AND('BD Asesor'!H525="Anual", MONTH('BD Asesor'!D525)=MATCH($B$2, {"Enero", "Febrero", "Marzo", "Abril", "Mayo", "Junio", "Julio", "Agosto", "Septiembre", "Octubre", "Noviembre"}, 0))
), 'BD Asesor'!L525, "")
</f>
        <v/>
      </c>
    </row>
    <row r="526">
      <c r="C526" s="84" t="str">
        <f t="array" ref="C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Asesor'!A526, "")
</f>
        <v/>
      </c>
      <c r="D526" s="84" t="str">
        <f t="array" ref="D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Asesor'!B526, "")
</f>
        <v/>
      </c>
      <c r="E526" s="212" t="str">
        <f t="array" ref="E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Asesor'!C526, "")
</f>
        <v/>
      </c>
      <c r="F526" s="212" t="str">
        <f t="array" ref="F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Asesor'!D526, "")
</f>
        <v/>
      </c>
      <c r="G526" s="212" t="str">
        <f t="array" ref="G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Asesor'!E526, "")
</f>
        <v/>
      </c>
      <c r="H526" s="84" t="str">
        <f t="array" ref="H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Asesor'!F526, "")
</f>
        <v/>
      </c>
      <c r="I526" s="84" t="str">
        <f t="array" ref="I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Asesor'!G526, "")
</f>
        <v/>
      </c>
      <c r="J526" s="84" t="str">
        <f t="array" ref="J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Asesor'!H526, "")
</f>
        <v/>
      </c>
      <c r="K526" s="84" t="str">
        <f t="array" ref="K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Asesor'!K526, "")
</f>
        <v/>
      </c>
      <c r="L526" s="84" t="str">
        <f t="array" ref="L526">IF(OR(
    AND('BD Asesor'!H526="Mensual", MATCH($B$2, {"Enero", "Febrero", "Marzo", "Abril", "Mayo", "Junio", "Julio", "Agosto", "Septiembre", "Octubre", "Noviembre", "Diciembre"}, 0)&gt;=1),
    AND('BD Asesor'!H526="Trimestral", MOD(MATCH($B$2, {"Enero", "Febrero", "Marzo", "Abril", "Mayo", "Junio", "Julio", "Agosto", "Septiembre", "Octubre", "Noviembre"}, 0)-MONTH('BD Asesor'!D526), 3)=0),
    AND('BD Asesor'!H526="Semestral", MOD(MATCH($B$2, {"Enero", "Febrero", "Marzo", "Abril", "Mayo", "Junio", "Julio", "Agosto", "Septiembre", "Octubre", "Noviembre"}, 0)-MONTH('BD Asesor'!D526), 6)=0),
    AND('BD Asesor'!H526="Anual", MONTH('BD Asesor'!D526)=MATCH($B$2, {"Enero", "Febrero", "Marzo", "Abril", "Mayo", "Junio", "Julio", "Agosto", "Septiembre", "Octubre", "Noviembre"}, 0))
), 'BD Asesor'!L526, "")
</f>
        <v/>
      </c>
    </row>
    <row r="527">
      <c r="C527" s="84" t="str">
        <f t="array" ref="C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Asesor'!A527, "")
</f>
        <v/>
      </c>
      <c r="D527" s="84" t="str">
        <f t="array" ref="D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Asesor'!B527, "")
</f>
        <v/>
      </c>
      <c r="E527" s="212" t="str">
        <f t="array" ref="E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Asesor'!C527, "")
</f>
        <v/>
      </c>
      <c r="F527" s="212" t="str">
        <f t="array" ref="F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Asesor'!D527, "")
</f>
        <v/>
      </c>
      <c r="G527" s="212" t="str">
        <f t="array" ref="G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Asesor'!E527, "")
</f>
        <v/>
      </c>
      <c r="H527" s="84" t="str">
        <f t="array" ref="H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Asesor'!F527, "")
</f>
        <v/>
      </c>
      <c r="I527" s="84" t="str">
        <f t="array" ref="I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Asesor'!G527, "")
</f>
        <v/>
      </c>
      <c r="J527" s="84" t="str">
        <f t="array" ref="J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Asesor'!H527, "")
</f>
        <v/>
      </c>
      <c r="K527" s="84" t="str">
        <f t="array" ref="K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Asesor'!K527, "")
</f>
        <v/>
      </c>
      <c r="L527" s="84" t="str">
        <f t="array" ref="L527">IF(OR(
    AND('BD Asesor'!H527="Mensual", MATCH($B$2, {"Enero", "Febrero", "Marzo", "Abril", "Mayo", "Junio", "Julio", "Agosto", "Septiembre", "Octubre", "Noviembre", "Diciembre"}, 0)&gt;=1),
    AND('BD Asesor'!H527="Trimestral", MOD(MATCH($B$2, {"Enero", "Febrero", "Marzo", "Abril", "Mayo", "Junio", "Julio", "Agosto", "Septiembre", "Octubre", "Noviembre"}, 0)-MONTH('BD Asesor'!D527), 3)=0),
    AND('BD Asesor'!H527="Semestral", MOD(MATCH($B$2, {"Enero", "Febrero", "Marzo", "Abril", "Mayo", "Junio", "Julio", "Agosto", "Septiembre", "Octubre", "Noviembre"}, 0)-MONTH('BD Asesor'!D527), 6)=0),
    AND('BD Asesor'!H527="Anual", MONTH('BD Asesor'!D527)=MATCH($B$2, {"Enero", "Febrero", "Marzo", "Abril", "Mayo", "Junio", "Julio", "Agosto", "Septiembre", "Octubre", "Noviembre"}, 0))
), 'BD Asesor'!L527, "")
</f>
        <v/>
      </c>
    </row>
    <row r="528">
      <c r="C528" s="84" t="str">
        <f t="array" ref="C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Asesor'!A528, "")
</f>
        <v/>
      </c>
      <c r="D528" s="84" t="str">
        <f t="array" ref="D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Asesor'!B528, "")
</f>
        <v/>
      </c>
      <c r="E528" s="212" t="str">
        <f t="array" ref="E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Asesor'!C528, "")
</f>
        <v/>
      </c>
      <c r="F528" s="212" t="str">
        <f t="array" ref="F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Asesor'!D528, "")
</f>
        <v/>
      </c>
      <c r="G528" s="212" t="str">
        <f t="array" ref="G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Asesor'!E528, "")
</f>
        <v/>
      </c>
      <c r="H528" s="84" t="str">
        <f t="array" ref="H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Asesor'!F528, "")
</f>
        <v/>
      </c>
      <c r="I528" s="84" t="str">
        <f t="array" ref="I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Asesor'!G528, "")
</f>
        <v/>
      </c>
      <c r="J528" s="84" t="str">
        <f t="array" ref="J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Asesor'!H528, "")
</f>
        <v/>
      </c>
      <c r="K528" s="84" t="str">
        <f t="array" ref="K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Asesor'!K528, "")
</f>
        <v/>
      </c>
      <c r="L528" s="84" t="str">
        <f t="array" ref="L528">IF(OR(
    AND('BD Asesor'!H528="Mensual", MATCH($B$2, {"Enero", "Febrero", "Marzo", "Abril", "Mayo", "Junio", "Julio", "Agosto", "Septiembre", "Octubre", "Noviembre", "Diciembre"}, 0)&gt;=1),
    AND('BD Asesor'!H528="Trimestral", MOD(MATCH($B$2, {"Enero", "Febrero", "Marzo", "Abril", "Mayo", "Junio", "Julio", "Agosto", "Septiembre", "Octubre", "Noviembre"}, 0)-MONTH('BD Asesor'!D528), 3)=0),
    AND('BD Asesor'!H528="Semestral", MOD(MATCH($B$2, {"Enero", "Febrero", "Marzo", "Abril", "Mayo", "Junio", "Julio", "Agosto", "Septiembre", "Octubre", "Noviembre"}, 0)-MONTH('BD Asesor'!D528), 6)=0),
    AND('BD Asesor'!H528="Anual", MONTH('BD Asesor'!D528)=MATCH($B$2, {"Enero", "Febrero", "Marzo", "Abril", "Mayo", "Junio", "Julio", "Agosto", "Septiembre", "Octubre", "Noviembre"}, 0))
), 'BD Asesor'!L528, "")
</f>
        <v/>
      </c>
    </row>
    <row r="529">
      <c r="C529" s="84" t="str">
        <f t="array" ref="C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Asesor'!A529, "")
</f>
        <v/>
      </c>
      <c r="D529" s="84" t="str">
        <f t="array" ref="D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Asesor'!B529, "")
</f>
        <v/>
      </c>
      <c r="E529" s="212" t="str">
        <f t="array" ref="E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Asesor'!C529, "")
</f>
        <v/>
      </c>
      <c r="F529" s="212" t="str">
        <f t="array" ref="F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Asesor'!D529, "")
</f>
        <v/>
      </c>
      <c r="G529" s="212" t="str">
        <f t="array" ref="G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Asesor'!E529, "")
</f>
        <v/>
      </c>
      <c r="H529" s="84" t="str">
        <f t="array" ref="H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Asesor'!F529, "")
</f>
        <v/>
      </c>
      <c r="I529" s="84" t="str">
        <f t="array" ref="I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Asesor'!G529, "")
</f>
        <v/>
      </c>
      <c r="J529" s="84" t="str">
        <f t="array" ref="J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Asesor'!H529, "")
</f>
        <v/>
      </c>
      <c r="K529" s="84" t="str">
        <f t="array" ref="K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Asesor'!K529, "")
</f>
        <v/>
      </c>
      <c r="L529" s="84" t="str">
        <f t="array" ref="L529">IF(OR(
    AND('BD Asesor'!H529="Mensual", MATCH($B$2, {"Enero", "Febrero", "Marzo", "Abril", "Mayo", "Junio", "Julio", "Agosto", "Septiembre", "Octubre", "Noviembre", "Diciembre"}, 0)&gt;=1),
    AND('BD Asesor'!H529="Trimestral", MOD(MATCH($B$2, {"Enero", "Febrero", "Marzo", "Abril", "Mayo", "Junio", "Julio", "Agosto", "Septiembre", "Octubre", "Noviembre"}, 0)-MONTH('BD Asesor'!D529), 3)=0),
    AND('BD Asesor'!H529="Semestral", MOD(MATCH($B$2, {"Enero", "Febrero", "Marzo", "Abril", "Mayo", "Junio", "Julio", "Agosto", "Septiembre", "Octubre", "Noviembre"}, 0)-MONTH('BD Asesor'!D529), 6)=0),
    AND('BD Asesor'!H529="Anual", MONTH('BD Asesor'!D529)=MATCH($B$2, {"Enero", "Febrero", "Marzo", "Abril", "Mayo", "Junio", "Julio", "Agosto", "Septiembre", "Octubre", "Noviembre"}, 0))
), 'BD Asesor'!L529, "")
</f>
        <v/>
      </c>
    </row>
    <row r="530">
      <c r="C530" s="84" t="str">
        <f t="array" ref="C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Asesor'!A530, "")
</f>
        <v/>
      </c>
      <c r="D530" s="84" t="str">
        <f t="array" ref="D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Asesor'!B530, "")
</f>
        <v/>
      </c>
      <c r="E530" s="212" t="str">
        <f t="array" ref="E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Asesor'!C530, "")
</f>
        <v/>
      </c>
      <c r="F530" s="212" t="str">
        <f t="array" ref="F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Asesor'!D530, "")
</f>
        <v/>
      </c>
      <c r="G530" s="212" t="str">
        <f t="array" ref="G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Asesor'!E530, "")
</f>
        <v/>
      </c>
      <c r="H530" s="84" t="str">
        <f t="array" ref="H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Asesor'!F530, "")
</f>
        <v/>
      </c>
      <c r="I530" s="84" t="str">
        <f t="array" ref="I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Asesor'!G530, "")
</f>
        <v/>
      </c>
      <c r="J530" s="84" t="str">
        <f t="array" ref="J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Asesor'!H530, "")
</f>
        <v/>
      </c>
      <c r="K530" s="84" t="str">
        <f t="array" ref="K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Asesor'!K530, "")
</f>
        <v/>
      </c>
      <c r="L530" s="84" t="str">
        <f t="array" ref="L530">IF(OR(
    AND('BD Asesor'!H530="Mensual", MATCH($B$2, {"Enero", "Febrero", "Marzo", "Abril", "Mayo", "Junio", "Julio", "Agosto", "Septiembre", "Octubre", "Noviembre", "Diciembre"}, 0)&gt;=1),
    AND('BD Asesor'!H530="Trimestral", MOD(MATCH($B$2, {"Enero", "Febrero", "Marzo", "Abril", "Mayo", "Junio", "Julio", "Agosto", "Septiembre", "Octubre", "Noviembre"}, 0)-MONTH('BD Asesor'!D530), 3)=0),
    AND('BD Asesor'!H530="Semestral", MOD(MATCH($B$2, {"Enero", "Febrero", "Marzo", "Abril", "Mayo", "Junio", "Julio", "Agosto", "Septiembre", "Octubre", "Noviembre"}, 0)-MONTH('BD Asesor'!D530), 6)=0),
    AND('BD Asesor'!H530="Anual", MONTH('BD Asesor'!D530)=MATCH($B$2, {"Enero", "Febrero", "Marzo", "Abril", "Mayo", "Junio", "Julio", "Agosto", "Septiembre", "Octubre", "Noviembre"}, 0))
), 'BD Asesor'!L530, "")
</f>
        <v/>
      </c>
    </row>
    <row r="531">
      <c r="C531" s="84" t="str">
        <f t="array" ref="C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Asesor'!A531, "")
</f>
        <v/>
      </c>
      <c r="D531" s="84" t="str">
        <f t="array" ref="D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Asesor'!B531, "")
</f>
        <v/>
      </c>
      <c r="E531" s="212" t="str">
        <f t="array" ref="E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Asesor'!C531, "")
</f>
        <v/>
      </c>
      <c r="F531" s="212" t="str">
        <f t="array" ref="F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Asesor'!D531, "")
</f>
        <v/>
      </c>
      <c r="G531" s="212" t="str">
        <f t="array" ref="G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Asesor'!E531, "")
</f>
        <v/>
      </c>
      <c r="H531" s="84" t="str">
        <f t="array" ref="H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Asesor'!F531, "")
</f>
        <v/>
      </c>
      <c r="I531" s="84" t="str">
        <f t="array" ref="I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Asesor'!G531, "")
</f>
        <v/>
      </c>
      <c r="J531" s="84" t="str">
        <f t="array" ref="J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Asesor'!H531, "")
</f>
        <v/>
      </c>
      <c r="K531" s="84" t="str">
        <f t="array" ref="K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Asesor'!K531, "")
</f>
        <v/>
      </c>
      <c r="L531" s="84" t="str">
        <f t="array" ref="L531">IF(OR(
    AND('BD Asesor'!H531="Mensual", MATCH($B$2, {"Enero", "Febrero", "Marzo", "Abril", "Mayo", "Junio", "Julio", "Agosto", "Septiembre", "Octubre", "Noviembre", "Diciembre"}, 0)&gt;=1),
    AND('BD Asesor'!H531="Trimestral", MOD(MATCH($B$2, {"Enero", "Febrero", "Marzo", "Abril", "Mayo", "Junio", "Julio", "Agosto", "Septiembre", "Octubre", "Noviembre"}, 0)-MONTH('BD Asesor'!D531), 3)=0),
    AND('BD Asesor'!H531="Semestral", MOD(MATCH($B$2, {"Enero", "Febrero", "Marzo", "Abril", "Mayo", "Junio", "Julio", "Agosto", "Septiembre", "Octubre", "Noviembre"}, 0)-MONTH('BD Asesor'!D531), 6)=0),
    AND('BD Asesor'!H531="Anual", MONTH('BD Asesor'!D531)=MATCH($B$2, {"Enero", "Febrero", "Marzo", "Abril", "Mayo", "Junio", "Julio", "Agosto", "Septiembre", "Octubre", "Noviembre"}, 0))
), 'BD Asesor'!L531, "")
</f>
        <v/>
      </c>
    </row>
    <row r="532">
      <c r="C532" s="84" t="str">
        <f t="array" ref="C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Asesor'!A532, "")
</f>
        <v/>
      </c>
      <c r="D532" s="84" t="str">
        <f t="array" ref="D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Asesor'!B532, "")
</f>
        <v/>
      </c>
      <c r="E532" s="212" t="str">
        <f t="array" ref="E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Asesor'!C532, "")
</f>
        <v/>
      </c>
      <c r="F532" s="212" t="str">
        <f t="array" ref="F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Asesor'!D532, "")
</f>
        <v/>
      </c>
      <c r="G532" s="212" t="str">
        <f t="array" ref="G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Asesor'!E532, "")
</f>
        <v/>
      </c>
      <c r="H532" s="84" t="str">
        <f t="array" ref="H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Asesor'!F532, "")
</f>
        <v/>
      </c>
      <c r="I532" s="84" t="str">
        <f t="array" ref="I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Asesor'!G532, "")
</f>
        <v/>
      </c>
      <c r="J532" s="84" t="str">
        <f t="array" ref="J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Asesor'!H532, "")
</f>
        <v/>
      </c>
      <c r="K532" s="84" t="str">
        <f t="array" ref="K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Asesor'!K532, "")
</f>
        <v/>
      </c>
      <c r="L532" s="84" t="str">
        <f t="array" ref="L532">IF(OR(
    AND('BD Asesor'!H532="Mensual", MATCH($B$2, {"Enero", "Febrero", "Marzo", "Abril", "Mayo", "Junio", "Julio", "Agosto", "Septiembre", "Octubre", "Noviembre", "Diciembre"}, 0)&gt;=1),
    AND('BD Asesor'!H532="Trimestral", MOD(MATCH($B$2, {"Enero", "Febrero", "Marzo", "Abril", "Mayo", "Junio", "Julio", "Agosto", "Septiembre", "Octubre", "Noviembre"}, 0)-MONTH('BD Asesor'!D532), 3)=0),
    AND('BD Asesor'!H532="Semestral", MOD(MATCH($B$2, {"Enero", "Febrero", "Marzo", "Abril", "Mayo", "Junio", "Julio", "Agosto", "Septiembre", "Octubre", "Noviembre"}, 0)-MONTH('BD Asesor'!D532), 6)=0),
    AND('BD Asesor'!H532="Anual", MONTH('BD Asesor'!D532)=MATCH($B$2, {"Enero", "Febrero", "Marzo", "Abril", "Mayo", "Junio", "Julio", "Agosto", "Septiembre", "Octubre", "Noviembre"}, 0))
), 'BD Asesor'!L532, "")
</f>
        <v/>
      </c>
    </row>
    <row r="533">
      <c r="C533" s="84" t="str">
        <f t="array" ref="C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Asesor'!A533, "")
</f>
        <v/>
      </c>
      <c r="D533" s="84" t="str">
        <f t="array" ref="D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Asesor'!B533, "")
</f>
        <v/>
      </c>
      <c r="E533" s="212" t="str">
        <f t="array" ref="E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Asesor'!C533, "")
</f>
        <v/>
      </c>
      <c r="F533" s="212" t="str">
        <f t="array" ref="F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Asesor'!D533, "")
</f>
        <v/>
      </c>
      <c r="G533" s="212" t="str">
        <f t="array" ref="G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Asesor'!E533, "")
</f>
        <v/>
      </c>
      <c r="H533" s="84" t="str">
        <f t="array" ref="H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Asesor'!F533, "")
</f>
        <v/>
      </c>
      <c r="I533" s="84" t="str">
        <f t="array" ref="I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Asesor'!G533, "")
</f>
        <v/>
      </c>
      <c r="J533" s="84" t="str">
        <f t="array" ref="J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Asesor'!H533, "")
</f>
        <v/>
      </c>
      <c r="K533" s="84" t="str">
        <f t="array" ref="K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Asesor'!K533, "")
</f>
        <v/>
      </c>
      <c r="L533" s="84" t="str">
        <f t="array" ref="L533">IF(OR(
    AND('BD Asesor'!H533="Mensual", MATCH($B$2, {"Enero", "Febrero", "Marzo", "Abril", "Mayo", "Junio", "Julio", "Agosto", "Septiembre", "Octubre", "Noviembre", "Diciembre"}, 0)&gt;=1),
    AND('BD Asesor'!H533="Trimestral", MOD(MATCH($B$2, {"Enero", "Febrero", "Marzo", "Abril", "Mayo", "Junio", "Julio", "Agosto", "Septiembre", "Octubre", "Noviembre"}, 0)-MONTH('BD Asesor'!D533), 3)=0),
    AND('BD Asesor'!H533="Semestral", MOD(MATCH($B$2, {"Enero", "Febrero", "Marzo", "Abril", "Mayo", "Junio", "Julio", "Agosto", "Septiembre", "Octubre", "Noviembre"}, 0)-MONTH('BD Asesor'!D533), 6)=0),
    AND('BD Asesor'!H533="Anual", MONTH('BD Asesor'!D533)=MATCH($B$2, {"Enero", "Febrero", "Marzo", "Abril", "Mayo", "Junio", "Julio", "Agosto", "Septiembre", "Octubre", "Noviembre"}, 0))
), 'BD Asesor'!L533, "")
</f>
        <v/>
      </c>
    </row>
    <row r="534">
      <c r="C534" s="84" t="str">
        <f t="array" ref="C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Asesor'!A534, "")
</f>
        <v/>
      </c>
      <c r="D534" s="84" t="str">
        <f t="array" ref="D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Asesor'!B534, "")
</f>
        <v/>
      </c>
      <c r="E534" s="212" t="str">
        <f t="array" ref="E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Asesor'!C534, "")
</f>
        <v/>
      </c>
      <c r="F534" s="212" t="str">
        <f t="array" ref="F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Asesor'!D534, "")
</f>
        <v/>
      </c>
      <c r="G534" s="212" t="str">
        <f t="array" ref="G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Asesor'!E534, "")
</f>
        <v/>
      </c>
      <c r="H534" s="84" t="str">
        <f t="array" ref="H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Asesor'!F534, "")
</f>
        <v/>
      </c>
      <c r="I534" s="84" t="str">
        <f t="array" ref="I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Asesor'!G534, "")
</f>
        <v/>
      </c>
      <c r="J534" s="84" t="str">
        <f t="array" ref="J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Asesor'!H534, "")
</f>
        <v/>
      </c>
      <c r="K534" s="84" t="str">
        <f t="array" ref="K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Asesor'!K534, "")
</f>
        <v/>
      </c>
      <c r="L534" s="84" t="str">
        <f t="array" ref="L534">IF(OR(
    AND('BD Asesor'!H534="Mensual", MATCH($B$2, {"Enero", "Febrero", "Marzo", "Abril", "Mayo", "Junio", "Julio", "Agosto", "Septiembre", "Octubre", "Noviembre", "Diciembre"}, 0)&gt;=1),
    AND('BD Asesor'!H534="Trimestral", MOD(MATCH($B$2, {"Enero", "Febrero", "Marzo", "Abril", "Mayo", "Junio", "Julio", "Agosto", "Septiembre", "Octubre", "Noviembre"}, 0)-MONTH('BD Asesor'!D534), 3)=0),
    AND('BD Asesor'!H534="Semestral", MOD(MATCH($B$2, {"Enero", "Febrero", "Marzo", "Abril", "Mayo", "Junio", "Julio", "Agosto", "Septiembre", "Octubre", "Noviembre"}, 0)-MONTH('BD Asesor'!D534), 6)=0),
    AND('BD Asesor'!H534="Anual", MONTH('BD Asesor'!D534)=MATCH($B$2, {"Enero", "Febrero", "Marzo", "Abril", "Mayo", "Junio", "Julio", "Agosto", "Septiembre", "Octubre", "Noviembre"}, 0))
), 'BD Asesor'!L534, "")
</f>
        <v/>
      </c>
    </row>
    <row r="535">
      <c r="C535" s="84" t="str">
        <f t="array" ref="C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Asesor'!A535, "")
</f>
        <v/>
      </c>
      <c r="D535" s="84" t="str">
        <f t="array" ref="D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Asesor'!B535, "")
</f>
        <v/>
      </c>
      <c r="E535" s="212" t="str">
        <f t="array" ref="E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Asesor'!C535, "")
</f>
        <v/>
      </c>
      <c r="F535" s="212" t="str">
        <f t="array" ref="F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Asesor'!D535, "")
</f>
        <v/>
      </c>
      <c r="G535" s="212" t="str">
        <f t="array" ref="G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Asesor'!E535, "")
</f>
        <v/>
      </c>
      <c r="H535" s="84" t="str">
        <f t="array" ref="H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Asesor'!F535, "")
</f>
        <v/>
      </c>
      <c r="I535" s="84" t="str">
        <f t="array" ref="I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Asesor'!G535, "")
</f>
        <v/>
      </c>
      <c r="J535" s="84" t="str">
        <f t="array" ref="J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Asesor'!H535, "")
</f>
        <v/>
      </c>
      <c r="K535" s="84" t="str">
        <f t="array" ref="K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Asesor'!K535, "")
</f>
        <v/>
      </c>
      <c r="L535" s="84" t="str">
        <f t="array" ref="L535">IF(OR(
    AND('BD Asesor'!H535="Mensual", MATCH($B$2, {"Enero", "Febrero", "Marzo", "Abril", "Mayo", "Junio", "Julio", "Agosto", "Septiembre", "Octubre", "Noviembre", "Diciembre"}, 0)&gt;=1),
    AND('BD Asesor'!H535="Trimestral", MOD(MATCH($B$2, {"Enero", "Febrero", "Marzo", "Abril", "Mayo", "Junio", "Julio", "Agosto", "Septiembre", "Octubre", "Noviembre"}, 0)-MONTH('BD Asesor'!D535), 3)=0),
    AND('BD Asesor'!H535="Semestral", MOD(MATCH($B$2, {"Enero", "Febrero", "Marzo", "Abril", "Mayo", "Junio", "Julio", "Agosto", "Septiembre", "Octubre", "Noviembre"}, 0)-MONTH('BD Asesor'!D535), 6)=0),
    AND('BD Asesor'!H535="Anual", MONTH('BD Asesor'!D535)=MATCH($B$2, {"Enero", "Febrero", "Marzo", "Abril", "Mayo", "Junio", "Julio", "Agosto", "Septiembre", "Octubre", "Noviembre"}, 0))
), 'BD Asesor'!L535, "")
</f>
        <v/>
      </c>
    </row>
    <row r="536">
      <c r="C536" s="84" t="str">
        <f t="array" ref="C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Asesor'!A536, "")
</f>
        <v/>
      </c>
      <c r="D536" s="84" t="str">
        <f t="array" ref="D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Asesor'!B536, "")
</f>
        <v/>
      </c>
      <c r="E536" s="212" t="str">
        <f t="array" ref="E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Asesor'!C536, "")
</f>
        <v/>
      </c>
      <c r="F536" s="212" t="str">
        <f t="array" ref="F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Asesor'!D536, "")
</f>
        <v/>
      </c>
      <c r="G536" s="212" t="str">
        <f t="array" ref="G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Asesor'!E536, "")
</f>
        <v/>
      </c>
      <c r="H536" s="84" t="str">
        <f t="array" ref="H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Asesor'!F536, "")
</f>
        <v/>
      </c>
      <c r="I536" s="84" t="str">
        <f t="array" ref="I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Asesor'!G536, "")
</f>
        <v/>
      </c>
      <c r="J536" s="84" t="str">
        <f t="array" ref="J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Asesor'!H536, "")
</f>
        <v/>
      </c>
      <c r="K536" s="84" t="str">
        <f t="array" ref="K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Asesor'!K536, "")
</f>
        <v/>
      </c>
      <c r="L536" s="84" t="str">
        <f t="array" ref="L536">IF(OR(
    AND('BD Asesor'!H536="Mensual", MATCH($B$2, {"Enero", "Febrero", "Marzo", "Abril", "Mayo", "Junio", "Julio", "Agosto", "Septiembre", "Octubre", "Noviembre", "Diciembre"}, 0)&gt;=1),
    AND('BD Asesor'!H536="Trimestral", MOD(MATCH($B$2, {"Enero", "Febrero", "Marzo", "Abril", "Mayo", "Junio", "Julio", "Agosto", "Septiembre", "Octubre", "Noviembre"}, 0)-MONTH('BD Asesor'!D536), 3)=0),
    AND('BD Asesor'!H536="Semestral", MOD(MATCH($B$2, {"Enero", "Febrero", "Marzo", "Abril", "Mayo", "Junio", "Julio", "Agosto", "Septiembre", "Octubre", "Noviembre"}, 0)-MONTH('BD Asesor'!D536), 6)=0),
    AND('BD Asesor'!H536="Anual", MONTH('BD Asesor'!D536)=MATCH($B$2, {"Enero", "Febrero", "Marzo", "Abril", "Mayo", "Junio", "Julio", "Agosto", "Septiembre", "Octubre", "Noviembre"}, 0))
), 'BD Asesor'!L536, "")
</f>
        <v/>
      </c>
    </row>
    <row r="537">
      <c r="C537" s="84" t="str">
        <f t="array" ref="C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Asesor'!A537, "")
</f>
        <v/>
      </c>
      <c r="D537" s="84" t="str">
        <f t="array" ref="D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Asesor'!B537, "")
</f>
        <v/>
      </c>
      <c r="E537" s="212" t="str">
        <f t="array" ref="E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Asesor'!C537, "")
</f>
        <v/>
      </c>
      <c r="F537" s="212" t="str">
        <f t="array" ref="F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Asesor'!D537, "")
</f>
        <v/>
      </c>
      <c r="G537" s="212" t="str">
        <f t="array" ref="G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Asesor'!E537, "")
</f>
        <v/>
      </c>
      <c r="H537" s="84" t="str">
        <f t="array" ref="H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Asesor'!F537, "")
</f>
        <v/>
      </c>
      <c r="I537" s="84" t="str">
        <f t="array" ref="I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Asesor'!G537, "")
</f>
        <v/>
      </c>
      <c r="J537" s="84" t="str">
        <f t="array" ref="J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Asesor'!H537, "")
</f>
        <v/>
      </c>
      <c r="K537" s="84" t="str">
        <f t="array" ref="K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Asesor'!K537, "")
</f>
        <v/>
      </c>
      <c r="L537" s="84" t="str">
        <f t="array" ref="L537">IF(OR(
    AND('BD Asesor'!H537="Mensual", MATCH($B$2, {"Enero", "Febrero", "Marzo", "Abril", "Mayo", "Junio", "Julio", "Agosto", "Septiembre", "Octubre", "Noviembre", "Diciembre"}, 0)&gt;=1),
    AND('BD Asesor'!H537="Trimestral", MOD(MATCH($B$2, {"Enero", "Febrero", "Marzo", "Abril", "Mayo", "Junio", "Julio", "Agosto", "Septiembre", "Octubre", "Noviembre"}, 0)-MONTH('BD Asesor'!D537), 3)=0),
    AND('BD Asesor'!H537="Semestral", MOD(MATCH($B$2, {"Enero", "Febrero", "Marzo", "Abril", "Mayo", "Junio", "Julio", "Agosto", "Septiembre", "Octubre", "Noviembre"}, 0)-MONTH('BD Asesor'!D537), 6)=0),
    AND('BD Asesor'!H537="Anual", MONTH('BD Asesor'!D537)=MATCH($B$2, {"Enero", "Febrero", "Marzo", "Abril", "Mayo", "Junio", "Julio", "Agosto", "Septiembre", "Octubre", "Noviembre"}, 0))
), 'BD Asesor'!L537, "")
</f>
        <v/>
      </c>
    </row>
    <row r="538">
      <c r="C538" s="84" t="str">
        <f t="array" ref="C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Asesor'!A538, "")
</f>
        <v/>
      </c>
      <c r="D538" s="84" t="str">
        <f t="array" ref="D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Asesor'!B538, "")
</f>
        <v/>
      </c>
      <c r="E538" s="212" t="str">
        <f t="array" ref="E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Asesor'!C538, "")
</f>
        <v/>
      </c>
      <c r="F538" s="212" t="str">
        <f t="array" ref="F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Asesor'!D538, "")
</f>
        <v/>
      </c>
      <c r="G538" s="212" t="str">
        <f t="array" ref="G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Asesor'!E538, "")
</f>
        <v/>
      </c>
      <c r="H538" s="84" t="str">
        <f t="array" ref="H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Asesor'!F538, "")
</f>
        <v/>
      </c>
      <c r="I538" s="84" t="str">
        <f t="array" ref="I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Asesor'!G538, "")
</f>
        <v/>
      </c>
      <c r="J538" s="84" t="str">
        <f t="array" ref="J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Asesor'!H538, "")
</f>
        <v/>
      </c>
      <c r="K538" s="84" t="str">
        <f t="array" ref="K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Asesor'!K538, "")
</f>
        <v/>
      </c>
      <c r="L538" s="84" t="str">
        <f t="array" ref="L538">IF(OR(
    AND('BD Asesor'!H538="Mensual", MATCH($B$2, {"Enero", "Febrero", "Marzo", "Abril", "Mayo", "Junio", "Julio", "Agosto", "Septiembre", "Octubre", "Noviembre", "Diciembre"}, 0)&gt;=1),
    AND('BD Asesor'!H538="Trimestral", MOD(MATCH($B$2, {"Enero", "Febrero", "Marzo", "Abril", "Mayo", "Junio", "Julio", "Agosto", "Septiembre", "Octubre", "Noviembre"}, 0)-MONTH('BD Asesor'!D538), 3)=0),
    AND('BD Asesor'!H538="Semestral", MOD(MATCH($B$2, {"Enero", "Febrero", "Marzo", "Abril", "Mayo", "Junio", "Julio", "Agosto", "Septiembre", "Octubre", "Noviembre"}, 0)-MONTH('BD Asesor'!D538), 6)=0),
    AND('BD Asesor'!H538="Anual", MONTH('BD Asesor'!D538)=MATCH($B$2, {"Enero", "Febrero", "Marzo", "Abril", "Mayo", "Junio", "Julio", "Agosto", "Septiembre", "Octubre", "Noviembre"}, 0))
), 'BD Asesor'!L538, "")
</f>
        <v/>
      </c>
    </row>
    <row r="539">
      <c r="C539" s="84" t="str">
        <f t="array" ref="C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Asesor'!A539, "")
</f>
        <v/>
      </c>
      <c r="D539" s="84" t="str">
        <f t="array" ref="D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Asesor'!B539, "")
</f>
        <v/>
      </c>
      <c r="E539" s="212" t="str">
        <f t="array" ref="E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Asesor'!C539, "")
</f>
        <v/>
      </c>
      <c r="F539" s="212" t="str">
        <f t="array" ref="F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Asesor'!D539, "")
</f>
        <v/>
      </c>
      <c r="G539" s="212" t="str">
        <f t="array" ref="G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Asesor'!E539, "")
</f>
        <v/>
      </c>
      <c r="H539" s="84" t="str">
        <f t="array" ref="H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Asesor'!F539, "")
</f>
        <v/>
      </c>
      <c r="I539" s="84" t="str">
        <f t="array" ref="I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Asesor'!G539, "")
</f>
        <v/>
      </c>
      <c r="J539" s="84" t="str">
        <f t="array" ref="J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Asesor'!H539, "")
</f>
        <v/>
      </c>
      <c r="K539" s="84" t="str">
        <f t="array" ref="K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Asesor'!K539, "")
</f>
        <v/>
      </c>
      <c r="L539" s="84" t="str">
        <f t="array" ref="L539">IF(OR(
    AND('BD Asesor'!H539="Mensual", MATCH($B$2, {"Enero", "Febrero", "Marzo", "Abril", "Mayo", "Junio", "Julio", "Agosto", "Septiembre", "Octubre", "Noviembre", "Diciembre"}, 0)&gt;=1),
    AND('BD Asesor'!H539="Trimestral", MOD(MATCH($B$2, {"Enero", "Febrero", "Marzo", "Abril", "Mayo", "Junio", "Julio", "Agosto", "Septiembre", "Octubre", "Noviembre"}, 0)-MONTH('BD Asesor'!D539), 3)=0),
    AND('BD Asesor'!H539="Semestral", MOD(MATCH($B$2, {"Enero", "Febrero", "Marzo", "Abril", "Mayo", "Junio", "Julio", "Agosto", "Septiembre", "Octubre", "Noviembre"}, 0)-MONTH('BD Asesor'!D539), 6)=0),
    AND('BD Asesor'!H539="Anual", MONTH('BD Asesor'!D539)=MATCH($B$2, {"Enero", "Febrero", "Marzo", "Abril", "Mayo", "Junio", "Julio", "Agosto", "Septiembre", "Octubre", "Noviembre"}, 0))
), 'BD Asesor'!L539, "")
</f>
        <v/>
      </c>
    </row>
    <row r="540">
      <c r="C540" s="84" t="str">
        <f t="array" ref="C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Asesor'!A540, "")
</f>
        <v/>
      </c>
      <c r="D540" s="84" t="str">
        <f t="array" ref="D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Asesor'!B540, "")
</f>
        <v/>
      </c>
      <c r="E540" s="212" t="str">
        <f t="array" ref="E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Asesor'!C540, "")
</f>
        <v/>
      </c>
      <c r="F540" s="212" t="str">
        <f t="array" ref="F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Asesor'!D540, "")
</f>
        <v/>
      </c>
      <c r="G540" s="212" t="str">
        <f t="array" ref="G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Asesor'!E540, "")
</f>
        <v/>
      </c>
      <c r="H540" s="84" t="str">
        <f t="array" ref="H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Asesor'!F540, "")
</f>
        <v/>
      </c>
      <c r="I540" s="84" t="str">
        <f t="array" ref="I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Asesor'!G540, "")
</f>
        <v/>
      </c>
      <c r="J540" s="84" t="str">
        <f t="array" ref="J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Asesor'!H540, "")
</f>
        <v/>
      </c>
      <c r="K540" s="84" t="str">
        <f t="array" ref="K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Asesor'!K540, "")
</f>
        <v/>
      </c>
      <c r="L540" s="84" t="str">
        <f t="array" ref="L540">IF(OR(
    AND('BD Asesor'!H540="Mensual", MATCH($B$2, {"Enero", "Febrero", "Marzo", "Abril", "Mayo", "Junio", "Julio", "Agosto", "Septiembre", "Octubre", "Noviembre", "Diciembre"}, 0)&gt;=1),
    AND('BD Asesor'!H540="Trimestral", MOD(MATCH($B$2, {"Enero", "Febrero", "Marzo", "Abril", "Mayo", "Junio", "Julio", "Agosto", "Septiembre", "Octubre", "Noviembre"}, 0)-MONTH('BD Asesor'!D540), 3)=0),
    AND('BD Asesor'!H540="Semestral", MOD(MATCH($B$2, {"Enero", "Febrero", "Marzo", "Abril", "Mayo", "Junio", "Julio", "Agosto", "Septiembre", "Octubre", "Noviembre"}, 0)-MONTH('BD Asesor'!D540), 6)=0),
    AND('BD Asesor'!H540="Anual", MONTH('BD Asesor'!D540)=MATCH($B$2, {"Enero", "Febrero", "Marzo", "Abril", "Mayo", "Junio", "Julio", "Agosto", "Septiembre", "Octubre", "Noviembre"}, 0))
), 'BD Asesor'!L540, "")
</f>
        <v/>
      </c>
    </row>
    <row r="541">
      <c r="C541" s="84" t="str">
        <f t="array" ref="C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Asesor'!A541, "")
</f>
        <v/>
      </c>
      <c r="D541" s="84" t="str">
        <f t="array" ref="D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Asesor'!B541, "")
</f>
        <v/>
      </c>
      <c r="E541" s="212" t="str">
        <f t="array" ref="E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Asesor'!C541, "")
</f>
        <v/>
      </c>
      <c r="F541" s="212" t="str">
        <f t="array" ref="F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Asesor'!D541, "")
</f>
        <v/>
      </c>
      <c r="G541" s="212" t="str">
        <f t="array" ref="G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Asesor'!E541, "")
</f>
        <v/>
      </c>
      <c r="H541" s="84" t="str">
        <f t="array" ref="H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Asesor'!F541, "")
</f>
        <v/>
      </c>
      <c r="I541" s="84" t="str">
        <f t="array" ref="I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Asesor'!G541, "")
</f>
        <v/>
      </c>
      <c r="J541" s="84" t="str">
        <f t="array" ref="J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Asesor'!H541, "")
</f>
        <v/>
      </c>
      <c r="K541" s="84" t="str">
        <f t="array" ref="K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Asesor'!K541, "")
</f>
        <v/>
      </c>
      <c r="L541" s="84" t="str">
        <f t="array" ref="L541">IF(OR(
    AND('BD Asesor'!H541="Mensual", MATCH($B$2, {"Enero", "Febrero", "Marzo", "Abril", "Mayo", "Junio", "Julio", "Agosto", "Septiembre", "Octubre", "Noviembre", "Diciembre"}, 0)&gt;=1),
    AND('BD Asesor'!H541="Trimestral", MOD(MATCH($B$2, {"Enero", "Febrero", "Marzo", "Abril", "Mayo", "Junio", "Julio", "Agosto", "Septiembre", "Octubre", "Noviembre"}, 0)-MONTH('BD Asesor'!D541), 3)=0),
    AND('BD Asesor'!H541="Semestral", MOD(MATCH($B$2, {"Enero", "Febrero", "Marzo", "Abril", "Mayo", "Junio", "Julio", "Agosto", "Septiembre", "Octubre", "Noviembre"}, 0)-MONTH('BD Asesor'!D541), 6)=0),
    AND('BD Asesor'!H541="Anual", MONTH('BD Asesor'!D541)=MATCH($B$2, {"Enero", "Febrero", "Marzo", "Abril", "Mayo", "Junio", "Julio", "Agosto", "Septiembre", "Octubre", "Noviembre"}, 0))
), 'BD Asesor'!L541, "")
</f>
        <v/>
      </c>
    </row>
    <row r="542">
      <c r="C542" s="84" t="str">
        <f t="array" ref="C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Asesor'!A542, "")
</f>
        <v/>
      </c>
      <c r="D542" s="84" t="str">
        <f t="array" ref="D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Asesor'!B542, "")
</f>
        <v/>
      </c>
      <c r="E542" s="212" t="str">
        <f t="array" ref="E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Asesor'!C542, "")
</f>
        <v/>
      </c>
      <c r="F542" s="212" t="str">
        <f t="array" ref="F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Asesor'!D542, "")
</f>
        <v/>
      </c>
      <c r="G542" s="212" t="str">
        <f t="array" ref="G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Asesor'!E542, "")
</f>
        <v/>
      </c>
      <c r="H542" s="84" t="str">
        <f t="array" ref="H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Asesor'!F542, "")
</f>
        <v/>
      </c>
      <c r="I542" s="84" t="str">
        <f t="array" ref="I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Asesor'!G542, "")
</f>
        <v/>
      </c>
      <c r="J542" s="84" t="str">
        <f t="array" ref="J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Asesor'!H542, "")
</f>
        <v/>
      </c>
      <c r="K542" s="84" t="str">
        <f t="array" ref="K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Asesor'!K542, "")
</f>
        <v/>
      </c>
      <c r="L542" s="84" t="str">
        <f t="array" ref="L542">IF(OR(
    AND('BD Asesor'!H542="Mensual", MATCH($B$2, {"Enero", "Febrero", "Marzo", "Abril", "Mayo", "Junio", "Julio", "Agosto", "Septiembre", "Octubre", "Noviembre", "Diciembre"}, 0)&gt;=1),
    AND('BD Asesor'!H542="Trimestral", MOD(MATCH($B$2, {"Enero", "Febrero", "Marzo", "Abril", "Mayo", "Junio", "Julio", "Agosto", "Septiembre", "Octubre", "Noviembre"}, 0)-MONTH('BD Asesor'!D542), 3)=0),
    AND('BD Asesor'!H542="Semestral", MOD(MATCH($B$2, {"Enero", "Febrero", "Marzo", "Abril", "Mayo", "Junio", "Julio", "Agosto", "Septiembre", "Octubre", "Noviembre"}, 0)-MONTH('BD Asesor'!D542), 6)=0),
    AND('BD Asesor'!H542="Anual", MONTH('BD Asesor'!D542)=MATCH($B$2, {"Enero", "Febrero", "Marzo", "Abril", "Mayo", "Junio", "Julio", "Agosto", "Septiembre", "Octubre", "Noviembre"}, 0))
), 'BD Asesor'!L542, "")
</f>
        <v/>
      </c>
    </row>
    <row r="543">
      <c r="C543" s="84" t="str">
        <f t="array" ref="C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Asesor'!A543, "")
</f>
        <v/>
      </c>
      <c r="D543" s="84" t="str">
        <f t="array" ref="D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Asesor'!B543, "")
</f>
        <v/>
      </c>
      <c r="E543" s="212" t="str">
        <f t="array" ref="E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Asesor'!C543, "")
</f>
        <v/>
      </c>
      <c r="F543" s="212" t="str">
        <f t="array" ref="F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Asesor'!D543, "")
</f>
        <v/>
      </c>
      <c r="G543" s="212" t="str">
        <f t="array" ref="G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Asesor'!E543, "")
</f>
        <v/>
      </c>
      <c r="H543" s="84" t="str">
        <f t="array" ref="H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Asesor'!F543, "")
</f>
        <v/>
      </c>
      <c r="I543" s="84" t="str">
        <f t="array" ref="I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Asesor'!G543, "")
</f>
        <v/>
      </c>
      <c r="J543" s="84" t="str">
        <f t="array" ref="J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Asesor'!H543, "")
</f>
        <v/>
      </c>
      <c r="K543" s="84" t="str">
        <f t="array" ref="K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Asesor'!K543, "")
</f>
        <v/>
      </c>
      <c r="L543" s="84" t="str">
        <f t="array" ref="L543">IF(OR(
    AND('BD Asesor'!H543="Mensual", MATCH($B$2, {"Enero", "Febrero", "Marzo", "Abril", "Mayo", "Junio", "Julio", "Agosto", "Septiembre", "Octubre", "Noviembre", "Diciembre"}, 0)&gt;=1),
    AND('BD Asesor'!H543="Trimestral", MOD(MATCH($B$2, {"Enero", "Febrero", "Marzo", "Abril", "Mayo", "Junio", "Julio", "Agosto", "Septiembre", "Octubre", "Noviembre"}, 0)-MONTH('BD Asesor'!D543), 3)=0),
    AND('BD Asesor'!H543="Semestral", MOD(MATCH($B$2, {"Enero", "Febrero", "Marzo", "Abril", "Mayo", "Junio", "Julio", "Agosto", "Septiembre", "Octubre", "Noviembre"}, 0)-MONTH('BD Asesor'!D543), 6)=0),
    AND('BD Asesor'!H543="Anual", MONTH('BD Asesor'!D543)=MATCH($B$2, {"Enero", "Febrero", "Marzo", "Abril", "Mayo", "Junio", "Julio", "Agosto", "Septiembre", "Octubre", "Noviembre"}, 0))
), 'BD Asesor'!L543, "")
</f>
        <v/>
      </c>
    </row>
    <row r="544">
      <c r="C544" s="84" t="str">
        <f t="array" ref="C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Asesor'!A544, "")
</f>
        <v/>
      </c>
      <c r="D544" s="84" t="str">
        <f t="array" ref="D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Asesor'!B544, "")
</f>
        <v/>
      </c>
      <c r="E544" s="212" t="str">
        <f t="array" ref="E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Asesor'!C544, "")
</f>
        <v/>
      </c>
      <c r="F544" s="212" t="str">
        <f t="array" ref="F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Asesor'!D544, "")
</f>
        <v/>
      </c>
      <c r="G544" s="212" t="str">
        <f t="array" ref="G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Asesor'!E544, "")
</f>
        <v/>
      </c>
      <c r="H544" s="84" t="str">
        <f t="array" ref="H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Asesor'!F544, "")
</f>
        <v/>
      </c>
      <c r="I544" s="84" t="str">
        <f t="array" ref="I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Asesor'!G544, "")
</f>
        <v/>
      </c>
      <c r="J544" s="84" t="str">
        <f t="array" ref="J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Asesor'!H544, "")
</f>
        <v/>
      </c>
      <c r="K544" s="84" t="str">
        <f t="array" ref="K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Asesor'!K544, "")
</f>
        <v/>
      </c>
      <c r="L544" s="84" t="str">
        <f t="array" ref="L544">IF(OR(
    AND('BD Asesor'!H544="Mensual", MATCH($B$2, {"Enero", "Febrero", "Marzo", "Abril", "Mayo", "Junio", "Julio", "Agosto", "Septiembre", "Octubre", "Noviembre", "Diciembre"}, 0)&gt;=1),
    AND('BD Asesor'!H544="Trimestral", MOD(MATCH($B$2, {"Enero", "Febrero", "Marzo", "Abril", "Mayo", "Junio", "Julio", "Agosto", "Septiembre", "Octubre", "Noviembre"}, 0)-MONTH('BD Asesor'!D544), 3)=0),
    AND('BD Asesor'!H544="Semestral", MOD(MATCH($B$2, {"Enero", "Febrero", "Marzo", "Abril", "Mayo", "Junio", "Julio", "Agosto", "Septiembre", "Octubre", "Noviembre"}, 0)-MONTH('BD Asesor'!D544), 6)=0),
    AND('BD Asesor'!H544="Anual", MONTH('BD Asesor'!D544)=MATCH($B$2, {"Enero", "Febrero", "Marzo", "Abril", "Mayo", "Junio", "Julio", "Agosto", "Septiembre", "Octubre", "Noviembre"}, 0))
), 'BD Asesor'!L544, "")
</f>
        <v/>
      </c>
    </row>
    <row r="545">
      <c r="C545" s="84" t="str">
        <f t="array" ref="C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Asesor'!A545, "")
</f>
        <v/>
      </c>
      <c r="D545" s="84" t="str">
        <f t="array" ref="D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Asesor'!B545, "")
</f>
        <v/>
      </c>
      <c r="E545" s="212" t="str">
        <f t="array" ref="E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Asesor'!C545, "")
</f>
        <v/>
      </c>
      <c r="F545" s="212" t="str">
        <f t="array" ref="F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Asesor'!D545, "")
</f>
        <v/>
      </c>
      <c r="G545" s="212" t="str">
        <f t="array" ref="G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Asesor'!E545, "")
</f>
        <v/>
      </c>
      <c r="H545" s="84" t="str">
        <f t="array" ref="H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Asesor'!F545, "")
</f>
        <v/>
      </c>
      <c r="I545" s="84" t="str">
        <f t="array" ref="I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Asesor'!G545, "")
</f>
        <v/>
      </c>
      <c r="J545" s="84" t="str">
        <f t="array" ref="J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Asesor'!H545, "")
</f>
        <v/>
      </c>
      <c r="K545" s="84" t="str">
        <f t="array" ref="K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Asesor'!K545, "")
</f>
        <v/>
      </c>
      <c r="L545" s="84" t="str">
        <f t="array" ref="L545">IF(OR(
    AND('BD Asesor'!H545="Mensual", MATCH($B$2, {"Enero", "Febrero", "Marzo", "Abril", "Mayo", "Junio", "Julio", "Agosto", "Septiembre", "Octubre", "Noviembre", "Diciembre"}, 0)&gt;=1),
    AND('BD Asesor'!H545="Trimestral", MOD(MATCH($B$2, {"Enero", "Febrero", "Marzo", "Abril", "Mayo", "Junio", "Julio", "Agosto", "Septiembre", "Octubre", "Noviembre"}, 0)-MONTH('BD Asesor'!D545), 3)=0),
    AND('BD Asesor'!H545="Semestral", MOD(MATCH($B$2, {"Enero", "Febrero", "Marzo", "Abril", "Mayo", "Junio", "Julio", "Agosto", "Septiembre", "Octubre", "Noviembre"}, 0)-MONTH('BD Asesor'!D545), 6)=0),
    AND('BD Asesor'!H545="Anual", MONTH('BD Asesor'!D545)=MATCH($B$2, {"Enero", "Febrero", "Marzo", "Abril", "Mayo", "Junio", "Julio", "Agosto", "Septiembre", "Octubre", "Noviembre"}, 0))
), 'BD Asesor'!L545, "")
</f>
        <v/>
      </c>
    </row>
    <row r="546">
      <c r="C546" s="84" t="str">
        <f t="array" ref="C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Asesor'!A546, "")
</f>
        <v/>
      </c>
      <c r="D546" s="84" t="str">
        <f t="array" ref="D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Asesor'!B546, "")
</f>
        <v/>
      </c>
      <c r="E546" s="212" t="str">
        <f t="array" ref="E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Asesor'!C546, "")
</f>
        <v/>
      </c>
      <c r="F546" s="212" t="str">
        <f t="array" ref="F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Asesor'!D546, "")
</f>
        <v/>
      </c>
      <c r="G546" s="212" t="str">
        <f t="array" ref="G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Asesor'!E546, "")
</f>
        <v/>
      </c>
      <c r="H546" s="84" t="str">
        <f t="array" ref="H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Asesor'!F546, "")
</f>
        <v/>
      </c>
      <c r="I546" s="84" t="str">
        <f t="array" ref="I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Asesor'!G546, "")
</f>
        <v/>
      </c>
      <c r="J546" s="84" t="str">
        <f t="array" ref="J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Asesor'!H546, "")
</f>
        <v/>
      </c>
      <c r="K546" s="84" t="str">
        <f t="array" ref="K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Asesor'!K546, "")
</f>
        <v/>
      </c>
      <c r="L546" s="84" t="str">
        <f t="array" ref="L546">IF(OR(
    AND('BD Asesor'!H546="Mensual", MATCH($B$2, {"Enero", "Febrero", "Marzo", "Abril", "Mayo", "Junio", "Julio", "Agosto", "Septiembre", "Octubre", "Noviembre", "Diciembre"}, 0)&gt;=1),
    AND('BD Asesor'!H546="Trimestral", MOD(MATCH($B$2, {"Enero", "Febrero", "Marzo", "Abril", "Mayo", "Junio", "Julio", "Agosto", "Septiembre", "Octubre", "Noviembre"}, 0)-MONTH('BD Asesor'!D546), 3)=0),
    AND('BD Asesor'!H546="Semestral", MOD(MATCH($B$2, {"Enero", "Febrero", "Marzo", "Abril", "Mayo", "Junio", "Julio", "Agosto", "Septiembre", "Octubre", "Noviembre"}, 0)-MONTH('BD Asesor'!D546), 6)=0),
    AND('BD Asesor'!H546="Anual", MONTH('BD Asesor'!D546)=MATCH($B$2, {"Enero", "Febrero", "Marzo", "Abril", "Mayo", "Junio", "Julio", "Agosto", "Septiembre", "Octubre", "Noviembre"}, 0))
), 'BD Asesor'!L546, "")
</f>
        <v/>
      </c>
    </row>
    <row r="547">
      <c r="C547" s="84" t="str">
        <f t="array" ref="C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Asesor'!A547, "")
</f>
        <v/>
      </c>
      <c r="D547" s="84" t="str">
        <f t="array" ref="D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Asesor'!B547, "")
</f>
        <v/>
      </c>
      <c r="E547" s="212" t="str">
        <f t="array" ref="E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Asesor'!C547, "")
</f>
        <v/>
      </c>
      <c r="F547" s="212" t="str">
        <f t="array" ref="F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Asesor'!D547, "")
</f>
        <v/>
      </c>
      <c r="G547" s="212" t="str">
        <f t="array" ref="G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Asesor'!E547, "")
</f>
        <v/>
      </c>
      <c r="H547" s="84" t="str">
        <f t="array" ref="H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Asesor'!F547, "")
</f>
        <v/>
      </c>
      <c r="I547" s="84" t="str">
        <f t="array" ref="I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Asesor'!G547, "")
</f>
        <v/>
      </c>
      <c r="J547" s="84" t="str">
        <f t="array" ref="J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Asesor'!H547, "")
</f>
        <v/>
      </c>
      <c r="K547" s="84" t="str">
        <f t="array" ref="K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Asesor'!K547, "")
</f>
        <v/>
      </c>
      <c r="L547" s="84" t="str">
        <f t="array" ref="L547">IF(OR(
    AND('BD Asesor'!H547="Mensual", MATCH($B$2, {"Enero", "Febrero", "Marzo", "Abril", "Mayo", "Junio", "Julio", "Agosto", "Septiembre", "Octubre", "Noviembre", "Diciembre"}, 0)&gt;=1),
    AND('BD Asesor'!H547="Trimestral", MOD(MATCH($B$2, {"Enero", "Febrero", "Marzo", "Abril", "Mayo", "Junio", "Julio", "Agosto", "Septiembre", "Octubre", "Noviembre"}, 0)-MONTH('BD Asesor'!D547), 3)=0),
    AND('BD Asesor'!H547="Semestral", MOD(MATCH($B$2, {"Enero", "Febrero", "Marzo", "Abril", "Mayo", "Junio", "Julio", "Agosto", "Septiembre", "Octubre", "Noviembre"}, 0)-MONTH('BD Asesor'!D547), 6)=0),
    AND('BD Asesor'!H547="Anual", MONTH('BD Asesor'!D547)=MATCH($B$2, {"Enero", "Febrero", "Marzo", "Abril", "Mayo", "Junio", "Julio", "Agosto", "Septiembre", "Octubre", "Noviembre"}, 0))
), 'BD Asesor'!L547, "")
</f>
        <v/>
      </c>
    </row>
    <row r="548">
      <c r="C548" s="84" t="str">
        <f t="array" ref="C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Asesor'!A548, "")
</f>
        <v/>
      </c>
      <c r="D548" s="84" t="str">
        <f t="array" ref="D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Asesor'!B548, "")
</f>
        <v/>
      </c>
      <c r="E548" s="212" t="str">
        <f t="array" ref="E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Asesor'!C548, "")
</f>
        <v/>
      </c>
      <c r="F548" s="212" t="str">
        <f t="array" ref="F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Asesor'!D548, "")
</f>
        <v/>
      </c>
      <c r="G548" s="212" t="str">
        <f t="array" ref="G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Asesor'!E548, "")
</f>
        <v/>
      </c>
      <c r="H548" s="84" t="str">
        <f t="array" ref="H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Asesor'!F548, "")
</f>
        <v/>
      </c>
      <c r="I548" s="84" t="str">
        <f t="array" ref="I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Asesor'!G548, "")
</f>
        <v/>
      </c>
      <c r="J548" s="84" t="str">
        <f t="array" ref="J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Asesor'!H548, "")
</f>
        <v/>
      </c>
      <c r="K548" s="84" t="str">
        <f t="array" ref="K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Asesor'!K548, "")
</f>
        <v/>
      </c>
      <c r="L548" s="84" t="str">
        <f t="array" ref="L548">IF(OR(
    AND('BD Asesor'!H548="Mensual", MATCH($B$2, {"Enero", "Febrero", "Marzo", "Abril", "Mayo", "Junio", "Julio", "Agosto", "Septiembre", "Octubre", "Noviembre", "Diciembre"}, 0)&gt;=1),
    AND('BD Asesor'!H548="Trimestral", MOD(MATCH($B$2, {"Enero", "Febrero", "Marzo", "Abril", "Mayo", "Junio", "Julio", "Agosto", "Septiembre", "Octubre", "Noviembre"}, 0)-MONTH('BD Asesor'!D548), 3)=0),
    AND('BD Asesor'!H548="Semestral", MOD(MATCH($B$2, {"Enero", "Febrero", "Marzo", "Abril", "Mayo", "Junio", "Julio", "Agosto", "Septiembre", "Octubre", "Noviembre"}, 0)-MONTH('BD Asesor'!D548), 6)=0),
    AND('BD Asesor'!H548="Anual", MONTH('BD Asesor'!D548)=MATCH($B$2, {"Enero", "Febrero", "Marzo", "Abril", "Mayo", "Junio", "Julio", "Agosto", "Septiembre", "Octubre", "Noviembre"}, 0))
), 'BD Asesor'!L548, "")
</f>
        <v/>
      </c>
    </row>
    <row r="549">
      <c r="C549" s="84" t="str">
        <f t="array" ref="C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Asesor'!A549, "")
</f>
        <v/>
      </c>
      <c r="D549" s="84" t="str">
        <f t="array" ref="D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Asesor'!B549, "")
</f>
        <v/>
      </c>
      <c r="E549" s="212" t="str">
        <f t="array" ref="E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Asesor'!C549, "")
</f>
        <v/>
      </c>
      <c r="F549" s="212" t="str">
        <f t="array" ref="F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Asesor'!D549, "")
</f>
        <v/>
      </c>
      <c r="G549" s="212" t="str">
        <f t="array" ref="G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Asesor'!E549, "")
</f>
        <v/>
      </c>
      <c r="H549" s="84" t="str">
        <f t="array" ref="H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Asesor'!F549, "")
</f>
        <v/>
      </c>
      <c r="I549" s="84" t="str">
        <f t="array" ref="I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Asesor'!G549, "")
</f>
        <v/>
      </c>
      <c r="J549" s="84" t="str">
        <f t="array" ref="J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Asesor'!H549, "")
</f>
        <v/>
      </c>
      <c r="K549" s="84" t="str">
        <f t="array" ref="K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Asesor'!K549, "")
</f>
        <v/>
      </c>
      <c r="L549" s="84" t="str">
        <f t="array" ref="L549">IF(OR(
    AND('BD Asesor'!H549="Mensual", MATCH($B$2, {"Enero", "Febrero", "Marzo", "Abril", "Mayo", "Junio", "Julio", "Agosto", "Septiembre", "Octubre", "Noviembre", "Diciembre"}, 0)&gt;=1),
    AND('BD Asesor'!H549="Trimestral", MOD(MATCH($B$2, {"Enero", "Febrero", "Marzo", "Abril", "Mayo", "Junio", "Julio", "Agosto", "Septiembre", "Octubre", "Noviembre"}, 0)-MONTH('BD Asesor'!D549), 3)=0),
    AND('BD Asesor'!H549="Semestral", MOD(MATCH($B$2, {"Enero", "Febrero", "Marzo", "Abril", "Mayo", "Junio", "Julio", "Agosto", "Septiembre", "Octubre", "Noviembre"}, 0)-MONTH('BD Asesor'!D549), 6)=0),
    AND('BD Asesor'!H549="Anual", MONTH('BD Asesor'!D549)=MATCH($B$2, {"Enero", "Febrero", "Marzo", "Abril", "Mayo", "Junio", "Julio", "Agosto", "Septiembre", "Octubre", "Noviembre"}, 0))
), 'BD Asesor'!L549, "")
</f>
        <v/>
      </c>
    </row>
    <row r="550">
      <c r="C550" s="84" t="str">
        <f t="array" ref="C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Asesor'!A550, "")
</f>
        <v/>
      </c>
      <c r="D550" s="84" t="str">
        <f t="array" ref="D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Asesor'!B550, "")
</f>
        <v/>
      </c>
      <c r="E550" s="212" t="str">
        <f t="array" ref="E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Asesor'!C550, "")
</f>
        <v/>
      </c>
      <c r="F550" s="212" t="str">
        <f t="array" ref="F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Asesor'!D550, "")
</f>
        <v/>
      </c>
      <c r="G550" s="212" t="str">
        <f t="array" ref="G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Asesor'!E550, "")
</f>
        <v/>
      </c>
      <c r="H550" s="84" t="str">
        <f t="array" ref="H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Asesor'!F550, "")
</f>
        <v/>
      </c>
      <c r="I550" s="84" t="str">
        <f t="array" ref="I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Asesor'!G550, "")
</f>
        <v/>
      </c>
      <c r="J550" s="84" t="str">
        <f t="array" ref="J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Asesor'!H550, "")
</f>
        <v/>
      </c>
      <c r="K550" s="84" t="str">
        <f t="array" ref="K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Asesor'!K550, "")
</f>
        <v/>
      </c>
      <c r="L550" s="84" t="str">
        <f t="array" ref="L550">IF(OR(
    AND('BD Asesor'!H550="Mensual", MATCH($B$2, {"Enero", "Febrero", "Marzo", "Abril", "Mayo", "Junio", "Julio", "Agosto", "Septiembre", "Octubre", "Noviembre", "Diciembre"}, 0)&gt;=1),
    AND('BD Asesor'!H550="Trimestral", MOD(MATCH($B$2, {"Enero", "Febrero", "Marzo", "Abril", "Mayo", "Junio", "Julio", "Agosto", "Septiembre", "Octubre", "Noviembre"}, 0)-MONTH('BD Asesor'!D550), 3)=0),
    AND('BD Asesor'!H550="Semestral", MOD(MATCH($B$2, {"Enero", "Febrero", "Marzo", "Abril", "Mayo", "Junio", "Julio", "Agosto", "Septiembre", "Octubre", "Noviembre"}, 0)-MONTH('BD Asesor'!D550), 6)=0),
    AND('BD Asesor'!H550="Anual", MONTH('BD Asesor'!D550)=MATCH($B$2, {"Enero", "Febrero", "Marzo", "Abril", "Mayo", "Junio", "Julio", "Agosto", "Septiembre", "Octubre", "Noviembre"}, 0))
), 'BD Asesor'!L550, "")
</f>
        <v/>
      </c>
    </row>
    <row r="551">
      <c r="C551" s="84" t="str">
        <f t="array" ref="C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Asesor'!A551, "")
</f>
        <v/>
      </c>
      <c r="D551" s="84" t="str">
        <f t="array" ref="D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Asesor'!B551, "")
</f>
        <v/>
      </c>
      <c r="E551" s="212" t="str">
        <f t="array" ref="E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Asesor'!C551, "")
</f>
        <v/>
      </c>
      <c r="F551" s="212" t="str">
        <f t="array" ref="F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Asesor'!D551, "")
</f>
        <v/>
      </c>
      <c r="G551" s="212" t="str">
        <f t="array" ref="G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Asesor'!E551, "")
</f>
        <v/>
      </c>
      <c r="H551" s="84" t="str">
        <f t="array" ref="H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Asesor'!F551, "")
</f>
        <v/>
      </c>
      <c r="I551" s="84" t="str">
        <f t="array" ref="I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Asesor'!G551, "")
</f>
        <v/>
      </c>
      <c r="J551" s="84" t="str">
        <f t="array" ref="J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Asesor'!H551, "")
</f>
        <v/>
      </c>
      <c r="K551" s="84" t="str">
        <f t="array" ref="K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Asesor'!K551, "")
</f>
        <v/>
      </c>
      <c r="L551" s="84" t="str">
        <f t="array" ref="L551">IF(OR(
    AND('BD Asesor'!H551="Mensual", MATCH($B$2, {"Enero", "Febrero", "Marzo", "Abril", "Mayo", "Junio", "Julio", "Agosto", "Septiembre", "Octubre", "Noviembre", "Diciembre"}, 0)&gt;=1),
    AND('BD Asesor'!H551="Trimestral", MOD(MATCH($B$2, {"Enero", "Febrero", "Marzo", "Abril", "Mayo", "Junio", "Julio", "Agosto", "Septiembre", "Octubre", "Noviembre"}, 0)-MONTH('BD Asesor'!D551), 3)=0),
    AND('BD Asesor'!H551="Semestral", MOD(MATCH($B$2, {"Enero", "Febrero", "Marzo", "Abril", "Mayo", "Junio", "Julio", "Agosto", "Septiembre", "Octubre", "Noviembre"}, 0)-MONTH('BD Asesor'!D551), 6)=0),
    AND('BD Asesor'!H551="Anual", MONTH('BD Asesor'!D551)=MATCH($B$2, {"Enero", "Febrero", "Marzo", "Abril", "Mayo", "Junio", "Julio", "Agosto", "Septiembre", "Octubre", "Noviembre"}, 0))
), 'BD Asesor'!L551, "")
</f>
        <v/>
      </c>
    </row>
    <row r="552">
      <c r="C552" s="84" t="str">
        <f t="array" ref="C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Asesor'!A552, "")
</f>
        <v/>
      </c>
      <c r="D552" s="84" t="str">
        <f t="array" ref="D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Asesor'!B552, "")
</f>
        <v/>
      </c>
      <c r="E552" s="212" t="str">
        <f t="array" ref="E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Asesor'!C552, "")
</f>
        <v/>
      </c>
      <c r="F552" s="212" t="str">
        <f t="array" ref="F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Asesor'!D552, "")
</f>
        <v/>
      </c>
      <c r="G552" s="212" t="str">
        <f t="array" ref="G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Asesor'!E552, "")
</f>
        <v/>
      </c>
      <c r="H552" s="84" t="str">
        <f t="array" ref="H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Asesor'!F552, "")
</f>
        <v/>
      </c>
      <c r="I552" s="84" t="str">
        <f t="array" ref="I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Asesor'!G552, "")
</f>
        <v/>
      </c>
      <c r="J552" s="84" t="str">
        <f t="array" ref="J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Asesor'!H552, "")
</f>
        <v/>
      </c>
      <c r="K552" s="84" t="str">
        <f t="array" ref="K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Asesor'!K552, "")
</f>
        <v/>
      </c>
      <c r="L552" s="84" t="str">
        <f t="array" ref="L552">IF(OR(
    AND('BD Asesor'!H552="Mensual", MATCH($B$2, {"Enero", "Febrero", "Marzo", "Abril", "Mayo", "Junio", "Julio", "Agosto", "Septiembre", "Octubre", "Noviembre", "Diciembre"}, 0)&gt;=1),
    AND('BD Asesor'!H552="Trimestral", MOD(MATCH($B$2, {"Enero", "Febrero", "Marzo", "Abril", "Mayo", "Junio", "Julio", "Agosto", "Septiembre", "Octubre", "Noviembre"}, 0)-MONTH('BD Asesor'!D552), 3)=0),
    AND('BD Asesor'!H552="Semestral", MOD(MATCH($B$2, {"Enero", "Febrero", "Marzo", "Abril", "Mayo", "Junio", "Julio", "Agosto", "Septiembre", "Octubre", "Noviembre"}, 0)-MONTH('BD Asesor'!D552), 6)=0),
    AND('BD Asesor'!H552="Anual", MONTH('BD Asesor'!D552)=MATCH($B$2, {"Enero", "Febrero", "Marzo", "Abril", "Mayo", "Junio", "Julio", "Agosto", "Septiembre", "Octubre", "Noviembre"}, 0))
), 'BD Asesor'!L552, "")
</f>
        <v/>
      </c>
    </row>
    <row r="553">
      <c r="C553" s="84" t="str">
        <f t="array" ref="C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Asesor'!A553, "")
</f>
        <v/>
      </c>
      <c r="D553" s="84" t="str">
        <f t="array" ref="D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Asesor'!B553, "")
</f>
        <v/>
      </c>
      <c r="E553" s="212" t="str">
        <f t="array" ref="E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Asesor'!C553, "")
</f>
        <v/>
      </c>
      <c r="F553" s="212" t="str">
        <f t="array" ref="F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Asesor'!D553, "")
</f>
        <v/>
      </c>
      <c r="G553" s="212" t="str">
        <f t="array" ref="G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Asesor'!E553, "")
</f>
        <v/>
      </c>
      <c r="H553" s="84" t="str">
        <f t="array" ref="H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Asesor'!F553, "")
</f>
        <v/>
      </c>
      <c r="I553" s="84" t="str">
        <f t="array" ref="I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Asesor'!G553, "")
</f>
        <v/>
      </c>
      <c r="J553" s="84" t="str">
        <f t="array" ref="J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Asesor'!H553, "")
</f>
        <v/>
      </c>
      <c r="K553" s="84" t="str">
        <f t="array" ref="K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Asesor'!K553, "")
</f>
        <v/>
      </c>
      <c r="L553" s="84" t="str">
        <f t="array" ref="L553">IF(OR(
    AND('BD Asesor'!H553="Mensual", MATCH($B$2, {"Enero", "Febrero", "Marzo", "Abril", "Mayo", "Junio", "Julio", "Agosto", "Septiembre", "Octubre", "Noviembre", "Diciembre"}, 0)&gt;=1),
    AND('BD Asesor'!H553="Trimestral", MOD(MATCH($B$2, {"Enero", "Febrero", "Marzo", "Abril", "Mayo", "Junio", "Julio", "Agosto", "Septiembre", "Octubre", "Noviembre"}, 0)-MONTH('BD Asesor'!D553), 3)=0),
    AND('BD Asesor'!H553="Semestral", MOD(MATCH($B$2, {"Enero", "Febrero", "Marzo", "Abril", "Mayo", "Junio", "Julio", "Agosto", "Septiembre", "Octubre", "Noviembre"}, 0)-MONTH('BD Asesor'!D553), 6)=0),
    AND('BD Asesor'!H553="Anual", MONTH('BD Asesor'!D553)=MATCH($B$2, {"Enero", "Febrero", "Marzo", "Abril", "Mayo", "Junio", "Julio", "Agosto", "Septiembre", "Octubre", "Noviembre"}, 0))
), 'BD Asesor'!L553, "")
</f>
        <v/>
      </c>
    </row>
    <row r="554">
      <c r="C554" s="84" t="str">
        <f t="array" ref="C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Asesor'!A554, "")
</f>
        <v/>
      </c>
      <c r="D554" s="84" t="str">
        <f t="array" ref="D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Asesor'!B554, "")
</f>
        <v/>
      </c>
      <c r="E554" s="212" t="str">
        <f t="array" ref="E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Asesor'!C554, "")
</f>
        <v/>
      </c>
      <c r="F554" s="212" t="str">
        <f t="array" ref="F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Asesor'!D554, "")
</f>
        <v/>
      </c>
      <c r="G554" s="212" t="str">
        <f t="array" ref="G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Asesor'!E554, "")
</f>
        <v/>
      </c>
      <c r="H554" s="84" t="str">
        <f t="array" ref="H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Asesor'!F554, "")
</f>
        <v/>
      </c>
      <c r="I554" s="84" t="str">
        <f t="array" ref="I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Asesor'!G554, "")
</f>
        <v/>
      </c>
      <c r="J554" s="84" t="str">
        <f t="array" ref="J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Asesor'!H554, "")
</f>
        <v/>
      </c>
      <c r="K554" s="84" t="str">
        <f t="array" ref="K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Asesor'!K554, "")
</f>
        <v/>
      </c>
      <c r="L554" s="84" t="str">
        <f t="array" ref="L554">IF(OR(
    AND('BD Asesor'!H554="Mensual", MATCH($B$2, {"Enero", "Febrero", "Marzo", "Abril", "Mayo", "Junio", "Julio", "Agosto", "Septiembre", "Octubre", "Noviembre", "Diciembre"}, 0)&gt;=1),
    AND('BD Asesor'!H554="Trimestral", MOD(MATCH($B$2, {"Enero", "Febrero", "Marzo", "Abril", "Mayo", "Junio", "Julio", "Agosto", "Septiembre", "Octubre", "Noviembre"}, 0)-MONTH('BD Asesor'!D554), 3)=0),
    AND('BD Asesor'!H554="Semestral", MOD(MATCH($B$2, {"Enero", "Febrero", "Marzo", "Abril", "Mayo", "Junio", "Julio", "Agosto", "Septiembre", "Octubre", "Noviembre"}, 0)-MONTH('BD Asesor'!D554), 6)=0),
    AND('BD Asesor'!H554="Anual", MONTH('BD Asesor'!D554)=MATCH($B$2, {"Enero", "Febrero", "Marzo", "Abril", "Mayo", "Junio", "Julio", "Agosto", "Septiembre", "Octubre", "Noviembre"}, 0))
), 'BD Asesor'!L554, "")
</f>
        <v/>
      </c>
    </row>
    <row r="555">
      <c r="C555" s="84" t="str">
        <f t="array" ref="C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Asesor'!A555, "")
</f>
        <v/>
      </c>
      <c r="D555" s="84" t="str">
        <f t="array" ref="D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Asesor'!B555, "")
</f>
        <v/>
      </c>
      <c r="E555" s="212" t="str">
        <f t="array" ref="E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Asesor'!C555, "")
</f>
        <v/>
      </c>
      <c r="F555" s="212" t="str">
        <f t="array" ref="F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Asesor'!D555, "")
</f>
        <v/>
      </c>
      <c r="G555" s="212" t="str">
        <f t="array" ref="G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Asesor'!E555, "")
</f>
        <v/>
      </c>
      <c r="H555" s="84" t="str">
        <f t="array" ref="H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Asesor'!F555, "")
</f>
        <v/>
      </c>
      <c r="I555" s="84" t="str">
        <f t="array" ref="I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Asesor'!G555, "")
</f>
        <v/>
      </c>
      <c r="J555" s="84" t="str">
        <f t="array" ref="J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Asesor'!H555, "")
</f>
        <v/>
      </c>
      <c r="K555" s="84" t="str">
        <f t="array" ref="K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Asesor'!K555, "")
</f>
        <v/>
      </c>
      <c r="L555" s="84" t="str">
        <f t="array" ref="L555">IF(OR(
    AND('BD Asesor'!H555="Mensual", MATCH($B$2, {"Enero", "Febrero", "Marzo", "Abril", "Mayo", "Junio", "Julio", "Agosto", "Septiembre", "Octubre", "Noviembre", "Diciembre"}, 0)&gt;=1),
    AND('BD Asesor'!H555="Trimestral", MOD(MATCH($B$2, {"Enero", "Febrero", "Marzo", "Abril", "Mayo", "Junio", "Julio", "Agosto", "Septiembre", "Octubre", "Noviembre"}, 0)-MONTH('BD Asesor'!D555), 3)=0),
    AND('BD Asesor'!H555="Semestral", MOD(MATCH($B$2, {"Enero", "Febrero", "Marzo", "Abril", "Mayo", "Junio", "Julio", "Agosto", "Septiembre", "Octubre", "Noviembre"}, 0)-MONTH('BD Asesor'!D555), 6)=0),
    AND('BD Asesor'!H555="Anual", MONTH('BD Asesor'!D555)=MATCH($B$2, {"Enero", "Febrero", "Marzo", "Abril", "Mayo", "Junio", "Julio", "Agosto", "Septiembre", "Octubre", "Noviembre"}, 0))
), 'BD Asesor'!L555, "")
</f>
        <v/>
      </c>
    </row>
    <row r="556">
      <c r="C556" s="84" t="str">
        <f t="array" ref="C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Asesor'!A556, "")
</f>
        <v/>
      </c>
      <c r="D556" s="84" t="str">
        <f t="array" ref="D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Asesor'!B556, "")
</f>
        <v/>
      </c>
      <c r="E556" s="212" t="str">
        <f t="array" ref="E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Asesor'!C556, "")
</f>
        <v/>
      </c>
      <c r="F556" s="212" t="str">
        <f t="array" ref="F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Asesor'!D556, "")
</f>
        <v/>
      </c>
      <c r="G556" s="212" t="str">
        <f t="array" ref="G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Asesor'!E556, "")
</f>
        <v/>
      </c>
      <c r="H556" s="84" t="str">
        <f t="array" ref="H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Asesor'!F556, "")
</f>
        <v/>
      </c>
      <c r="I556" s="84" t="str">
        <f t="array" ref="I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Asesor'!G556, "")
</f>
        <v/>
      </c>
      <c r="J556" s="84" t="str">
        <f t="array" ref="J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Asesor'!H556, "")
</f>
        <v/>
      </c>
      <c r="K556" s="84" t="str">
        <f t="array" ref="K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Asesor'!K556, "")
</f>
        <v/>
      </c>
      <c r="L556" s="84" t="str">
        <f t="array" ref="L556">IF(OR(
    AND('BD Asesor'!H556="Mensual", MATCH($B$2, {"Enero", "Febrero", "Marzo", "Abril", "Mayo", "Junio", "Julio", "Agosto", "Septiembre", "Octubre", "Noviembre", "Diciembre"}, 0)&gt;=1),
    AND('BD Asesor'!H556="Trimestral", MOD(MATCH($B$2, {"Enero", "Febrero", "Marzo", "Abril", "Mayo", "Junio", "Julio", "Agosto", "Septiembre", "Octubre", "Noviembre"}, 0)-MONTH('BD Asesor'!D556), 3)=0),
    AND('BD Asesor'!H556="Semestral", MOD(MATCH($B$2, {"Enero", "Febrero", "Marzo", "Abril", "Mayo", "Junio", "Julio", "Agosto", "Septiembre", "Octubre", "Noviembre"}, 0)-MONTH('BD Asesor'!D556), 6)=0),
    AND('BD Asesor'!H556="Anual", MONTH('BD Asesor'!D556)=MATCH($B$2, {"Enero", "Febrero", "Marzo", "Abril", "Mayo", "Junio", "Julio", "Agosto", "Septiembre", "Octubre", "Noviembre"}, 0))
), 'BD Asesor'!L556, "")
</f>
        <v/>
      </c>
    </row>
    <row r="557">
      <c r="C557" s="84" t="str">
        <f t="array" ref="C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Asesor'!A557, "")
</f>
        <v/>
      </c>
      <c r="D557" s="84" t="str">
        <f t="array" ref="D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Asesor'!B557, "")
</f>
        <v/>
      </c>
      <c r="E557" s="212" t="str">
        <f t="array" ref="E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Asesor'!C557, "")
</f>
        <v/>
      </c>
      <c r="F557" s="212" t="str">
        <f t="array" ref="F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Asesor'!D557, "")
</f>
        <v/>
      </c>
      <c r="G557" s="212" t="str">
        <f t="array" ref="G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Asesor'!E557, "")
</f>
        <v/>
      </c>
      <c r="H557" s="84" t="str">
        <f t="array" ref="H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Asesor'!F557, "")
</f>
        <v/>
      </c>
      <c r="I557" s="84" t="str">
        <f t="array" ref="I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Asesor'!G557, "")
</f>
        <v/>
      </c>
      <c r="J557" s="84" t="str">
        <f t="array" ref="J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Asesor'!H557, "")
</f>
        <v/>
      </c>
      <c r="K557" s="84" t="str">
        <f t="array" ref="K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Asesor'!K557, "")
</f>
        <v/>
      </c>
      <c r="L557" s="84" t="str">
        <f t="array" ref="L557">IF(OR(
    AND('BD Asesor'!H557="Mensual", MATCH($B$2, {"Enero", "Febrero", "Marzo", "Abril", "Mayo", "Junio", "Julio", "Agosto", "Septiembre", "Octubre", "Noviembre", "Diciembre"}, 0)&gt;=1),
    AND('BD Asesor'!H557="Trimestral", MOD(MATCH($B$2, {"Enero", "Febrero", "Marzo", "Abril", "Mayo", "Junio", "Julio", "Agosto", "Septiembre", "Octubre", "Noviembre"}, 0)-MONTH('BD Asesor'!D557), 3)=0),
    AND('BD Asesor'!H557="Semestral", MOD(MATCH($B$2, {"Enero", "Febrero", "Marzo", "Abril", "Mayo", "Junio", "Julio", "Agosto", "Septiembre", "Octubre", "Noviembre"}, 0)-MONTH('BD Asesor'!D557), 6)=0),
    AND('BD Asesor'!H557="Anual", MONTH('BD Asesor'!D557)=MATCH($B$2, {"Enero", "Febrero", "Marzo", "Abril", "Mayo", "Junio", "Julio", "Agosto", "Septiembre", "Octubre", "Noviembre"}, 0))
), 'BD Asesor'!L557, "")
</f>
        <v/>
      </c>
    </row>
    <row r="558">
      <c r="C558" s="84" t="str">
        <f t="array" ref="C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Asesor'!A558, "")
</f>
        <v/>
      </c>
      <c r="D558" s="84" t="str">
        <f t="array" ref="D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Asesor'!B558, "")
</f>
        <v/>
      </c>
      <c r="E558" s="212" t="str">
        <f t="array" ref="E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Asesor'!C558, "")
</f>
        <v/>
      </c>
      <c r="F558" s="212" t="str">
        <f t="array" ref="F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Asesor'!D558, "")
</f>
        <v/>
      </c>
      <c r="G558" s="212" t="str">
        <f t="array" ref="G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Asesor'!E558, "")
</f>
        <v/>
      </c>
      <c r="H558" s="84" t="str">
        <f t="array" ref="H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Asesor'!F558, "")
</f>
        <v/>
      </c>
      <c r="I558" s="84" t="str">
        <f t="array" ref="I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Asesor'!G558, "")
</f>
        <v/>
      </c>
      <c r="J558" s="84" t="str">
        <f t="array" ref="J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Asesor'!H558, "")
</f>
        <v/>
      </c>
      <c r="K558" s="84" t="str">
        <f t="array" ref="K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Asesor'!K558, "")
</f>
        <v/>
      </c>
      <c r="L558" s="84" t="str">
        <f t="array" ref="L558">IF(OR(
    AND('BD Asesor'!H558="Mensual", MATCH($B$2, {"Enero", "Febrero", "Marzo", "Abril", "Mayo", "Junio", "Julio", "Agosto", "Septiembre", "Octubre", "Noviembre", "Diciembre"}, 0)&gt;=1),
    AND('BD Asesor'!H558="Trimestral", MOD(MATCH($B$2, {"Enero", "Febrero", "Marzo", "Abril", "Mayo", "Junio", "Julio", "Agosto", "Septiembre", "Octubre", "Noviembre"}, 0)-MONTH('BD Asesor'!D558), 3)=0),
    AND('BD Asesor'!H558="Semestral", MOD(MATCH($B$2, {"Enero", "Febrero", "Marzo", "Abril", "Mayo", "Junio", "Julio", "Agosto", "Septiembre", "Octubre", "Noviembre"}, 0)-MONTH('BD Asesor'!D558), 6)=0),
    AND('BD Asesor'!H558="Anual", MONTH('BD Asesor'!D558)=MATCH($B$2, {"Enero", "Febrero", "Marzo", "Abril", "Mayo", "Junio", "Julio", "Agosto", "Septiembre", "Octubre", "Noviembre"}, 0))
), 'BD Asesor'!L558, "")
</f>
        <v/>
      </c>
    </row>
    <row r="559">
      <c r="C559" s="84" t="str">
        <f t="array" ref="C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Asesor'!A559, "")
</f>
        <v/>
      </c>
      <c r="D559" s="84" t="str">
        <f t="array" ref="D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Asesor'!B559, "")
</f>
        <v/>
      </c>
      <c r="E559" s="212" t="str">
        <f t="array" ref="E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Asesor'!C559, "")
</f>
        <v/>
      </c>
      <c r="F559" s="212" t="str">
        <f t="array" ref="F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Asesor'!D559, "")
</f>
        <v/>
      </c>
      <c r="G559" s="212" t="str">
        <f t="array" ref="G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Asesor'!E559, "")
</f>
        <v/>
      </c>
      <c r="H559" s="84" t="str">
        <f t="array" ref="H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Asesor'!F559, "")
</f>
        <v/>
      </c>
      <c r="I559" s="84" t="str">
        <f t="array" ref="I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Asesor'!G559, "")
</f>
        <v/>
      </c>
      <c r="J559" s="84" t="str">
        <f t="array" ref="J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Asesor'!H559, "")
</f>
        <v/>
      </c>
      <c r="K559" s="84" t="str">
        <f t="array" ref="K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Asesor'!K559, "")
</f>
        <v/>
      </c>
      <c r="L559" s="84" t="str">
        <f t="array" ref="L559">IF(OR(
    AND('BD Asesor'!H559="Mensual", MATCH($B$2, {"Enero", "Febrero", "Marzo", "Abril", "Mayo", "Junio", "Julio", "Agosto", "Septiembre", "Octubre", "Noviembre", "Diciembre"}, 0)&gt;=1),
    AND('BD Asesor'!H559="Trimestral", MOD(MATCH($B$2, {"Enero", "Febrero", "Marzo", "Abril", "Mayo", "Junio", "Julio", "Agosto", "Septiembre", "Octubre", "Noviembre"}, 0)-MONTH('BD Asesor'!D559), 3)=0),
    AND('BD Asesor'!H559="Semestral", MOD(MATCH($B$2, {"Enero", "Febrero", "Marzo", "Abril", "Mayo", "Junio", "Julio", "Agosto", "Septiembre", "Octubre", "Noviembre"}, 0)-MONTH('BD Asesor'!D559), 6)=0),
    AND('BD Asesor'!H559="Anual", MONTH('BD Asesor'!D559)=MATCH($B$2, {"Enero", "Febrero", "Marzo", "Abril", "Mayo", "Junio", "Julio", "Agosto", "Septiembre", "Octubre", "Noviembre"}, 0))
), 'BD Asesor'!L559, "")
</f>
        <v/>
      </c>
    </row>
    <row r="560">
      <c r="C560" s="84" t="str">
        <f t="array" ref="C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Asesor'!A560, "")
</f>
        <v/>
      </c>
      <c r="D560" s="84" t="str">
        <f t="array" ref="D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Asesor'!B560, "")
</f>
        <v/>
      </c>
      <c r="E560" s="212" t="str">
        <f t="array" ref="E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Asesor'!C560, "")
</f>
        <v/>
      </c>
      <c r="F560" s="212" t="str">
        <f t="array" ref="F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Asesor'!D560, "")
</f>
        <v/>
      </c>
      <c r="G560" s="212" t="str">
        <f t="array" ref="G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Asesor'!E560, "")
</f>
        <v/>
      </c>
      <c r="H560" s="84" t="str">
        <f t="array" ref="H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Asesor'!F560, "")
</f>
        <v/>
      </c>
      <c r="I560" s="84" t="str">
        <f t="array" ref="I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Asesor'!G560, "")
</f>
        <v/>
      </c>
      <c r="J560" s="84" t="str">
        <f t="array" ref="J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Asesor'!H560, "")
</f>
        <v/>
      </c>
      <c r="K560" s="84" t="str">
        <f t="array" ref="K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Asesor'!K560, "")
</f>
        <v/>
      </c>
      <c r="L560" s="84" t="str">
        <f t="array" ref="L560">IF(OR(
    AND('BD Asesor'!H560="Mensual", MATCH($B$2, {"Enero", "Febrero", "Marzo", "Abril", "Mayo", "Junio", "Julio", "Agosto", "Septiembre", "Octubre", "Noviembre", "Diciembre"}, 0)&gt;=1),
    AND('BD Asesor'!H560="Trimestral", MOD(MATCH($B$2, {"Enero", "Febrero", "Marzo", "Abril", "Mayo", "Junio", "Julio", "Agosto", "Septiembre", "Octubre", "Noviembre"}, 0)-MONTH('BD Asesor'!D560), 3)=0),
    AND('BD Asesor'!H560="Semestral", MOD(MATCH($B$2, {"Enero", "Febrero", "Marzo", "Abril", "Mayo", "Junio", "Julio", "Agosto", "Septiembre", "Octubre", "Noviembre"}, 0)-MONTH('BD Asesor'!D560), 6)=0),
    AND('BD Asesor'!H560="Anual", MONTH('BD Asesor'!D560)=MATCH($B$2, {"Enero", "Febrero", "Marzo", "Abril", "Mayo", "Junio", "Julio", "Agosto", "Septiembre", "Octubre", "Noviembre"}, 0))
), 'BD Asesor'!L560, "")
</f>
        <v/>
      </c>
    </row>
    <row r="561">
      <c r="C561" s="84" t="str">
        <f t="array" ref="C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Asesor'!A561, "")
</f>
        <v/>
      </c>
      <c r="D561" s="84" t="str">
        <f t="array" ref="D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Asesor'!B561, "")
</f>
        <v/>
      </c>
      <c r="E561" s="212" t="str">
        <f t="array" ref="E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Asesor'!C561, "")
</f>
        <v/>
      </c>
      <c r="F561" s="212" t="str">
        <f t="array" ref="F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Asesor'!D561, "")
</f>
        <v/>
      </c>
      <c r="G561" s="212" t="str">
        <f t="array" ref="G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Asesor'!E561, "")
</f>
        <v/>
      </c>
      <c r="H561" s="84" t="str">
        <f t="array" ref="H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Asesor'!F561, "")
</f>
        <v/>
      </c>
      <c r="I561" s="84" t="str">
        <f t="array" ref="I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Asesor'!G561, "")
</f>
        <v/>
      </c>
      <c r="J561" s="84" t="str">
        <f t="array" ref="J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Asesor'!H561, "")
</f>
        <v/>
      </c>
      <c r="K561" s="84" t="str">
        <f t="array" ref="K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Asesor'!K561, "")
</f>
        <v/>
      </c>
      <c r="L561" s="84" t="str">
        <f t="array" ref="L561">IF(OR(
    AND('BD Asesor'!H561="Mensual", MATCH($B$2, {"Enero", "Febrero", "Marzo", "Abril", "Mayo", "Junio", "Julio", "Agosto", "Septiembre", "Octubre", "Noviembre", "Diciembre"}, 0)&gt;=1),
    AND('BD Asesor'!H561="Trimestral", MOD(MATCH($B$2, {"Enero", "Febrero", "Marzo", "Abril", "Mayo", "Junio", "Julio", "Agosto", "Septiembre", "Octubre", "Noviembre"}, 0)-MONTH('BD Asesor'!D561), 3)=0),
    AND('BD Asesor'!H561="Semestral", MOD(MATCH($B$2, {"Enero", "Febrero", "Marzo", "Abril", "Mayo", "Junio", "Julio", "Agosto", "Septiembre", "Octubre", "Noviembre"}, 0)-MONTH('BD Asesor'!D561), 6)=0),
    AND('BD Asesor'!H561="Anual", MONTH('BD Asesor'!D561)=MATCH($B$2, {"Enero", "Febrero", "Marzo", "Abril", "Mayo", "Junio", "Julio", "Agosto", "Septiembre", "Octubre", "Noviembre"}, 0))
), 'BD Asesor'!L561, "")
</f>
        <v/>
      </c>
    </row>
    <row r="562">
      <c r="C562" s="84" t="str">
        <f t="array" ref="C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Asesor'!A562, "")
</f>
        <v/>
      </c>
      <c r="D562" s="84" t="str">
        <f t="array" ref="D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Asesor'!B562, "")
</f>
        <v/>
      </c>
      <c r="E562" s="212" t="str">
        <f t="array" ref="E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Asesor'!C562, "")
</f>
        <v/>
      </c>
      <c r="F562" s="212" t="str">
        <f t="array" ref="F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Asesor'!D562, "")
</f>
        <v/>
      </c>
      <c r="G562" s="212" t="str">
        <f t="array" ref="G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Asesor'!E562, "")
</f>
        <v/>
      </c>
      <c r="H562" s="84" t="str">
        <f t="array" ref="H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Asesor'!F562, "")
</f>
        <v/>
      </c>
      <c r="I562" s="84" t="str">
        <f t="array" ref="I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Asesor'!G562, "")
</f>
        <v/>
      </c>
      <c r="J562" s="84" t="str">
        <f t="array" ref="J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Asesor'!H562, "")
</f>
        <v/>
      </c>
      <c r="K562" s="84" t="str">
        <f t="array" ref="K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Asesor'!K562, "")
</f>
        <v/>
      </c>
      <c r="L562" s="84" t="str">
        <f t="array" ref="L562">IF(OR(
    AND('BD Asesor'!H562="Mensual", MATCH($B$2, {"Enero", "Febrero", "Marzo", "Abril", "Mayo", "Junio", "Julio", "Agosto", "Septiembre", "Octubre", "Noviembre", "Diciembre"}, 0)&gt;=1),
    AND('BD Asesor'!H562="Trimestral", MOD(MATCH($B$2, {"Enero", "Febrero", "Marzo", "Abril", "Mayo", "Junio", "Julio", "Agosto", "Septiembre", "Octubre", "Noviembre"}, 0)-MONTH('BD Asesor'!D562), 3)=0),
    AND('BD Asesor'!H562="Semestral", MOD(MATCH($B$2, {"Enero", "Febrero", "Marzo", "Abril", "Mayo", "Junio", "Julio", "Agosto", "Septiembre", "Octubre", "Noviembre"}, 0)-MONTH('BD Asesor'!D562), 6)=0),
    AND('BD Asesor'!H562="Anual", MONTH('BD Asesor'!D562)=MATCH($B$2, {"Enero", "Febrero", "Marzo", "Abril", "Mayo", "Junio", "Julio", "Agosto", "Septiembre", "Octubre", "Noviembre"}, 0))
), 'BD Asesor'!L562, "")
</f>
        <v/>
      </c>
    </row>
    <row r="563">
      <c r="C563" s="84" t="str">
        <f t="array" ref="C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Asesor'!A563, "")
</f>
        <v/>
      </c>
      <c r="D563" s="84" t="str">
        <f t="array" ref="D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Asesor'!B563, "")
</f>
        <v/>
      </c>
      <c r="E563" s="212" t="str">
        <f t="array" ref="E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Asesor'!C563, "")
</f>
        <v/>
      </c>
      <c r="F563" s="212" t="str">
        <f t="array" ref="F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Asesor'!D563, "")
</f>
        <v/>
      </c>
      <c r="G563" s="212" t="str">
        <f t="array" ref="G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Asesor'!E563, "")
</f>
        <v/>
      </c>
      <c r="H563" s="84" t="str">
        <f t="array" ref="H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Asesor'!F563, "")
</f>
        <v/>
      </c>
      <c r="I563" s="84" t="str">
        <f t="array" ref="I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Asesor'!G563, "")
</f>
        <v/>
      </c>
      <c r="J563" s="84" t="str">
        <f t="array" ref="J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Asesor'!H563, "")
</f>
        <v/>
      </c>
      <c r="K563" s="84" t="str">
        <f t="array" ref="K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Asesor'!K563, "")
</f>
        <v/>
      </c>
      <c r="L563" s="84" t="str">
        <f t="array" ref="L563">IF(OR(
    AND('BD Asesor'!H563="Mensual", MATCH($B$2, {"Enero", "Febrero", "Marzo", "Abril", "Mayo", "Junio", "Julio", "Agosto", "Septiembre", "Octubre", "Noviembre", "Diciembre"}, 0)&gt;=1),
    AND('BD Asesor'!H563="Trimestral", MOD(MATCH($B$2, {"Enero", "Febrero", "Marzo", "Abril", "Mayo", "Junio", "Julio", "Agosto", "Septiembre", "Octubre", "Noviembre"}, 0)-MONTH('BD Asesor'!D563), 3)=0),
    AND('BD Asesor'!H563="Semestral", MOD(MATCH($B$2, {"Enero", "Febrero", "Marzo", "Abril", "Mayo", "Junio", "Julio", "Agosto", "Septiembre", "Octubre", "Noviembre"}, 0)-MONTH('BD Asesor'!D563), 6)=0),
    AND('BD Asesor'!H563="Anual", MONTH('BD Asesor'!D563)=MATCH($B$2, {"Enero", "Febrero", "Marzo", "Abril", "Mayo", "Junio", "Julio", "Agosto", "Septiembre", "Octubre", "Noviembre"}, 0))
), 'BD Asesor'!L563, "")
</f>
        <v/>
      </c>
    </row>
    <row r="564">
      <c r="C564" s="84" t="str">
        <f t="array" ref="C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Asesor'!A564, "")
</f>
        <v/>
      </c>
      <c r="D564" s="84" t="str">
        <f t="array" ref="D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Asesor'!B564, "")
</f>
        <v/>
      </c>
      <c r="E564" s="212" t="str">
        <f t="array" ref="E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Asesor'!C564, "")
</f>
        <v/>
      </c>
      <c r="F564" s="212" t="str">
        <f t="array" ref="F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Asesor'!D564, "")
</f>
        <v/>
      </c>
      <c r="G564" s="212" t="str">
        <f t="array" ref="G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Asesor'!E564, "")
</f>
        <v/>
      </c>
      <c r="H564" s="84" t="str">
        <f t="array" ref="H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Asesor'!F564, "")
</f>
        <v/>
      </c>
      <c r="I564" s="84" t="str">
        <f t="array" ref="I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Asesor'!G564, "")
</f>
        <v/>
      </c>
      <c r="J564" s="84" t="str">
        <f t="array" ref="J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Asesor'!H564, "")
</f>
        <v/>
      </c>
      <c r="K564" s="84" t="str">
        <f t="array" ref="K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Asesor'!K564, "")
</f>
        <v/>
      </c>
      <c r="L564" s="84" t="str">
        <f t="array" ref="L564">IF(OR(
    AND('BD Asesor'!H564="Mensual", MATCH($B$2, {"Enero", "Febrero", "Marzo", "Abril", "Mayo", "Junio", "Julio", "Agosto", "Septiembre", "Octubre", "Noviembre", "Diciembre"}, 0)&gt;=1),
    AND('BD Asesor'!H564="Trimestral", MOD(MATCH($B$2, {"Enero", "Febrero", "Marzo", "Abril", "Mayo", "Junio", "Julio", "Agosto", "Septiembre", "Octubre", "Noviembre"}, 0)-MONTH('BD Asesor'!D564), 3)=0),
    AND('BD Asesor'!H564="Semestral", MOD(MATCH($B$2, {"Enero", "Febrero", "Marzo", "Abril", "Mayo", "Junio", "Julio", "Agosto", "Septiembre", "Octubre", "Noviembre"}, 0)-MONTH('BD Asesor'!D564), 6)=0),
    AND('BD Asesor'!H564="Anual", MONTH('BD Asesor'!D564)=MATCH($B$2, {"Enero", "Febrero", "Marzo", "Abril", "Mayo", "Junio", "Julio", "Agosto", "Septiembre", "Octubre", "Noviembre"}, 0))
), 'BD Asesor'!L564, "")
</f>
        <v/>
      </c>
    </row>
    <row r="565">
      <c r="C565" s="84" t="str">
        <f t="array" ref="C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Asesor'!A565, "")
</f>
        <v/>
      </c>
      <c r="D565" s="84" t="str">
        <f t="array" ref="D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Asesor'!B565, "")
</f>
        <v/>
      </c>
      <c r="E565" s="212" t="str">
        <f t="array" ref="E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Asesor'!C565, "")
</f>
        <v/>
      </c>
      <c r="F565" s="212" t="str">
        <f t="array" ref="F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Asesor'!D565, "")
</f>
        <v/>
      </c>
      <c r="G565" s="212" t="str">
        <f t="array" ref="G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Asesor'!E565, "")
</f>
        <v/>
      </c>
      <c r="H565" s="84" t="str">
        <f t="array" ref="H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Asesor'!F565, "")
</f>
        <v/>
      </c>
      <c r="I565" s="84" t="str">
        <f t="array" ref="I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Asesor'!G565, "")
</f>
        <v/>
      </c>
      <c r="J565" s="84" t="str">
        <f t="array" ref="J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Asesor'!H565, "")
</f>
        <v/>
      </c>
      <c r="K565" s="84" t="str">
        <f t="array" ref="K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Asesor'!K565, "")
</f>
        <v/>
      </c>
      <c r="L565" s="84" t="str">
        <f t="array" ref="L565">IF(OR(
    AND('BD Asesor'!H565="Mensual", MATCH($B$2, {"Enero", "Febrero", "Marzo", "Abril", "Mayo", "Junio", "Julio", "Agosto", "Septiembre", "Octubre", "Noviembre", "Diciembre"}, 0)&gt;=1),
    AND('BD Asesor'!H565="Trimestral", MOD(MATCH($B$2, {"Enero", "Febrero", "Marzo", "Abril", "Mayo", "Junio", "Julio", "Agosto", "Septiembre", "Octubre", "Noviembre"}, 0)-MONTH('BD Asesor'!D565), 3)=0),
    AND('BD Asesor'!H565="Semestral", MOD(MATCH($B$2, {"Enero", "Febrero", "Marzo", "Abril", "Mayo", "Junio", "Julio", "Agosto", "Septiembre", "Octubre", "Noviembre"}, 0)-MONTH('BD Asesor'!D565), 6)=0),
    AND('BD Asesor'!H565="Anual", MONTH('BD Asesor'!D565)=MATCH($B$2, {"Enero", "Febrero", "Marzo", "Abril", "Mayo", "Junio", "Julio", "Agosto", "Septiembre", "Octubre", "Noviembre"}, 0))
), 'BD Asesor'!L565, "")
</f>
        <v/>
      </c>
    </row>
    <row r="566">
      <c r="C566" s="84" t="str">
        <f t="array" ref="C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Asesor'!A566, "")
</f>
        <v/>
      </c>
      <c r="D566" s="84" t="str">
        <f t="array" ref="D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Asesor'!B566, "")
</f>
        <v/>
      </c>
      <c r="E566" s="212" t="str">
        <f t="array" ref="E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Asesor'!C566, "")
</f>
        <v/>
      </c>
      <c r="F566" s="212" t="str">
        <f t="array" ref="F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Asesor'!D566, "")
</f>
        <v/>
      </c>
      <c r="G566" s="212" t="str">
        <f t="array" ref="G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Asesor'!E566, "")
</f>
        <v/>
      </c>
      <c r="H566" s="84" t="str">
        <f t="array" ref="H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Asesor'!F566, "")
</f>
        <v/>
      </c>
      <c r="I566" s="84" t="str">
        <f t="array" ref="I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Asesor'!G566, "")
</f>
        <v/>
      </c>
      <c r="J566" s="84" t="str">
        <f t="array" ref="J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Asesor'!H566, "")
</f>
        <v/>
      </c>
      <c r="K566" s="84" t="str">
        <f t="array" ref="K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Asesor'!K566, "")
</f>
        <v/>
      </c>
      <c r="L566" s="84" t="str">
        <f t="array" ref="L566">IF(OR(
    AND('BD Asesor'!H566="Mensual", MATCH($B$2, {"Enero", "Febrero", "Marzo", "Abril", "Mayo", "Junio", "Julio", "Agosto", "Septiembre", "Octubre", "Noviembre", "Diciembre"}, 0)&gt;=1),
    AND('BD Asesor'!H566="Trimestral", MOD(MATCH($B$2, {"Enero", "Febrero", "Marzo", "Abril", "Mayo", "Junio", "Julio", "Agosto", "Septiembre", "Octubre", "Noviembre"}, 0)-MONTH('BD Asesor'!D566), 3)=0),
    AND('BD Asesor'!H566="Semestral", MOD(MATCH($B$2, {"Enero", "Febrero", "Marzo", "Abril", "Mayo", "Junio", "Julio", "Agosto", "Septiembre", "Octubre", "Noviembre"}, 0)-MONTH('BD Asesor'!D566), 6)=0),
    AND('BD Asesor'!H566="Anual", MONTH('BD Asesor'!D566)=MATCH($B$2, {"Enero", "Febrero", "Marzo", "Abril", "Mayo", "Junio", "Julio", "Agosto", "Septiembre", "Octubre", "Noviembre"}, 0))
), 'BD Asesor'!L566, "")
</f>
        <v/>
      </c>
    </row>
    <row r="567">
      <c r="C567" s="84" t="str">
        <f t="array" ref="C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Asesor'!A567, "")
</f>
        <v/>
      </c>
      <c r="D567" s="84" t="str">
        <f t="array" ref="D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Asesor'!B567, "")
</f>
        <v/>
      </c>
      <c r="E567" s="212" t="str">
        <f t="array" ref="E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Asesor'!C567, "")
</f>
        <v/>
      </c>
      <c r="F567" s="212" t="str">
        <f t="array" ref="F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Asesor'!D567, "")
</f>
        <v/>
      </c>
      <c r="G567" s="212" t="str">
        <f t="array" ref="G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Asesor'!E567, "")
</f>
        <v/>
      </c>
      <c r="H567" s="84" t="str">
        <f t="array" ref="H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Asesor'!F567, "")
</f>
        <v/>
      </c>
      <c r="I567" s="84" t="str">
        <f t="array" ref="I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Asesor'!G567, "")
</f>
        <v/>
      </c>
      <c r="J567" s="84" t="str">
        <f t="array" ref="J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Asesor'!H567, "")
</f>
        <v/>
      </c>
      <c r="K567" s="84" t="str">
        <f t="array" ref="K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Asesor'!K567, "")
</f>
        <v/>
      </c>
      <c r="L567" s="84" t="str">
        <f t="array" ref="L567">IF(OR(
    AND('BD Asesor'!H567="Mensual", MATCH($B$2, {"Enero", "Febrero", "Marzo", "Abril", "Mayo", "Junio", "Julio", "Agosto", "Septiembre", "Octubre", "Noviembre", "Diciembre"}, 0)&gt;=1),
    AND('BD Asesor'!H567="Trimestral", MOD(MATCH($B$2, {"Enero", "Febrero", "Marzo", "Abril", "Mayo", "Junio", "Julio", "Agosto", "Septiembre", "Octubre", "Noviembre"}, 0)-MONTH('BD Asesor'!D567), 3)=0),
    AND('BD Asesor'!H567="Semestral", MOD(MATCH($B$2, {"Enero", "Febrero", "Marzo", "Abril", "Mayo", "Junio", "Julio", "Agosto", "Septiembre", "Octubre", "Noviembre"}, 0)-MONTH('BD Asesor'!D567), 6)=0),
    AND('BD Asesor'!H567="Anual", MONTH('BD Asesor'!D567)=MATCH($B$2, {"Enero", "Febrero", "Marzo", "Abril", "Mayo", "Junio", "Julio", "Agosto", "Septiembre", "Octubre", "Noviembre"}, 0))
), 'BD Asesor'!L567, "")
</f>
        <v/>
      </c>
    </row>
    <row r="568">
      <c r="C568" s="84" t="str">
        <f t="array" ref="C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Asesor'!A568, "")
</f>
        <v/>
      </c>
      <c r="D568" s="84" t="str">
        <f t="array" ref="D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Asesor'!B568, "")
</f>
        <v/>
      </c>
      <c r="E568" s="212" t="str">
        <f t="array" ref="E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Asesor'!C568, "")
</f>
        <v/>
      </c>
      <c r="F568" s="212" t="str">
        <f t="array" ref="F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Asesor'!D568, "")
</f>
        <v/>
      </c>
      <c r="G568" s="212" t="str">
        <f t="array" ref="G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Asesor'!E568, "")
</f>
        <v/>
      </c>
      <c r="H568" s="84" t="str">
        <f t="array" ref="H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Asesor'!F568, "")
</f>
        <v/>
      </c>
      <c r="I568" s="84" t="str">
        <f t="array" ref="I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Asesor'!G568, "")
</f>
        <v/>
      </c>
      <c r="J568" s="84" t="str">
        <f t="array" ref="J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Asesor'!H568, "")
</f>
        <v/>
      </c>
      <c r="K568" s="84" t="str">
        <f t="array" ref="K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Asesor'!K568, "")
</f>
        <v/>
      </c>
      <c r="L568" s="84" t="str">
        <f t="array" ref="L568">IF(OR(
    AND('BD Asesor'!H568="Mensual", MATCH($B$2, {"Enero", "Febrero", "Marzo", "Abril", "Mayo", "Junio", "Julio", "Agosto", "Septiembre", "Octubre", "Noviembre", "Diciembre"}, 0)&gt;=1),
    AND('BD Asesor'!H568="Trimestral", MOD(MATCH($B$2, {"Enero", "Febrero", "Marzo", "Abril", "Mayo", "Junio", "Julio", "Agosto", "Septiembre", "Octubre", "Noviembre"}, 0)-MONTH('BD Asesor'!D568), 3)=0),
    AND('BD Asesor'!H568="Semestral", MOD(MATCH($B$2, {"Enero", "Febrero", "Marzo", "Abril", "Mayo", "Junio", "Julio", "Agosto", "Septiembre", "Octubre", "Noviembre"}, 0)-MONTH('BD Asesor'!D568), 6)=0),
    AND('BD Asesor'!H568="Anual", MONTH('BD Asesor'!D568)=MATCH($B$2, {"Enero", "Febrero", "Marzo", "Abril", "Mayo", "Junio", "Julio", "Agosto", "Septiembre", "Octubre", "Noviembre"}, 0))
), 'BD Asesor'!L568, "")
</f>
        <v/>
      </c>
    </row>
    <row r="569">
      <c r="C569" s="84" t="str">
        <f t="array" ref="C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Asesor'!A569, "")
</f>
        <v/>
      </c>
      <c r="D569" s="84" t="str">
        <f t="array" ref="D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Asesor'!B569, "")
</f>
        <v/>
      </c>
      <c r="E569" s="212" t="str">
        <f t="array" ref="E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Asesor'!C569, "")
</f>
        <v/>
      </c>
      <c r="F569" s="212" t="str">
        <f t="array" ref="F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Asesor'!D569, "")
</f>
        <v/>
      </c>
      <c r="G569" s="212" t="str">
        <f t="array" ref="G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Asesor'!E569, "")
</f>
        <v/>
      </c>
      <c r="H569" s="84" t="str">
        <f t="array" ref="H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Asesor'!F569, "")
</f>
        <v/>
      </c>
      <c r="I569" s="84" t="str">
        <f t="array" ref="I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Asesor'!G569, "")
</f>
        <v/>
      </c>
      <c r="J569" s="84" t="str">
        <f t="array" ref="J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Asesor'!H569, "")
</f>
        <v/>
      </c>
      <c r="K569" s="84" t="str">
        <f t="array" ref="K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Asesor'!K569, "")
</f>
        <v/>
      </c>
      <c r="L569" s="84" t="str">
        <f t="array" ref="L569">IF(OR(
    AND('BD Asesor'!H569="Mensual", MATCH($B$2, {"Enero", "Febrero", "Marzo", "Abril", "Mayo", "Junio", "Julio", "Agosto", "Septiembre", "Octubre", "Noviembre", "Diciembre"}, 0)&gt;=1),
    AND('BD Asesor'!H569="Trimestral", MOD(MATCH($B$2, {"Enero", "Febrero", "Marzo", "Abril", "Mayo", "Junio", "Julio", "Agosto", "Septiembre", "Octubre", "Noviembre"}, 0)-MONTH('BD Asesor'!D569), 3)=0),
    AND('BD Asesor'!H569="Semestral", MOD(MATCH($B$2, {"Enero", "Febrero", "Marzo", "Abril", "Mayo", "Junio", "Julio", "Agosto", "Septiembre", "Octubre", "Noviembre"}, 0)-MONTH('BD Asesor'!D569), 6)=0),
    AND('BD Asesor'!H569="Anual", MONTH('BD Asesor'!D569)=MATCH($B$2, {"Enero", "Febrero", "Marzo", "Abril", "Mayo", "Junio", "Julio", "Agosto", "Septiembre", "Octubre", "Noviembre"}, 0))
), 'BD Asesor'!L569, "")
</f>
        <v/>
      </c>
    </row>
    <row r="570">
      <c r="C570" s="84" t="str">
        <f t="array" ref="C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Asesor'!A570, "")
</f>
        <v/>
      </c>
      <c r="D570" s="84" t="str">
        <f t="array" ref="D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Asesor'!B570, "")
</f>
        <v/>
      </c>
      <c r="E570" s="212" t="str">
        <f t="array" ref="E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Asesor'!C570, "")
</f>
        <v/>
      </c>
      <c r="F570" s="212" t="str">
        <f t="array" ref="F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Asesor'!D570, "")
</f>
        <v/>
      </c>
      <c r="G570" s="212" t="str">
        <f t="array" ref="G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Asesor'!E570, "")
</f>
        <v/>
      </c>
      <c r="H570" s="84" t="str">
        <f t="array" ref="H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Asesor'!F570, "")
</f>
        <v/>
      </c>
      <c r="I570" s="84" t="str">
        <f t="array" ref="I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Asesor'!G570, "")
</f>
        <v/>
      </c>
      <c r="J570" s="84" t="str">
        <f t="array" ref="J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Asesor'!H570, "")
</f>
        <v/>
      </c>
      <c r="K570" s="84" t="str">
        <f t="array" ref="K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Asesor'!K570, "")
</f>
        <v/>
      </c>
      <c r="L570" s="84" t="str">
        <f t="array" ref="L570">IF(OR(
    AND('BD Asesor'!H570="Mensual", MATCH($B$2, {"Enero", "Febrero", "Marzo", "Abril", "Mayo", "Junio", "Julio", "Agosto", "Septiembre", "Octubre", "Noviembre", "Diciembre"}, 0)&gt;=1),
    AND('BD Asesor'!H570="Trimestral", MOD(MATCH($B$2, {"Enero", "Febrero", "Marzo", "Abril", "Mayo", "Junio", "Julio", "Agosto", "Septiembre", "Octubre", "Noviembre"}, 0)-MONTH('BD Asesor'!D570), 3)=0),
    AND('BD Asesor'!H570="Semestral", MOD(MATCH($B$2, {"Enero", "Febrero", "Marzo", "Abril", "Mayo", "Junio", "Julio", "Agosto", "Septiembre", "Octubre", "Noviembre"}, 0)-MONTH('BD Asesor'!D570), 6)=0),
    AND('BD Asesor'!H570="Anual", MONTH('BD Asesor'!D570)=MATCH($B$2, {"Enero", "Febrero", "Marzo", "Abril", "Mayo", "Junio", "Julio", "Agosto", "Septiembre", "Octubre", "Noviembre"}, 0))
), 'BD Asesor'!L570, "")
</f>
        <v/>
      </c>
    </row>
    <row r="571">
      <c r="C571" s="84" t="str">
        <f t="array" ref="C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Asesor'!A571, "")
</f>
        <v/>
      </c>
      <c r="D571" s="84" t="str">
        <f t="array" ref="D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Asesor'!B571, "")
</f>
        <v/>
      </c>
      <c r="E571" s="212" t="str">
        <f t="array" ref="E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Asesor'!C571, "")
</f>
        <v/>
      </c>
      <c r="F571" s="212" t="str">
        <f t="array" ref="F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Asesor'!D571, "")
</f>
        <v/>
      </c>
      <c r="G571" s="212" t="str">
        <f t="array" ref="G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Asesor'!E571, "")
</f>
        <v/>
      </c>
      <c r="H571" s="84" t="str">
        <f t="array" ref="H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Asesor'!F571, "")
</f>
        <v/>
      </c>
      <c r="I571" s="84" t="str">
        <f t="array" ref="I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Asesor'!G571, "")
</f>
        <v/>
      </c>
      <c r="J571" s="84" t="str">
        <f t="array" ref="J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Asesor'!H571, "")
</f>
        <v/>
      </c>
      <c r="K571" s="84" t="str">
        <f t="array" ref="K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Asesor'!K571, "")
</f>
        <v/>
      </c>
      <c r="L571" s="84" t="str">
        <f t="array" ref="L571">IF(OR(
    AND('BD Asesor'!H571="Mensual", MATCH($B$2, {"Enero", "Febrero", "Marzo", "Abril", "Mayo", "Junio", "Julio", "Agosto", "Septiembre", "Octubre", "Noviembre", "Diciembre"}, 0)&gt;=1),
    AND('BD Asesor'!H571="Trimestral", MOD(MATCH($B$2, {"Enero", "Febrero", "Marzo", "Abril", "Mayo", "Junio", "Julio", "Agosto", "Septiembre", "Octubre", "Noviembre"}, 0)-MONTH('BD Asesor'!D571), 3)=0),
    AND('BD Asesor'!H571="Semestral", MOD(MATCH($B$2, {"Enero", "Febrero", "Marzo", "Abril", "Mayo", "Junio", "Julio", "Agosto", "Septiembre", "Octubre", "Noviembre"}, 0)-MONTH('BD Asesor'!D571), 6)=0),
    AND('BD Asesor'!H571="Anual", MONTH('BD Asesor'!D571)=MATCH($B$2, {"Enero", "Febrero", "Marzo", "Abril", "Mayo", "Junio", "Julio", "Agosto", "Septiembre", "Octubre", "Noviembre"}, 0))
), 'BD Asesor'!L571, "")
</f>
        <v/>
      </c>
    </row>
    <row r="572">
      <c r="C572" s="84" t="str">
        <f t="array" ref="C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Asesor'!A572, "")
</f>
        <v/>
      </c>
      <c r="D572" s="84" t="str">
        <f t="array" ref="D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Asesor'!B572, "")
</f>
        <v/>
      </c>
      <c r="E572" s="212" t="str">
        <f t="array" ref="E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Asesor'!C572, "")
</f>
        <v/>
      </c>
      <c r="F572" s="212" t="str">
        <f t="array" ref="F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Asesor'!D572, "")
</f>
        <v/>
      </c>
      <c r="G572" s="212" t="str">
        <f t="array" ref="G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Asesor'!E572, "")
</f>
        <v/>
      </c>
      <c r="H572" s="84" t="str">
        <f t="array" ref="H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Asesor'!F572, "")
</f>
        <v/>
      </c>
      <c r="I572" s="84" t="str">
        <f t="array" ref="I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Asesor'!G572, "")
</f>
        <v/>
      </c>
      <c r="J572" s="84" t="str">
        <f t="array" ref="J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Asesor'!H572, "")
</f>
        <v/>
      </c>
      <c r="K572" s="84" t="str">
        <f t="array" ref="K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Asesor'!K572, "")
</f>
        <v/>
      </c>
      <c r="L572" s="84" t="str">
        <f t="array" ref="L572">IF(OR(
    AND('BD Asesor'!H572="Mensual", MATCH($B$2, {"Enero", "Febrero", "Marzo", "Abril", "Mayo", "Junio", "Julio", "Agosto", "Septiembre", "Octubre", "Noviembre", "Diciembre"}, 0)&gt;=1),
    AND('BD Asesor'!H572="Trimestral", MOD(MATCH($B$2, {"Enero", "Febrero", "Marzo", "Abril", "Mayo", "Junio", "Julio", "Agosto", "Septiembre", "Octubre", "Noviembre"}, 0)-MONTH('BD Asesor'!D572), 3)=0),
    AND('BD Asesor'!H572="Semestral", MOD(MATCH($B$2, {"Enero", "Febrero", "Marzo", "Abril", "Mayo", "Junio", "Julio", "Agosto", "Septiembre", "Octubre", "Noviembre"}, 0)-MONTH('BD Asesor'!D572), 6)=0),
    AND('BD Asesor'!H572="Anual", MONTH('BD Asesor'!D572)=MATCH($B$2, {"Enero", "Febrero", "Marzo", "Abril", "Mayo", "Junio", "Julio", "Agosto", "Septiembre", "Octubre", "Noviembre"}, 0))
), 'BD Asesor'!L572, "")
</f>
        <v/>
      </c>
    </row>
    <row r="573">
      <c r="C573" s="84" t="str">
        <f t="array" ref="C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Asesor'!A573, "")
</f>
        <v/>
      </c>
      <c r="D573" s="84" t="str">
        <f t="array" ref="D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Asesor'!B573, "")
</f>
        <v/>
      </c>
      <c r="E573" s="212" t="str">
        <f t="array" ref="E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Asesor'!C573, "")
</f>
        <v/>
      </c>
      <c r="F573" s="212" t="str">
        <f t="array" ref="F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Asesor'!D573, "")
</f>
        <v/>
      </c>
      <c r="G573" s="212" t="str">
        <f t="array" ref="G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Asesor'!E573, "")
</f>
        <v/>
      </c>
      <c r="H573" s="84" t="str">
        <f t="array" ref="H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Asesor'!F573, "")
</f>
        <v/>
      </c>
      <c r="I573" s="84" t="str">
        <f t="array" ref="I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Asesor'!G573, "")
</f>
        <v/>
      </c>
      <c r="J573" s="84" t="str">
        <f t="array" ref="J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Asesor'!H573, "")
</f>
        <v/>
      </c>
      <c r="K573" s="84" t="str">
        <f t="array" ref="K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Asesor'!K573, "")
</f>
        <v/>
      </c>
      <c r="L573" s="84" t="str">
        <f t="array" ref="L573">IF(OR(
    AND('BD Asesor'!H573="Mensual", MATCH($B$2, {"Enero", "Febrero", "Marzo", "Abril", "Mayo", "Junio", "Julio", "Agosto", "Septiembre", "Octubre", "Noviembre", "Diciembre"}, 0)&gt;=1),
    AND('BD Asesor'!H573="Trimestral", MOD(MATCH($B$2, {"Enero", "Febrero", "Marzo", "Abril", "Mayo", "Junio", "Julio", "Agosto", "Septiembre", "Octubre", "Noviembre"}, 0)-MONTH('BD Asesor'!D573), 3)=0),
    AND('BD Asesor'!H573="Semestral", MOD(MATCH($B$2, {"Enero", "Febrero", "Marzo", "Abril", "Mayo", "Junio", "Julio", "Agosto", "Septiembre", "Octubre", "Noviembre"}, 0)-MONTH('BD Asesor'!D573), 6)=0),
    AND('BD Asesor'!H573="Anual", MONTH('BD Asesor'!D573)=MATCH($B$2, {"Enero", "Febrero", "Marzo", "Abril", "Mayo", "Junio", "Julio", "Agosto", "Septiembre", "Octubre", "Noviembre"}, 0))
), 'BD Asesor'!L573, "")
</f>
        <v/>
      </c>
    </row>
    <row r="574">
      <c r="C574" s="84" t="str">
        <f t="array" ref="C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Asesor'!A574, "")
</f>
        <v/>
      </c>
      <c r="D574" s="84" t="str">
        <f t="array" ref="D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Asesor'!B574, "")
</f>
        <v/>
      </c>
      <c r="E574" s="212" t="str">
        <f t="array" ref="E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Asesor'!C574, "")
</f>
        <v/>
      </c>
      <c r="F574" s="212" t="str">
        <f t="array" ref="F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Asesor'!D574, "")
</f>
        <v/>
      </c>
      <c r="G574" s="212" t="str">
        <f t="array" ref="G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Asesor'!E574, "")
</f>
        <v/>
      </c>
      <c r="H574" s="84" t="str">
        <f t="array" ref="H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Asesor'!F574, "")
</f>
        <v/>
      </c>
      <c r="I574" s="84" t="str">
        <f t="array" ref="I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Asesor'!G574, "")
</f>
        <v/>
      </c>
      <c r="J574" s="84" t="str">
        <f t="array" ref="J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Asesor'!H574, "")
</f>
        <v/>
      </c>
      <c r="K574" s="84" t="str">
        <f t="array" ref="K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Asesor'!K574, "")
</f>
        <v/>
      </c>
      <c r="L574" s="84" t="str">
        <f t="array" ref="L574">IF(OR(
    AND('BD Asesor'!H574="Mensual", MATCH($B$2, {"Enero", "Febrero", "Marzo", "Abril", "Mayo", "Junio", "Julio", "Agosto", "Septiembre", "Octubre", "Noviembre", "Diciembre"}, 0)&gt;=1),
    AND('BD Asesor'!H574="Trimestral", MOD(MATCH($B$2, {"Enero", "Febrero", "Marzo", "Abril", "Mayo", "Junio", "Julio", "Agosto", "Septiembre", "Octubre", "Noviembre"}, 0)-MONTH('BD Asesor'!D574), 3)=0),
    AND('BD Asesor'!H574="Semestral", MOD(MATCH($B$2, {"Enero", "Febrero", "Marzo", "Abril", "Mayo", "Junio", "Julio", "Agosto", "Septiembre", "Octubre", "Noviembre"}, 0)-MONTH('BD Asesor'!D574), 6)=0),
    AND('BD Asesor'!H574="Anual", MONTH('BD Asesor'!D574)=MATCH($B$2, {"Enero", "Febrero", "Marzo", "Abril", "Mayo", "Junio", "Julio", "Agosto", "Septiembre", "Octubre", "Noviembre"}, 0))
), 'BD Asesor'!L574, "")
</f>
        <v/>
      </c>
    </row>
    <row r="575">
      <c r="C575" s="84" t="str">
        <f t="array" ref="C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Asesor'!A575, "")
</f>
        <v/>
      </c>
      <c r="D575" s="84" t="str">
        <f t="array" ref="D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Asesor'!B575, "")
</f>
        <v/>
      </c>
      <c r="E575" s="212" t="str">
        <f t="array" ref="E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Asesor'!C575, "")
</f>
        <v/>
      </c>
      <c r="F575" s="212" t="str">
        <f t="array" ref="F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Asesor'!D575, "")
</f>
        <v/>
      </c>
      <c r="G575" s="212" t="str">
        <f t="array" ref="G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Asesor'!E575, "")
</f>
        <v/>
      </c>
      <c r="H575" s="84" t="str">
        <f t="array" ref="H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Asesor'!F575, "")
</f>
        <v/>
      </c>
      <c r="I575" s="84" t="str">
        <f t="array" ref="I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Asesor'!G575, "")
</f>
        <v/>
      </c>
      <c r="J575" s="84" t="str">
        <f t="array" ref="J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Asesor'!H575, "")
</f>
        <v/>
      </c>
      <c r="K575" s="84" t="str">
        <f t="array" ref="K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Asesor'!K575, "")
</f>
        <v/>
      </c>
      <c r="L575" s="84" t="str">
        <f t="array" ref="L575">IF(OR(
    AND('BD Asesor'!H575="Mensual", MATCH($B$2, {"Enero", "Febrero", "Marzo", "Abril", "Mayo", "Junio", "Julio", "Agosto", "Septiembre", "Octubre", "Noviembre", "Diciembre"}, 0)&gt;=1),
    AND('BD Asesor'!H575="Trimestral", MOD(MATCH($B$2, {"Enero", "Febrero", "Marzo", "Abril", "Mayo", "Junio", "Julio", "Agosto", "Septiembre", "Octubre", "Noviembre"}, 0)-MONTH('BD Asesor'!D575), 3)=0),
    AND('BD Asesor'!H575="Semestral", MOD(MATCH($B$2, {"Enero", "Febrero", "Marzo", "Abril", "Mayo", "Junio", "Julio", "Agosto", "Septiembre", "Octubre", "Noviembre"}, 0)-MONTH('BD Asesor'!D575), 6)=0),
    AND('BD Asesor'!H575="Anual", MONTH('BD Asesor'!D575)=MATCH($B$2, {"Enero", "Febrero", "Marzo", "Abril", "Mayo", "Junio", "Julio", "Agosto", "Septiembre", "Octubre", "Noviembre"}, 0))
), 'BD Asesor'!L575, "")
</f>
        <v/>
      </c>
    </row>
    <row r="576">
      <c r="C576" s="84" t="str">
        <f t="array" ref="C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Asesor'!A576, "")
</f>
        <v/>
      </c>
      <c r="D576" s="84" t="str">
        <f t="array" ref="D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Asesor'!B576, "")
</f>
        <v/>
      </c>
      <c r="E576" s="212" t="str">
        <f t="array" ref="E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Asesor'!C576, "")
</f>
        <v/>
      </c>
      <c r="F576" s="212" t="str">
        <f t="array" ref="F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Asesor'!D576, "")
</f>
        <v/>
      </c>
      <c r="G576" s="212" t="str">
        <f t="array" ref="G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Asesor'!E576, "")
</f>
        <v/>
      </c>
      <c r="H576" s="84" t="str">
        <f t="array" ref="H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Asesor'!F576, "")
</f>
        <v/>
      </c>
      <c r="I576" s="84" t="str">
        <f t="array" ref="I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Asesor'!G576, "")
</f>
        <v/>
      </c>
      <c r="J576" s="84" t="str">
        <f t="array" ref="J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Asesor'!H576, "")
</f>
        <v/>
      </c>
      <c r="K576" s="84" t="str">
        <f t="array" ref="K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Asesor'!K576, "")
</f>
        <v/>
      </c>
      <c r="L576" s="84" t="str">
        <f t="array" ref="L576">IF(OR(
    AND('BD Asesor'!H576="Mensual", MATCH($B$2, {"Enero", "Febrero", "Marzo", "Abril", "Mayo", "Junio", "Julio", "Agosto", "Septiembre", "Octubre", "Noviembre", "Diciembre"}, 0)&gt;=1),
    AND('BD Asesor'!H576="Trimestral", MOD(MATCH($B$2, {"Enero", "Febrero", "Marzo", "Abril", "Mayo", "Junio", "Julio", "Agosto", "Septiembre", "Octubre", "Noviembre"}, 0)-MONTH('BD Asesor'!D576), 3)=0),
    AND('BD Asesor'!H576="Semestral", MOD(MATCH($B$2, {"Enero", "Febrero", "Marzo", "Abril", "Mayo", "Junio", "Julio", "Agosto", "Septiembre", "Octubre", "Noviembre"}, 0)-MONTH('BD Asesor'!D576), 6)=0),
    AND('BD Asesor'!H576="Anual", MONTH('BD Asesor'!D576)=MATCH($B$2, {"Enero", "Febrero", "Marzo", "Abril", "Mayo", "Junio", "Julio", "Agosto", "Septiembre", "Octubre", "Noviembre"}, 0))
), 'BD Asesor'!L576, "")
</f>
        <v/>
      </c>
    </row>
    <row r="577">
      <c r="C577" s="84" t="str">
        <f t="array" ref="C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Asesor'!A577, "")
</f>
        <v/>
      </c>
      <c r="D577" s="84" t="str">
        <f t="array" ref="D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Asesor'!B577, "")
</f>
        <v/>
      </c>
      <c r="E577" s="212" t="str">
        <f t="array" ref="E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Asesor'!C577, "")
</f>
        <v/>
      </c>
      <c r="F577" s="212" t="str">
        <f t="array" ref="F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Asesor'!D577, "")
</f>
        <v/>
      </c>
      <c r="G577" s="212" t="str">
        <f t="array" ref="G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Asesor'!E577, "")
</f>
        <v/>
      </c>
      <c r="H577" s="84" t="str">
        <f t="array" ref="H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Asesor'!F577, "")
</f>
        <v/>
      </c>
      <c r="I577" s="84" t="str">
        <f t="array" ref="I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Asesor'!G577, "")
</f>
        <v/>
      </c>
      <c r="J577" s="84" t="str">
        <f t="array" ref="J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Asesor'!H577, "")
</f>
        <v/>
      </c>
      <c r="K577" s="84" t="str">
        <f t="array" ref="K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Asesor'!K577, "")
</f>
        <v/>
      </c>
      <c r="L577" s="84" t="str">
        <f t="array" ref="L577">IF(OR(
    AND('BD Asesor'!H577="Mensual", MATCH($B$2, {"Enero", "Febrero", "Marzo", "Abril", "Mayo", "Junio", "Julio", "Agosto", "Septiembre", "Octubre", "Noviembre", "Diciembre"}, 0)&gt;=1),
    AND('BD Asesor'!H577="Trimestral", MOD(MATCH($B$2, {"Enero", "Febrero", "Marzo", "Abril", "Mayo", "Junio", "Julio", "Agosto", "Septiembre", "Octubre", "Noviembre"}, 0)-MONTH('BD Asesor'!D577), 3)=0),
    AND('BD Asesor'!H577="Semestral", MOD(MATCH($B$2, {"Enero", "Febrero", "Marzo", "Abril", "Mayo", "Junio", "Julio", "Agosto", "Septiembre", "Octubre", "Noviembre"}, 0)-MONTH('BD Asesor'!D577), 6)=0),
    AND('BD Asesor'!H577="Anual", MONTH('BD Asesor'!D577)=MATCH($B$2, {"Enero", "Febrero", "Marzo", "Abril", "Mayo", "Junio", "Julio", "Agosto", "Septiembre", "Octubre", "Noviembre"}, 0))
), 'BD Asesor'!L577, "")
</f>
        <v/>
      </c>
    </row>
    <row r="578">
      <c r="C578" s="84" t="str">
        <f t="array" ref="C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Asesor'!A578, "")
</f>
        <v/>
      </c>
      <c r="D578" s="84" t="str">
        <f t="array" ref="D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Asesor'!B578, "")
</f>
        <v/>
      </c>
      <c r="E578" s="212" t="str">
        <f t="array" ref="E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Asesor'!C578, "")
</f>
        <v/>
      </c>
      <c r="F578" s="212" t="str">
        <f t="array" ref="F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Asesor'!D578, "")
</f>
        <v/>
      </c>
      <c r="G578" s="212" t="str">
        <f t="array" ref="G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Asesor'!E578, "")
</f>
        <v/>
      </c>
      <c r="H578" s="84" t="str">
        <f t="array" ref="H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Asesor'!F578, "")
</f>
        <v/>
      </c>
      <c r="I578" s="84" t="str">
        <f t="array" ref="I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Asesor'!G578, "")
</f>
        <v/>
      </c>
      <c r="J578" s="84" t="str">
        <f t="array" ref="J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Asesor'!H578, "")
</f>
        <v/>
      </c>
      <c r="K578" s="84" t="str">
        <f t="array" ref="K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Asesor'!K578, "")
</f>
        <v/>
      </c>
      <c r="L578" s="84" t="str">
        <f t="array" ref="L578">IF(OR(
    AND('BD Asesor'!H578="Mensual", MATCH($B$2, {"Enero", "Febrero", "Marzo", "Abril", "Mayo", "Junio", "Julio", "Agosto", "Septiembre", "Octubre", "Noviembre", "Diciembre"}, 0)&gt;=1),
    AND('BD Asesor'!H578="Trimestral", MOD(MATCH($B$2, {"Enero", "Febrero", "Marzo", "Abril", "Mayo", "Junio", "Julio", "Agosto", "Septiembre", "Octubre", "Noviembre"}, 0)-MONTH('BD Asesor'!D578), 3)=0),
    AND('BD Asesor'!H578="Semestral", MOD(MATCH($B$2, {"Enero", "Febrero", "Marzo", "Abril", "Mayo", "Junio", "Julio", "Agosto", "Septiembre", "Octubre", "Noviembre"}, 0)-MONTH('BD Asesor'!D578), 6)=0),
    AND('BD Asesor'!H578="Anual", MONTH('BD Asesor'!D578)=MATCH($B$2, {"Enero", "Febrero", "Marzo", "Abril", "Mayo", "Junio", "Julio", "Agosto", "Septiembre", "Octubre", "Noviembre"}, 0))
), 'BD Asesor'!L578, "")
</f>
        <v/>
      </c>
    </row>
    <row r="579">
      <c r="C579" s="84" t="str">
        <f t="array" ref="C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Asesor'!A579, "")
</f>
        <v/>
      </c>
      <c r="D579" s="84" t="str">
        <f t="array" ref="D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Asesor'!B579, "")
</f>
        <v/>
      </c>
      <c r="E579" s="212" t="str">
        <f t="array" ref="E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Asesor'!C579, "")
</f>
        <v/>
      </c>
      <c r="F579" s="212" t="str">
        <f t="array" ref="F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Asesor'!D579, "")
</f>
        <v/>
      </c>
      <c r="G579" s="212" t="str">
        <f t="array" ref="G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Asesor'!E579, "")
</f>
        <v/>
      </c>
      <c r="H579" s="84" t="str">
        <f t="array" ref="H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Asesor'!F579, "")
</f>
        <v/>
      </c>
      <c r="I579" s="84" t="str">
        <f t="array" ref="I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Asesor'!G579, "")
</f>
        <v/>
      </c>
      <c r="J579" s="84" t="str">
        <f t="array" ref="J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Asesor'!H579, "")
</f>
        <v/>
      </c>
      <c r="K579" s="84" t="str">
        <f t="array" ref="K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Asesor'!K579, "")
</f>
        <v/>
      </c>
      <c r="L579" s="84" t="str">
        <f t="array" ref="L579">IF(OR(
    AND('BD Asesor'!H579="Mensual", MATCH($B$2, {"Enero", "Febrero", "Marzo", "Abril", "Mayo", "Junio", "Julio", "Agosto", "Septiembre", "Octubre", "Noviembre", "Diciembre"}, 0)&gt;=1),
    AND('BD Asesor'!H579="Trimestral", MOD(MATCH($B$2, {"Enero", "Febrero", "Marzo", "Abril", "Mayo", "Junio", "Julio", "Agosto", "Septiembre", "Octubre", "Noviembre"}, 0)-MONTH('BD Asesor'!D579), 3)=0),
    AND('BD Asesor'!H579="Semestral", MOD(MATCH($B$2, {"Enero", "Febrero", "Marzo", "Abril", "Mayo", "Junio", "Julio", "Agosto", "Septiembre", "Octubre", "Noviembre"}, 0)-MONTH('BD Asesor'!D579), 6)=0),
    AND('BD Asesor'!H579="Anual", MONTH('BD Asesor'!D579)=MATCH($B$2, {"Enero", "Febrero", "Marzo", "Abril", "Mayo", "Junio", "Julio", "Agosto", "Septiembre", "Octubre", "Noviembre"}, 0))
), 'BD Asesor'!L579, "")
</f>
        <v/>
      </c>
    </row>
    <row r="580">
      <c r="C580" s="84" t="str">
        <f t="array" ref="C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Asesor'!A580, "")
</f>
        <v/>
      </c>
      <c r="D580" s="84" t="str">
        <f t="array" ref="D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Asesor'!B580, "")
</f>
        <v/>
      </c>
      <c r="E580" s="212" t="str">
        <f t="array" ref="E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Asesor'!C580, "")
</f>
        <v/>
      </c>
      <c r="F580" s="212" t="str">
        <f t="array" ref="F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Asesor'!D580, "")
</f>
        <v/>
      </c>
      <c r="G580" s="212" t="str">
        <f t="array" ref="G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Asesor'!E580, "")
</f>
        <v/>
      </c>
      <c r="H580" s="84" t="str">
        <f t="array" ref="H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Asesor'!F580, "")
</f>
        <v/>
      </c>
      <c r="I580" s="84" t="str">
        <f t="array" ref="I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Asesor'!G580, "")
</f>
        <v/>
      </c>
      <c r="J580" s="84" t="str">
        <f t="array" ref="J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Asesor'!H580, "")
</f>
        <v/>
      </c>
      <c r="K580" s="84" t="str">
        <f t="array" ref="K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Asesor'!K580, "")
</f>
        <v/>
      </c>
      <c r="L580" s="84" t="str">
        <f t="array" ref="L580">IF(OR(
    AND('BD Asesor'!H580="Mensual", MATCH($B$2, {"Enero", "Febrero", "Marzo", "Abril", "Mayo", "Junio", "Julio", "Agosto", "Septiembre", "Octubre", "Noviembre", "Diciembre"}, 0)&gt;=1),
    AND('BD Asesor'!H580="Trimestral", MOD(MATCH($B$2, {"Enero", "Febrero", "Marzo", "Abril", "Mayo", "Junio", "Julio", "Agosto", "Septiembre", "Octubre", "Noviembre"}, 0)-MONTH('BD Asesor'!D580), 3)=0),
    AND('BD Asesor'!H580="Semestral", MOD(MATCH($B$2, {"Enero", "Febrero", "Marzo", "Abril", "Mayo", "Junio", "Julio", "Agosto", "Septiembre", "Octubre", "Noviembre"}, 0)-MONTH('BD Asesor'!D580), 6)=0),
    AND('BD Asesor'!H580="Anual", MONTH('BD Asesor'!D580)=MATCH($B$2, {"Enero", "Febrero", "Marzo", "Abril", "Mayo", "Junio", "Julio", "Agosto", "Septiembre", "Octubre", "Noviembre"}, 0))
), 'BD Asesor'!L580, "")
</f>
        <v/>
      </c>
    </row>
    <row r="581">
      <c r="C581" s="84" t="str">
        <f t="array" ref="C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Asesor'!A581, "")
</f>
        <v/>
      </c>
      <c r="D581" s="84" t="str">
        <f t="array" ref="D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Asesor'!B581, "")
</f>
        <v/>
      </c>
      <c r="E581" s="212" t="str">
        <f t="array" ref="E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Asesor'!C581, "")
</f>
        <v/>
      </c>
      <c r="F581" s="212" t="str">
        <f t="array" ref="F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Asesor'!D581, "")
</f>
        <v/>
      </c>
      <c r="G581" s="212" t="str">
        <f t="array" ref="G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Asesor'!E581, "")
</f>
        <v/>
      </c>
      <c r="H581" s="84" t="str">
        <f t="array" ref="H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Asesor'!F581, "")
</f>
        <v/>
      </c>
      <c r="I581" s="84" t="str">
        <f t="array" ref="I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Asesor'!G581, "")
</f>
        <v/>
      </c>
      <c r="J581" s="84" t="str">
        <f t="array" ref="J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Asesor'!H581, "")
</f>
        <v/>
      </c>
      <c r="K581" s="84" t="str">
        <f t="array" ref="K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Asesor'!K581, "")
</f>
        <v/>
      </c>
      <c r="L581" s="84" t="str">
        <f t="array" ref="L581">IF(OR(
    AND('BD Asesor'!H581="Mensual", MATCH($B$2, {"Enero", "Febrero", "Marzo", "Abril", "Mayo", "Junio", "Julio", "Agosto", "Septiembre", "Octubre", "Noviembre", "Diciembre"}, 0)&gt;=1),
    AND('BD Asesor'!H581="Trimestral", MOD(MATCH($B$2, {"Enero", "Febrero", "Marzo", "Abril", "Mayo", "Junio", "Julio", "Agosto", "Septiembre", "Octubre", "Noviembre"}, 0)-MONTH('BD Asesor'!D581), 3)=0),
    AND('BD Asesor'!H581="Semestral", MOD(MATCH($B$2, {"Enero", "Febrero", "Marzo", "Abril", "Mayo", "Junio", "Julio", "Agosto", "Septiembre", "Octubre", "Noviembre"}, 0)-MONTH('BD Asesor'!D581), 6)=0),
    AND('BD Asesor'!H581="Anual", MONTH('BD Asesor'!D581)=MATCH($B$2, {"Enero", "Febrero", "Marzo", "Abril", "Mayo", "Junio", "Julio", "Agosto", "Septiembre", "Octubre", "Noviembre"}, 0))
), 'BD Asesor'!L581, "")
</f>
        <v/>
      </c>
    </row>
    <row r="582">
      <c r="C582" s="84" t="str">
        <f t="array" ref="C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Asesor'!A582, "")
</f>
        <v/>
      </c>
      <c r="D582" s="84" t="str">
        <f t="array" ref="D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Asesor'!B582, "")
</f>
        <v/>
      </c>
      <c r="E582" s="212" t="str">
        <f t="array" ref="E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Asesor'!C582, "")
</f>
        <v/>
      </c>
      <c r="F582" s="212" t="str">
        <f t="array" ref="F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Asesor'!D582, "")
</f>
        <v/>
      </c>
      <c r="G582" s="212" t="str">
        <f t="array" ref="G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Asesor'!E582, "")
</f>
        <v/>
      </c>
      <c r="H582" s="84" t="str">
        <f t="array" ref="H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Asesor'!F582, "")
</f>
        <v/>
      </c>
      <c r="I582" s="84" t="str">
        <f t="array" ref="I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Asesor'!G582, "")
</f>
        <v/>
      </c>
      <c r="J582" s="84" t="str">
        <f t="array" ref="J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Asesor'!H582, "")
</f>
        <v/>
      </c>
      <c r="K582" s="84" t="str">
        <f t="array" ref="K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Asesor'!K582, "")
</f>
        <v/>
      </c>
      <c r="L582" s="84" t="str">
        <f t="array" ref="L582">IF(OR(
    AND('BD Asesor'!H582="Mensual", MATCH($B$2, {"Enero", "Febrero", "Marzo", "Abril", "Mayo", "Junio", "Julio", "Agosto", "Septiembre", "Octubre", "Noviembre", "Diciembre"}, 0)&gt;=1),
    AND('BD Asesor'!H582="Trimestral", MOD(MATCH($B$2, {"Enero", "Febrero", "Marzo", "Abril", "Mayo", "Junio", "Julio", "Agosto", "Septiembre", "Octubre", "Noviembre"}, 0)-MONTH('BD Asesor'!D582), 3)=0),
    AND('BD Asesor'!H582="Semestral", MOD(MATCH($B$2, {"Enero", "Febrero", "Marzo", "Abril", "Mayo", "Junio", "Julio", "Agosto", "Septiembre", "Octubre", "Noviembre"}, 0)-MONTH('BD Asesor'!D582), 6)=0),
    AND('BD Asesor'!H582="Anual", MONTH('BD Asesor'!D582)=MATCH($B$2, {"Enero", "Febrero", "Marzo", "Abril", "Mayo", "Junio", "Julio", "Agosto", "Septiembre", "Octubre", "Noviembre"}, 0))
), 'BD Asesor'!L582, "")
</f>
        <v/>
      </c>
    </row>
    <row r="583">
      <c r="C583" s="84" t="str">
        <f t="array" ref="C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Asesor'!A583, "")
</f>
        <v/>
      </c>
      <c r="D583" s="84" t="str">
        <f t="array" ref="D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Asesor'!B583, "")
</f>
        <v/>
      </c>
      <c r="E583" s="212" t="str">
        <f t="array" ref="E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Asesor'!C583, "")
</f>
        <v/>
      </c>
      <c r="F583" s="212" t="str">
        <f t="array" ref="F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Asesor'!D583, "")
</f>
        <v/>
      </c>
      <c r="G583" s="212" t="str">
        <f t="array" ref="G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Asesor'!E583, "")
</f>
        <v/>
      </c>
      <c r="H583" s="84" t="str">
        <f t="array" ref="H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Asesor'!F583, "")
</f>
        <v/>
      </c>
      <c r="I583" s="84" t="str">
        <f t="array" ref="I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Asesor'!G583, "")
</f>
        <v/>
      </c>
      <c r="J583" s="84" t="str">
        <f t="array" ref="J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Asesor'!H583, "")
</f>
        <v/>
      </c>
      <c r="K583" s="84" t="str">
        <f t="array" ref="K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Asesor'!K583, "")
</f>
        <v/>
      </c>
      <c r="L583" s="84" t="str">
        <f t="array" ref="L583">IF(OR(
    AND('BD Asesor'!H583="Mensual", MATCH($B$2, {"Enero", "Febrero", "Marzo", "Abril", "Mayo", "Junio", "Julio", "Agosto", "Septiembre", "Octubre", "Noviembre", "Diciembre"}, 0)&gt;=1),
    AND('BD Asesor'!H583="Trimestral", MOD(MATCH($B$2, {"Enero", "Febrero", "Marzo", "Abril", "Mayo", "Junio", "Julio", "Agosto", "Septiembre", "Octubre", "Noviembre"}, 0)-MONTH('BD Asesor'!D583), 3)=0),
    AND('BD Asesor'!H583="Semestral", MOD(MATCH($B$2, {"Enero", "Febrero", "Marzo", "Abril", "Mayo", "Junio", "Julio", "Agosto", "Septiembre", "Octubre", "Noviembre"}, 0)-MONTH('BD Asesor'!D583), 6)=0),
    AND('BD Asesor'!H583="Anual", MONTH('BD Asesor'!D583)=MATCH($B$2, {"Enero", "Febrero", "Marzo", "Abril", "Mayo", "Junio", "Julio", "Agosto", "Septiembre", "Octubre", "Noviembre"}, 0))
), 'BD Asesor'!L583, "")
</f>
        <v/>
      </c>
    </row>
    <row r="584">
      <c r="C584" s="84" t="str">
        <f t="array" ref="C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Asesor'!A584, "")
</f>
        <v/>
      </c>
      <c r="D584" s="84" t="str">
        <f t="array" ref="D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Asesor'!B584, "")
</f>
        <v/>
      </c>
      <c r="E584" s="212" t="str">
        <f t="array" ref="E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Asesor'!C584, "")
</f>
        <v/>
      </c>
      <c r="F584" s="212" t="str">
        <f t="array" ref="F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Asesor'!D584, "")
</f>
        <v/>
      </c>
      <c r="G584" s="212" t="str">
        <f t="array" ref="G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Asesor'!E584, "")
</f>
        <v/>
      </c>
      <c r="H584" s="84" t="str">
        <f t="array" ref="H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Asesor'!F584, "")
</f>
        <v/>
      </c>
      <c r="I584" s="84" t="str">
        <f t="array" ref="I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Asesor'!G584, "")
</f>
        <v/>
      </c>
      <c r="J584" s="84" t="str">
        <f t="array" ref="J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Asesor'!H584, "")
</f>
        <v/>
      </c>
      <c r="K584" s="84" t="str">
        <f t="array" ref="K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Asesor'!K584, "")
</f>
        <v/>
      </c>
      <c r="L584" s="84" t="str">
        <f t="array" ref="L584">IF(OR(
    AND('BD Asesor'!H584="Mensual", MATCH($B$2, {"Enero", "Febrero", "Marzo", "Abril", "Mayo", "Junio", "Julio", "Agosto", "Septiembre", "Octubre", "Noviembre", "Diciembre"}, 0)&gt;=1),
    AND('BD Asesor'!H584="Trimestral", MOD(MATCH($B$2, {"Enero", "Febrero", "Marzo", "Abril", "Mayo", "Junio", "Julio", "Agosto", "Septiembre", "Octubre", "Noviembre"}, 0)-MONTH('BD Asesor'!D584), 3)=0),
    AND('BD Asesor'!H584="Semestral", MOD(MATCH($B$2, {"Enero", "Febrero", "Marzo", "Abril", "Mayo", "Junio", "Julio", "Agosto", "Septiembre", "Octubre", "Noviembre"}, 0)-MONTH('BD Asesor'!D584), 6)=0),
    AND('BD Asesor'!H584="Anual", MONTH('BD Asesor'!D584)=MATCH($B$2, {"Enero", "Febrero", "Marzo", "Abril", "Mayo", "Junio", "Julio", "Agosto", "Septiembre", "Octubre", "Noviembre"}, 0))
), 'BD Asesor'!L584, "")
</f>
        <v/>
      </c>
    </row>
    <row r="585">
      <c r="C585" s="84" t="str">
        <f t="array" ref="C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Asesor'!A585, "")
</f>
        <v/>
      </c>
      <c r="D585" s="84" t="str">
        <f t="array" ref="D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Asesor'!B585, "")
</f>
        <v/>
      </c>
      <c r="E585" s="212" t="str">
        <f t="array" ref="E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Asesor'!C585, "")
</f>
        <v/>
      </c>
      <c r="F585" s="212" t="str">
        <f t="array" ref="F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Asesor'!D585, "")
</f>
        <v/>
      </c>
      <c r="G585" s="212" t="str">
        <f t="array" ref="G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Asesor'!E585, "")
</f>
        <v/>
      </c>
      <c r="H585" s="84" t="str">
        <f t="array" ref="H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Asesor'!F585, "")
</f>
        <v/>
      </c>
      <c r="I585" s="84" t="str">
        <f t="array" ref="I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Asesor'!G585, "")
</f>
        <v/>
      </c>
      <c r="J585" s="84" t="str">
        <f t="array" ref="J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Asesor'!H585, "")
</f>
        <v/>
      </c>
      <c r="K585" s="84" t="str">
        <f t="array" ref="K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Asesor'!K585, "")
</f>
        <v/>
      </c>
      <c r="L585" s="84" t="str">
        <f t="array" ref="L585">IF(OR(
    AND('BD Asesor'!H585="Mensual", MATCH($B$2, {"Enero", "Febrero", "Marzo", "Abril", "Mayo", "Junio", "Julio", "Agosto", "Septiembre", "Octubre", "Noviembre", "Diciembre"}, 0)&gt;=1),
    AND('BD Asesor'!H585="Trimestral", MOD(MATCH($B$2, {"Enero", "Febrero", "Marzo", "Abril", "Mayo", "Junio", "Julio", "Agosto", "Septiembre", "Octubre", "Noviembre"}, 0)-MONTH('BD Asesor'!D585), 3)=0),
    AND('BD Asesor'!H585="Semestral", MOD(MATCH($B$2, {"Enero", "Febrero", "Marzo", "Abril", "Mayo", "Junio", "Julio", "Agosto", "Septiembre", "Octubre", "Noviembre"}, 0)-MONTH('BD Asesor'!D585), 6)=0),
    AND('BD Asesor'!H585="Anual", MONTH('BD Asesor'!D585)=MATCH($B$2, {"Enero", "Febrero", "Marzo", "Abril", "Mayo", "Junio", "Julio", "Agosto", "Septiembre", "Octubre", "Noviembre"}, 0))
), 'BD Asesor'!L585, "")
</f>
        <v/>
      </c>
    </row>
    <row r="586">
      <c r="C586" s="84" t="str">
        <f t="array" ref="C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Asesor'!A586, "")
</f>
        <v/>
      </c>
      <c r="D586" s="84" t="str">
        <f t="array" ref="D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Asesor'!B586, "")
</f>
        <v/>
      </c>
      <c r="E586" s="212" t="str">
        <f t="array" ref="E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Asesor'!C586, "")
</f>
        <v/>
      </c>
      <c r="F586" s="212" t="str">
        <f t="array" ref="F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Asesor'!D586, "")
</f>
        <v/>
      </c>
      <c r="G586" s="212" t="str">
        <f t="array" ref="G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Asesor'!E586, "")
</f>
        <v/>
      </c>
      <c r="H586" s="84" t="str">
        <f t="array" ref="H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Asesor'!F586, "")
</f>
        <v/>
      </c>
      <c r="I586" s="84" t="str">
        <f t="array" ref="I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Asesor'!G586, "")
</f>
        <v/>
      </c>
      <c r="J586" s="84" t="str">
        <f t="array" ref="J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Asesor'!H586, "")
</f>
        <v/>
      </c>
      <c r="K586" s="84" t="str">
        <f t="array" ref="K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Asesor'!K586, "")
</f>
        <v/>
      </c>
      <c r="L586" s="84" t="str">
        <f t="array" ref="L586">IF(OR(
    AND('BD Asesor'!H586="Mensual", MATCH($B$2, {"Enero", "Febrero", "Marzo", "Abril", "Mayo", "Junio", "Julio", "Agosto", "Septiembre", "Octubre", "Noviembre", "Diciembre"}, 0)&gt;=1),
    AND('BD Asesor'!H586="Trimestral", MOD(MATCH($B$2, {"Enero", "Febrero", "Marzo", "Abril", "Mayo", "Junio", "Julio", "Agosto", "Septiembre", "Octubre", "Noviembre"}, 0)-MONTH('BD Asesor'!D586), 3)=0),
    AND('BD Asesor'!H586="Semestral", MOD(MATCH($B$2, {"Enero", "Febrero", "Marzo", "Abril", "Mayo", "Junio", "Julio", "Agosto", "Septiembre", "Octubre", "Noviembre"}, 0)-MONTH('BD Asesor'!D586), 6)=0),
    AND('BD Asesor'!H586="Anual", MONTH('BD Asesor'!D586)=MATCH($B$2, {"Enero", "Febrero", "Marzo", "Abril", "Mayo", "Junio", "Julio", "Agosto", "Septiembre", "Octubre", "Noviembre"}, 0))
), 'BD Asesor'!L586, "")
</f>
        <v/>
      </c>
    </row>
    <row r="587">
      <c r="C587" s="84" t="str">
        <f t="array" ref="C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Asesor'!A587, "")
</f>
        <v/>
      </c>
      <c r="D587" s="84" t="str">
        <f t="array" ref="D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Asesor'!B587, "")
</f>
        <v/>
      </c>
      <c r="E587" s="212" t="str">
        <f t="array" ref="E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Asesor'!C587, "")
</f>
        <v/>
      </c>
      <c r="F587" s="212" t="str">
        <f t="array" ref="F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Asesor'!D587, "")
</f>
        <v/>
      </c>
      <c r="G587" s="212" t="str">
        <f t="array" ref="G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Asesor'!E587, "")
</f>
        <v/>
      </c>
      <c r="H587" s="84" t="str">
        <f t="array" ref="H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Asesor'!F587, "")
</f>
        <v/>
      </c>
      <c r="I587" s="84" t="str">
        <f t="array" ref="I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Asesor'!G587, "")
</f>
        <v/>
      </c>
      <c r="J587" s="84" t="str">
        <f t="array" ref="J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Asesor'!H587, "")
</f>
        <v/>
      </c>
      <c r="K587" s="84" t="str">
        <f t="array" ref="K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Asesor'!K587, "")
</f>
        <v/>
      </c>
      <c r="L587" s="84" t="str">
        <f t="array" ref="L587">IF(OR(
    AND('BD Asesor'!H587="Mensual", MATCH($B$2, {"Enero", "Febrero", "Marzo", "Abril", "Mayo", "Junio", "Julio", "Agosto", "Septiembre", "Octubre", "Noviembre", "Diciembre"}, 0)&gt;=1),
    AND('BD Asesor'!H587="Trimestral", MOD(MATCH($B$2, {"Enero", "Febrero", "Marzo", "Abril", "Mayo", "Junio", "Julio", "Agosto", "Septiembre", "Octubre", "Noviembre"}, 0)-MONTH('BD Asesor'!D587), 3)=0),
    AND('BD Asesor'!H587="Semestral", MOD(MATCH($B$2, {"Enero", "Febrero", "Marzo", "Abril", "Mayo", "Junio", "Julio", "Agosto", "Septiembre", "Octubre", "Noviembre"}, 0)-MONTH('BD Asesor'!D587), 6)=0),
    AND('BD Asesor'!H587="Anual", MONTH('BD Asesor'!D587)=MATCH($B$2, {"Enero", "Febrero", "Marzo", "Abril", "Mayo", "Junio", "Julio", "Agosto", "Septiembre", "Octubre", "Noviembre"}, 0))
), 'BD Asesor'!L587, "")
</f>
        <v/>
      </c>
    </row>
    <row r="588">
      <c r="C588" s="84" t="str">
        <f t="array" ref="C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Asesor'!A588, "")
</f>
        <v/>
      </c>
      <c r="D588" s="84" t="str">
        <f t="array" ref="D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Asesor'!B588, "")
</f>
        <v/>
      </c>
      <c r="E588" s="212" t="str">
        <f t="array" ref="E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Asesor'!C588, "")
</f>
        <v/>
      </c>
      <c r="F588" s="212" t="str">
        <f t="array" ref="F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Asesor'!D588, "")
</f>
        <v/>
      </c>
      <c r="G588" s="212" t="str">
        <f t="array" ref="G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Asesor'!E588, "")
</f>
        <v/>
      </c>
      <c r="H588" s="84" t="str">
        <f t="array" ref="H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Asesor'!F588, "")
</f>
        <v/>
      </c>
      <c r="I588" s="84" t="str">
        <f t="array" ref="I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Asesor'!G588, "")
</f>
        <v/>
      </c>
      <c r="J588" s="84" t="str">
        <f t="array" ref="J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Asesor'!H588, "")
</f>
        <v/>
      </c>
      <c r="K588" s="84" t="str">
        <f t="array" ref="K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Asesor'!K588, "")
</f>
        <v/>
      </c>
      <c r="L588" s="84" t="str">
        <f t="array" ref="L588">IF(OR(
    AND('BD Asesor'!H588="Mensual", MATCH($B$2, {"Enero", "Febrero", "Marzo", "Abril", "Mayo", "Junio", "Julio", "Agosto", "Septiembre", "Octubre", "Noviembre", "Diciembre"}, 0)&gt;=1),
    AND('BD Asesor'!H588="Trimestral", MOD(MATCH($B$2, {"Enero", "Febrero", "Marzo", "Abril", "Mayo", "Junio", "Julio", "Agosto", "Septiembre", "Octubre", "Noviembre"}, 0)-MONTH('BD Asesor'!D588), 3)=0),
    AND('BD Asesor'!H588="Semestral", MOD(MATCH($B$2, {"Enero", "Febrero", "Marzo", "Abril", "Mayo", "Junio", "Julio", "Agosto", "Septiembre", "Octubre", "Noviembre"}, 0)-MONTH('BD Asesor'!D588), 6)=0),
    AND('BD Asesor'!H588="Anual", MONTH('BD Asesor'!D588)=MATCH($B$2, {"Enero", "Febrero", "Marzo", "Abril", "Mayo", "Junio", "Julio", "Agosto", "Septiembre", "Octubre", "Noviembre"}, 0))
), 'BD Asesor'!L588, "")
</f>
        <v/>
      </c>
    </row>
    <row r="589">
      <c r="C589" s="84" t="str">
        <f t="array" ref="C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Asesor'!A589, "")
</f>
        <v/>
      </c>
      <c r="D589" s="84" t="str">
        <f t="array" ref="D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Asesor'!B589, "")
</f>
        <v/>
      </c>
      <c r="E589" s="212" t="str">
        <f t="array" ref="E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Asesor'!C589, "")
</f>
        <v/>
      </c>
      <c r="F589" s="212" t="str">
        <f t="array" ref="F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Asesor'!D589, "")
</f>
        <v/>
      </c>
      <c r="G589" s="212" t="str">
        <f t="array" ref="G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Asesor'!E589, "")
</f>
        <v/>
      </c>
      <c r="H589" s="84" t="str">
        <f t="array" ref="H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Asesor'!F589, "")
</f>
        <v/>
      </c>
      <c r="I589" s="84" t="str">
        <f t="array" ref="I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Asesor'!G589, "")
</f>
        <v/>
      </c>
      <c r="J589" s="84" t="str">
        <f t="array" ref="J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Asesor'!H589, "")
</f>
        <v/>
      </c>
      <c r="K589" s="84" t="str">
        <f t="array" ref="K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Asesor'!K589, "")
</f>
        <v/>
      </c>
      <c r="L589" s="84" t="str">
        <f t="array" ref="L589">IF(OR(
    AND('BD Asesor'!H589="Mensual", MATCH($B$2, {"Enero", "Febrero", "Marzo", "Abril", "Mayo", "Junio", "Julio", "Agosto", "Septiembre", "Octubre", "Noviembre", "Diciembre"}, 0)&gt;=1),
    AND('BD Asesor'!H589="Trimestral", MOD(MATCH($B$2, {"Enero", "Febrero", "Marzo", "Abril", "Mayo", "Junio", "Julio", "Agosto", "Septiembre", "Octubre", "Noviembre"}, 0)-MONTH('BD Asesor'!D589), 3)=0),
    AND('BD Asesor'!H589="Semestral", MOD(MATCH($B$2, {"Enero", "Febrero", "Marzo", "Abril", "Mayo", "Junio", "Julio", "Agosto", "Septiembre", "Octubre", "Noviembre"}, 0)-MONTH('BD Asesor'!D589), 6)=0),
    AND('BD Asesor'!H589="Anual", MONTH('BD Asesor'!D589)=MATCH($B$2, {"Enero", "Febrero", "Marzo", "Abril", "Mayo", "Junio", "Julio", "Agosto", "Septiembre", "Octubre", "Noviembre"}, 0))
), 'BD Asesor'!L589, "")
</f>
        <v/>
      </c>
    </row>
    <row r="590">
      <c r="C590" s="84" t="str">
        <f t="array" ref="C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Asesor'!A590, "")
</f>
        <v/>
      </c>
      <c r="D590" s="84" t="str">
        <f t="array" ref="D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Asesor'!B590, "")
</f>
        <v/>
      </c>
      <c r="E590" s="212" t="str">
        <f t="array" ref="E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Asesor'!C590, "")
</f>
        <v/>
      </c>
      <c r="F590" s="212" t="str">
        <f t="array" ref="F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Asesor'!D590, "")
</f>
        <v/>
      </c>
      <c r="G590" s="212" t="str">
        <f t="array" ref="G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Asesor'!E590, "")
</f>
        <v/>
      </c>
      <c r="H590" s="84" t="str">
        <f t="array" ref="H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Asesor'!F590, "")
</f>
        <v/>
      </c>
      <c r="I590" s="84" t="str">
        <f t="array" ref="I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Asesor'!G590, "")
</f>
        <v/>
      </c>
      <c r="J590" s="84" t="str">
        <f t="array" ref="J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Asesor'!H590, "")
</f>
        <v/>
      </c>
      <c r="K590" s="84" t="str">
        <f t="array" ref="K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Asesor'!K590, "")
</f>
        <v/>
      </c>
      <c r="L590" s="84" t="str">
        <f t="array" ref="L590">IF(OR(
    AND('BD Asesor'!H590="Mensual", MATCH($B$2, {"Enero", "Febrero", "Marzo", "Abril", "Mayo", "Junio", "Julio", "Agosto", "Septiembre", "Octubre", "Noviembre", "Diciembre"}, 0)&gt;=1),
    AND('BD Asesor'!H590="Trimestral", MOD(MATCH($B$2, {"Enero", "Febrero", "Marzo", "Abril", "Mayo", "Junio", "Julio", "Agosto", "Septiembre", "Octubre", "Noviembre"}, 0)-MONTH('BD Asesor'!D590), 3)=0),
    AND('BD Asesor'!H590="Semestral", MOD(MATCH($B$2, {"Enero", "Febrero", "Marzo", "Abril", "Mayo", "Junio", "Julio", "Agosto", "Septiembre", "Octubre", "Noviembre"}, 0)-MONTH('BD Asesor'!D590), 6)=0),
    AND('BD Asesor'!H590="Anual", MONTH('BD Asesor'!D590)=MATCH($B$2, {"Enero", "Febrero", "Marzo", "Abril", "Mayo", "Junio", "Julio", "Agosto", "Septiembre", "Octubre", "Noviembre"}, 0))
), 'BD Asesor'!L590, "")
</f>
        <v/>
      </c>
    </row>
    <row r="591">
      <c r="C591" s="84" t="str">
        <f t="array" ref="C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Asesor'!A591, "")
</f>
        <v/>
      </c>
      <c r="D591" s="84" t="str">
        <f t="array" ref="D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Asesor'!B591, "")
</f>
        <v/>
      </c>
      <c r="E591" s="212" t="str">
        <f t="array" ref="E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Asesor'!C591, "")
</f>
        <v/>
      </c>
      <c r="F591" s="212" t="str">
        <f t="array" ref="F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Asesor'!D591, "")
</f>
        <v/>
      </c>
      <c r="G591" s="212" t="str">
        <f t="array" ref="G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Asesor'!E591, "")
</f>
        <v/>
      </c>
      <c r="H591" s="84" t="str">
        <f t="array" ref="H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Asesor'!F591, "")
</f>
        <v/>
      </c>
      <c r="I591" s="84" t="str">
        <f t="array" ref="I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Asesor'!G591, "")
</f>
        <v/>
      </c>
      <c r="J591" s="84" t="str">
        <f t="array" ref="J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Asesor'!H591, "")
</f>
        <v/>
      </c>
      <c r="K591" s="84" t="str">
        <f t="array" ref="K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Asesor'!K591, "")
</f>
        <v/>
      </c>
      <c r="L591" s="84" t="str">
        <f t="array" ref="L591">IF(OR(
    AND('BD Asesor'!H591="Mensual", MATCH($B$2, {"Enero", "Febrero", "Marzo", "Abril", "Mayo", "Junio", "Julio", "Agosto", "Septiembre", "Octubre", "Noviembre", "Diciembre"}, 0)&gt;=1),
    AND('BD Asesor'!H591="Trimestral", MOD(MATCH($B$2, {"Enero", "Febrero", "Marzo", "Abril", "Mayo", "Junio", "Julio", "Agosto", "Septiembre", "Octubre", "Noviembre"}, 0)-MONTH('BD Asesor'!D591), 3)=0),
    AND('BD Asesor'!H591="Semestral", MOD(MATCH($B$2, {"Enero", "Febrero", "Marzo", "Abril", "Mayo", "Junio", "Julio", "Agosto", "Septiembre", "Octubre", "Noviembre"}, 0)-MONTH('BD Asesor'!D591), 6)=0),
    AND('BD Asesor'!H591="Anual", MONTH('BD Asesor'!D591)=MATCH($B$2, {"Enero", "Febrero", "Marzo", "Abril", "Mayo", "Junio", "Julio", "Agosto", "Septiembre", "Octubre", "Noviembre"}, 0))
), 'BD Asesor'!L591, "")
</f>
        <v/>
      </c>
    </row>
    <row r="592">
      <c r="C592" s="84" t="str">
        <f t="array" ref="C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Asesor'!A592, "")
</f>
        <v/>
      </c>
      <c r="D592" s="84" t="str">
        <f t="array" ref="D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Asesor'!B592, "")
</f>
        <v/>
      </c>
      <c r="E592" s="212" t="str">
        <f t="array" ref="E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Asesor'!C592, "")
</f>
        <v/>
      </c>
      <c r="F592" s="212" t="str">
        <f t="array" ref="F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Asesor'!D592, "")
</f>
        <v/>
      </c>
      <c r="G592" s="212" t="str">
        <f t="array" ref="G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Asesor'!E592, "")
</f>
        <v/>
      </c>
      <c r="H592" s="84" t="str">
        <f t="array" ref="H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Asesor'!F592, "")
</f>
        <v/>
      </c>
      <c r="I592" s="84" t="str">
        <f t="array" ref="I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Asesor'!G592, "")
</f>
        <v/>
      </c>
      <c r="J592" s="84" t="str">
        <f t="array" ref="J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Asesor'!H592, "")
</f>
        <v/>
      </c>
      <c r="K592" s="84" t="str">
        <f t="array" ref="K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Asesor'!K592, "")
</f>
        <v/>
      </c>
      <c r="L592" s="84" t="str">
        <f t="array" ref="L592">IF(OR(
    AND('BD Asesor'!H592="Mensual", MATCH($B$2, {"Enero", "Febrero", "Marzo", "Abril", "Mayo", "Junio", "Julio", "Agosto", "Septiembre", "Octubre", "Noviembre", "Diciembre"}, 0)&gt;=1),
    AND('BD Asesor'!H592="Trimestral", MOD(MATCH($B$2, {"Enero", "Febrero", "Marzo", "Abril", "Mayo", "Junio", "Julio", "Agosto", "Septiembre", "Octubre", "Noviembre"}, 0)-MONTH('BD Asesor'!D592), 3)=0),
    AND('BD Asesor'!H592="Semestral", MOD(MATCH($B$2, {"Enero", "Febrero", "Marzo", "Abril", "Mayo", "Junio", "Julio", "Agosto", "Septiembre", "Octubre", "Noviembre"}, 0)-MONTH('BD Asesor'!D592), 6)=0),
    AND('BD Asesor'!H592="Anual", MONTH('BD Asesor'!D592)=MATCH($B$2, {"Enero", "Febrero", "Marzo", "Abril", "Mayo", "Junio", "Julio", "Agosto", "Septiembre", "Octubre", "Noviembre"}, 0))
), 'BD Asesor'!L592, "")
</f>
        <v/>
      </c>
    </row>
    <row r="593">
      <c r="C593" s="84" t="str">
        <f t="array" ref="C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Asesor'!A593, "")
</f>
        <v/>
      </c>
      <c r="D593" s="84" t="str">
        <f t="array" ref="D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Asesor'!B593, "")
</f>
        <v/>
      </c>
      <c r="E593" s="212" t="str">
        <f t="array" ref="E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Asesor'!C593, "")
</f>
        <v/>
      </c>
      <c r="F593" s="212" t="str">
        <f t="array" ref="F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Asesor'!D593, "")
</f>
        <v/>
      </c>
      <c r="G593" s="212" t="str">
        <f t="array" ref="G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Asesor'!E593, "")
</f>
        <v/>
      </c>
      <c r="H593" s="84" t="str">
        <f t="array" ref="H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Asesor'!F593, "")
</f>
        <v/>
      </c>
      <c r="I593" s="84" t="str">
        <f t="array" ref="I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Asesor'!G593, "")
</f>
        <v/>
      </c>
      <c r="J593" s="84" t="str">
        <f t="array" ref="J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Asesor'!H593, "")
</f>
        <v/>
      </c>
      <c r="K593" s="84" t="str">
        <f t="array" ref="K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Asesor'!K593, "")
</f>
        <v/>
      </c>
      <c r="L593" s="84" t="str">
        <f t="array" ref="L593">IF(OR(
    AND('BD Asesor'!H593="Mensual", MATCH($B$2, {"Enero", "Febrero", "Marzo", "Abril", "Mayo", "Junio", "Julio", "Agosto", "Septiembre", "Octubre", "Noviembre", "Diciembre"}, 0)&gt;=1),
    AND('BD Asesor'!H593="Trimestral", MOD(MATCH($B$2, {"Enero", "Febrero", "Marzo", "Abril", "Mayo", "Junio", "Julio", "Agosto", "Septiembre", "Octubre", "Noviembre"}, 0)-MONTH('BD Asesor'!D593), 3)=0),
    AND('BD Asesor'!H593="Semestral", MOD(MATCH($B$2, {"Enero", "Febrero", "Marzo", "Abril", "Mayo", "Junio", "Julio", "Agosto", "Septiembre", "Octubre", "Noviembre"}, 0)-MONTH('BD Asesor'!D593), 6)=0),
    AND('BD Asesor'!H593="Anual", MONTH('BD Asesor'!D593)=MATCH($B$2, {"Enero", "Febrero", "Marzo", "Abril", "Mayo", "Junio", "Julio", "Agosto", "Septiembre", "Octubre", "Noviembre"}, 0))
), 'BD Asesor'!L593, "")
</f>
        <v/>
      </c>
    </row>
    <row r="594">
      <c r="C594" s="84" t="str">
        <f t="array" ref="C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Asesor'!A594, "")
</f>
        <v/>
      </c>
      <c r="D594" s="84" t="str">
        <f t="array" ref="D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Asesor'!B594, "")
</f>
        <v/>
      </c>
      <c r="E594" s="212" t="str">
        <f t="array" ref="E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Asesor'!C594, "")
</f>
        <v/>
      </c>
      <c r="F594" s="212" t="str">
        <f t="array" ref="F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Asesor'!D594, "")
</f>
        <v/>
      </c>
      <c r="G594" s="212" t="str">
        <f t="array" ref="G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Asesor'!E594, "")
</f>
        <v/>
      </c>
      <c r="H594" s="84" t="str">
        <f t="array" ref="H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Asesor'!F594, "")
</f>
        <v/>
      </c>
      <c r="I594" s="84" t="str">
        <f t="array" ref="I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Asesor'!G594, "")
</f>
        <v/>
      </c>
      <c r="J594" s="84" t="str">
        <f t="array" ref="J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Asesor'!H594, "")
</f>
        <v/>
      </c>
      <c r="K594" s="84" t="str">
        <f t="array" ref="K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Asesor'!K594, "")
</f>
        <v/>
      </c>
      <c r="L594" s="84" t="str">
        <f t="array" ref="L594">IF(OR(
    AND('BD Asesor'!H594="Mensual", MATCH($B$2, {"Enero", "Febrero", "Marzo", "Abril", "Mayo", "Junio", "Julio", "Agosto", "Septiembre", "Octubre", "Noviembre", "Diciembre"}, 0)&gt;=1),
    AND('BD Asesor'!H594="Trimestral", MOD(MATCH($B$2, {"Enero", "Febrero", "Marzo", "Abril", "Mayo", "Junio", "Julio", "Agosto", "Septiembre", "Octubre", "Noviembre"}, 0)-MONTH('BD Asesor'!D594), 3)=0),
    AND('BD Asesor'!H594="Semestral", MOD(MATCH($B$2, {"Enero", "Febrero", "Marzo", "Abril", "Mayo", "Junio", "Julio", "Agosto", "Septiembre", "Octubre", "Noviembre"}, 0)-MONTH('BD Asesor'!D594), 6)=0),
    AND('BD Asesor'!H594="Anual", MONTH('BD Asesor'!D594)=MATCH($B$2, {"Enero", "Febrero", "Marzo", "Abril", "Mayo", "Junio", "Julio", "Agosto", "Septiembre", "Octubre", "Noviembre"}, 0))
), 'BD Asesor'!L594, "")
</f>
        <v/>
      </c>
    </row>
    <row r="595">
      <c r="C595" s="84" t="str">
        <f t="array" ref="C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Asesor'!A595, "")
</f>
        <v/>
      </c>
      <c r="D595" s="84" t="str">
        <f t="array" ref="D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Asesor'!B595, "")
</f>
        <v/>
      </c>
      <c r="E595" s="212" t="str">
        <f t="array" ref="E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Asesor'!C595, "")
</f>
        <v/>
      </c>
      <c r="F595" s="212" t="str">
        <f t="array" ref="F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Asesor'!D595, "")
</f>
        <v/>
      </c>
      <c r="G595" s="212" t="str">
        <f t="array" ref="G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Asesor'!E595, "")
</f>
        <v/>
      </c>
      <c r="H595" s="84" t="str">
        <f t="array" ref="H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Asesor'!F595, "")
</f>
        <v/>
      </c>
      <c r="I595" s="84" t="str">
        <f t="array" ref="I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Asesor'!G595, "")
</f>
        <v/>
      </c>
      <c r="J595" s="84" t="str">
        <f t="array" ref="J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Asesor'!H595, "")
</f>
        <v/>
      </c>
      <c r="K595" s="84" t="str">
        <f t="array" ref="K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Asesor'!K595, "")
</f>
        <v/>
      </c>
      <c r="L595" s="84" t="str">
        <f t="array" ref="L595">IF(OR(
    AND('BD Asesor'!H595="Mensual", MATCH($B$2, {"Enero", "Febrero", "Marzo", "Abril", "Mayo", "Junio", "Julio", "Agosto", "Septiembre", "Octubre", "Noviembre", "Diciembre"}, 0)&gt;=1),
    AND('BD Asesor'!H595="Trimestral", MOD(MATCH($B$2, {"Enero", "Febrero", "Marzo", "Abril", "Mayo", "Junio", "Julio", "Agosto", "Septiembre", "Octubre", "Noviembre"}, 0)-MONTH('BD Asesor'!D595), 3)=0),
    AND('BD Asesor'!H595="Semestral", MOD(MATCH($B$2, {"Enero", "Febrero", "Marzo", "Abril", "Mayo", "Junio", "Julio", "Agosto", "Septiembre", "Octubre", "Noviembre"}, 0)-MONTH('BD Asesor'!D595), 6)=0),
    AND('BD Asesor'!H595="Anual", MONTH('BD Asesor'!D595)=MATCH($B$2, {"Enero", "Febrero", "Marzo", "Abril", "Mayo", "Junio", "Julio", "Agosto", "Septiembre", "Octubre", "Noviembre"}, 0))
), 'BD Asesor'!L595, "")
</f>
        <v/>
      </c>
    </row>
    <row r="596">
      <c r="C596" s="84" t="str">
        <f t="array" ref="C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Asesor'!A596, "")
</f>
        <v/>
      </c>
      <c r="D596" s="84" t="str">
        <f t="array" ref="D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Asesor'!B596, "")
</f>
        <v/>
      </c>
      <c r="E596" s="212" t="str">
        <f t="array" ref="E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Asesor'!C596, "")
</f>
        <v/>
      </c>
      <c r="F596" s="212" t="str">
        <f t="array" ref="F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Asesor'!D596, "")
</f>
        <v/>
      </c>
      <c r="G596" s="212" t="str">
        <f t="array" ref="G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Asesor'!E596, "")
</f>
        <v/>
      </c>
      <c r="H596" s="84" t="str">
        <f t="array" ref="H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Asesor'!F596, "")
</f>
        <v/>
      </c>
      <c r="I596" s="84" t="str">
        <f t="array" ref="I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Asesor'!G596, "")
</f>
        <v/>
      </c>
      <c r="J596" s="84" t="str">
        <f t="array" ref="J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Asesor'!H596, "")
</f>
        <v/>
      </c>
      <c r="K596" s="84" t="str">
        <f t="array" ref="K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Asesor'!K596, "")
</f>
        <v/>
      </c>
      <c r="L596" s="84" t="str">
        <f t="array" ref="L596">IF(OR(
    AND('BD Asesor'!H596="Mensual", MATCH($B$2, {"Enero", "Febrero", "Marzo", "Abril", "Mayo", "Junio", "Julio", "Agosto", "Septiembre", "Octubre", "Noviembre", "Diciembre"}, 0)&gt;=1),
    AND('BD Asesor'!H596="Trimestral", MOD(MATCH($B$2, {"Enero", "Febrero", "Marzo", "Abril", "Mayo", "Junio", "Julio", "Agosto", "Septiembre", "Octubre", "Noviembre"}, 0)-MONTH('BD Asesor'!D596), 3)=0),
    AND('BD Asesor'!H596="Semestral", MOD(MATCH($B$2, {"Enero", "Febrero", "Marzo", "Abril", "Mayo", "Junio", "Julio", "Agosto", "Septiembre", "Octubre", "Noviembre"}, 0)-MONTH('BD Asesor'!D596), 6)=0),
    AND('BD Asesor'!H596="Anual", MONTH('BD Asesor'!D596)=MATCH($B$2, {"Enero", "Febrero", "Marzo", "Abril", "Mayo", "Junio", "Julio", "Agosto", "Septiembre", "Octubre", "Noviembre"}, 0))
), 'BD Asesor'!L596, "")
</f>
        <v/>
      </c>
    </row>
    <row r="597">
      <c r="C597" s="84" t="str">
        <f t="array" ref="C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Asesor'!A597, "")
</f>
        <v/>
      </c>
      <c r="D597" s="84" t="str">
        <f t="array" ref="D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Asesor'!B597, "")
</f>
        <v/>
      </c>
      <c r="E597" s="212" t="str">
        <f t="array" ref="E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Asesor'!C597, "")
</f>
        <v/>
      </c>
      <c r="F597" s="212" t="str">
        <f t="array" ref="F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Asesor'!D597, "")
</f>
        <v/>
      </c>
      <c r="G597" s="212" t="str">
        <f t="array" ref="G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Asesor'!E597, "")
</f>
        <v/>
      </c>
      <c r="H597" s="84" t="str">
        <f t="array" ref="H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Asesor'!F597, "")
</f>
        <v/>
      </c>
      <c r="I597" s="84" t="str">
        <f t="array" ref="I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Asesor'!G597, "")
</f>
        <v/>
      </c>
      <c r="J597" s="84" t="str">
        <f t="array" ref="J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Asesor'!H597, "")
</f>
        <v/>
      </c>
      <c r="K597" s="84" t="str">
        <f t="array" ref="K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Asesor'!K597, "")
</f>
        <v/>
      </c>
      <c r="L597" s="84" t="str">
        <f t="array" ref="L597">IF(OR(
    AND('BD Asesor'!H597="Mensual", MATCH($B$2, {"Enero", "Febrero", "Marzo", "Abril", "Mayo", "Junio", "Julio", "Agosto", "Septiembre", "Octubre", "Noviembre", "Diciembre"}, 0)&gt;=1),
    AND('BD Asesor'!H597="Trimestral", MOD(MATCH($B$2, {"Enero", "Febrero", "Marzo", "Abril", "Mayo", "Junio", "Julio", "Agosto", "Septiembre", "Octubre", "Noviembre"}, 0)-MONTH('BD Asesor'!D597), 3)=0),
    AND('BD Asesor'!H597="Semestral", MOD(MATCH($B$2, {"Enero", "Febrero", "Marzo", "Abril", "Mayo", "Junio", "Julio", "Agosto", "Septiembre", "Octubre", "Noviembre"}, 0)-MONTH('BD Asesor'!D597), 6)=0),
    AND('BD Asesor'!H597="Anual", MONTH('BD Asesor'!D597)=MATCH($B$2, {"Enero", "Febrero", "Marzo", "Abril", "Mayo", "Junio", "Julio", "Agosto", "Septiembre", "Octubre", "Noviembre"}, 0))
), 'BD Asesor'!L597, "")
</f>
        <v/>
      </c>
    </row>
    <row r="598">
      <c r="C598" s="84" t="str">
        <f t="array" ref="C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Asesor'!A598, "")
</f>
        <v/>
      </c>
      <c r="D598" s="84" t="str">
        <f t="array" ref="D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Asesor'!B598, "")
</f>
        <v/>
      </c>
      <c r="E598" s="212" t="str">
        <f t="array" ref="E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Asesor'!C598, "")
</f>
        <v/>
      </c>
      <c r="F598" s="212" t="str">
        <f t="array" ref="F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Asesor'!D598, "")
</f>
        <v/>
      </c>
      <c r="G598" s="212" t="str">
        <f t="array" ref="G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Asesor'!E598, "")
</f>
        <v/>
      </c>
      <c r="H598" s="84" t="str">
        <f t="array" ref="H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Asesor'!F598, "")
</f>
        <v/>
      </c>
      <c r="I598" s="84" t="str">
        <f t="array" ref="I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Asesor'!G598, "")
</f>
        <v/>
      </c>
      <c r="J598" s="84" t="str">
        <f t="array" ref="J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Asesor'!H598, "")
</f>
        <v/>
      </c>
      <c r="K598" s="84" t="str">
        <f t="array" ref="K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Asesor'!K598, "")
</f>
        <v/>
      </c>
      <c r="L598" s="84" t="str">
        <f t="array" ref="L598">IF(OR(
    AND('BD Asesor'!H598="Mensual", MATCH($B$2, {"Enero", "Febrero", "Marzo", "Abril", "Mayo", "Junio", "Julio", "Agosto", "Septiembre", "Octubre", "Noviembre", "Diciembre"}, 0)&gt;=1),
    AND('BD Asesor'!H598="Trimestral", MOD(MATCH($B$2, {"Enero", "Febrero", "Marzo", "Abril", "Mayo", "Junio", "Julio", "Agosto", "Septiembre", "Octubre", "Noviembre"}, 0)-MONTH('BD Asesor'!D598), 3)=0),
    AND('BD Asesor'!H598="Semestral", MOD(MATCH($B$2, {"Enero", "Febrero", "Marzo", "Abril", "Mayo", "Junio", "Julio", "Agosto", "Septiembre", "Octubre", "Noviembre"}, 0)-MONTH('BD Asesor'!D598), 6)=0),
    AND('BD Asesor'!H598="Anual", MONTH('BD Asesor'!D598)=MATCH($B$2, {"Enero", "Febrero", "Marzo", "Abril", "Mayo", "Junio", "Julio", "Agosto", "Septiembre", "Octubre", "Noviembre"}, 0))
), 'BD Asesor'!L598, "")
</f>
        <v/>
      </c>
    </row>
    <row r="599">
      <c r="C599" s="84" t="str">
        <f t="array" ref="C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Asesor'!A599, "")
</f>
        <v/>
      </c>
      <c r="D599" s="84" t="str">
        <f t="array" ref="D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Asesor'!B599, "")
</f>
        <v/>
      </c>
      <c r="E599" s="212" t="str">
        <f t="array" ref="E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Asesor'!C599, "")
</f>
        <v/>
      </c>
      <c r="F599" s="212" t="str">
        <f t="array" ref="F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Asesor'!D599, "")
</f>
        <v/>
      </c>
      <c r="G599" s="212" t="str">
        <f t="array" ref="G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Asesor'!E599, "")
</f>
        <v/>
      </c>
      <c r="H599" s="84" t="str">
        <f t="array" ref="H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Asesor'!F599, "")
</f>
        <v/>
      </c>
      <c r="I599" s="84" t="str">
        <f t="array" ref="I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Asesor'!G599, "")
</f>
        <v/>
      </c>
      <c r="J599" s="84" t="str">
        <f t="array" ref="J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Asesor'!H599, "")
</f>
        <v/>
      </c>
      <c r="K599" s="84" t="str">
        <f t="array" ref="K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Asesor'!K599, "")
</f>
        <v/>
      </c>
      <c r="L599" s="84" t="str">
        <f t="array" ref="L599">IF(OR(
    AND('BD Asesor'!H599="Mensual", MATCH($B$2, {"Enero", "Febrero", "Marzo", "Abril", "Mayo", "Junio", "Julio", "Agosto", "Septiembre", "Octubre", "Noviembre", "Diciembre"}, 0)&gt;=1),
    AND('BD Asesor'!H599="Trimestral", MOD(MATCH($B$2, {"Enero", "Febrero", "Marzo", "Abril", "Mayo", "Junio", "Julio", "Agosto", "Septiembre", "Octubre", "Noviembre"}, 0)-MONTH('BD Asesor'!D599), 3)=0),
    AND('BD Asesor'!H599="Semestral", MOD(MATCH($B$2, {"Enero", "Febrero", "Marzo", "Abril", "Mayo", "Junio", "Julio", "Agosto", "Septiembre", "Octubre", "Noviembre"}, 0)-MONTH('BD Asesor'!D599), 6)=0),
    AND('BD Asesor'!H599="Anual", MONTH('BD Asesor'!D599)=MATCH($B$2, {"Enero", "Febrero", "Marzo", "Abril", "Mayo", "Junio", "Julio", "Agosto", "Septiembre", "Octubre", "Noviembre"}, 0))
), 'BD Asesor'!L599, "")
</f>
        <v/>
      </c>
    </row>
    <row r="600">
      <c r="C600" s="84" t="str">
        <f t="array" ref="C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Asesor'!A600, "")
</f>
        <v/>
      </c>
      <c r="D600" s="84" t="str">
        <f t="array" ref="D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Asesor'!B600, "")
</f>
        <v/>
      </c>
      <c r="E600" s="212" t="str">
        <f t="array" ref="E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Asesor'!C600, "")
</f>
        <v/>
      </c>
      <c r="F600" s="212" t="str">
        <f t="array" ref="F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Asesor'!D600, "")
</f>
        <v/>
      </c>
      <c r="G600" s="212" t="str">
        <f t="array" ref="G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Asesor'!E600, "")
</f>
        <v/>
      </c>
      <c r="H600" s="84" t="str">
        <f t="array" ref="H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Asesor'!F600, "")
</f>
        <v/>
      </c>
      <c r="I600" s="84" t="str">
        <f t="array" ref="I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Asesor'!G600, "")
</f>
        <v/>
      </c>
      <c r="J600" s="84" t="str">
        <f t="array" ref="J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Asesor'!H600, "")
</f>
        <v/>
      </c>
      <c r="K600" s="84" t="str">
        <f t="array" ref="K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Asesor'!K600, "")
</f>
        <v/>
      </c>
      <c r="L600" s="84" t="str">
        <f t="array" ref="L600">IF(OR(
    AND('BD Asesor'!H600="Mensual", MATCH($B$2, {"Enero", "Febrero", "Marzo", "Abril", "Mayo", "Junio", "Julio", "Agosto", "Septiembre", "Octubre", "Noviembre", "Diciembre"}, 0)&gt;=1),
    AND('BD Asesor'!H600="Trimestral", MOD(MATCH($B$2, {"Enero", "Febrero", "Marzo", "Abril", "Mayo", "Junio", "Julio", "Agosto", "Septiembre", "Octubre", "Noviembre"}, 0)-MONTH('BD Asesor'!D600), 3)=0),
    AND('BD Asesor'!H600="Semestral", MOD(MATCH($B$2, {"Enero", "Febrero", "Marzo", "Abril", "Mayo", "Junio", "Julio", "Agosto", "Septiembre", "Octubre", "Noviembre"}, 0)-MONTH('BD Asesor'!D600), 6)=0),
    AND('BD Asesor'!H600="Anual", MONTH('BD Asesor'!D600)=MATCH($B$2, {"Enero", "Febrero", "Marzo", "Abril", "Mayo", "Junio", "Julio", "Agosto", "Septiembre", "Octubre", "Noviembre"}, 0))
), 'BD Asesor'!L600, "")
</f>
        <v/>
      </c>
    </row>
    <row r="601">
      <c r="C601" s="84" t="str">
        <f t="array" ref="C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Asesor'!A601, "")
</f>
        <v/>
      </c>
      <c r="D601" s="84" t="str">
        <f t="array" ref="D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Asesor'!B601, "")
</f>
        <v/>
      </c>
      <c r="E601" s="212" t="str">
        <f t="array" ref="E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Asesor'!C601, "")
</f>
        <v/>
      </c>
      <c r="F601" s="212" t="str">
        <f t="array" ref="F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Asesor'!D601, "")
</f>
        <v/>
      </c>
      <c r="G601" s="212" t="str">
        <f t="array" ref="G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Asesor'!E601, "")
</f>
        <v/>
      </c>
      <c r="H601" s="84" t="str">
        <f t="array" ref="H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Asesor'!F601, "")
</f>
        <v/>
      </c>
      <c r="I601" s="84" t="str">
        <f t="array" ref="I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Asesor'!G601, "")
</f>
        <v/>
      </c>
      <c r="J601" s="84" t="str">
        <f t="array" ref="J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Asesor'!H601, "")
</f>
        <v/>
      </c>
      <c r="K601" s="84" t="str">
        <f t="array" ref="K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Asesor'!K601, "")
</f>
        <v/>
      </c>
      <c r="L601" s="84" t="str">
        <f t="array" ref="L601">IF(OR(
    AND('BD Asesor'!H601="Mensual", MATCH($B$2, {"Enero", "Febrero", "Marzo", "Abril", "Mayo", "Junio", "Julio", "Agosto", "Septiembre", "Octubre", "Noviembre", "Diciembre"}, 0)&gt;=1),
    AND('BD Asesor'!H601="Trimestral", MOD(MATCH($B$2, {"Enero", "Febrero", "Marzo", "Abril", "Mayo", "Junio", "Julio", "Agosto", "Septiembre", "Octubre", "Noviembre"}, 0)-MONTH('BD Asesor'!D601), 3)=0),
    AND('BD Asesor'!H601="Semestral", MOD(MATCH($B$2, {"Enero", "Febrero", "Marzo", "Abril", "Mayo", "Junio", "Julio", "Agosto", "Septiembre", "Octubre", "Noviembre"}, 0)-MONTH('BD Asesor'!D601), 6)=0),
    AND('BD Asesor'!H601="Anual", MONTH('BD Asesor'!D601)=MATCH($B$2, {"Enero", "Febrero", "Marzo", "Abril", "Mayo", "Junio", "Julio", "Agosto", "Septiembre", "Octubre", "Noviembre"}, 0))
), 'BD Asesor'!L601, "")
</f>
        <v/>
      </c>
    </row>
    <row r="602">
      <c r="C602" s="84" t="str">
        <f t="array" ref="C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Asesor'!A602, "")
</f>
        <v/>
      </c>
      <c r="D602" s="84" t="str">
        <f t="array" ref="D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Asesor'!B602, "")
</f>
        <v/>
      </c>
      <c r="E602" s="212" t="str">
        <f t="array" ref="E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Asesor'!C602, "")
</f>
        <v/>
      </c>
      <c r="F602" s="212" t="str">
        <f t="array" ref="F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Asesor'!D602, "")
</f>
        <v/>
      </c>
      <c r="G602" s="212" t="str">
        <f t="array" ref="G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Asesor'!E602, "")
</f>
        <v/>
      </c>
      <c r="H602" s="84" t="str">
        <f t="array" ref="H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Asesor'!F602, "")
</f>
        <v/>
      </c>
      <c r="I602" s="84" t="str">
        <f t="array" ref="I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Asesor'!G602, "")
</f>
        <v/>
      </c>
      <c r="J602" s="84" t="str">
        <f t="array" ref="J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Asesor'!H602, "")
</f>
        <v/>
      </c>
      <c r="K602" s="84" t="str">
        <f t="array" ref="K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Asesor'!K602, "")
</f>
        <v/>
      </c>
      <c r="L602" s="84" t="str">
        <f t="array" ref="L602">IF(OR(
    AND('BD Asesor'!H602="Mensual", MATCH($B$2, {"Enero", "Febrero", "Marzo", "Abril", "Mayo", "Junio", "Julio", "Agosto", "Septiembre", "Octubre", "Noviembre", "Diciembre"}, 0)&gt;=1),
    AND('BD Asesor'!H602="Trimestral", MOD(MATCH($B$2, {"Enero", "Febrero", "Marzo", "Abril", "Mayo", "Junio", "Julio", "Agosto", "Septiembre", "Octubre", "Noviembre"}, 0)-MONTH('BD Asesor'!D602), 3)=0),
    AND('BD Asesor'!H602="Semestral", MOD(MATCH($B$2, {"Enero", "Febrero", "Marzo", "Abril", "Mayo", "Junio", "Julio", "Agosto", "Septiembre", "Octubre", "Noviembre"}, 0)-MONTH('BD Asesor'!D602), 6)=0),
    AND('BD Asesor'!H602="Anual", MONTH('BD Asesor'!D602)=MATCH($B$2, {"Enero", "Febrero", "Marzo", "Abril", "Mayo", "Junio", "Julio", "Agosto", "Septiembre", "Octubre", "Noviembre"}, 0))
), 'BD Asesor'!L602, "")
</f>
        <v/>
      </c>
    </row>
    <row r="603">
      <c r="C603" s="84" t="str">
        <f t="array" ref="C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Asesor'!A603, "")
</f>
        <v/>
      </c>
      <c r="D603" s="84" t="str">
        <f t="array" ref="D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Asesor'!B603, "")
</f>
        <v/>
      </c>
      <c r="E603" s="212" t="str">
        <f t="array" ref="E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Asesor'!C603, "")
</f>
        <v/>
      </c>
      <c r="F603" s="212" t="str">
        <f t="array" ref="F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Asesor'!D603, "")
</f>
        <v/>
      </c>
      <c r="G603" s="212" t="str">
        <f t="array" ref="G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Asesor'!E603, "")
</f>
        <v/>
      </c>
      <c r="H603" s="84" t="str">
        <f t="array" ref="H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Asesor'!F603, "")
</f>
        <v/>
      </c>
      <c r="I603" s="84" t="str">
        <f t="array" ref="I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Asesor'!G603, "")
</f>
        <v/>
      </c>
      <c r="J603" s="84" t="str">
        <f t="array" ref="J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Asesor'!H603, "")
</f>
        <v/>
      </c>
      <c r="K603" s="84" t="str">
        <f t="array" ref="K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Asesor'!K603, "")
</f>
        <v/>
      </c>
      <c r="L603" s="84" t="str">
        <f t="array" ref="L603">IF(OR(
    AND('BD Asesor'!H603="Mensual", MATCH($B$2, {"Enero", "Febrero", "Marzo", "Abril", "Mayo", "Junio", "Julio", "Agosto", "Septiembre", "Octubre", "Noviembre", "Diciembre"}, 0)&gt;=1),
    AND('BD Asesor'!H603="Trimestral", MOD(MATCH($B$2, {"Enero", "Febrero", "Marzo", "Abril", "Mayo", "Junio", "Julio", "Agosto", "Septiembre", "Octubre", "Noviembre"}, 0)-MONTH('BD Asesor'!D603), 3)=0),
    AND('BD Asesor'!H603="Semestral", MOD(MATCH($B$2, {"Enero", "Febrero", "Marzo", "Abril", "Mayo", "Junio", "Julio", "Agosto", "Septiembre", "Octubre", "Noviembre"}, 0)-MONTH('BD Asesor'!D603), 6)=0),
    AND('BD Asesor'!H603="Anual", MONTH('BD Asesor'!D603)=MATCH($B$2, {"Enero", "Febrero", "Marzo", "Abril", "Mayo", "Junio", "Julio", "Agosto", "Septiembre", "Octubre", "Noviembre"}, 0))
), 'BD Asesor'!L603, "")
</f>
        <v/>
      </c>
    </row>
    <row r="604">
      <c r="C604" s="84" t="str">
        <f t="array" ref="C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Asesor'!A604, "")
</f>
        <v/>
      </c>
      <c r="D604" s="84" t="str">
        <f t="array" ref="D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Asesor'!B604, "")
</f>
        <v/>
      </c>
      <c r="E604" s="212" t="str">
        <f t="array" ref="E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Asesor'!C604, "")
</f>
        <v/>
      </c>
      <c r="F604" s="212" t="str">
        <f t="array" ref="F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Asesor'!D604, "")
</f>
        <v/>
      </c>
      <c r="G604" s="212" t="str">
        <f t="array" ref="G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Asesor'!E604, "")
</f>
        <v/>
      </c>
      <c r="H604" s="84" t="str">
        <f t="array" ref="H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Asesor'!F604, "")
</f>
        <v/>
      </c>
      <c r="I604" s="84" t="str">
        <f t="array" ref="I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Asesor'!G604, "")
</f>
        <v/>
      </c>
      <c r="J604" s="84" t="str">
        <f t="array" ref="J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Asesor'!H604, "")
</f>
        <v/>
      </c>
      <c r="K604" s="84" t="str">
        <f t="array" ref="K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Asesor'!K604, "")
</f>
        <v/>
      </c>
      <c r="L604" s="84" t="str">
        <f t="array" ref="L604">IF(OR(
    AND('BD Asesor'!H604="Mensual", MATCH($B$2, {"Enero", "Febrero", "Marzo", "Abril", "Mayo", "Junio", "Julio", "Agosto", "Septiembre", "Octubre", "Noviembre", "Diciembre"}, 0)&gt;=1),
    AND('BD Asesor'!H604="Trimestral", MOD(MATCH($B$2, {"Enero", "Febrero", "Marzo", "Abril", "Mayo", "Junio", "Julio", "Agosto", "Septiembre", "Octubre", "Noviembre"}, 0)-MONTH('BD Asesor'!D604), 3)=0),
    AND('BD Asesor'!H604="Semestral", MOD(MATCH($B$2, {"Enero", "Febrero", "Marzo", "Abril", "Mayo", "Junio", "Julio", "Agosto", "Septiembre", "Octubre", "Noviembre"}, 0)-MONTH('BD Asesor'!D604), 6)=0),
    AND('BD Asesor'!H604="Anual", MONTH('BD Asesor'!D604)=MATCH($B$2, {"Enero", "Febrero", "Marzo", "Abril", "Mayo", "Junio", "Julio", "Agosto", "Septiembre", "Octubre", "Noviembre"}, 0))
), 'BD Asesor'!L604, "")
</f>
        <v/>
      </c>
    </row>
    <row r="605">
      <c r="C605" s="84" t="str">
        <f t="array" ref="C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Asesor'!A605, "")
</f>
        <v/>
      </c>
      <c r="D605" s="84" t="str">
        <f t="array" ref="D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Asesor'!B605, "")
</f>
        <v/>
      </c>
      <c r="E605" s="212" t="str">
        <f t="array" ref="E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Asesor'!C605, "")
</f>
        <v/>
      </c>
      <c r="F605" s="212" t="str">
        <f t="array" ref="F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Asesor'!D605, "")
</f>
        <v/>
      </c>
      <c r="G605" s="212" t="str">
        <f t="array" ref="G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Asesor'!E605, "")
</f>
        <v/>
      </c>
      <c r="H605" s="84" t="str">
        <f t="array" ref="H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Asesor'!F605, "")
</f>
        <v/>
      </c>
      <c r="I605" s="84" t="str">
        <f t="array" ref="I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Asesor'!G605, "")
</f>
        <v/>
      </c>
      <c r="J605" s="84" t="str">
        <f t="array" ref="J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Asesor'!H605, "")
</f>
        <v/>
      </c>
      <c r="K605" s="84" t="str">
        <f t="array" ref="K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Asesor'!K605, "")
</f>
        <v/>
      </c>
      <c r="L605" s="84" t="str">
        <f t="array" ref="L605">IF(OR(
    AND('BD Asesor'!H605="Mensual", MATCH($B$2, {"Enero", "Febrero", "Marzo", "Abril", "Mayo", "Junio", "Julio", "Agosto", "Septiembre", "Octubre", "Noviembre", "Diciembre"}, 0)&gt;=1),
    AND('BD Asesor'!H605="Trimestral", MOD(MATCH($B$2, {"Enero", "Febrero", "Marzo", "Abril", "Mayo", "Junio", "Julio", "Agosto", "Septiembre", "Octubre", "Noviembre"}, 0)-MONTH('BD Asesor'!D605), 3)=0),
    AND('BD Asesor'!H605="Semestral", MOD(MATCH($B$2, {"Enero", "Febrero", "Marzo", "Abril", "Mayo", "Junio", "Julio", "Agosto", "Septiembre", "Octubre", "Noviembre"}, 0)-MONTH('BD Asesor'!D605), 6)=0),
    AND('BD Asesor'!H605="Anual", MONTH('BD Asesor'!D605)=MATCH($B$2, {"Enero", "Febrero", "Marzo", "Abril", "Mayo", "Junio", "Julio", "Agosto", "Septiembre", "Octubre", "Noviembre"}, 0))
), 'BD Asesor'!L605, "")
</f>
        <v/>
      </c>
    </row>
    <row r="606">
      <c r="C606" s="84" t="str">
        <f t="array" ref="C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Asesor'!A606, "")
</f>
        <v/>
      </c>
      <c r="D606" s="84" t="str">
        <f t="array" ref="D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Asesor'!B606, "")
</f>
        <v/>
      </c>
      <c r="E606" s="212" t="str">
        <f t="array" ref="E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Asesor'!C606, "")
</f>
        <v/>
      </c>
      <c r="F606" s="212" t="str">
        <f t="array" ref="F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Asesor'!D606, "")
</f>
        <v/>
      </c>
      <c r="G606" s="212" t="str">
        <f t="array" ref="G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Asesor'!E606, "")
</f>
        <v/>
      </c>
      <c r="H606" s="84" t="str">
        <f t="array" ref="H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Asesor'!F606, "")
</f>
        <v/>
      </c>
      <c r="I606" s="84" t="str">
        <f t="array" ref="I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Asesor'!G606, "")
</f>
        <v/>
      </c>
      <c r="J606" s="84" t="str">
        <f t="array" ref="J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Asesor'!H606, "")
</f>
        <v/>
      </c>
      <c r="K606" s="84" t="str">
        <f t="array" ref="K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Asesor'!K606, "")
</f>
        <v/>
      </c>
      <c r="L606" s="84" t="str">
        <f t="array" ref="L606">IF(OR(
    AND('BD Asesor'!H606="Mensual", MATCH($B$2, {"Enero", "Febrero", "Marzo", "Abril", "Mayo", "Junio", "Julio", "Agosto", "Septiembre", "Octubre", "Noviembre", "Diciembre"}, 0)&gt;=1),
    AND('BD Asesor'!H606="Trimestral", MOD(MATCH($B$2, {"Enero", "Febrero", "Marzo", "Abril", "Mayo", "Junio", "Julio", "Agosto", "Septiembre", "Octubre", "Noviembre"}, 0)-MONTH('BD Asesor'!D606), 3)=0),
    AND('BD Asesor'!H606="Semestral", MOD(MATCH($B$2, {"Enero", "Febrero", "Marzo", "Abril", "Mayo", "Junio", "Julio", "Agosto", "Septiembre", "Octubre", "Noviembre"}, 0)-MONTH('BD Asesor'!D606), 6)=0),
    AND('BD Asesor'!H606="Anual", MONTH('BD Asesor'!D606)=MATCH($B$2, {"Enero", "Febrero", "Marzo", "Abril", "Mayo", "Junio", "Julio", "Agosto", "Septiembre", "Octubre", "Noviembre"}, 0))
), 'BD Asesor'!L606, "")
</f>
        <v/>
      </c>
    </row>
    <row r="607">
      <c r="C607" s="84" t="str">
        <f t="array" ref="C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Asesor'!A607, "")
</f>
        <v/>
      </c>
      <c r="D607" s="84" t="str">
        <f t="array" ref="D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Asesor'!B607, "")
</f>
        <v/>
      </c>
      <c r="E607" s="212" t="str">
        <f t="array" ref="E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Asesor'!C607, "")
</f>
        <v/>
      </c>
      <c r="F607" s="212" t="str">
        <f t="array" ref="F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Asesor'!D607, "")
</f>
        <v/>
      </c>
      <c r="G607" s="212" t="str">
        <f t="array" ref="G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Asesor'!E607, "")
</f>
        <v/>
      </c>
      <c r="H607" s="84" t="str">
        <f t="array" ref="H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Asesor'!F607, "")
</f>
        <v/>
      </c>
      <c r="I607" s="84" t="str">
        <f t="array" ref="I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Asesor'!G607, "")
</f>
        <v/>
      </c>
      <c r="J607" s="84" t="str">
        <f t="array" ref="J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Asesor'!H607, "")
</f>
        <v/>
      </c>
      <c r="K607" s="84" t="str">
        <f t="array" ref="K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Asesor'!K607, "")
</f>
        <v/>
      </c>
      <c r="L607" s="84" t="str">
        <f t="array" ref="L607">IF(OR(
    AND('BD Asesor'!H607="Mensual", MATCH($B$2, {"Enero", "Febrero", "Marzo", "Abril", "Mayo", "Junio", "Julio", "Agosto", "Septiembre", "Octubre", "Noviembre", "Diciembre"}, 0)&gt;=1),
    AND('BD Asesor'!H607="Trimestral", MOD(MATCH($B$2, {"Enero", "Febrero", "Marzo", "Abril", "Mayo", "Junio", "Julio", "Agosto", "Septiembre", "Octubre", "Noviembre"}, 0)-MONTH('BD Asesor'!D607), 3)=0),
    AND('BD Asesor'!H607="Semestral", MOD(MATCH($B$2, {"Enero", "Febrero", "Marzo", "Abril", "Mayo", "Junio", "Julio", "Agosto", "Septiembre", "Octubre", "Noviembre"}, 0)-MONTH('BD Asesor'!D607), 6)=0),
    AND('BD Asesor'!H607="Anual", MONTH('BD Asesor'!D607)=MATCH($B$2, {"Enero", "Febrero", "Marzo", "Abril", "Mayo", "Junio", "Julio", "Agosto", "Septiembre", "Octubre", "Noviembre"}, 0))
), 'BD Asesor'!L607, "")
</f>
        <v/>
      </c>
    </row>
    <row r="608">
      <c r="C608" s="84" t="str">
        <f t="array" ref="C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Asesor'!A608, "")
</f>
        <v/>
      </c>
      <c r="D608" s="84" t="str">
        <f t="array" ref="D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Asesor'!B608, "")
</f>
        <v/>
      </c>
      <c r="E608" s="212" t="str">
        <f t="array" ref="E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Asesor'!C608, "")
</f>
        <v/>
      </c>
      <c r="F608" s="212" t="str">
        <f t="array" ref="F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Asesor'!D608, "")
</f>
        <v/>
      </c>
      <c r="G608" s="212" t="str">
        <f t="array" ref="G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Asesor'!E608, "")
</f>
        <v/>
      </c>
      <c r="H608" s="84" t="str">
        <f t="array" ref="H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Asesor'!F608, "")
</f>
        <v/>
      </c>
      <c r="I608" s="84" t="str">
        <f t="array" ref="I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Asesor'!G608, "")
</f>
        <v/>
      </c>
      <c r="J608" s="84" t="str">
        <f t="array" ref="J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Asesor'!H608, "")
</f>
        <v/>
      </c>
      <c r="K608" s="84" t="str">
        <f t="array" ref="K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Asesor'!K608, "")
</f>
        <v/>
      </c>
      <c r="L608" s="84" t="str">
        <f t="array" ref="L608">IF(OR(
    AND('BD Asesor'!H608="Mensual", MATCH($B$2, {"Enero", "Febrero", "Marzo", "Abril", "Mayo", "Junio", "Julio", "Agosto", "Septiembre", "Octubre", "Noviembre", "Diciembre"}, 0)&gt;=1),
    AND('BD Asesor'!H608="Trimestral", MOD(MATCH($B$2, {"Enero", "Febrero", "Marzo", "Abril", "Mayo", "Junio", "Julio", "Agosto", "Septiembre", "Octubre", "Noviembre"}, 0)-MONTH('BD Asesor'!D608), 3)=0),
    AND('BD Asesor'!H608="Semestral", MOD(MATCH($B$2, {"Enero", "Febrero", "Marzo", "Abril", "Mayo", "Junio", "Julio", "Agosto", "Septiembre", "Octubre", "Noviembre"}, 0)-MONTH('BD Asesor'!D608), 6)=0),
    AND('BD Asesor'!H608="Anual", MONTH('BD Asesor'!D608)=MATCH($B$2, {"Enero", "Febrero", "Marzo", "Abril", "Mayo", "Junio", "Julio", "Agosto", "Septiembre", "Octubre", "Noviembre"}, 0))
), 'BD Asesor'!L608, "")
</f>
        <v/>
      </c>
    </row>
    <row r="609">
      <c r="C609" s="84" t="str">
        <f t="array" ref="C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Asesor'!A609, "")
</f>
        <v/>
      </c>
      <c r="D609" s="84" t="str">
        <f t="array" ref="D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Asesor'!B609, "")
</f>
        <v/>
      </c>
      <c r="E609" s="212" t="str">
        <f t="array" ref="E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Asesor'!C609, "")
</f>
        <v/>
      </c>
      <c r="F609" s="212" t="str">
        <f t="array" ref="F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Asesor'!D609, "")
</f>
        <v/>
      </c>
      <c r="G609" s="212" t="str">
        <f t="array" ref="G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Asesor'!E609, "")
</f>
        <v/>
      </c>
      <c r="H609" s="84" t="str">
        <f t="array" ref="H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Asesor'!F609, "")
</f>
        <v/>
      </c>
      <c r="I609" s="84" t="str">
        <f t="array" ref="I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Asesor'!G609, "")
</f>
        <v/>
      </c>
      <c r="J609" s="84" t="str">
        <f t="array" ref="J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Asesor'!H609, "")
</f>
        <v/>
      </c>
      <c r="K609" s="84" t="str">
        <f t="array" ref="K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Asesor'!K609, "")
</f>
        <v/>
      </c>
      <c r="L609" s="84" t="str">
        <f t="array" ref="L609">IF(OR(
    AND('BD Asesor'!H609="Mensual", MATCH($B$2, {"Enero", "Febrero", "Marzo", "Abril", "Mayo", "Junio", "Julio", "Agosto", "Septiembre", "Octubre", "Noviembre", "Diciembre"}, 0)&gt;=1),
    AND('BD Asesor'!H609="Trimestral", MOD(MATCH($B$2, {"Enero", "Febrero", "Marzo", "Abril", "Mayo", "Junio", "Julio", "Agosto", "Septiembre", "Octubre", "Noviembre"}, 0)-MONTH('BD Asesor'!D609), 3)=0),
    AND('BD Asesor'!H609="Semestral", MOD(MATCH($B$2, {"Enero", "Febrero", "Marzo", "Abril", "Mayo", "Junio", "Julio", "Agosto", "Septiembre", "Octubre", "Noviembre"}, 0)-MONTH('BD Asesor'!D609), 6)=0),
    AND('BD Asesor'!H609="Anual", MONTH('BD Asesor'!D609)=MATCH($B$2, {"Enero", "Febrero", "Marzo", "Abril", "Mayo", "Junio", "Julio", "Agosto", "Septiembre", "Octubre", "Noviembre"}, 0))
), 'BD Asesor'!L609, "")
</f>
        <v/>
      </c>
    </row>
    <row r="610">
      <c r="C610" s="84" t="str">
        <f t="array" ref="C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Asesor'!A610, "")
</f>
        <v/>
      </c>
      <c r="D610" s="84" t="str">
        <f t="array" ref="D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Asesor'!B610, "")
</f>
        <v/>
      </c>
      <c r="E610" s="212" t="str">
        <f t="array" ref="E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Asesor'!C610, "")
</f>
        <v/>
      </c>
      <c r="F610" s="212" t="str">
        <f t="array" ref="F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Asesor'!D610, "")
</f>
        <v/>
      </c>
      <c r="G610" s="212" t="str">
        <f t="array" ref="G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Asesor'!E610, "")
</f>
        <v/>
      </c>
      <c r="H610" s="84" t="str">
        <f t="array" ref="H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Asesor'!F610, "")
</f>
        <v/>
      </c>
      <c r="I610" s="84" t="str">
        <f t="array" ref="I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Asesor'!G610, "")
</f>
        <v/>
      </c>
      <c r="J610" s="84" t="str">
        <f t="array" ref="J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Asesor'!H610, "")
</f>
        <v/>
      </c>
      <c r="K610" s="84" t="str">
        <f t="array" ref="K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Asesor'!K610, "")
</f>
        <v/>
      </c>
      <c r="L610" s="84" t="str">
        <f t="array" ref="L610">IF(OR(
    AND('BD Asesor'!H610="Mensual", MATCH($B$2, {"Enero", "Febrero", "Marzo", "Abril", "Mayo", "Junio", "Julio", "Agosto", "Septiembre", "Octubre", "Noviembre", "Diciembre"}, 0)&gt;=1),
    AND('BD Asesor'!H610="Trimestral", MOD(MATCH($B$2, {"Enero", "Febrero", "Marzo", "Abril", "Mayo", "Junio", "Julio", "Agosto", "Septiembre", "Octubre", "Noviembre"}, 0)-MONTH('BD Asesor'!D610), 3)=0),
    AND('BD Asesor'!H610="Semestral", MOD(MATCH($B$2, {"Enero", "Febrero", "Marzo", "Abril", "Mayo", "Junio", "Julio", "Agosto", "Septiembre", "Octubre", "Noviembre"}, 0)-MONTH('BD Asesor'!D610), 6)=0),
    AND('BD Asesor'!H610="Anual", MONTH('BD Asesor'!D610)=MATCH($B$2, {"Enero", "Febrero", "Marzo", "Abril", "Mayo", "Junio", "Julio", "Agosto", "Septiembre", "Octubre", "Noviembre"}, 0))
), 'BD Asesor'!L610, "")
</f>
        <v/>
      </c>
    </row>
    <row r="611">
      <c r="C611" s="84" t="str">
        <f t="array" ref="C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Asesor'!A611, "")
</f>
        <v/>
      </c>
      <c r="D611" s="84" t="str">
        <f t="array" ref="D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Asesor'!B611, "")
</f>
        <v/>
      </c>
      <c r="E611" s="212" t="str">
        <f t="array" ref="E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Asesor'!C611, "")
</f>
        <v/>
      </c>
      <c r="F611" s="212" t="str">
        <f t="array" ref="F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Asesor'!D611, "")
</f>
        <v/>
      </c>
      <c r="G611" s="212" t="str">
        <f t="array" ref="G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Asesor'!E611, "")
</f>
        <v/>
      </c>
      <c r="H611" s="84" t="str">
        <f t="array" ref="H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Asesor'!F611, "")
</f>
        <v/>
      </c>
      <c r="I611" s="84" t="str">
        <f t="array" ref="I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Asesor'!G611, "")
</f>
        <v/>
      </c>
      <c r="J611" s="84" t="str">
        <f t="array" ref="J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Asesor'!H611, "")
</f>
        <v/>
      </c>
      <c r="K611" s="84" t="str">
        <f t="array" ref="K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Asesor'!K611, "")
</f>
        <v/>
      </c>
      <c r="L611" s="84" t="str">
        <f t="array" ref="L611">IF(OR(
    AND('BD Asesor'!H611="Mensual", MATCH($B$2, {"Enero", "Febrero", "Marzo", "Abril", "Mayo", "Junio", "Julio", "Agosto", "Septiembre", "Octubre", "Noviembre", "Diciembre"}, 0)&gt;=1),
    AND('BD Asesor'!H611="Trimestral", MOD(MATCH($B$2, {"Enero", "Febrero", "Marzo", "Abril", "Mayo", "Junio", "Julio", "Agosto", "Septiembre", "Octubre", "Noviembre"}, 0)-MONTH('BD Asesor'!D611), 3)=0),
    AND('BD Asesor'!H611="Semestral", MOD(MATCH($B$2, {"Enero", "Febrero", "Marzo", "Abril", "Mayo", "Junio", "Julio", "Agosto", "Septiembre", "Octubre", "Noviembre"}, 0)-MONTH('BD Asesor'!D611), 6)=0),
    AND('BD Asesor'!H611="Anual", MONTH('BD Asesor'!D611)=MATCH($B$2, {"Enero", "Febrero", "Marzo", "Abril", "Mayo", "Junio", "Julio", "Agosto", "Septiembre", "Octubre", "Noviembre"}, 0))
), 'BD Asesor'!L611, "")
</f>
        <v/>
      </c>
    </row>
    <row r="612">
      <c r="C612" s="84" t="str">
        <f t="array" ref="C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Asesor'!A612, "")
</f>
        <v/>
      </c>
      <c r="D612" s="84" t="str">
        <f t="array" ref="D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Asesor'!B612, "")
</f>
        <v/>
      </c>
      <c r="E612" s="212" t="str">
        <f t="array" ref="E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Asesor'!C612, "")
</f>
        <v/>
      </c>
      <c r="F612" s="212" t="str">
        <f t="array" ref="F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Asesor'!D612, "")
</f>
        <v/>
      </c>
      <c r="G612" s="212" t="str">
        <f t="array" ref="G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Asesor'!E612, "")
</f>
        <v/>
      </c>
      <c r="H612" s="84" t="str">
        <f t="array" ref="H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Asesor'!F612, "")
</f>
        <v/>
      </c>
      <c r="I612" s="84" t="str">
        <f t="array" ref="I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Asesor'!G612, "")
</f>
        <v/>
      </c>
      <c r="J612" s="84" t="str">
        <f t="array" ref="J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Asesor'!H612, "")
</f>
        <v/>
      </c>
      <c r="K612" s="84" t="str">
        <f t="array" ref="K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Asesor'!K612, "")
</f>
        <v/>
      </c>
      <c r="L612" s="84" t="str">
        <f t="array" ref="L612">IF(OR(
    AND('BD Asesor'!H612="Mensual", MATCH($B$2, {"Enero", "Febrero", "Marzo", "Abril", "Mayo", "Junio", "Julio", "Agosto", "Septiembre", "Octubre", "Noviembre", "Diciembre"}, 0)&gt;=1),
    AND('BD Asesor'!H612="Trimestral", MOD(MATCH($B$2, {"Enero", "Febrero", "Marzo", "Abril", "Mayo", "Junio", "Julio", "Agosto", "Septiembre", "Octubre", "Noviembre"}, 0)-MONTH('BD Asesor'!D612), 3)=0),
    AND('BD Asesor'!H612="Semestral", MOD(MATCH($B$2, {"Enero", "Febrero", "Marzo", "Abril", "Mayo", "Junio", "Julio", "Agosto", "Septiembre", "Octubre", "Noviembre"}, 0)-MONTH('BD Asesor'!D612), 6)=0),
    AND('BD Asesor'!H612="Anual", MONTH('BD Asesor'!D612)=MATCH($B$2, {"Enero", "Febrero", "Marzo", "Abril", "Mayo", "Junio", "Julio", "Agosto", "Septiembre", "Octubre", "Noviembre"}, 0))
), 'BD Asesor'!L612, "")
</f>
        <v/>
      </c>
    </row>
    <row r="613">
      <c r="C613" s="84" t="str">
        <f t="array" ref="C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Asesor'!A613, "")
</f>
        <v/>
      </c>
      <c r="D613" s="84" t="str">
        <f t="array" ref="D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Asesor'!B613, "")
</f>
        <v/>
      </c>
      <c r="E613" s="212" t="str">
        <f t="array" ref="E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Asesor'!C613, "")
</f>
        <v/>
      </c>
      <c r="F613" s="212" t="str">
        <f t="array" ref="F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Asesor'!D613, "")
</f>
        <v/>
      </c>
      <c r="G613" s="212" t="str">
        <f t="array" ref="G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Asesor'!E613, "")
</f>
        <v/>
      </c>
      <c r="H613" s="84" t="str">
        <f t="array" ref="H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Asesor'!F613, "")
</f>
        <v/>
      </c>
      <c r="I613" s="84" t="str">
        <f t="array" ref="I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Asesor'!G613, "")
</f>
        <v/>
      </c>
      <c r="J613" s="84" t="str">
        <f t="array" ref="J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Asesor'!H613, "")
</f>
        <v/>
      </c>
      <c r="K613" s="84" t="str">
        <f t="array" ref="K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Asesor'!K613, "")
</f>
        <v/>
      </c>
      <c r="L613" s="84" t="str">
        <f t="array" ref="L613">IF(OR(
    AND('BD Asesor'!H613="Mensual", MATCH($B$2, {"Enero", "Febrero", "Marzo", "Abril", "Mayo", "Junio", "Julio", "Agosto", "Septiembre", "Octubre", "Noviembre", "Diciembre"}, 0)&gt;=1),
    AND('BD Asesor'!H613="Trimestral", MOD(MATCH($B$2, {"Enero", "Febrero", "Marzo", "Abril", "Mayo", "Junio", "Julio", "Agosto", "Septiembre", "Octubre", "Noviembre"}, 0)-MONTH('BD Asesor'!D613), 3)=0),
    AND('BD Asesor'!H613="Semestral", MOD(MATCH($B$2, {"Enero", "Febrero", "Marzo", "Abril", "Mayo", "Junio", "Julio", "Agosto", "Septiembre", "Octubre", "Noviembre"}, 0)-MONTH('BD Asesor'!D613), 6)=0),
    AND('BD Asesor'!H613="Anual", MONTH('BD Asesor'!D613)=MATCH($B$2, {"Enero", "Febrero", "Marzo", "Abril", "Mayo", "Junio", "Julio", "Agosto", "Septiembre", "Octubre", "Noviembre"}, 0))
), 'BD Asesor'!L613, "")
</f>
        <v/>
      </c>
    </row>
    <row r="614">
      <c r="C614" s="84" t="str">
        <f t="array" ref="C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Asesor'!A614, "")
</f>
        <v/>
      </c>
      <c r="D614" s="84" t="str">
        <f t="array" ref="D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Asesor'!B614, "")
</f>
        <v/>
      </c>
      <c r="E614" s="212" t="str">
        <f t="array" ref="E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Asesor'!C614, "")
</f>
        <v/>
      </c>
      <c r="F614" s="212" t="str">
        <f t="array" ref="F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Asesor'!D614, "")
</f>
        <v/>
      </c>
      <c r="G614" s="212" t="str">
        <f t="array" ref="G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Asesor'!E614, "")
</f>
        <v/>
      </c>
      <c r="H614" s="84" t="str">
        <f t="array" ref="H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Asesor'!F614, "")
</f>
        <v/>
      </c>
      <c r="I614" s="84" t="str">
        <f t="array" ref="I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Asesor'!G614, "")
</f>
        <v/>
      </c>
      <c r="J614" s="84" t="str">
        <f t="array" ref="J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Asesor'!H614, "")
</f>
        <v/>
      </c>
      <c r="K614" s="84" t="str">
        <f t="array" ref="K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Asesor'!K614, "")
</f>
        <v/>
      </c>
      <c r="L614" s="84" t="str">
        <f t="array" ref="L614">IF(OR(
    AND('BD Asesor'!H614="Mensual", MATCH($B$2, {"Enero", "Febrero", "Marzo", "Abril", "Mayo", "Junio", "Julio", "Agosto", "Septiembre", "Octubre", "Noviembre", "Diciembre"}, 0)&gt;=1),
    AND('BD Asesor'!H614="Trimestral", MOD(MATCH($B$2, {"Enero", "Febrero", "Marzo", "Abril", "Mayo", "Junio", "Julio", "Agosto", "Septiembre", "Octubre", "Noviembre"}, 0)-MONTH('BD Asesor'!D614), 3)=0),
    AND('BD Asesor'!H614="Semestral", MOD(MATCH($B$2, {"Enero", "Febrero", "Marzo", "Abril", "Mayo", "Junio", "Julio", "Agosto", "Septiembre", "Octubre", "Noviembre"}, 0)-MONTH('BD Asesor'!D614), 6)=0),
    AND('BD Asesor'!H614="Anual", MONTH('BD Asesor'!D614)=MATCH($B$2, {"Enero", "Febrero", "Marzo", "Abril", "Mayo", "Junio", "Julio", "Agosto", "Septiembre", "Octubre", "Noviembre"}, 0))
), 'BD Asesor'!L614, "")
</f>
        <v/>
      </c>
    </row>
    <row r="615">
      <c r="C615" s="84" t="str">
        <f t="array" ref="C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Asesor'!A615, "")
</f>
        <v/>
      </c>
      <c r="D615" s="84" t="str">
        <f t="array" ref="D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Asesor'!B615, "")
</f>
        <v/>
      </c>
      <c r="E615" s="212" t="str">
        <f t="array" ref="E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Asesor'!C615, "")
</f>
        <v/>
      </c>
      <c r="F615" s="212" t="str">
        <f t="array" ref="F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Asesor'!D615, "")
</f>
        <v/>
      </c>
      <c r="G615" s="212" t="str">
        <f t="array" ref="G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Asesor'!E615, "")
</f>
        <v/>
      </c>
      <c r="H615" s="84" t="str">
        <f t="array" ref="H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Asesor'!F615, "")
</f>
        <v/>
      </c>
      <c r="I615" s="84" t="str">
        <f t="array" ref="I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Asesor'!G615, "")
</f>
        <v/>
      </c>
      <c r="J615" s="84" t="str">
        <f t="array" ref="J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Asesor'!H615, "")
</f>
        <v/>
      </c>
      <c r="K615" s="84" t="str">
        <f t="array" ref="K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Asesor'!K615, "")
</f>
        <v/>
      </c>
      <c r="L615" s="84" t="str">
        <f t="array" ref="L615">IF(OR(
    AND('BD Asesor'!H615="Mensual", MATCH($B$2, {"Enero", "Febrero", "Marzo", "Abril", "Mayo", "Junio", "Julio", "Agosto", "Septiembre", "Octubre", "Noviembre", "Diciembre"}, 0)&gt;=1),
    AND('BD Asesor'!H615="Trimestral", MOD(MATCH($B$2, {"Enero", "Febrero", "Marzo", "Abril", "Mayo", "Junio", "Julio", "Agosto", "Septiembre", "Octubre", "Noviembre"}, 0)-MONTH('BD Asesor'!D615), 3)=0),
    AND('BD Asesor'!H615="Semestral", MOD(MATCH($B$2, {"Enero", "Febrero", "Marzo", "Abril", "Mayo", "Junio", "Julio", "Agosto", "Septiembre", "Octubre", "Noviembre"}, 0)-MONTH('BD Asesor'!D615), 6)=0),
    AND('BD Asesor'!H615="Anual", MONTH('BD Asesor'!D615)=MATCH($B$2, {"Enero", "Febrero", "Marzo", "Abril", "Mayo", "Junio", "Julio", "Agosto", "Septiembre", "Octubre", "Noviembre"}, 0))
), 'BD Asesor'!L615, "")
</f>
        <v/>
      </c>
    </row>
    <row r="616">
      <c r="C616" s="84" t="str">
        <f t="array" ref="C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Asesor'!A616, "")
</f>
        <v/>
      </c>
      <c r="D616" s="84" t="str">
        <f t="array" ref="D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Asesor'!B616, "")
</f>
        <v/>
      </c>
      <c r="E616" s="212" t="str">
        <f t="array" ref="E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Asesor'!C616, "")
</f>
        <v/>
      </c>
      <c r="F616" s="212" t="str">
        <f t="array" ref="F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Asesor'!D616, "")
</f>
        <v/>
      </c>
      <c r="G616" s="212" t="str">
        <f t="array" ref="G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Asesor'!E616, "")
</f>
        <v/>
      </c>
      <c r="H616" s="84" t="str">
        <f t="array" ref="H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Asesor'!F616, "")
</f>
        <v/>
      </c>
      <c r="I616" s="84" t="str">
        <f t="array" ref="I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Asesor'!G616, "")
</f>
        <v/>
      </c>
      <c r="J616" s="84" t="str">
        <f t="array" ref="J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Asesor'!H616, "")
</f>
        <v/>
      </c>
      <c r="K616" s="84" t="str">
        <f t="array" ref="K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Asesor'!K616, "")
</f>
        <v/>
      </c>
      <c r="L616" s="84" t="str">
        <f t="array" ref="L616">IF(OR(
    AND('BD Asesor'!H616="Mensual", MATCH($B$2, {"Enero", "Febrero", "Marzo", "Abril", "Mayo", "Junio", "Julio", "Agosto", "Septiembre", "Octubre", "Noviembre", "Diciembre"}, 0)&gt;=1),
    AND('BD Asesor'!H616="Trimestral", MOD(MATCH($B$2, {"Enero", "Febrero", "Marzo", "Abril", "Mayo", "Junio", "Julio", "Agosto", "Septiembre", "Octubre", "Noviembre"}, 0)-MONTH('BD Asesor'!D616), 3)=0),
    AND('BD Asesor'!H616="Semestral", MOD(MATCH($B$2, {"Enero", "Febrero", "Marzo", "Abril", "Mayo", "Junio", "Julio", "Agosto", "Septiembre", "Octubre", "Noviembre"}, 0)-MONTH('BD Asesor'!D616), 6)=0),
    AND('BD Asesor'!H616="Anual", MONTH('BD Asesor'!D616)=MATCH($B$2, {"Enero", "Febrero", "Marzo", "Abril", "Mayo", "Junio", "Julio", "Agosto", "Septiembre", "Octubre", "Noviembre"}, 0))
), 'BD Asesor'!L616, "")
</f>
        <v/>
      </c>
    </row>
    <row r="617">
      <c r="C617" s="84" t="str">
        <f t="array" ref="C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Asesor'!A617, "")
</f>
        <v/>
      </c>
      <c r="D617" s="84" t="str">
        <f t="array" ref="D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Asesor'!B617, "")
</f>
        <v/>
      </c>
      <c r="E617" s="212" t="str">
        <f t="array" ref="E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Asesor'!C617, "")
</f>
        <v/>
      </c>
      <c r="F617" s="212" t="str">
        <f t="array" ref="F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Asesor'!D617, "")
</f>
        <v/>
      </c>
      <c r="G617" s="212" t="str">
        <f t="array" ref="G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Asesor'!E617, "")
</f>
        <v/>
      </c>
      <c r="H617" s="84" t="str">
        <f t="array" ref="H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Asesor'!F617, "")
</f>
        <v/>
      </c>
      <c r="I617" s="84" t="str">
        <f t="array" ref="I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Asesor'!G617, "")
</f>
        <v/>
      </c>
      <c r="J617" s="84" t="str">
        <f t="array" ref="J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Asesor'!H617, "")
</f>
        <v/>
      </c>
      <c r="K617" s="84" t="str">
        <f t="array" ref="K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Asesor'!K617, "")
</f>
        <v/>
      </c>
      <c r="L617" s="84" t="str">
        <f t="array" ref="L617">IF(OR(
    AND('BD Asesor'!H617="Mensual", MATCH($B$2, {"Enero", "Febrero", "Marzo", "Abril", "Mayo", "Junio", "Julio", "Agosto", "Septiembre", "Octubre", "Noviembre", "Diciembre"}, 0)&gt;=1),
    AND('BD Asesor'!H617="Trimestral", MOD(MATCH($B$2, {"Enero", "Febrero", "Marzo", "Abril", "Mayo", "Junio", "Julio", "Agosto", "Septiembre", "Octubre", "Noviembre"}, 0)-MONTH('BD Asesor'!D617), 3)=0),
    AND('BD Asesor'!H617="Semestral", MOD(MATCH($B$2, {"Enero", "Febrero", "Marzo", "Abril", "Mayo", "Junio", "Julio", "Agosto", "Septiembre", "Octubre", "Noviembre"}, 0)-MONTH('BD Asesor'!D617), 6)=0),
    AND('BD Asesor'!H617="Anual", MONTH('BD Asesor'!D617)=MATCH($B$2, {"Enero", "Febrero", "Marzo", "Abril", "Mayo", "Junio", "Julio", "Agosto", "Septiembre", "Octubre", "Noviembre"}, 0))
), 'BD Asesor'!L617, "")
</f>
        <v/>
      </c>
    </row>
    <row r="618">
      <c r="C618" s="84" t="str">
        <f t="array" ref="C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Asesor'!A618, "")
</f>
        <v/>
      </c>
      <c r="D618" s="84" t="str">
        <f t="array" ref="D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Asesor'!B618, "")
</f>
        <v/>
      </c>
      <c r="E618" s="212" t="str">
        <f t="array" ref="E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Asesor'!C618, "")
</f>
        <v/>
      </c>
      <c r="F618" s="212" t="str">
        <f t="array" ref="F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Asesor'!D618, "")
</f>
        <v/>
      </c>
      <c r="G618" s="212" t="str">
        <f t="array" ref="G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Asesor'!E618, "")
</f>
        <v/>
      </c>
      <c r="H618" s="84" t="str">
        <f t="array" ref="H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Asesor'!F618, "")
</f>
        <v/>
      </c>
      <c r="I618" s="84" t="str">
        <f t="array" ref="I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Asesor'!G618, "")
</f>
        <v/>
      </c>
      <c r="J618" s="84" t="str">
        <f t="array" ref="J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Asesor'!H618, "")
</f>
        <v/>
      </c>
      <c r="K618" s="84" t="str">
        <f t="array" ref="K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Asesor'!K618, "")
</f>
        <v/>
      </c>
      <c r="L618" s="84" t="str">
        <f t="array" ref="L618">IF(OR(
    AND('BD Asesor'!H618="Mensual", MATCH($B$2, {"Enero", "Febrero", "Marzo", "Abril", "Mayo", "Junio", "Julio", "Agosto", "Septiembre", "Octubre", "Noviembre", "Diciembre"}, 0)&gt;=1),
    AND('BD Asesor'!H618="Trimestral", MOD(MATCH($B$2, {"Enero", "Febrero", "Marzo", "Abril", "Mayo", "Junio", "Julio", "Agosto", "Septiembre", "Octubre", "Noviembre"}, 0)-MONTH('BD Asesor'!D618), 3)=0),
    AND('BD Asesor'!H618="Semestral", MOD(MATCH($B$2, {"Enero", "Febrero", "Marzo", "Abril", "Mayo", "Junio", "Julio", "Agosto", "Septiembre", "Octubre", "Noviembre"}, 0)-MONTH('BD Asesor'!D618), 6)=0),
    AND('BD Asesor'!H618="Anual", MONTH('BD Asesor'!D618)=MATCH($B$2, {"Enero", "Febrero", "Marzo", "Abril", "Mayo", "Junio", "Julio", "Agosto", "Septiembre", "Octubre", "Noviembre"}, 0))
), 'BD Asesor'!L618, "")
</f>
        <v/>
      </c>
    </row>
    <row r="619">
      <c r="C619" s="84" t="str">
        <f t="array" ref="C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Asesor'!A619, "")
</f>
        <v/>
      </c>
      <c r="D619" s="84" t="str">
        <f t="array" ref="D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Asesor'!B619, "")
</f>
        <v/>
      </c>
      <c r="E619" s="212" t="str">
        <f t="array" ref="E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Asesor'!C619, "")
</f>
        <v/>
      </c>
      <c r="F619" s="212" t="str">
        <f t="array" ref="F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Asesor'!D619, "")
</f>
        <v/>
      </c>
      <c r="G619" s="212" t="str">
        <f t="array" ref="G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Asesor'!E619, "")
</f>
        <v/>
      </c>
      <c r="H619" s="84" t="str">
        <f t="array" ref="H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Asesor'!F619, "")
</f>
        <v/>
      </c>
      <c r="I619" s="84" t="str">
        <f t="array" ref="I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Asesor'!G619, "")
</f>
        <v/>
      </c>
      <c r="J619" s="84" t="str">
        <f t="array" ref="J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Asesor'!H619, "")
</f>
        <v/>
      </c>
      <c r="K619" s="84" t="str">
        <f t="array" ref="K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Asesor'!K619, "")
</f>
        <v/>
      </c>
      <c r="L619" s="84" t="str">
        <f t="array" ref="L619">IF(OR(
    AND('BD Asesor'!H619="Mensual", MATCH($B$2, {"Enero", "Febrero", "Marzo", "Abril", "Mayo", "Junio", "Julio", "Agosto", "Septiembre", "Octubre", "Noviembre", "Diciembre"}, 0)&gt;=1),
    AND('BD Asesor'!H619="Trimestral", MOD(MATCH($B$2, {"Enero", "Febrero", "Marzo", "Abril", "Mayo", "Junio", "Julio", "Agosto", "Septiembre", "Octubre", "Noviembre"}, 0)-MONTH('BD Asesor'!D619), 3)=0),
    AND('BD Asesor'!H619="Semestral", MOD(MATCH($B$2, {"Enero", "Febrero", "Marzo", "Abril", "Mayo", "Junio", "Julio", "Agosto", "Septiembre", "Octubre", "Noviembre"}, 0)-MONTH('BD Asesor'!D619), 6)=0),
    AND('BD Asesor'!H619="Anual", MONTH('BD Asesor'!D619)=MATCH($B$2, {"Enero", "Febrero", "Marzo", "Abril", "Mayo", "Junio", "Julio", "Agosto", "Septiembre", "Octubre", "Noviembre"}, 0))
), 'BD Asesor'!L619, "")
</f>
        <v/>
      </c>
    </row>
    <row r="620">
      <c r="C620" s="84" t="str">
        <f t="array" ref="C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Asesor'!A620, "")
</f>
        <v/>
      </c>
      <c r="D620" s="84" t="str">
        <f t="array" ref="D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Asesor'!B620, "")
</f>
        <v/>
      </c>
      <c r="E620" s="212" t="str">
        <f t="array" ref="E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Asesor'!C620, "")
</f>
        <v/>
      </c>
      <c r="F620" s="212" t="str">
        <f t="array" ref="F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Asesor'!D620, "")
</f>
        <v/>
      </c>
      <c r="G620" s="212" t="str">
        <f t="array" ref="G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Asesor'!E620, "")
</f>
        <v/>
      </c>
      <c r="H620" s="84" t="str">
        <f t="array" ref="H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Asesor'!F620, "")
</f>
        <v/>
      </c>
      <c r="I620" s="84" t="str">
        <f t="array" ref="I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Asesor'!G620, "")
</f>
        <v/>
      </c>
      <c r="J620" s="84" t="str">
        <f t="array" ref="J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Asesor'!H620, "")
</f>
        <v/>
      </c>
      <c r="K620" s="84" t="str">
        <f t="array" ref="K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Asesor'!K620, "")
</f>
        <v/>
      </c>
      <c r="L620" s="84" t="str">
        <f t="array" ref="L620">IF(OR(
    AND('BD Asesor'!H620="Mensual", MATCH($B$2, {"Enero", "Febrero", "Marzo", "Abril", "Mayo", "Junio", "Julio", "Agosto", "Septiembre", "Octubre", "Noviembre", "Diciembre"}, 0)&gt;=1),
    AND('BD Asesor'!H620="Trimestral", MOD(MATCH($B$2, {"Enero", "Febrero", "Marzo", "Abril", "Mayo", "Junio", "Julio", "Agosto", "Septiembre", "Octubre", "Noviembre"}, 0)-MONTH('BD Asesor'!D620), 3)=0),
    AND('BD Asesor'!H620="Semestral", MOD(MATCH($B$2, {"Enero", "Febrero", "Marzo", "Abril", "Mayo", "Junio", "Julio", "Agosto", "Septiembre", "Octubre", "Noviembre"}, 0)-MONTH('BD Asesor'!D620), 6)=0),
    AND('BD Asesor'!H620="Anual", MONTH('BD Asesor'!D620)=MATCH($B$2, {"Enero", "Febrero", "Marzo", "Abril", "Mayo", "Junio", "Julio", "Agosto", "Septiembre", "Octubre", "Noviembre"}, 0))
), 'BD Asesor'!L620, "")
</f>
        <v/>
      </c>
    </row>
    <row r="621">
      <c r="C621" s="84" t="str">
        <f t="array" ref="C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Asesor'!A621, "")
</f>
        <v/>
      </c>
      <c r="D621" s="84" t="str">
        <f t="array" ref="D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Asesor'!B621, "")
</f>
        <v/>
      </c>
      <c r="E621" s="212" t="str">
        <f t="array" ref="E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Asesor'!C621, "")
</f>
        <v/>
      </c>
      <c r="F621" s="212" t="str">
        <f t="array" ref="F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Asesor'!D621, "")
</f>
        <v/>
      </c>
      <c r="G621" s="212" t="str">
        <f t="array" ref="G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Asesor'!E621, "")
</f>
        <v/>
      </c>
      <c r="H621" s="84" t="str">
        <f t="array" ref="H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Asesor'!F621, "")
</f>
        <v/>
      </c>
      <c r="I621" s="84" t="str">
        <f t="array" ref="I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Asesor'!G621, "")
</f>
        <v/>
      </c>
      <c r="J621" s="84" t="str">
        <f t="array" ref="J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Asesor'!H621, "")
</f>
        <v/>
      </c>
      <c r="K621" s="84" t="str">
        <f t="array" ref="K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Asesor'!K621, "")
</f>
        <v/>
      </c>
      <c r="L621" s="84" t="str">
        <f t="array" ref="L621">IF(OR(
    AND('BD Asesor'!H621="Mensual", MATCH($B$2, {"Enero", "Febrero", "Marzo", "Abril", "Mayo", "Junio", "Julio", "Agosto", "Septiembre", "Octubre", "Noviembre", "Diciembre"}, 0)&gt;=1),
    AND('BD Asesor'!H621="Trimestral", MOD(MATCH($B$2, {"Enero", "Febrero", "Marzo", "Abril", "Mayo", "Junio", "Julio", "Agosto", "Septiembre", "Octubre", "Noviembre"}, 0)-MONTH('BD Asesor'!D621), 3)=0),
    AND('BD Asesor'!H621="Semestral", MOD(MATCH($B$2, {"Enero", "Febrero", "Marzo", "Abril", "Mayo", "Junio", "Julio", "Agosto", "Septiembre", "Octubre", "Noviembre"}, 0)-MONTH('BD Asesor'!D621), 6)=0),
    AND('BD Asesor'!H621="Anual", MONTH('BD Asesor'!D621)=MATCH($B$2, {"Enero", "Febrero", "Marzo", "Abril", "Mayo", "Junio", "Julio", "Agosto", "Septiembre", "Octubre", "Noviembre"}, 0))
), 'BD Asesor'!L621, "")
</f>
        <v/>
      </c>
    </row>
    <row r="622">
      <c r="C622" s="84" t="str">
        <f t="array" ref="C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Asesor'!A622, "")
</f>
        <v/>
      </c>
      <c r="D622" s="84" t="str">
        <f t="array" ref="D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Asesor'!B622, "")
</f>
        <v/>
      </c>
      <c r="E622" s="212" t="str">
        <f t="array" ref="E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Asesor'!C622, "")
</f>
        <v/>
      </c>
      <c r="F622" s="212" t="str">
        <f t="array" ref="F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Asesor'!D622, "")
</f>
        <v/>
      </c>
      <c r="G622" s="212" t="str">
        <f t="array" ref="G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Asesor'!E622, "")
</f>
        <v/>
      </c>
      <c r="H622" s="84" t="str">
        <f t="array" ref="H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Asesor'!F622, "")
</f>
        <v/>
      </c>
      <c r="I622" s="84" t="str">
        <f t="array" ref="I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Asesor'!G622, "")
</f>
        <v/>
      </c>
      <c r="J622" s="84" t="str">
        <f t="array" ref="J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Asesor'!H622, "")
</f>
        <v/>
      </c>
      <c r="K622" s="84" t="str">
        <f t="array" ref="K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Asesor'!K622, "")
</f>
        <v/>
      </c>
      <c r="L622" s="84" t="str">
        <f t="array" ref="L622">IF(OR(
    AND('BD Asesor'!H622="Mensual", MATCH($B$2, {"Enero", "Febrero", "Marzo", "Abril", "Mayo", "Junio", "Julio", "Agosto", "Septiembre", "Octubre", "Noviembre", "Diciembre"}, 0)&gt;=1),
    AND('BD Asesor'!H622="Trimestral", MOD(MATCH($B$2, {"Enero", "Febrero", "Marzo", "Abril", "Mayo", "Junio", "Julio", "Agosto", "Septiembre", "Octubre", "Noviembre"}, 0)-MONTH('BD Asesor'!D622), 3)=0),
    AND('BD Asesor'!H622="Semestral", MOD(MATCH($B$2, {"Enero", "Febrero", "Marzo", "Abril", "Mayo", "Junio", "Julio", "Agosto", "Septiembre", "Octubre", "Noviembre"}, 0)-MONTH('BD Asesor'!D622), 6)=0),
    AND('BD Asesor'!H622="Anual", MONTH('BD Asesor'!D622)=MATCH($B$2, {"Enero", "Febrero", "Marzo", "Abril", "Mayo", "Junio", "Julio", "Agosto", "Septiembre", "Octubre", "Noviembre"}, 0))
), 'BD Asesor'!L622, "")
</f>
        <v/>
      </c>
    </row>
    <row r="623">
      <c r="C623" s="84" t="str">
        <f t="array" ref="C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Asesor'!A623, "")
</f>
        <v/>
      </c>
      <c r="D623" s="84" t="str">
        <f t="array" ref="D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Asesor'!B623, "")
</f>
        <v/>
      </c>
      <c r="E623" s="212" t="str">
        <f t="array" ref="E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Asesor'!C623, "")
</f>
        <v/>
      </c>
      <c r="F623" s="212" t="str">
        <f t="array" ref="F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Asesor'!D623, "")
</f>
        <v/>
      </c>
      <c r="G623" s="212" t="str">
        <f t="array" ref="G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Asesor'!E623, "")
</f>
        <v/>
      </c>
      <c r="H623" s="84" t="str">
        <f t="array" ref="H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Asesor'!F623, "")
</f>
        <v/>
      </c>
      <c r="I623" s="84" t="str">
        <f t="array" ref="I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Asesor'!G623, "")
</f>
        <v/>
      </c>
      <c r="J623" s="84" t="str">
        <f t="array" ref="J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Asesor'!H623, "")
</f>
        <v/>
      </c>
      <c r="K623" s="84" t="str">
        <f t="array" ref="K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Asesor'!K623, "")
</f>
        <v/>
      </c>
      <c r="L623" s="84" t="str">
        <f t="array" ref="L623">IF(OR(
    AND('BD Asesor'!H623="Mensual", MATCH($B$2, {"Enero", "Febrero", "Marzo", "Abril", "Mayo", "Junio", "Julio", "Agosto", "Septiembre", "Octubre", "Noviembre", "Diciembre"}, 0)&gt;=1),
    AND('BD Asesor'!H623="Trimestral", MOD(MATCH($B$2, {"Enero", "Febrero", "Marzo", "Abril", "Mayo", "Junio", "Julio", "Agosto", "Septiembre", "Octubre", "Noviembre"}, 0)-MONTH('BD Asesor'!D623), 3)=0),
    AND('BD Asesor'!H623="Semestral", MOD(MATCH($B$2, {"Enero", "Febrero", "Marzo", "Abril", "Mayo", "Junio", "Julio", "Agosto", "Septiembre", "Octubre", "Noviembre"}, 0)-MONTH('BD Asesor'!D623), 6)=0),
    AND('BD Asesor'!H623="Anual", MONTH('BD Asesor'!D623)=MATCH($B$2, {"Enero", "Febrero", "Marzo", "Abril", "Mayo", "Junio", "Julio", "Agosto", "Septiembre", "Octubre", "Noviembre"}, 0))
), 'BD Asesor'!L623, "")
</f>
        <v/>
      </c>
    </row>
    <row r="624">
      <c r="C624" s="84" t="str">
        <f t="array" ref="C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Asesor'!A624, "")
</f>
        <v/>
      </c>
      <c r="D624" s="84" t="str">
        <f t="array" ref="D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Asesor'!B624, "")
</f>
        <v/>
      </c>
      <c r="E624" s="212" t="str">
        <f t="array" ref="E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Asesor'!C624, "")
</f>
        <v/>
      </c>
      <c r="F624" s="212" t="str">
        <f t="array" ref="F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Asesor'!D624, "")
</f>
        <v/>
      </c>
      <c r="G624" s="212" t="str">
        <f t="array" ref="G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Asesor'!E624, "")
</f>
        <v/>
      </c>
      <c r="H624" s="84" t="str">
        <f t="array" ref="H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Asesor'!F624, "")
</f>
        <v/>
      </c>
      <c r="I624" s="84" t="str">
        <f t="array" ref="I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Asesor'!G624, "")
</f>
        <v/>
      </c>
      <c r="J624" s="84" t="str">
        <f t="array" ref="J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Asesor'!H624, "")
</f>
        <v/>
      </c>
      <c r="K624" s="84" t="str">
        <f t="array" ref="K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Asesor'!K624, "")
</f>
        <v/>
      </c>
      <c r="L624" s="84" t="str">
        <f t="array" ref="L624">IF(OR(
    AND('BD Asesor'!H624="Mensual", MATCH($B$2, {"Enero", "Febrero", "Marzo", "Abril", "Mayo", "Junio", "Julio", "Agosto", "Septiembre", "Octubre", "Noviembre", "Diciembre"}, 0)&gt;=1),
    AND('BD Asesor'!H624="Trimestral", MOD(MATCH($B$2, {"Enero", "Febrero", "Marzo", "Abril", "Mayo", "Junio", "Julio", "Agosto", "Septiembre", "Octubre", "Noviembre"}, 0)-MONTH('BD Asesor'!D624), 3)=0),
    AND('BD Asesor'!H624="Semestral", MOD(MATCH($B$2, {"Enero", "Febrero", "Marzo", "Abril", "Mayo", "Junio", "Julio", "Agosto", "Septiembre", "Octubre", "Noviembre"}, 0)-MONTH('BD Asesor'!D624), 6)=0),
    AND('BD Asesor'!H624="Anual", MONTH('BD Asesor'!D624)=MATCH($B$2, {"Enero", "Febrero", "Marzo", "Abril", "Mayo", "Junio", "Julio", "Agosto", "Septiembre", "Octubre", "Noviembre"}, 0))
), 'BD Asesor'!L624, "")
</f>
        <v/>
      </c>
    </row>
    <row r="625">
      <c r="C625" s="84" t="str">
        <f t="array" ref="C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Asesor'!A625, "")
</f>
        <v/>
      </c>
      <c r="D625" s="84" t="str">
        <f t="array" ref="D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Asesor'!B625, "")
</f>
        <v/>
      </c>
      <c r="E625" s="212" t="str">
        <f t="array" ref="E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Asesor'!C625, "")
</f>
        <v/>
      </c>
      <c r="F625" s="212" t="str">
        <f t="array" ref="F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Asesor'!D625, "")
</f>
        <v/>
      </c>
      <c r="G625" s="212" t="str">
        <f t="array" ref="G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Asesor'!E625, "")
</f>
        <v/>
      </c>
      <c r="H625" s="84" t="str">
        <f t="array" ref="H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Asesor'!F625, "")
</f>
        <v/>
      </c>
      <c r="I625" s="84" t="str">
        <f t="array" ref="I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Asesor'!G625, "")
</f>
        <v/>
      </c>
      <c r="J625" s="84" t="str">
        <f t="array" ref="J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Asesor'!H625, "")
</f>
        <v/>
      </c>
      <c r="K625" s="84" t="str">
        <f t="array" ref="K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Asesor'!K625, "")
</f>
        <v/>
      </c>
      <c r="L625" s="84" t="str">
        <f t="array" ref="L625">IF(OR(
    AND('BD Asesor'!H625="Mensual", MATCH($B$2, {"Enero", "Febrero", "Marzo", "Abril", "Mayo", "Junio", "Julio", "Agosto", "Septiembre", "Octubre", "Noviembre", "Diciembre"}, 0)&gt;=1),
    AND('BD Asesor'!H625="Trimestral", MOD(MATCH($B$2, {"Enero", "Febrero", "Marzo", "Abril", "Mayo", "Junio", "Julio", "Agosto", "Septiembre", "Octubre", "Noviembre"}, 0)-MONTH('BD Asesor'!D625), 3)=0),
    AND('BD Asesor'!H625="Semestral", MOD(MATCH($B$2, {"Enero", "Febrero", "Marzo", "Abril", "Mayo", "Junio", "Julio", "Agosto", "Septiembre", "Octubre", "Noviembre"}, 0)-MONTH('BD Asesor'!D625), 6)=0),
    AND('BD Asesor'!H625="Anual", MONTH('BD Asesor'!D625)=MATCH($B$2, {"Enero", "Febrero", "Marzo", "Abril", "Mayo", "Junio", "Julio", "Agosto", "Septiembre", "Octubre", "Noviembre"}, 0))
), 'BD Asesor'!L625, "")
</f>
        <v/>
      </c>
    </row>
    <row r="626">
      <c r="C626" s="84" t="str">
        <f t="array" ref="C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Asesor'!A626, "")
</f>
        <v/>
      </c>
      <c r="D626" s="84" t="str">
        <f t="array" ref="D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Asesor'!B626, "")
</f>
        <v/>
      </c>
      <c r="E626" s="212" t="str">
        <f t="array" ref="E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Asesor'!C626, "")
</f>
        <v/>
      </c>
      <c r="F626" s="212" t="str">
        <f t="array" ref="F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Asesor'!D626, "")
</f>
        <v/>
      </c>
      <c r="G626" s="212" t="str">
        <f t="array" ref="G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Asesor'!E626, "")
</f>
        <v/>
      </c>
      <c r="H626" s="84" t="str">
        <f t="array" ref="H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Asesor'!F626, "")
</f>
        <v/>
      </c>
      <c r="I626" s="84" t="str">
        <f t="array" ref="I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Asesor'!G626, "")
</f>
        <v/>
      </c>
      <c r="J626" s="84" t="str">
        <f t="array" ref="J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Asesor'!H626, "")
</f>
        <v/>
      </c>
      <c r="K626" s="84" t="str">
        <f t="array" ref="K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Asesor'!K626, "")
</f>
        <v/>
      </c>
      <c r="L626" s="84" t="str">
        <f t="array" ref="L626">IF(OR(
    AND('BD Asesor'!H626="Mensual", MATCH($B$2, {"Enero", "Febrero", "Marzo", "Abril", "Mayo", "Junio", "Julio", "Agosto", "Septiembre", "Octubre", "Noviembre", "Diciembre"}, 0)&gt;=1),
    AND('BD Asesor'!H626="Trimestral", MOD(MATCH($B$2, {"Enero", "Febrero", "Marzo", "Abril", "Mayo", "Junio", "Julio", "Agosto", "Septiembre", "Octubre", "Noviembre"}, 0)-MONTH('BD Asesor'!D626), 3)=0),
    AND('BD Asesor'!H626="Semestral", MOD(MATCH($B$2, {"Enero", "Febrero", "Marzo", "Abril", "Mayo", "Junio", "Julio", "Agosto", "Septiembre", "Octubre", "Noviembre"}, 0)-MONTH('BD Asesor'!D626), 6)=0),
    AND('BD Asesor'!H626="Anual", MONTH('BD Asesor'!D626)=MATCH($B$2, {"Enero", "Febrero", "Marzo", "Abril", "Mayo", "Junio", "Julio", "Agosto", "Septiembre", "Octubre", "Noviembre"}, 0))
), 'BD Asesor'!L626, "")
</f>
        <v/>
      </c>
    </row>
    <row r="627">
      <c r="C627" s="84" t="str">
        <f t="array" ref="C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Asesor'!A627, "")
</f>
        <v/>
      </c>
      <c r="D627" s="84" t="str">
        <f t="array" ref="D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Asesor'!B627, "")
</f>
        <v/>
      </c>
      <c r="E627" s="212" t="str">
        <f t="array" ref="E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Asesor'!C627, "")
</f>
        <v/>
      </c>
      <c r="F627" s="212" t="str">
        <f t="array" ref="F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Asesor'!D627, "")
</f>
        <v/>
      </c>
      <c r="G627" s="212" t="str">
        <f t="array" ref="G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Asesor'!E627, "")
</f>
        <v/>
      </c>
      <c r="H627" s="84" t="str">
        <f t="array" ref="H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Asesor'!F627, "")
</f>
        <v/>
      </c>
      <c r="I627" s="84" t="str">
        <f t="array" ref="I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Asesor'!G627, "")
</f>
        <v/>
      </c>
      <c r="J627" s="84" t="str">
        <f t="array" ref="J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Asesor'!H627, "")
</f>
        <v/>
      </c>
      <c r="K627" s="84" t="str">
        <f t="array" ref="K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Asesor'!K627, "")
</f>
        <v/>
      </c>
      <c r="L627" s="84" t="str">
        <f t="array" ref="L627">IF(OR(
    AND('BD Asesor'!H627="Mensual", MATCH($B$2, {"Enero", "Febrero", "Marzo", "Abril", "Mayo", "Junio", "Julio", "Agosto", "Septiembre", "Octubre", "Noviembre", "Diciembre"}, 0)&gt;=1),
    AND('BD Asesor'!H627="Trimestral", MOD(MATCH($B$2, {"Enero", "Febrero", "Marzo", "Abril", "Mayo", "Junio", "Julio", "Agosto", "Septiembre", "Octubre", "Noviembre"}, 0)-MONTH('BD Asesor'!D627), 3)=0),
    AND('BD Asesor'!H627="Semestral", MOD(MATCH($B$2, {"Enero", "Febrero", "Marzo", "Abril", "Mayo", "Junio", "Julio", "Agosto", "Septiembre", "Octubre", "Noviembre"}, 0)-MONTH('BD Asesor'!D627), 6)=0),
    AND('BD Asesor'!H627="Anual", MONTH('BD Asesor'!D627)=MATCH($B$2, {"Enero", "Febrero", "Marzo", "Abril", "Mayo", "Junio", "Julio", "Agosto", "Septiembre", "Octubre", "Noviembre"}, 0))
), 'BD Asesor'!L627, "")
</f>
        <v/>
      </c>
    </row>
    <row r="628">
      <c r="C628" s="84" t="str">
        <f t="array" ref="C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Asesor'!A628, "")
</f>
        <v/>
      </c>
      <c r="D628" s="84" t="str">
        <f t="array" ref="D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Asesor'!B628, "")
</f>
        <v/>
      </c>
      <c r="E628" s="212" t="str">
        <f t="array" ref="E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Asesor'!C628, "")
</f>
        <v/>
      </c>
      <c r="F628" s="212" t="str">
        <f t="array" ref="F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Asesor'!D628, "")
</f>
        <v/>
      </c>
      <c r="G628" s="212" t="str">
        <f t="array" ref="G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Asesor'!E628, "")
</f>
        <v/>
      </c>
      <c r="H628" s="84" t="str">
        <f t="array" ref="H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Asesor'!F628, "")
</f>
        <v/>
      </c>
      <c r="I628" s="84" t="str">
        <f t="array" ref="I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Asesor'!G628, "")
</f>
        <v/>
      </c>
      <c r="J628" s="84" t="str">
        <f t="array" ref="J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Asesor'!H628, "")
</f>
        <v/>
      </c>
      <c r="K628" s="84" t="str">
        <f t="array" ref="K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Asesor'!K628, "")
</f>
        <v/>
      </c>
      <c r="L628" s="84" t="str">
        <f t="array" ref="L628">IF(OR(
    AND('BD Asesor'!H628="Mensual", MATCH($B$2, {"Enero", "Febrero", "Marzo", "Abril", "Mayo", "Junio", "Julio", "Agosto", "Septiembre", "Octubre", "Noviembre", "Diciembre"}, 0)&gt;=1),
    AND('BD Asesor'!H628="Trimestral", MOD(MATCH($B$2, {"Enero", "Febrero", "Marzo", "Abril", "Mayo", "Junio", "Julio", "Agosto", "Septiembre", "Octubre", "Noviembre"}, 0)-MONTH('BD Asesor'!D628), 3)=0),
    AND('BD Asesor'!H628="Semestral", MOD(MATCH($B$2, {"Enero", "Febrero", "Marzo", "Abril", "Mayo", "Junio", "Julio", "Agosto", "Septiembre", "Octubre", "Noviembre"}, 0)-MONTH('BD Asesor'!D628), 6)=0),
    AND('BD Asesor'!H628="Anual", MONTH('BD Asesor'!D628)=MATCH($B$2, {"Enero", "Febrero", "Marzo", "Abril", "Mayo", "Junio", "Julio", "Agosto", "Septiembre", "Octubre", "Noviembre"}, 0))
), 'BD Asesor'!L628, "")
</f>
        <v/>
      </c>
    </row>
    <row r="629">
      <c r="C629" s="84" t="str">
        <f t="array" ref="C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Asesor'!A629, "")
</f>
        <v/>
      </c>
      <c r="D629" s="84" t="str">
        <f t="array" ref="D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Asesor'!B629, "")
</f>
        <v/>
      </c>
      <c r="E629" s="212" t="str">
        <f t="array" ref="E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Asesor'!C629, "")
</f>
        <v/>
      </c>
      <c r="F629" s="212" t="str">
        <f t="array" ref="F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Asesor'!D629, "")
</f>
        <v/>
      </c>
      <c r="G629" s="212" t="str">
        <f t="array" ref="G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Asesor'!E629, "")
</f>
        <v/>
      </c>
      <c r="H629" s="84" t="str">
        <f t="array" ref="H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Asesor'!F629, "")
</f>
        <v/>
      </c>
      <c r="I629" s="84" t="str">
        <f t="array" ref="I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Asesor'!G629, "")
</f>
        <v/>
      </c>
      <c r="J629" s="84" t="str">
        <f t="array" ref="J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Asesor'!H629, "")
</f>
        <v/>
      </c>
      <c r="K629" s="84" t="str">
        <f t="array" ref="K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Asesor'!K629, "")
</f>
        <v/>
      </c>
      <c r="L629" s="84" t="str">
        <f t="array" ref="L629">IF(OR(
    AND('BD Asesor'!H629="Mensual", MATCH($B$2, {"Enero", "Febrero", "Marzo", "Abril", "Mayo", "Junio", "Julio", "Agosto", "Septiembre", "Octubre", "Noviembre", "Diciembre"}, 0)&gt;=1),
    AND('BD Asesor'!H629="Trimestral", MOD(MATCH($B$2, {"Enero", "Febrero", "Marzo", "Abril", "Mayo", "Junio", "Julio", "Agosto", "Septiembre", "Octubre", "Noviembre"}, 0)-MONTH('BD Asesor'!D629), 3)=0),
    AND('BD Asesor'!H629="Semestral", MOD(MATCH($B$2, {"Enero", "Febrero", "Marzo", "Abril", "Mayo", "Junio", "Julio", "Agosto", "Septiembre", "Octubre", "Noviembre"}, 0)-MONTH('BD Asesor'!D629), 6)=0),
    AND('BD Asesor'!H629="Anual", MONTH('BD Asesor'!D629)=MATCH($B$2, {"Enero", "Febrero", "Marzo", "Abril", "Mayo", "Junio", "Julio", "Agosto", "Septiembre", "Octubre", "Noviembre"}, 0))
), 'BD Asesor'!L629, "")
</f>
        <v/>
      </c>
    </row>
    <row r="630">
      <c r="C630" s="84" t="str">
        <f t="array" ref="C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Asesor'!A630, "")
</f>
        <v/>
      </c>
      <c r="D630" s="84" t="str">
        <f t="array" ref="D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Asesor'!B630, "")
</f>
        <v/>
      </c>
      <c r="E630" s="212" t="str">
        <f t="array" ref="E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Asesor'!C630, "")
</f>
        <v/>
      </c>
      <c r="F630" s="212" t="str">
        <f t="array" ref="F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Asesor'!D630, "")
</f>
        <v/>
      </c>
      <c r="G630" s="212" t="str">
        <f t="array" ref="G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Asesor'!E630, "")
</f>
        <v/>
      </c>
      <c r="H630" s="84" t="str">
        <f t="array" ref="H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Asesor'!F630, "")
</f>
        <v/>
      </c>
      <c r="I630" s="84" t="str">
        <f t="array" ref="I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Asesor'!G630, "")
</f>
        <v/>
      </c>
      <c r="J630" s="84" t="str">
        <f t="array" ref="J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Asesor'!H630, "")
</f>
        <v/>
      </c>
      <c r="K630" s="84" t="str">
        <f t="array" ref="K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Asesor'!K630, "")
</f>
        <v/>
      </c>
      <c r="L630" s="84" t="str">
        <f t="array" ref="L630">IF(OR(
    AND('BD Asesor'!H630="Mensual", MATCH($B$2, {"Enero", "Febrero", "Marzo", "Abril", "Mayo", "Junio", "Julio", "Agosto", "Septiembre", "Octubre", "Noviembre", "Diciembre"}, 0)&gt;=1),
    AND('BD Asesor'!H630="Trimestral", MOD(MATCH($B$2, {"Enero", "Febrero", "Marzo", "Abril", "Mayo", "Junio", "Julio", "Agosto", "Septiembre", "Octubre", "Noviembre"}, 0)-MONTH('BD Asesor'!D630), 3)=0),
    AND('BD Asesor'!H630="Semestral", MOD(MATCH($B$2, {"Enero", "Febrero", "Marzo", "Abril", "Mayo", "Junio", "Julio", "Agosto", "Septiembre", "Octubre", "Noviembre"}, 0)-MONTH('BD Asesor'!D630), 6)=0),
    AND('BD Asesor'!H630="Anual", MONTH('BD Asesor'!D630)=MATCH($B$2, {"Enero", "Febrero", "Marzo", "Abril", "Mayo", "Junio", "Julio", "Agosto", "Septiembre", "Octubre", "Noviembre"}, 0))
), 'BD Asesor'!L630, "")
</f>
        <v/>
      </c>
    </row>
    <row r="631">
      <c r="C631" s="84" t="str">
        <f t="array" ref="C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Asesor'!A631, "")
</f>
        <v/>
      </c>
      <c r="D631" s="84" t="str">
        <f t="array" ref="D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Asesor'!B631, "")
</f>
        <v/>
      </c>
      <c r="E631" s="212" t="str">
        <f t="array" ref="E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Asesor'!C631, "")
</f>
        <v/>
      </c>
      <c r="F631" s="212" t="str">
        <f t="array" ref="F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Asesor'!D631, "")
</f>
        <v/>
      </c>
      <c r="G631" s="212" t="str">
        <f t="array" ref="G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Asesor'!E631, "")
</f>
        <v/>
      </c>
      <c r="H631" s="84" t="str">
        <f t="array" ref="H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Asesor'!F631, "")
</f>
        <v/>
      </c>
      <c r="I631" s="84" t="str">
        <f t="array" ref="I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Asesor'!G631, "")
</f>
        <v/>
      </c>
      <c r="J631" s="84" t="str">
        <f t="array" ref="J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Asesor'!H631, "")
</f>
        <v/>
      </c>
      <c r="K631" s="84" t="str">
        <f t="array" ref="K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Asesor'!K631, "")
</f>
        <v/>
      </c>
      <c r="L631" s="84" t="str">
        <f t="array" ref="L631">IF(OR(
    AND('BD Asesor'!H631="Mensual", MATCH($B$2, {"Enero", "Febrero", "Marzo", "Abril", "Mayo", "Junio", "Julio", "Agosto", "Septiembre", "Octubre", "Noviembre", "Diciembre"}, 0)&gt;=1),
    AND('BD Asesor'!H631="Trimestral", MOD(MATCH($B$2, {"Enero", "Febrero", "Marzo", "Abril", "Mayo", "Junio", "Julio", "Agosto", "Septiembre", "Octubre", "Noviembre"}, 0)-MONTH('BD Asesor'!D631), 3)=0),
    AND('BD Asesor'!H631="Semestral", MOD(MATCH($B$2, {"Enero", "Febrero", "Marzo", "Abril", "Mayo", "Junio", "Julio", "Agosto", "Septiembre", "Octubre", "Noviembre"}, 0)-MONTH('BD Asesor'!D631), 6)=0),
    AND('BD Asesor'!H631="Anual", MONTH('BD Asesor'!D631)=MATCH($B$2, {"Enero", "Febrero", "Marzo", "Abril", "Mayo", "Junio", "Julio", "Agosto", "Septiembre", "Octubre", "Noviembre"}, 0))
), 'BD Asesor'!L631, "")
</f>
        <v/>
      </c>
    </row>
    <row r="632">
      <c r="C632" s="84" t="str">
        <f t="array" ref="C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Asesor'!A632, "")
</f>
        <v/>
      </c>
      <c r="D632" s="84" t="str">
        <f t="array" ref="D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Asesor'!B632, "")
</f>
        <v/>
      </c>
      <c r="E632" s="212" t="str">
        <f t="array" ref="E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Asesor'!C632, "")
</f>
        <v/>
      </c>
      <c r="F632" s="212" t="str">
        <f t="array" ref="F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Asesor'!D632, "")
</f>
        <v/>
      </c>
      <c r="G632" s="212" t="str">
        <f t="array" ref="G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Asesor'!E632, "")
</f>
        <v/>
      </c>
      <c r="H632" s="84" t="str">
        <f t="array" ref="H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Asesor'!F632, "")
</f>
        <v/>
      </c>
      <c r="I632" s="84" t="str">
        <f t="array" ref="I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Asesor'!G632, "")
</f>
        <v/>
      </c>
      <c r="J632" s="84" t="str">
        <f t="array" ref="J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Asesor'!H632, "")
</f>
        <v/>
      </c>
      <c r="K632" s="84" t="str">
        <f t="array" ref="K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Asesor'!K632, "")
</f>
        <v/>
      </c>
      <c r="L632" s="84" t="str">
        <f t="array" ref="L632">IF(OR(
    AND('BD Asesor'!H632="Mensual", MATCH($B$2, {"Enero", "Febrero", "Marzo", "Abril", "Mayo", "Junio", "Julio", "Agosto", "Septiembre", "Octubre", "Noviembre", "Diciembre"}, 0)&gt;=1),
    AND('BD Asesor'!H632="Trimestral", MOD(MATCH($B$2, {"Enero", "Febrero", "Marzo", "Abril", "Mayo", "Junio", "Julio", "Agosto", "Septiembre", "Octubre", "Noviembre"}, 0)-MONTH('BD Asesor'!D632), 3)=0),
    AND('BD Asesor'!H632="Semestral", MOD(MATCH($B$2, {"Enero", "Febrero", "Marzo", "Abril", "Mayo", "Junio", "Julio", "Agosto", "Septiembre", "Octubre", "Noviembre"}, 0)-MONTH('BD Asesor'!D632), 6)=0),
    AND('BD Asesor'!H632="Anual", MONTH('BD Asesor'!D632)=MATCH($B$2, {"Enero", "Febrero", "Marzo", "Abril", "Mayo", "Junio", "Julio", "Agosto", "Septiembre", "Octubre", "Noviembre"}, 0))
), 'BD Asesor'!L632, "")
</f>
        <v/>
      </c>
    </row>
    <row r="633">
      <c r="C633" s="84" t="str">
        <f t="array" ref="C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Asesor'!A633, "")
</f>
        <v/>
      </c>
      <c r="D633" s="84" t="str">
        <f t="array" ref="D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Asesor'!B633, "")
</f>
        <v/>
      </c>
      <c r="E633" s="212" t="str">
        <f t="array" ref="E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Asesor'!C633, "")
</f>
        <v/>
      </c>
      <c r="F633" s="212" t="str">
        <f t="array" ref="F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Asesor'!D633, "")
</f>
        <v/>
      </c>
      <c r="G633" s="212" t="str">
        <f t="array" ref="G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Asesor'!E633, "")
</f>
        <v/>
      </c>
      <c r="H633" s="84" t="str">
        <f t="array" ref="H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Asesor'!F633, "")
</f>
        <v/>
      </c>
      <c r="I633" s="84" t="str">
        <f t="array" ref="I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Asesor'!G633, "")
</f>
        <v/>
      </c>
      <c r="J633" s="84" t="str">
        <f t="array" ref="J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Asesor'!H633, "")
</f>
        <v/>
      </c>
      <c r="K633" s="84" t="str">
        <f t="array" ref="K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Asesor'!K633, "")
</f>
        <v/>
      </c>
      <c r="L633" s="84" t="str">
        <f t="array" ref="L633">IF(OR(
    AND('BD Asesor'!H633="Mensual", MATCH($B$2, {"Enero", "Febrero", "Marzo", "Abril", "Mayo", "Junio", "Julio", "Agosto", "Septiembre", "Octubre", "Noviembre", "Diciembre"}, 0)&gt;=1),
    AND('BD Asesor'!H633="Trimestral", MOD(MATCH($B$2, {"Enero", "Febrero", "Marzo", "Abril", "Mayo", "Junio", "Julio", "Agosto", "Septiembre", "Octubre", "Noviembre"}, 0)-MONTH('BD Asesor'!D633), 3)=0),
    AND('BD Asesor'!H633="Semestral", MOD(MATCH($B$2, {"Enero", "Febrero", "Marzo", "Abril", "Mayo", "Junio", "Julio", "Agosto", "Septiembre", "Octubre", "Noviembre"}, 0)-MONTH('BD Asesor'!D633), 6)=0),
    AND('BD Asesor'!H633="Anual", MONTH('BD Asesor'!D633)=MATCH($B$2, {"Enero", "Febrero", "Marzo", "Abril", "Mayo", "Junio", "Julio", "Agosto", "Septiembre", "Octubre", "Noviembre"}, 0))
), 'BD Asesor'!L633, "")
</f>
        <v/>
      </c>
    </row>
    <row r="634">
      <c r="C634" s="84" t="str">
        <f t="array" ref="C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Asesor'!A634, "")
</f>
        <v/>
      </c>
      <c r="D634" s="84" t="str">
        <f t="array" ref="D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Asesor'!B634, "")
</f>
        <v/>
      </c>
      <c r="E634" s="212" t="str">
        <f t="array" ref="E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Asesor'!C634, "")
</f>
        <v/>
      </c>
      <c r="F634" s="212" t="str">
        <f t="array" ref="F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Asesor'!D634, "")
</f>
        <v/>
      </c>
      <c r="G634" s="212" t="str">
        <f t="array" ref="G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Asesor'!E634, "")
</f>
        <v/>
      </c>
      <c r="H634" s="84" t="str">
        <f t="array" ref="H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Asesor'!F634, "")
</f>
        <v/>
      </c>
      <c r="I634" s="84" t="str">
        <f t="array" ref="I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Asesor'!G634, "")
</f>
        <v/>
      </c>
      <c r="J634" s="84" t="str">
        <f t="array" ref="J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Asesor'!H634, "")
</f>
        <v/>
      </c>
      <c r="K634" s="84" t="str">
        <f t="array" ref="K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Asesor'!K634, "")
</f>
        <v/>
      </c>
      <c r="L634" s="84" t="str">
        <f t="array" ref="L634">IF(OR(
    AND('BD Asesor'!H634="Mensual", MATCH($B$2, {"Enero", "Febrero", "Marzo", "Abril", "Mayo", "Junio", "Julio", "Agosto", "Septiembre", "Octubre", "Noviembre", "Diciembre"}, 0)&gt;=1),
    AND('BD Asesor'!H634="Trimestral", MOD(MATCH($B$2, {"Enero", "Febrero", "Marzo", "Abril", "Mayo", "Junio", "Julio", "Agosto", "Septiembre", "Octubre", "Noviembre"}, 0)-MONTH('BD Asesor'!D634), 3)=0),
    AND('BD Asesor'!H634="Semestral", MOD(MATCH($B$2, {"Enero", "Febrero", "Marzo", "Abril", "Mayo", "Junio", "Julio", "Agosto", "Septiembre", "Octubre", "Noviembre"}, 0)-MONTH('BD Asesor'!D634), 6)=0),
    AND('BD Asesor'!H634="Anual", MONTH('BD Asesor'!D634)=MATCH($B$2, {"Enero", "Febrero", "Marzo", "Abril", "Mayo", "Junio", "Julio", "Agosto", "Septiembre", "Octubre", "Noviembre"}, 0))
), 'BD Asesor'!L634, "")
</f>
        <v/>
      </c>
    </row>
    <row r="635">
      <c r="C635" s="84" t="str">
        <f t="array" ref="C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Asesor'!A635, "")
</f>
        <v/>
      </c>
      <c r="D635" s="84" t="str">
        <f t="array" ref="D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Asesor'!B635, "")
</f>
        <v/>
      </c>
      <c r="E635" s="212" t="str">
        <f t="array" ref="E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Asesor'!C635, "")
</f>
        <v/>
      </c>
      <c r="F635" s="212" t="str">
        <f t="array" ref="F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Asesor'!D635, "")
</f>
        <v/>
      </c>
      <c r="G635" s="212" t="str">
        <f t="array" ref="G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Asesor'!E635, "")
</f>
        <v/>
      </c>
      <c r="H635" s="84" t="str">
        <f t="array" ref="H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Asesor'!F635, "")
</f>
        <v/>
      </c>
      <c r="I635" s="84" t="str">
        <f t="array" ref="I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Asesor'!G635, "")
</f>
        <v/>
      </c>
      <c r="J635" s="84" t="str">
        <f t="array" ref="J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Asesor'!H635, "")
</f>
        <v/>
      </c>
      <c r="K635" s="84" t="str">
        <f t="array" ref="K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Asesor'!K635, "")
</f>
        <v/>
      </c>
      <c r="L635" s="84" t="str">
        <f t="array" ref="L635">IF(OR(
    AND('BD Asesor'!H635="Mensual", MATCH($B$2, {"Enero", "Febrero", "Marzo", "Abril", "Mayo", "Junio", "Julio", "Agosto", "Septiembre", "Octubre", "Noviembre", "Diciembre"}, 0)&gt;=1),
    AND('BD Asesor'!H635="Trimestral", MOD(MATCH($B$2, {"Enero", "Febrero", "Marzo", "Abril", "Mayo", "Junio", "Julio", "Agosto", "Septiembre", "Octubre", "Noviembre"}, 0)-MONTH('BD Asesor'!D635), 3)=0),
    AND('BD Asesor'!H635="Semestral", MOD(MATCH($B$2, {"Enero", "Febrero", "Marzo", "Abril", "Mayo", "Junio", "Julio", "Agosto", "Septiembre", "Octubre", "Noviembre"}, 0)-MONTH('BD Asesor'!D635), 6)=0),
    AND('BD Asesor'!H635="Anual", MONTH('BD Asesor'!D635)=MATCH($B$2, {"Enero", "Febrero", "Marzo", "Abril", "Mayo", "Junio", "Julio", "Agosto", "Septiembre", "Octubre", "Noviembre"}, 0))
), 'BD Asesor'!L635, "")
</f>
        <v/>
      </c>
    </row>
    <row r="636">
      <c r="C636" s="84" t="str">
        <f t="array" ref="C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Asesor'!A636, "")
</f>
        <v/>
      </c>
      <c r="D636" s="84" t="str">
        <f t="array" ref="D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Asesor'!B636, "")
</f>
        <v/>
      </c>
      <c r="E636" s="212" t="str">
        <f t="array" ref="E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Asesor'!C636, "")
</f>
        <v/>
      </c>
      <c r="F636" s="212" t="str">
        <f t="array" ref="F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Asesor'!D636, "")
</f>
        <v/>
      </c>
      <c r="G636" s="212" t="str">
        <f t="array" ref="G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Asesor'!E636, "")
</f>
        <v/>
      </c>
      <c r="H636" s="84" t="str">
        <f t="array" ref="H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Asesor'!F636, "")
</f>
        <v/>
      </c>
      <c r="I636" s="84" t="str">
        <f t="array" ref="I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Asesor'!G636, "")
</f>
        <v/>
      </c>
      <c r="J636" s="84" t="str">
        <f t="array" ref="J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Asesor'!H636, "")
</f>
        <v/>
      </c>
      <c r="K636" s="84" t="str">
        <f t="array" ref="K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Asesor'!K636, "")
</f>
        <v/>
      </c>
      <c r="L636" s="84" t="str">
        <f t="array" ref="L636">IF(OR(
    AND('BD Asesor'!H636="Mensual", MATCH($B$2, {"Enero", "Febrero", "Marzo", "Abril", "Mayo", "Junio", "Julio", "Agosto", "Septiembre", "Octubre", "Noviembre", "Diciembre"}, 0)&gt;=1),
    AND('BD Asesor'!H636="Trimestral", MOD(MATCH($B$2, {"Enero", "Febrero", "Marzo", "Abril", "Mayo", "Junio", "Julio", "Agosto", "Septiembre", "Octubre", "Noviembre"}, 0)-MONTH('BD Asesor'!D636), 3)=0),
    AND('BD Asesor'!H636="Semestral", MOD(MATCH($B$2, {"Enero", "Febrero", "Marzo", "Abril", "Mayo", "Junio", "Julio", "Agosto", "Septiembre", "Octubre", "Noviembre"}, 0)-MONTH('BD Asesor'!D636), 6)=0),
    AND('BD Asesor'!H636="Anual", MONTH('BD Asesor'!D636)=MATCH($B$2, {"Enero", "Febrero", "Marzo", "Abril", "Mayo", "Junio", "Julio", "Agosto", "Septiembre", "Octubre", "Noviembre"}, 0))
), 'BD Asesor'!L636, "")
</f>
        <v/>
      </c>
    </row>
    <row r="637">
      <c r="C637" s="84" t="str">
        <f t="array" ref="C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Asesor'!A637, "")
</f>
        <v/>
      </c>
      <c r="D637" s="84" t="str">
        <f t="array" ref="D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Asesor'!B637, "")
</f>
        <v/>
      </c>
      <c r="E637" s="212" t="str">
        <f t="array" ref="E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Asesor'!C637, "")
</f>
        <v/>
      </c>
      <c r="F637" s="212" t="str">
        <f t="array" ref="F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Asesor'!D637, "")
</f>
        <v/>
      </c>
      <c r="G637" s="212" t="str">
        <f t="array" ref="G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Asesor'!E637, "")
</f>
        <v/>
      </c>
      <c r="H637" s="84" t="str">
        <f t="array" ref="H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Asesor'!F637, "")
</f>
        <v/>
      </c>
      <c r="I637" s="84" t="str">
        <f t="array" ref="I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Asesor'!G637, "")
</f>
        <v/>
      </c>
      <c r="J637" s="84" t="str">
        <f t="array" ref="J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Asesor'!H637, "")
</f>
        <v/>
      </c>
      <c r="K637" s="84" t="str">
        <f t="array" ref="K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Asesor'!K637, "")
</f>
        <v/>
      </c>
      <c r="L637" s="84" t="str">
        <f t="array" ref="L637">IF(OR(
    AND('BD Asesor'!H637="Mensual", MATCH($B$2, {"Enero", "Febrero", "Marzo", "Abril", "Mayo", "Junio", "Julio", "Agosto", "Septiembre", "Octubre", "Noviembre", "Diciembre"}, 0)&gt;=1),
    AND('BD Asesor'!H637="Trimestral", MOD(MATCH($B$2, {"Enero", "Febrero", "Marzo", "Abril", "Mayo", "Junio", "Julio", "Agosto", "Septiembre", "Octubre", "Noviembre"}, 0)-MONTH('BD Asesor'!D637), 3)=0),
    AND('BD Asesor'!H637="Semestral", MOD(MATCH($B$2, {"Enero", "Febrero", "Marzo", "Abril", "Mayo", "Junio", "Julio", "Agosto", "Septiembre", "Octubre", "Noviembre"}, 0)-MONTH('BD Asesor'!D637), 6)=0),
    AND('BD Asesor'!H637="Anual", MONTH('BD Asesor'!D637)=MATCH($B$2, {"Enero", "Febrero", "Marzo", "Abril", "Mayo", "Junio", "Julio", "Agosto", "Septiembre", "Octubre", "Noviembre"}, 0))
), 'BD Asesor'!L637, "")
</f>
        <v/>
      </c>
    </row>
    <row r="638">
      <c r="C638" s="84" t="str">
        <f t="array" ref="C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Asesor'!A638, "")
</f>
        <v/>
      </c>
      <c r="D638" s="84" t="str">
        <f t="array" ref="D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Asesor'!B638, "")
</f>
        <v/>
      </c>
      <c r="E638" s="212" t="str">
        <f t="array" ref="E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Asesor'!C638, "")
</f>
        <v/>
      </c>
      <c r="F638" s="212" t="str">
        <f t="array" ref="F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Asesor'!D638, "")
</f>
        <v/>
      </c>
      <c r="G638" s="212" t="str">
        <f t="array" ref="G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Asesor'!E638, "")
</f>
        <v/>
      </c>
      <c r="H638" s="84" t="str">
        <f t="array" ref="H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Asesor'!F638, "")
</f>
        <v/>
      </c>
      <c r="I638" s="84" t="str">
        <f t="array" ref="I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Asesor'!G638, "")
</f>
        <v/>
      </c>
      <c r="J638" s="84" t="str">
        <f t="array" ref="J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Asesor'!H638, "")
</f>
        <v/>
      </c>
      <c r="K638" s="84" t="str">
        <f t="array" ref="K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Asesor'!K638, "")
</f>
        <v/>
      </c>
      <c r="L638" s="84" t="str">
        <f t="array" ref="L638">IF(OR(
    AND('BD Asesor'!H638="Mensual", MATCH($B$2, {"Enero", "Febrero", "Marzo", "Abril", "Mayo", "Junio", "Julio", "Agosto", "Septiembre", "Octubre", "Noviembre", "Diciembre"}, 0)&gt;=1),
    AND('BD Asesor'!H638="Trimestral", MOD(MATCH($B$2, {"Enero", "Febrero", "Marzo", "Abril", "Mayo", "Junio", "Julio", "Agosto", "Septiembre", "Octubre", "Noviembre"}, 0)-MONTH('BD Asesor'!D638), 3)=0),
    AND('BD Asesor'!H638="Semestral", MOD(MATCH($B$2, {"Enero", "Febrero", "Marzo", "Abril", "Mayo", "Junio", "Julio", "Agosto", "Septiembre", "Octubre", "Noviembre"}, 0)-MONTH('BD Asesor'!D638), 6)=0),
    AND('BD Asesor'!H638="Anual", MONTH('BD Asesor'!D638)=MATCH($B$2, {"Enero", "Febrero", "Marzo", "Abril", "Mayo", "Junio", "Julio", "Agosto", "Septiembre", "Octubre", "Noviembre"}, 0))
), 'BD Asesor'!L638, "")
</f>
        <v/>
      </c>
    </row>
    <row r="639">
      <c r="C639" s="84" t="str">
        <f t="array" ref="C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Asesor'!A639, "")
</f>
        <v/>
      </c>
      <c r="D639" s="84" t="str">
        <f t="array" ref="D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Asesor'!B639, "")
</f>
        <v/>
      </c>
      <c r="E639" s="212" t="str">
        <f t="array" ref="E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Asesor'!C639, "")
</f>
        <v/>
      </c>
      <c r="F639" s="212" t="str">
        <f t="array" ref="F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Asesor'!D639, "")
</f>
        <v/>
      </c>
      <c r="G639" s="212" t="str">
        <f t="array" ref="G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Asesor'!E639, "")
</f>
        <v/>
      </c>
      <c r="H639" s="84" t="str">
        <f t="array" ref="H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Asesor'!F639, "")
</f>
        <v/>
      </c>
      <c r="I639" s="84" t="str">
        <f t="array" ref="I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Asesor'!G639, "")
</f>
        <v/>
      </c>
      <c r="J639" s="84" t="str">
        <f t="array" ref="J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Asesor'!H639, "")
</f>
        <v/>
      </c>
      <c r="K639" s="84" t="str">
        <f t="array" ref="K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Asesor'!K639, "")
</f>
        <v/>
      </c>
      <c r="L639" s="84" t="str">
        <f t="array" ref="L639">IF(OR(
    AND('BD Asesor'!H639="Mensual", MATCH($B$2, {"Enero", "Febrero", "Marzo", "Abril", "Mayo", "Junio", "Julio", "Agosto", "Septiembre", "Octubre", "Noviembre", "Diciembre"}, 0)&gt;=1),
    AND('BD Asesor'!H639="Trimestral", MOD(MATCH($B$2, {"Enero", "Febrero", "Marzo", "Abril", "Mayo", "Junio", "Julio", "Agosto", "Septiembre", "Octubre", "Noviembre"}, 0)-MONTH('BD Asesor'!D639), 3)=0),
    AND('BD Asesor'!H639="Semestral", MOD(MATCH($B$2, {"Enero", "Febrero", "Marzo", "Abril", "Mayo", "Junio", "Julio", "Agosto", "Septiembre", "Octubre", "Noviembre"}, 0)-MONTH('BD Asesor'!D639), 6)=0),
    AND('BD Asesor'!H639="Anual", MONTH('BD Asesor'!D639)=MATCH($B$2, {"Enero", "Febrero", "Marzo", "Abril", "Mayo", "Junio", "Julio", "Agosto", "Septiembre", "Octubre", "Noviembre"}, 0))
), 'BD Asesor'!L639, "")
</f>
        <v/>
      </c>
    </row>
    <row r="640">
      <c r="C640" s="84" t="str">
        <f t="array" ref="C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Asesor'!A640, "")
</f>
        <v/>
      </c>
      <c r="D640" s="84" t="str">
        <f t="array" ref="D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Asesor'!B640, "")
</f>
        <v/>
      </c>
      <c r="E640" s="212" t="str">
        <f t="array" ref="E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Asesor'!C640, "")
</f>
        <v/>
      </c>
      <c r="F640" s="212" t="str">
        <f t="array" ref="F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Asesor'!D640, "")
</f>
        <v/>
      </c>
      <c r="G640" s="212" t="str">
        <f t="array" ref="G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Asesor'!E640, "")
</f>
        <v/>
      </c>
      <c r="H640" s="84" t="str">
        <f t="array" ref="H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Asesor'!F640, "")
</f>
        <v/>
      </c>
      <c r="I640" s="84" t="str">
        <f t="array" ref="I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Asesor'!G640, "")
</f>
        <v/>
      </c>
      <c r="J640" s="84" t="str">
        <f t="array" ref="J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Asesor'!H640, "")
</f>
        <v/>
      </c>
      <c r="K640" s="84" t="str">
        <f t="array" ref="K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Asesor'!K640, "")
</f>
        <v/>
      </c>
      <c r="L640" s="84" t="str">
        <f t="array" ref="L640">IF(OR(
    AND('BD Asesor'!H640="Mensual", MATCH($B$2, {"Enero", "Febrero", "Marzo", "Abril", "Mayo", "Junio", "Julio", "Agosto", "Septiembre", "Octubre", "Noviembre", "Diciembre"}, 0)&gt;=1),
    AND('BD Asesor'!H640="Trimestral", MOD(MATCH($B$2, {"Enero", "Febrero", "Marzo", "Abril", "Mayo", "Junio", "Julio", "Agosto", "Septiembre", "Octubre", "Noviembre"}, 0)-MONTH('BD Asesor'!D640), 3)=0),
    AND('BD Asesor'!H640="Semestral", MOD(MATCH($B$2, {"Enero", "Febrero", "Marzo", "Abril", "Mayo", "Junio", "Julio", "Agosto", "Septiembre", "Octubre", "Noviembre"}, 0)-MONTH('BD Asesor'!D640), 6)=0),
    AND('BD Asesor'!H640="Anual", MONTH('BD Asesor'!D640)=MATCH($B$2, {"Enero", "Febrero", "Marzo", "Abril", "Mayo", "Junio", "Julio", "Agosto", "Septiembre", "Octubre", "Noviembre"}, 0))
), 'BD Asesor'!L640, "")
</f>
        <v/>
      </c>
    </row>
    <row r="641">
      <c r="C641" s="84" t="str">
        <f t="array" ref="C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Asesor'!A641, "")
</f>
        <v/>
      </c>
      <c r="D641" s="84" t="str">
        <f t="array" ref="D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Asesor'!B641, "")
</f>
        <v/>
      </c>
      <c r="E641" s="212" t="str">
        <f t="array" ref="E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Asesor'!C641, "")
</f>
        <v/>
      </c>
      <c r="F641" s="212" t="str">
        <f t="array" ref="F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Asesor'!D641, "")
</f>
        <v/>
      </c>
      <c r="G641" s="212" t="str">
        <f t="array" ref="G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Asesor'!E641, "")
</f>
        <v/>
      </c>
      <c r="H641" s="84" t="str">
        <f t="array" ref="H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Asesor'!F641, "")
</f>
        <v/>
      </c>
      <c r="I641" s="84" t="str">
        <f t="array" ref="I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Asesor'!G641, "")
</f>
        <v/>
      </c>
      <c r="J641" s="84" t="str">
        <f t="array" ref="J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Asesor'!H641, "")
</f>
        <v/>
      </c>
      <c r="K641" s="84" t="str">
        <f t="array" ref="K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Asesor'!K641, "")
</f>
        <v/>
      </c>
      <c r="L641" s="84" t="str">
        <f t="array" ref="L641">IF(OR(
    AND('BD Asesor'!H641="Mensual", MATCH($B$2, {"Enero", "Febrero", "Marzo", "Abril", "Mayo", "Junio", "Julio", "Agosto", "Septiembre", "Octubre", "Noviembre", "Diciembre"}, 0)&gt;=1),
    AND('BD Asesor'!H641="Trimestral", MOD(MATCH($B$2, {"Enero", "Febrero", "Marzo", "Abril", "Mayo", "Junio", "Julio", "Agosto", "Septiembre", "Octubre", "Noviembre"}, 0)-MONTH('BD Asesor'!D641), 3)=0),
    AND('BD Asesor'!H641="Semestral", MOD(MATCH($B$2, {"Enero", "Febrero", "Marzo", "Abril", "Mayo", "Junio", "Julio", "Agosto", "Septiembre", "Octubre", "Noviembre"}, 0)-MONTH('BD Asesor'!D641), 6)=0),
    AND('BD Asesor'!H641="Anual", MONTH('BD Asesor'!D641)=MATCH($B$2, {"Enero", "Febrero", "Marzo", "Abril", "Mayo", "Junio", "Julio", "Agosto", "Septiembre", "Octubre", "Noviembre"}, 0))
), 'BD Asesor'!L641, "")
</f>
        <v/>
      </c>
    </row>
    <row r="642">
      <c r="C642" s="84" t="str">
        <f t="array" ref="C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Asesor'!A642, "")
</f>
        <v/>
      </c>
      <c r="D642" s="84" t="str">
        <f t="array" ref="D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Asesor'!B642, "")
</f>
        <v/>
      </c>
      <c r="E642" s="212" t="str">
        <f t="array" ref="E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Asesor'!C642, "")
</f>
        <v/>
      </c>
      <c r="F642" s="212" t="str">
        <f t="array" ref="F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Asesor'!D642, "")
</f>
        <v/>
      </c>
      <c r="G642" s="212" t="str">
        <f t="array" ref="G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Asesor'!E642, "")
</f>
        <v/>
      </c>
      <c r="H642" s="84" t="str">
        <f t="array" ref="H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Asesor'!F642, "")
</f>
        <v/>
      </c>
      <c r="I642" s="84" t="str">
        <f t="array" ref="I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Asesor'!G642, "")
</f>
        <v/>
      </c>
      <c r="J642" s="84" t="str">
        <f t="array" ref="J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Asesor'!H642, "")
</f>
        <v/>
      </c>
      <c r="K642" s="84" t="str">
        <f t="array" ref="K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Asesor'!K642, "")
</f>
        <v/>
      </c>
      <c r="L642" s="84" t="str">
        <f t="array" ref="L642">IF(OR(
    AND('BD Asesor'!H642="Mensual", MATCH($B$2, {"Enero", "Febrero", "Marzo", "Abril", "Mayo", "Junio", "Julio", "Agosto", "Septiembre", "Octubre", "Noviembre", "Diciembre"}, 0)&gt;=1),
    AND('BD Asesor'!H642="Trimestral", MOD(MATCH($B$2, {"Enero", "Febrero", "Marzo", "Abril", "Mayo", "Junio", "Julio", "Agosto", "Septiembre", "Octubre", "Noviembre"}, 0)-MONTH('BD Asesor'!D642), 3)=0),
    AND('BD Asesor'!H642="Semestral", MOD(MATCH($B$2, {"Enero", "Febrero", "Marzo", "Abril", "Mayo", "Junio", "Julio", "Agosto", "Septiembre", "Octubre", "Noviembre"}, 0)-MONTH('BD Asesor'!D642), 6)=0),
    AND('BD Asesor'!H642="Anual", MONTH('BD Asesor'!D642)=MATCH($B$2, {"Enero", "Febrero", "Marzo", "Abril", "Mayo", "Junio", "Julio", "Agosto", "Septiembre", "Octubre", "Noviembre"}, 0))
), 'BD Asesor'!L642, "")
</f>
        <v/>
      </c>
    </row>
    <row r="643">
      <c r="C643" s="84" t="str">
        <f t="array" ref="C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Asesor'!A643, "")
</f>
        <v/>
      </c>
      <c r="D643" s="84" t="str">
        <f t="array" ref="D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Asesor'!B643, "")
</f>
        <v/>
      </c>
      <c r="E643" s="212" t="str">
        <f t="array" ref="E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Asesor'!C643, "")
</f>
        <v/>
      </c>
      <c r="F643" s="212" t="str">
        <f t="array" ref="F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Asesor'!D643, "")
</f>
        <v/>
      </c>
      <c r="G643" s="212" t="str">
        <f t="array" ref="G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Asesor'!E643, "")
</f>
        <v/>
      </c>
      <c r="H643" s="84" t="str">
        <f t="array" ref="H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Asesor'!F643, "")
</f>
        <v/>
      </c>
      <c r="I643" s="84" t="str">
        <f t="array" ref="I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Asesor'!G643, "")
</f>
        <v/>
      </c>
      <c r="J643" s="84" t="str">
        <f t="array" ref="J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Asesor'!H643, "")
</f>
        <v/>
      </c>
      <c r="K643" s="84" t="str">
        <f t="array" ref="K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Asesor'!K643, "")
</f>
        <v/>
      </c>
      <c r="L643" s="84" t="str">
        <f t="array" ref="L643">IF(OR(
    AND('BD Asesor'!H643="Mensual", MATCH($B$2, {"Enero", "Febrero", "Marzo", "Abril", "Mayo", "Junio", "Julio", "Agosto", "Septiembre", "Octubre", "Noviembre", "Diciembre"}, 0)&gt;=1),
    AND('BD Asesor'!H643="Trimestral", MOD(MATCH($B$2, {"Enero", "Febrero", "Marzo", "Abril", "Mayo", "Junio", "Julio", "Agosto", "Septiembre", "Octubre", "Noviembre"}, 0)-MONTH('BD Asesor'!D643), 3)=0),
    AND('BD Asesor'!H643="Semestral", MOD(MATCH($B$2, {"Enero", "Febrero", "Marzo", "Abril", "Mayo", "Junio", "Julio", "Agosto", "Septiembre", "Octubre", "Noviembre"}, 0)-MONTH('BD Asesor'!D643), 6)=0),
    AND('BD Asesor'!H643="Anual", MONTH('BD Asesor'!D643)=MATCH($B$2, {"Enero", "Febrero", "Marzo", "Abril", "Mayo", "Junio", "Julio", "Agosto", "Septiembre", "Octubre", "Noviembre"}, 0))
), 'BD Asesor'!L643, "")
</f>
        <v/>
      </c>
    </row>
    <row r="644">
      <c r="C644" s="84" t="str">
        <f t="array" ref="C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Asesor'!A644, "")
</f>
        <v/>
      </c>
      <c r="D644" s="84" t="str">
        <f t="array" ref="D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Asesor'!B644, "")
</f>
        <v/>
      </c>
      <c r="E644" s="212" t="str">
        <f t="array" ref="E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Asesor'!C644, "")
</f>
        <v/>
      </c>
      <c r="F644" s="212" t="str">
        <f t="array" ref="F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Asesor'!D644, "")
</f>
        <v/>
      </c>
      <c r="G644" s="212" t="str">
        <f t="array" ref="G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Asesor'!E644, "")
</f>
        <v/>
      </c>
      <c r="H644" s="84" t="str">
        <f t="array" ref="H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Asesor'!F644, "")
</f>
        <v/>
      </c>
      <c r="I644" s="84" t="str">
        <f t="array" ref="I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Asesor'!G644, "")
</f>
        <v/>
      </c>
      <c r="J644" s="84" t="str">
        <f t="array" ref="J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Asesor'!H644, "")
</f>
        <v/>
      </c>
      <c r="K644" s="84" t="str">
        <f t="array" ref="K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Asesor'!K644, "")
</f>
        <v/>
      </c>
      <c r="L644" s="84" t="str">
        <f t="array" ref="L644">IF(OR(
    AND('BD Asesor'!H644="Mensual", MATCH($B$2, {"Enero", "Febrero", "Marzo", "Abril", "Mayo", "Junio", "Julio", "Agosto", "Septiembre", "Octubre", "Noviembre", "Diciembre"}, 0)&gt;=1),
    AND('BD Asesor'!H644="Trimestral", MOD(MATCH($B$2, {"Enero", "Febrero", "Marzo", "Abril", "Mayo", "Junio", "Julio", "Agosto", "Septiembre", "Octubre", "Noviembre"}, 0)-MONTH('BD Asesor'!D644), 3)=0),
    AND('BD Asesor'!H644="Semestral", MOD(MATCH($B$2, {"Enero", "Febrero", "Marzo", "Abril", "Mayo", "Junio", "Julio", "Agosto", "Septiembre", "Octubre", "Noviembre"}, 0)-MONTH('BD Asesor'!D644), 6)=0),
    AND('BD Asesor'!H644="Anual", MONTH('BD Asesor'!D644)=MATCH($B$2, {"Enero", "Febrero", "Marzo", "Abril", "Mayo", "Junio", "Julio", "Agosto", "Septiembre", "Octubre", "Noviembre"}, 0))
), 'BD Asesor'!L644, "")
</f>
        <v/>
      </c>
    </row>
    <row r="645">
      <c r="C645" s="84" t="str">
        <f t="array" ref="C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Asesor'!A645, "")
</f>
        <v/>
      </c>
      <c r="D645" s="84" t="str">
        <f t="array" ref="D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Asesor'!B645, "")
</f>
        <v/>
      </c>
      <c r="E645" s="212" t="str">
        <f t="array" ref="E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Asesor'!C645, "")
</f>
        <v/>
      </c>
      <c r="F645" s="212" t="str">
        <f t="array" ref="F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Asesor'!D645, "")
</f>
        <v/>
      </c>
      <c r="G645" s="212" t="str">
        <f t="array" ref="G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Asesor'!E645, "")
</f>
        <v/>
      </c>
      <c r="H645" s="84" t="str">
        <f t="array" ref="H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Asesor'!F645, "")
</f>
        <v/>
      </c>
      <c r="I645" s="84" t="str">
        <f t="array" ref="I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Asesor'!G645, "")
</f>
        <v/>
      </c>
      <c r="J645" s="84" t="str">
        <f t="array" ref="J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Asesor'!H645, "")
</f>
        <v/>
      </c>
      <c r="K645" s="84" t="str">
        <f t="array" ref="K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Asesor'!K645, "")
</f>
        <v/>
      </c>
      <c r="L645" s="84" t="str">
        <f t="array" ref="L645">IF(OR(
    AND('BD Asesor'!H645="Mensual", MATCH($B$2, {"Enero", "Febrero", "Marzo", "Abril", "Mayo", "Junio", "Julio", "Agosto", "Septiembre", "Octubre", "Noviembre", "Diciembre"}, 0)&gt;=1),
    AND('BD Asesor'!H645="Trimestral", MOD(MATCH($B$2, {"Enero", "Febrero", "Marzo", "Abril", "Mayo", "Junio", "Julio", "Agosto", "Septiembre", "Octubre", "Noviembre"}, 0)-MONTH('BD Asesor'!D645), 3)=0),
    AND('BD Asesor'!H645="Semestral", MOD(MATCH($B$2, {"Enero", "Febrero", "Marzo", "Abril", "Mayo", "Junio", "Julio", "Agosto", "Septiembre", "Octubre", "Noviembre"}, 0)-MONTH('BD Asesor'!D645), 6)=0),
    AND('BD Asesor'!H645="Anual", MONTH('BD Asesor'!D645)=MATCH($B$2, {"Enero", "Febrero", "Marzo", "Abril", "Mayo", "Junio", "Julio", "Agosto", "Septiembre", "Octubre", "Noviembre"}, 0))
), 'BD Asesor'!L645, "")
</f>
        <v/>
      </c>
    </row>
    <row r="646">
      <c r="C646" s="84" t="str">
        <f t="array" ref="C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Asesor'!A646, "")
</f>
        <v/>
      </c>
      <c r="D646" s="84" t="str">
        <f t="array" ref="D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Asesor'!B646, "")
</f>
        <v/>
      </c>
      <c r="E646" s="212" t="str">
        <f t="array" ref="E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Asesor'!C646, "")
</f>
        <v/>
      </c>
      <c r="F646" s="212" t="str">
        <f t="array" ref="F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Asesor'!D646, "")
</f>
        <v/>
      </c>
      <c r="G646" s="212" t="str">
        <f t="array" ref="G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Asesor'!E646, "")
</f>
        <v/>
      </c>
      <c r="H646" s="84" t="str">
        <f t="array" ref="H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Asesor'!F646, "")
</f>
        <v/>
      </c>
      <c r="I646" s="84" t="str">
        <f t="array" ref="I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Asesor'!G646, "")
</f>
        <v/>
      </c>
      <c r="J646" s="84" t="str">
        <f t="array" ref="J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Asesor'!H646, "")
</f>
        <v/>
      </c>
      <c r="K646" s="84" t="str">
        <f t="array" ref="K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Asesor'!K646, "")
</f>
        <v/>
      </c>
      <c r="L646" s="84" t="str">
        <f t="array" ref="L646">IF(OR(
    AND('BD Asesor'!H646="Mensual", MATCH($B$2, {"Enero", "Febrero", "Marzo", "Abril", "Mayo", "Junio", "Julio", "Agosto", "Septiembre", "Octubre", "Noviembre", "Diciembre"}, 0)&gt;=1),
    AND('BD Asesor'!H646="Trimestral", MOD(MATCH($B$2, {"Enero", "Febrero", "Marzo", "Abril", "Mayo", "Junio", "Julio", "Agosto", "Septiembre", "Octubre", "Noviembre"}, 0)-MONTH('BD Asesor'!D646), 3)=0),
    AND('BD Asesor'!H646="Semestral", MOD(MATCH($B$2, {"Enero", "Febrero", "Marzo", "Abril", "Mayo", "Junio", "Julio", "Agosto", "Septiembre", "Octubre", "Noviembre"}, 0)-MONTH('BD Asesor'!D646), 6)=0),
    AND('BD Asesor'!H646="Anual", MONTH('BD Asesor'!D646)=MATCH($B$2, {"Enero", "Febrero", "Marzo", "Abril", "Mayo", "Junio", "Julio", "Agosto", "Septiembre", "Octubre", "Noviembre"}, 0))
), 'BD Asesor'!L646, "")
</f>
        <v/>
      </c>
    </row>
    <row r="647">
      <c r="C647" s="84" t="str">
        <f t="array" ref="C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Asesor'!A647, "")
</f>
        <v/>
      </c>
      <c r="D647" s="84" t="str">
        <f t="array" ref="D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Asesor'!B647, "")
</f>
        <v/>
      </c>
      <c r="E647" s="212" t="str">
        <f t="array" ref="E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Asesor'!C647, "")
</f>
        <v/>
      </c>
      <c r="F647" s="212" t="str">
        <f t="array" ref="F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Asesor'!D647, "")
</f>
        <v/>
      </c>
      <c r="G647" s="212" t="str">
        <f t="array" ref="G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Asesor'!E647, "")
</f>
        <v/>
      </c>
      <c r="H647" s="84" t="str">
        <f t="array" ref="H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Asesor'!F647, "")
</f>
        <v/>
      </c>
      <c r="I647" s="84" t="str">
        <f t="array" ref="I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Asesor'!G647, "")
</f>
        <v/>
      </c>
      <c r="J647" s="84" t="str">
        <f t="array" ref="J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Asesor'!H647, "")
</f>
        <v/>
      </c>
      <c r="K647" s="84" t="str">
        <f t="array" ref="K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Asesor'!K647, "")
</f>
        <v/>
      </c>
      <c r="L647" s="84" t="str">
        <f t="array" ref="L647">IF(OR(
    AND('BD Asesor'!H647="Mensual", MATCH($B$2, {"Enero", "Febrero", "Marzo", "Abril", "Mayo", "Junio", "Julio", "Agosto", "Septiembre", "Octubre", "Noviembre", "Diciembre"}, 0)&gt;=1),
    AND('BD Asesor'!H647="Trimestral", MOD(MATCH($B$2, {"Enero", "Febrero", "Marzo", "Abril", "Mayo", "Junio", "Julio", "Agosto", "Septiembre", "Octubre", "Noviembre"}, 0)-MONTH('BD Asesor'!D647), 3)=0),
    AND('BD Asesor'!H647="Semestral", MOD(MATCH($B$2, {"Enero", "Febrero", "Marzo", "Abril", "Mayo", "Junio", "Julio", "Agosto", "Septiembre", "Octubre", "Noviembre"}, 0)-MONTH('BD Asesor'!D647), 6)=0),
    AND('BD Asesor'!H647="Anual", MONTH('BD Asesor'!D647)=MATCH($B$2, {"Enero", "Febrero", "Marzo", "Abril", "Mayo", "Junio", "Julio", "Agosto", "Septiembre", "Octubre", "Noviembre"}, 0))
), 'BD Asesor'!L647, "")
</f>
        <v/>
      </c>
    </row>
    <row r="648">
      <c r="C648" s="84" t="str">
        <f t="array" ref="C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Asesor'!A648, "")
</f>
        <v/>
      </c>
      <c r="D648" s="84" t="str">
        <f t="array" ref="D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Asesor'!B648, "")
</f>
        <v/>
      </c>
      <c r="E648" s="212" t="str">
        <f t="array" ref="E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Asesor'!C648, "")
</f>
        <v/>
      </c>
      <c r="F648" s="212" t="str">
        <f t="array" ref="F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Asesor'!D648, "")
</f>
        <v/>
      </c>
      <c r="G648" s="212" t="str">
        <f t="array" ref="G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Asesor'!E648, "")
</f>
        <v/>
      </c>
      <c r="H648" s="84" t="str">
        <f t="array" ref="H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Asesor'!F648, "")
</f>
        <v/>
      </c>
      <c r="I648" s="84" t="str">
        <f t="array" ref="I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Asesor'!G648, "")
</f>
        <v/>
      </c>
      <c r="J648" s="84" t="str">
        <f t="array" ref="J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Asesor'!H648, "")
</f>
        <v/>
      </c>
      <c r="K648" s="84" t="str">
        <f t="array" ref="K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Asesor'!K648, "")
</f>
        <v/>
      </c>
      <c r="L648" s="84" t="str">
        <f t="array" ref="L648">IF(OR(
    AND('BD Asesor'!H648="Mensual", MATCH($B$2, {"Enero", "Febrero", "Marzo", "Abril", "Mayo", "Junio", "Julio", "Agosto", "Septiembre", "Octubre", "Noviembre", "Diciembre"}, 0)&gt;=1),
    AND('BD Asesor'!H648="Trimestral", MOD(MATCH($B$2, {"Enero", "Febrero", "Marzo", "Abril", "Mayo", "Junio", "Julio", "Agosto", "Septiembre", "Octubre", "Noviembre"}, 0)-MONTH('BD Asesor'!D648), 3)=0),
    AND('BD Asesor'!H648="Semestral", MOD(MATCH($B$2, {"Enero", "Febrero", "Marzo", "Abril", "Mayo", "Junio", "Julio", "Agosto", "Septiembre", "Octubre", "Noviembre"}, 0)-MONTH('BD Asesor'!D648), 6)=0),
    AND('BD Asesor'!H648="Anual", MONTH('BD Asesor'!D648)=MATCH($B$2, {"Enero", "Febrero", "Marzo", "Abril", "Mayo", "Junio", "Julio", "Agosto", "Septiembre", "Octubre", "Noviembre"}, 0))
), 'BD Asesor'!L648, "")
</f>
        <v/>
      </c>
    </row>
    <row r="649">
      <c r="C649" s="84" t="str">
        <f t="array" ref="C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Asesor'!A649, "")
</f>
        <v/>
      </c>
      <c r="D649" s="84" t="str">
        <f t="array" ref="D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Asesor'!B649, "")
</f>
        <v/>
      </c>
      <c r="E649" s="212" t="str">
        <f t="array" ref="E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Asesor'!C649, "")
</f>
        <v/>
      </c>
      <c r="F649" s="212" t="str">
        <f t="array" ref="F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Asesor'!D649, "")
</f>
        <v/>
      </c>
      <c r="G649" s="212" t="str">
        <f t="array" ref="G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Asesor'!E649, "")
</f>
        <v/>
      </c>
      <c r="H649" s="84" t="str">
        <f t="array" ref="H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Asesor'!F649, "")
</f>
        <v/>
      </c>
      <c r="I649" s="84" t="str">
        <f t="array" ref="I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Asesor'!G649, "")
</f>
        <v/>
      </c>
      <c r="J649" s="84" t="str">
        <f t="array" ref="J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Asesor'!H649, "")
</f>
        <v/>
      </c>
      <c r="K649" s="84" t="str">
        <f t="array" ref="K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Asesor'!K649, "")
</f>
        <v/>
      </c>
      <c r="L649" s="84" t="str">
        <f t="array" ref="L649">IF(OR(
    AND('BD Asesor'!H649="Mensual", MATCH($B$2, {"Enero", "Febrero", "Marzo", "Abril", "Mayo", "Junio", "Julio", "Agosto", "Septiembre", "Octubre", "Noviembre", "Diciembre"}, 0)&gt;=1),
    AND('BD Asesor'!H649="Trimestral", MOD(MATCH($B$2, {"Enero", "Febrero", "Marzo", "Abril", "Mayo", "Junio", "Julio", "Agosto", "Septiembre", "Octubre", "Noviembre"}, 0)-MONTH('BD Asesor'!D649), 3)=0),
    AND('BD Asesor'!H649="Semestral", MOD(MATCH($B$2, {"Enero", "Febrero", "Marzo", "Abril", "Mayo", "Junio", "Julio", "Agosto", "Septiembre", "Octubre", "Noviembre"}, 0)-MONTH('BD Asesor'!D649), 6)=0),
    AND('BD Asesor'!H649="Anual", MONTH('BD Asesor'!D649)=MATCH($B$2, {"Enero", "Febrero", "Marzo", "Abril", "Mayo", "Junio", "Julio", "Agosto", "Septiembre", "Octubre", "Noviembre"}, 0))
), 'BD Asesor'!L649, "")
</f>
        <v/>
      </c>
    </row>
    <row r="650">
      <c r="C650" s="84" t="str">
        <f t="array" ref="C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Asesor'!A650, "")
</f>
        <v/>
      </c>
      <c r="D650" s="84" t="str">
        <f t="array" ref="D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Asesor'!B650, "")
</f>
        <v/>
      </c>
      <c r="E650" s="212" t="str">
        <f t="array" ref="E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Asesor'!C650, "")
</f>
        <v/>
      </c>
      <c r="F650" s="212" t="str">
        <f t="array" ref="F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Asesor'!D650, "")
</f>
        <v/>
      </c>
      <c r="G650" s="212" t="str">
        <f t="array" ref="G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Asesor'!E650, "")
</f>
        <v/>
      </c>
      <c r="H650" s="84" t="str">
        <f t="array" ref="H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Asesor'!F650, "")
</f>
        <v/>
      </c>
      <c r="I650" s="84" t="str">
        <f t="array" ref="I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Asesor'!G650, "")
</f>
        <v/>
      </c>
      <c r="J650" s="84" t="str">
        <f t="array" ref="J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Asesor'!H650, "")
</f>
        <v/>
      </c>
      <c r="K650" s="84" t="str">
        <f t="array" ref="K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Asesor'!K650, "")
</f>
        <v/>
      </c>
      <c r="L650" s="84" t="str">
        <f t="array" ref="L650">IF(OR(
    AND('BD Asesor'!H650="Mensual", MATCH($B$2, {"Enero", "Febrero", "Marzo", "Abril", "Mayo", "Junio", "Julio", "Agosto", "Septiembre", "Octubre", "Noviembre", "Diciembre"}, 0)&gt;=1),
    AND('BD Asesor'!H650="Trimestral", MOD(MATCH($B$2, {"Enero", "Febrero", "Marzo", "Abril", "Mayo", "Junio", "Julio", "Agosto", "Septiembre", "Octubre", "Noviembre"}, 0)-MONTH('BD Asesor'!D650), 3)=0),
    AND('BD Asesor'!H650="Semestral", MOD(MATCH($B$2, {"Enero", "Febrero", "Marzo", "Abril", "Mayo", "Junio", "Julio", "Agosto", "Septiembre", "Octubre", "Noviembre"}, 0)-MONTH('BD Asesor'!D650), 6)=0),
    AND('BD Asesor'!H650="Anual", MONTH('BD Asesor'!D650)=MATCH($B$2, {"Enero", "Febrero", "Marzo", "Abril", "Mayo", "Junio", "Julio", "Agosto", "Septiembre", "Octubre", "Noviembre"}, 0))
), 'BD Asesor'!L650, "")
</f>
        <v/>
      </c>
    </row>
    <row r="651">
      <c r="C651" s="84" t="str">
        <f t="array" ref="C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Asesor'!A651, "")
</f>
        <v/>
      </c>
      <c r="D651" s="84" t="str">
        <f t="array" ref="D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Asesor'!B651, "")
</f>
        <v/>
      </c>
      <c r="E651" s="212" t="str">
        <f t="array" ref="E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Asesor'!C651, "")
</f>
        <v/>
      </c>
      <c r="F651" s="212" t="str">
        <f t="array" ref="F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Asesor'!D651, "")
</f>
        <v/>
      </c>
      <c r="G651" s="212" t="str">
        <f t="array" ref="G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Asesor'!E651, "")
</f>
        <v/>
      </c>
      <c r="H651" s="84" t="str">
        <f t="array" ref="H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Asesor'!F651, "")
</f>
        <v/>
      </c>
      <c r="I651" s="84" t="str">
        <f t="array" ref="I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Asesor'!G651, "")
</f>
        <v/>
      </c>
      <c r="J651" s="84" t="str">
        <f t="array" ref="J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Asesor'!H651, "")
</f>
        <v/>
      </c>
      <c r="K651" s="84" t="str">
        <f t="array" ref="K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Asesor'!K651, "")
</f>
        <v/>
      </c>
      <c r="L651" s="84" t="str">
        <f t="array" ref="L651">IF(OR(
    AND('BD Asesor'!H651="Mensual", MATCH($B$2, {"Enero", "Febrero", "Marzo", "Abril", "Mayo", "Junio", "Julio", "Agosto", "Septiembre", "Octubre", "Noviembre", "Diciembre"}, 0)&gt;=1),
    AND('BD Asesor'!H651="Trimestral", MOD(MATCH($B$2, {"Enero", "Febrero", "Marzo", "Abril", "Mayo", "Junio", "Julio", "Agosto", "Septiembre", "Octubre", "Noviembre"}, 0)-MONTH('BD Asesor'!D651), 3)=0),
    AND('BD Asesor'!H651="Semestral", MOD(MATCH($B$2, {"Enero", "Febrero", "Marzo", "Abril", "Mayo", "Junio", "Julio", "Agosto", "Septiembre", "Octubre", "Noviembre"}, 0)-MONTH('BD Asesor'!D651), 6)=0),
    AND('BD Asesor'!H651="Anual", MONTH('BD Asesor'!D651)=MATCH($B$2, {"Enero", "Febrero", "Marzo", "Abril", "Mayo", "Junio", "Julio", "Agosto", "Septiembre", "Octubre", "Noviembre"}, 0))
), 'BD Asesor'!L651, "")
</f>
        <v/>
      </c>
    </row>
    <row r="652">
      <c r="C652" s="84" t="str">
        <f t="array" ref="C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Asesor'!A652, "")
</f>
        <v/>
      </c>
      <c r="D652" s="84" t="str">
        <f t="array" ref="D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Asesor'!B652, "")
</f>
        <v/>
      </c>
      <c r="E652" s="212" t="str">
        <f t="array" ref="E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Asesor'!C652, "")
</f>
        <v/>
      </c>
      <c r="F652" s="212" t="str">
        <f t="array" ref="F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Asesor'!D652, "")
</f>
        <v/>
      </c>
      <c r="G652" s="212" t="str">
        <f t="array" ref="G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Asesor'!E652, "")
</f>
        <v/>
      </c>
      <c r="H652" s="84" t="str">
        <f t="array" ref="H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Asesor'!F652, "")
</f>
        <v/>
      </c>
      <c r="I652" s="84" t="str">
        <f t="array" ref="I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Asesor'!G652, "")
</f>
        <v/>
      </c>
      <c r="J652" s="84" t="str">
        <f t="array" ref="J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Asesor'!H652, "")
</f>
        <v/>
      </c>
      <c r="K652" s="84" t="str">
        <f t="array" ref="K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Asesor'!K652, "")
</f>
        <v/>
      </c>
      <c r="L652" s="84" t="str">
        <f t="array" ref="L652">IF(OR(
    AND('BD Asesor'!H652="Mensual", MATCH($B$2, {"Enero", "Febrero", "Marzo", "Abril", "Mayo", "Junio", "Julio", "Agosto", "Septiembre", "Octubre", "Noviembre", "Diciembre"}, 0)&gt;=1),
    AND('BD Asesor'!H652="Trimestral", MOD(MATCH($B$2, {"Enero", "Febrero", "Marzo", "Abril", "Mayo", "Junio", "Julio", "Agosto", "Septiembre", "Octubre", "Noviembre"}, 0)-MONTH('BD Asesor'!D652), 3)=0),
    AND('BD Asesor'!H652="Semestral", MOD(MATCH($B$2, {"Enero", "Febrero", "Marzo", "Abril", "Mayo", "Junio", "Julio", "Agosto", "Septiembre", "Octubre", "Noviembre"}, 0)-MONTH('BD Asesor'!D652), 6)=0),
    AND('BD Asesor'!H652="Anual", MONTH('BD Asesor'!D652)=MATCH($B$2, {"Enero", "Febrero", "Marzo", "Abril", "Mayo", "Junio", "Julio", "Agosto", "Septiembre", "Octubre", "Noviembre"}, 0))
), 'BD Asesor'!L652, "")
</f>
        <v/>
      </c>
    </row>
    <row r="653">
      <c r="C653" s="84" t="str">
        <f t="array" ref="C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Asesor'!A653, "")
</f>
        <v/>
      </c>
      <c r="D653" s="84" t="str">
        <f t="array" ref="D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Asesor'!B653, "")
</f>
        <v/>
      </c>
      <c r="E653" s="212" t="str">
        <f t="array" ref="E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Asesor'!C653, "")
</f>
        <v/>
      </c>
      <c r="F653" s="212" t="str">
        <f t="array" ref="F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Asesor'!D653, "")
</f>
        <v/>
      </c>
      <c r="G653" s="212" t="str">
        <f t="array" ref="G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Asesor'!E653, "")
</f>
        <v/>
      </c>
      <c r="H653" s="84" t="str">
        <f t="array" ref="H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Asesor'!F653, "")
</f>
        <v/>
      </c>
      <c r="I653" s="84" t="str">
        <f t="array" ref="I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Asesor'!G653, "")
</f>
        <v/>
      </c>
      <c r="J653" s="84" t="str">
        <f t="array" ref="J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Asesor'!H653, "")
</f>
        <v/>
      </c>
      <c r="K653" s="84" t="str">
        <f t="array" ref="K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Asesor'!K653, "")
</f>
        <v/>
      </c>
      <c r="L653" s="84" t="str">
        <f t="array" ref="L653">IF(OR(
    AND('BD Asesor'!H653="Mensual", MATCH($B$2, {"Enero", "Febrero", "Marzo", "Abril", "Mayo", "Junio", "Julio", "Agosto", "Septiembre", "Octubre", "Noviembre", "Diciembre"}, 0)&gt;=1),
    AND('BD Asesor'!H653="Trimestral", MOD(MATCH($B$2, {"Enero", "Febrero", "Marzo", "Abril", "Mayo", "Junio", "Julio", "Agosto", "Septiembre", "Octubre", "Noviembre"}, 0)-MONTH('BD Asesor'!D653), 3)=0),
    AND('BD Asesor'!H653="Semestral", MOD(MATCH($B$2, {"Enero", "Febrero", "Marzo", "Abril", "Mayo", "Junio", "Julio", "Agosto", "Septiembre", "Octubre", "Noviembre"}, 0)-MONTH('BD Asesor'!D653), 6)=0),
    AND('BD Asesor'!H653="Anual", MONTH('BD Asesor'!D653)=MATCH($B$2, {"Enero", "Febrero", "Marzo", "Abril", "Mayo", "Junio", "Julio", "Agosto", "Septiembre", "Octubre", "Noviembre"}, 0))
), 'BD Asesor'!L653, "")
</f>
        <v/>
      </c>
    </row>
    <row r="654">
      <c r="C654" s="84" t="str">
        <f t="array" ref="C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Asesor'!A654, "")
</f>
        <v/>
      </c>
      <c r="D654" s="84" t="str">
        <f t="array" ref="D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Asesor'!B654, "")
</f>
        <v/>
      </c>
      <c r="E654" s="212" t="str">
        <f t="array" ref="E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Asesor'!C654, "")
</f>
        <v/>
      </c>
      <c r="F654" s="212" t="str">
        <f t="array" ref="F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Asesor'!D654, "")
</f>
        <v/>
      </c>
      <c r="G654" s="212" t="str">
        <f t="array" ref="G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Asesor'!E654, "")
</f>
        <v/>
      </c>
      <c r="H654" s="84" t="str">
        <f t="array" ref="H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Asesor'!F654, "")
</f>
        <v/>
      </c>
      <c r="I654" s="84" t="str">
        <f t="array" ref="I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Asesor'!G654, "")
</f>
        <v/>
      </c>
      <c r="J654" s="84" t="str">
        <f t="array" ref="J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Asesor'!H654, "")
</f>
        <v/>
      </c>
      <c r="K654" s="84" t="str">
        <f t="array" ref="K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Asesor'!K654, "")
</f>
        <v/>
      </c>
      <c r="L654" s="84" t="str">
        <f t="array" ref="L654">IF(OR(
    AND('BD Asesor'!H654="Mensual", MATCH($B$2, {"Enero", "Febrero", "Marzo", "Abril", "Mayo", "Junio", "Julio", "Agosto", "Septiembre", "Octubre", "Noviembre", "Diciembre"}, 0)&gt;=1),
    AND('BD Asesor'!H654="Trimestral", MOD(MATCH($B$2, {"Enero", "Febrero", "Marzo", "Abril", "Mayo", "Junio", "Julio", "Agosto", "Septiembre", "Octubre", "Noviembre"}, 0)-MONTH('BD Asesor'!D654), 3)=0),
    AND('BD Asesor'!H654="Semestral", MOD(MATCH($B$2, {"Enero", "Febrero", "Marzo", "Abril", "Mayo", "Junio", "Julio", "Agosto", "Septiembre", "Octubre", "Noviembre"}, 0)-MONTH('BD Asesor'!D654), 6)=0),
    AND('BD Asesor'!H654="Anual", MONTH('BD Asesor'!D654)=MATCH($B$2, {"Enero", "Febrero", "Marzo", "Abril", "Mayo", "Junio", "Julio", "Agosto", "Septiembre", "Octubre", "Noviembre"}, 0))
), 'BD Asesor'!L654, "")
</f>
        <v/>
      </c>
    </row>
    <row r="655">
      <c r="C655" s="84" t="str">
        <f t="array" ref="C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Asesor'!A655, "")
</f>
        <v/>
      </c>
      <c r="D655" s="84" t="str">
        <f t="array" ref="D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Asesor'!B655, "")
</f>
        <v/>
      </c>
      <c r="E655" s="212" t="str">
        <f t="array" ref="E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Asesor'!C655, "")
</f>
        <v/>
      </c>
      <c r="F655" s="212" t="str">
        <f t="array" ref="F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Asesor'!D655, "")
</f>
        <v/>
      </c>
      <c r="G655" s="212" t="str">
        <f t="array" ref="G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Asesor'!E655, "")
</f>
        <v/>
      </c>
      <c r="H655" s="84" t="str">
        <f t="array" ref="H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Asesor'!F655, "")
</f>
        <v/>
      </c>
      <c r="I655" s="84" t="str">
        <f t="array" ref="I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Asesor'!G655, "")
</f>
        <v/>
      </c>
      <c r="J655" s="84" t="str">
        <f t="array" ref="J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Asesor'!H655, "")
</f>
        <v/>
      </c>
      <c r="K655" s="84" t="str">
        <f t="array" ref="K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Asesor'!K655, "")
</f>
        <v/>
      </c>
      <c r="L655" s="84" t="str">
        <f t="array" ref="L655">IF(OR(
    AND('BD Asesor'!H655="Mensual", MATCH($B$2, {"Enero", "Febrero", "Marzo", "Abril", "Mayo", "Junio", "Julio", "Agosto", "Septiembre", "Octubre", "Noviembre", "Diciembre"}, 0)&gt;=1),
    AND('BD Asesor'!H655="Trimestral", MOD(MATCH($B$2, {"Enero", "Febrero", "Marzo", "Abril", "Mayo", "Junio", "Julio", "Agosto", "Septiembre", "Octubre", "Noviembre"}, 0)-MONTH('BD Asesor'!D655), 3)=0),
    AND('BD Asesor'!H655="Semestral", MOD(MATCH($B$2, {"Enero", "Febrero", "Marzo", "Abril", "Mayo", "Junio", "Julio", "Agosto", "Septiembre", "Octubre", "Noviembre"}, 0)-MONTH('BD Asesor'!D655), 6)=0),
    AND('BD Asesor'!H655="Anual", MONTH('BD Asesor'!D655)=MATCH($B$2, {"Enero", "Febrero", "Marzo", "Abril", "Mayo", "Junio", "Julio", "Agosto", "Septiembre", "Octubre", "Noviembre"}, 0))
), 'BD Asesor'!L655, "")
</f>
        <v/>
      </c>
    </row>
    <row r="656">
      <c r="C656" s="84" t="str">
        <f t="array" ref="C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Asesor'!A656, "")
</f>
        <v/>
      </c>
      <c r="D656" s="84" t="str">
        <f t="array" ref="D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Asesor'!B656, "")
</f>
        <v/>
      </c>
      <c r="E656" s="212" t="str">
        <f t="array" ref="E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Asesor'!C656, "")
</f>
        <v/>
      </c>
      <c r="F656" s="212" t="str">
        <f t="array" ref="F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Asesor'!D656, "")
</f>
        <v/>
      </c>
      <c r="G656" s="212" t="str">
        <f t="array" ref="G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Asesor'!E656, "")
</f>
        <v/>
      </c>
      <c r="H656" s="84" t="str">
        <f t="array" ref="H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Asesor'!F656, "")
</f>
        <v/>
      </c>
      <c r="I656" s="84" t="str">
        <f t="array" ref="I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Asesor'!G656, "")
</f>
        <v/>
      </c>
      <c r="J656" s="84" t="str">
        <f t="array" ref="J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Asesor'!H656, "")
</f>
        <v/>
      </c>
      <c r="K656" s="84" t="str">
        <f t="array" ref="K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Asesor'!K656, "")
</f>
        <v/>
      </c>
      <c r="L656" s="84" t="str">
        <f t="array" ref="L656">IF(OR(
    AND('BD Asesor'!H656="Mensual", MATCH($B$2, {"Enero", "Febrero", "Marzo", "Abril", "Mayo", "Junio", "Julio", "Agosto", "Septiembre", "Octubre", "Noviembre", "Diciembre"}, 0)&gt;=1),
    AND('BD Asesor'!H656="Trimestral", MOD(MATCH($B$2, {"Enero", "Febrero", "Marzo", "Abril", "Mayo", "Junio", "Julio", "Agosto", "Septiembre", "Octubre", "Noviembre"}, 0)-MONTH('BD Asesor'!D656), 3)=0),
    AND('BD Asesor'!H656="Semestral", MOD(MATCH($B$2, {"Enero", "Febrero", "Marzo", "Abril", "Mayo", "Junio", "Julio", "Agosto", "Septiembre", "Octubre", "Noviembre"}, 0)-MONTH('BD Asesor'!D656), 6)=0),
    AND('BD Asesor'!H656="Anual", MONTH('BD Asesor'!D656)=MATCH($B$2, {"Enero", "Febrero", "Marzo", "Abril", "Mayo", "Junio", "Julio", "Agosto", "Septiembre", "Octubre", "Noviembre"}, 0))
), 'BD Asesor'!L656, "")
</f>
        <v/>
      </c>
    </row>
    <row r="657">
      <c r="C657" s="84" t="str">
        <f t="array" ref="C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Asesor'!A657, "")
</f>
        <v/>
      </c>
      <c r="D657" s="84" t="str">
        <f t="array" ref="D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Asesor'!B657, "")
</f>
        <v/>
      </c>
      <c r="E657" s="212" t="str">
        <f t="array" ref="E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Asesor'!C657, "")
</f>
        <v/>
      </c>
      <c r="F657" s="212" t="str">
        <f t="array" ref="F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Asesor'!D657, "")
</f>
        <v/>
      </c>
      <c r="G657" s="212" t="str">
        <f t="array" ref="G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Asesor'!E657, "")
</f>
        <v/>
      </c>
      <c r="H657" s="84" t="str">
        <f t="array" ref="H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Asesor'!F657, "")
</f>
        <v/>
      </c>
      <c r="I657" s="84" t="str">
        <f t="array" ref="I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Asesor'!G657, "")
</f>
        <v/>
      </c>
      <c r="J657" s="84" t="str">
        <f t="array" ref="J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Asesor'!H657, "")
</f>
        <v/>
      </c>
      <c r="K657" s="84" t="str">
        <f t="array" ref="K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Asesor'!K657, "")
</f>
        <v/>
      </c>
      <c r="L657" s="84" t="str">
        <f t="array" ref="L657">IF(OR(
    AND('BD Asesor'!H657="Mensual", MATCH($B$2, {"Enero", "Febrero", "Marzo", "Abril", "Mayo", "Junio", "Julio", "Agosto", "Septiembre", "Octubre", "Noviembre", "Diciembre"}, 0)&gt;=1),
    AND('BD Asesor'!H657="Trimestral", MOD(MATCH($B$2, {"Enero", "Febrero", "Marzo", "Abril", "Mayo", "Junio", "Julio", "Agosto", "Septiembre", "Octubre", "Noviembre"}, 0)-MONTH('BD Asesor'!D657), 3)=0),
    AND('BD Asesor'!H657="Semestral", MOD(MATCH($B$2, {"Enero", "Febrero", "Marzo", "Abril", "Mayo", "Junio", "Julio", "Agosto", "Septiembre", "Octubre", "Noviembre"}, 0)-MONTH('BD Asesor'!D657), 6)=0),
    AND('BD Asesor'!H657="Anual", MONTH('BD Asesor'!D657)=MATCH($B$2, {"Enero", "Febrero", "Marzo", "Abril", "Mayo", "Junio", "Julio", "Agosto", "Septiembre", "Octubre", "Noviembre"}, 0))
), 'BD Asesor'!L657, "")
</f>
        <v/>
      </c>
    </row>
    <row r="658">
      <c r="C658" s="84" t="str">
        <f t="array" ref="C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Asesor'!A658, "")
</f>
        <v/>
      </c>
      <c r="D658" s="84" t="str">
        <f t="array" ref="D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Asesor'!B658, "")
</f>
        <v/>
      </c>
      <c r="E658" s="212" t="str">
        <f t="array" ref="E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Asesor'!C658, "")
</f>
        <v/>
      </c>
      <c r="F658" s="212" t="str">
        <f t="array" ref="F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Asesor'!D658, "")
</f>
        <v/>
      </c>
      <c r="G658" s="212" t="str">
        <f t="array" ref="G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Asesor'!E658, "")
</f>
        <v/>
      </c>
      <c r="H658" s="84" t="str">
        <f t="array" ref="H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Asesor'!F658, "")
</f>
        <v/>
      </c>
      <c r="I658" s="84" t="str">
        <f t="array" ref="I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Asesor'!G658, "")
</f>
        <v/>
      </c>
      <c r="J658" s="84" t="str">
        <f t="array" ref="J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Asesor'!H658, "")
</f>
        <v/>
      </c>
      <c r="K658" s="84" t="str">
        <f t="array" ref="K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Asesor'!K658, "")
</f>
        <v/>
      </c>
      <c r="L658" s="84" t="str">
        <f t="array" ref="L658">IF(OR(
    AND('BD Asesor'!H658="Mensual", MATCH($B$2, {"Enero", "Febrero", "Marzo", "Abril", "Mayo", "Junio", "Julio", "Agosto", "Septiembre", "Octubre", "Noviembre", "Diciembre"}, 0)&gt;=1),
    AND('BD Asesor'!H658="Trimestral", MOD(MATCH($B$2, {"Enero", "Febrero", "Marzo", "Abril", "Mayo", "Junio", "Julio", "Agosto", "Septiembre", "Octubre", "Noviembre"}, 0)-MONTH('BD Asesor'!D658), 3)=0),
    AND('BD Asesor'!H658="Semestral", MOD(MATCH($B$2, {"Enero", "Febrero", "Marzo", "Abril", "Mayo", "Junio", "Julio", "Agosto", "Septiembre", "Octubre", "Noviembre"}, 0)-MONTH('BD Asesor'!D658), 6)=0),
    AND('BD Asesor'!H658="Anual", MONTH('BD Asesor'!D658)=MATCH($B$2, {"Enero", "Febrero", "Marzo", "Abril", "Mayo", "Junio", "Julio", "Agosto", "Septiembre", "Octubre", "Noviembre"}, 0))
), 'BD Asesor'!L658, "")
</f>
        <v/>
      </c>
    </row>
    <row r="659">
      <c r="C659" s="84" t="str">
        <f t="array" ref="C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Asesor'!A659, "")
</f>
        <v/>
      </c>
      <c r="D659" s="84" t="str">
        <f t="array" ref="D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Asesor'!B659, "")
</f>
        <v/>
      </c>
      <c r="E659" s="212" t="str">
        <f t="array" ref="E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Asesor'!C659, "")
</f>
        <v/>
      </c>
      <c r="F659" s="212" t="str">
        <f t="array" ref="F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Asesor'!D659, "")
</f>
        <v/>
      </c>
      <c r="G659" s="212" t="str">
        <f t="array" ref="G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Asesor'!E659, "")
</f>
        <v/>
      </c>
      <c r="H659" s="84" t="str">
        <f t="array" ref="H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Asesor'!F659, "")
</f>
        <v/>
      </c>
      <c r="I659" s="84" t="str">
        <f t="array" ref="I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Asesor'!G659, "")
</f>
        <v/>
      </c>
      <c r="J659" s="84" t="str">
        <f t="array" ref="J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Asesor'!H659, "")
</f>
        <v/>
      </c>
      <c r="K659" s="84" t="str">
        <f t="array" ref="K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Asesor'!K659, "")
</f>
        <v/>
      </c>
      <c r="L659" s="84" t="str">
        <f t="array" ref="L659">IF(OR(
    AND('BD Asesor'!H659="Mensual", MATCH($B$2, {"Enero", "Febrero", "Marzo", "Abril", "Mayo", "Junio", "Julio", "Agosto", "Septiembre", "Octubre", "Noviembre", "Diciembre"}, 0)&gt;=1),
    AND('BD Asesor'!H659="Trimestral", MOD(MATCH($B$2, {"Enero", "Febrero", "Marzo", "Abril", "Mayo", "Junio", "Julio", "Agosto", "Septiembre", "Octubre", "Noviembre"}, 0)-MONTH('BD Asesor'!D659), 3)=0),
    AND('BD Asesor'!H659="Semestral", MOD(MATCH($B$2, {"Enero", "Febrero", "Marzo", "Abril", "Mayo", "Junio", "Julio", "Agosto", "Septiembre", "Octubre", "Noviembre"}, 0)-MONTH('BD Asesor'!D659), 6)=0),
    AND('BD Asesor'!H659="Anual", MONTH('BD Asesor'!D659)=MATCH($B$2, {"Enero", "Febrero", "Marzo", "Abril", "Mayo", "Junio", "Julio", "Agosto", "Septiembre", "Octubre", "Noviembre"}, 0))
), 'BD Asesor'!L659, "")
</f>
        <v/>
      </c>
    </row>
    <row r="660">
      <c r="C660" s="84" t="str">
        <f t="array" ref="C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Asesor'!A660, "")
</f>
        <v/>
      </c>
      <c r="D660" s="84" t="str">
        <f t="array" ref="D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Asesor'!B660, "")
</f>
        <v/>
      </c>
      <c r="E660" s="212" t="str">
        <f t="array" ref="E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Asesor'!C660, "")
</f>
        <v/>
      </c>
      <c r="F660" s="212" t="str">
        <f t="array" ref="F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Asesor'!D660, "")
</f>
        <v/>
      </c>
      <c r="G660" s="212" t="str">
        <f t="array" ref="G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Asesor'!E660, "")
</f>
        <v/>
      </c>
      <c r="H660" s="84" t="str">
        <f t="array" ref="H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Asesor'!F660, "")
</f>
        <v/>
      </c>
      <c r="I660" s="84" t="str">
        <f t="array" ref="I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Asesor'!G660, "")
</f>
        <v/>
      </c>
      <c r="J660" s="84" t="str">
        <f t="array" ref="J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Asesor'!H660, "")
</f>
        <v/>
      </c>
      <c r="K660" s="84" t="str">
        <f t="array" ref="K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Asesor'!K660, "")
</f>
        <v/>
      </c>
      <c r="L660" s="84" t="str">
        <f t="array" ref="L660">IF(OR(
    AND('BD Asesor'!H660="Mensual", MATCH($B$2, {"Enero", "Febrero", "Marzo", "Abril", "Mayo", "Junio", "Julio", "Agosto", "Septiembre", "Octubre", "Noviembre", "Diciembre"}, 0)&gt;=1),
    AND('BD Asesor'!H660="Trimestral", MOD(MATCH($B$2, {"Enero", "Febrero", "Marzo", "Abril", "Mayo", "Junio", "Julio", "Agosto", "Septiembre", "Octubre", "Noviembre"}, 0)-MONTH('BD Asesor'!D660), 3)=0),
    AND('BD Asesor'!H660="Semestral", MOD(MATCH($B$2, {"Enero", "Febrero", "Marzo", "Abril", "Mayo", "Junio", "Julio", "Agosto", "Septiembre", "Octubre", "Noviembre"}, 0)-MONTH('BD Asesor'!D660), 6)=0),
    AND('BD Asesor'!H660="Anual", MONTH('BD Asesor'!D660)=MATCH($B$2, {"Enero", "Febrero", "Marzo", "Abril", "Mayo", "Junio", "Julio", "Agosto", "Septiembre", "Octubre", "Noviembre"}, 0))
), 'BD Asesor'!L660, "")
</f>
        <v/>
      </c>
    </row>
    <row r="661">
      <c r="C661" s="84" t="str">
        <f t="array" ref="C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Asesor'!A661, "")
</f>
        <v/>
      </c>
      <c r="D661" s="84" t="str">
        <f t="array" ref="D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Asesor'!B661, "")
</f>
        <v/>
      </c>
      <c r="E661" s="212" t="str">
        <f t="array" ref="E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Asesor'!C661, "")
</f>
        <v/>
      </c>
      <c r="F661" s="212" t="str">
        <f t="array" ref="F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Asesor'!D661, "")
</f>
        <v/>
      </c>
      <c r="G661" s="212" t="str">
        <f t="array" ref="G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Asesor'!E661, "")
</f>
        <v/>
      </c>
      <c r="H661" s="84" t="str">
        <f t="array" ref="H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Asesor'!F661, "")
</f>
        <v/>
      </c>
      <c r="I661" s="84" t="str">
        <f t="array" ref="I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Asesor'!G661, "")
</f>
        <v/>
      </c>
      <c r="J661" s="84" t="str">
        <f t="array" ref="J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Asesor'!H661, "")
</f>
        <v/>
      </c>
      <c r="K661" s="84" t="str">
        <f t="array" ref="K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Asesor'!K661, "")
</f>
        <v/>
      </c>
      <c r="L661" s="84" t="str">
        <f t="array" ref="L661">IF(OR(
    AND('BD Asesor'!H661="Mensual", MATCH($B$2, {"Enero", "Febrero", "Marzo", "Abril", "Mayo", "Junio", "Julio", "Agosto", "Septiembre", "Octubre", "Noviembre", "Diciembre"}, 0)&gt;=1),
    AND('BD Asesor'!H661="Trimestral", MOD(MATCH($B$2, {"Enero", "Febrero", "Marzo", "Abril", "Mayo", "Junio", "Julio", "Agosto", "Septiembre", "Octubre", "Noviembre"}, 0)-MONTH('BD Asesor'!D661), 3)=0),
    AND('BD Asesor'!H661="Semestral", MOD(MATCH($B$2, {"Enero", "Febrero", "Marzo", "Abril", "Mayo", "Junio", "Julio", "Agosto", "Septiembre", "Octubre", "Noviembre"}, 0)-MONTH('BD Asesor'!D661), 6)=0),
    AND('BD Asesor'!H661="Anual", MONTH('BD Asesor'!D661)=MATCH($B$2, {"Enero", "Febrero", "Marzo", "Abril", "Mayo", "Junio", "Julio", "Agosto", "Septiembre", "Octubre", "Noviembre"}, 0))
), 'BD Asesor'!L661, "")
</f>
        <v/>
      </c>
    </row>
    <row r="662">
      <c r="C662" s="84" t="str">
        <f t="array" ref="C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Asesor'!A662, "")
</f>
        <v/>
      </c>
      <c r="D662" s="84" t="str">
        <f t="array" ref="D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Asesor'!B662, "")
</f>
        <v/>
      </c>
      <c r="E662" s="212" t="str">
        <f t="array" ref="E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Asesor'!C662, "")
</f>
        <v/>
      </c>
      <c r="F662" s="212" t="str">
        <f t="array" ref="F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Asesor'!D662, "")
</f>
        <v/>
      </c>
      <c r="G662" s="212" t="str">
        <f t="array" ref="G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Asesor'!E662, "")
</f>
        <v/>
      </c>
      <c r="H662" s="84" t="str">
        <f t="array" ref="H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Asesor'!F662, "")
</f>
        <v/>
      </c>
      <c r="I662" s="84" t="str">
        <f t="array" ref="I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Asesor'!G662, "")
</f>
        <v/>
      </c>
      <c r="J662" s="84" t="str">
        <f t="array" ref="J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Asesor'!H662, "")
</f>
        <v/>
      </c>
      <c r="K662" s="84" t="str">
        <f t="array" ref="K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Asesor'!K662, "")
</f>
        <v/>
      </c>
      <c r="L662" s="84" t="str">
        <f t="array" ref="L662">IF(OR(
    AND('BD Asesor'!H662="Mensual", MATCH($B$2, {"Enero", "Febrero", "Marzo", "Abril", "Mayo", "Junio", "Julio", "Agosto", "Septiembre", "Octubre", "Noviembre", "Diciembre"}, 0)&gt;=1),
    AND('BD Asesor'!H662="Trimestral", MOD(MATCH($B$2, {"Enero", "Febrero", "Marzo", "Abril", "Mayo", "Junio", "Julio", "Agosto", "Septiembre", "Octubre", "Noviembre"}, 0)-MONTH('BD Asesor'!D662), 3)=0),
    AND('BD Asesor'!H662="Semestral", MOD(MATCH($B$2, {"Enero", "Febrero", "Marzo", "Abril", "Mayo", "Junio", "Julio", "Agosto", "Septiembre", "Octubre", "Noviembre"}, 0)-MONTH('BD Asesor'!D662), 6)=0),
    AND('BD Asesor'!H662="Anual", MONTH('BD Asesor'!D662)=MATCH($B$2, {"Enero", "Febrero", "Marzo", "Abril", "Mayo", "Junio", "Julio", "Agosto", "Septiembre", "Octubre", "Noviembre"}, 0))
), 'BD Asesor'!L662, "")
</f>
        <v/>
      </c>
    </row>
    <row r="663">
      <c r="C663" s="84" t="str">
        <f t="array" ref="C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Asesor'!A663, "")
</f>
        <v/>
      </c>
      <c r="D663" s="84" t="str">
        <f t="array" ref="D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Asesor'!B663, "")
</f>
        <v/>
      </c>
      <c r="E663" s="212" t="str">
        <f t="array" ref="E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Asesor'!C663, "")
</f>
        <v/>
      </c>
      <c r="F663" s="212" t="str">
        <f t="array" ref="F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Asesor'!D663, "")
</f>
        <v/>
      </c>
      <c r="G663" s="212" t="str">
        <f t="array" ref="G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Asesor'!E663, "")
</f>
        <v/>
      </c>
      <c r="H663" s="84" t="str">
        <f t="array" ref="H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Asesor'!F663, "")
</f>
        <v/>
      </c>
      <c r="I663" s="84" t="str">
        <f t="array" ref="I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Asesor'!G663, "")
</f>
        <v/>
      </c>
      <c r="J663" s="84" t="str">
        <f t="array" ref="J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Asesor'!H663, "")
</f>
        <v/>
      </c>
      <c r="K663" s="84" t="str">
        <f t="array" ref="K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Asesor'!K663, "")
</f>
        <v/>
      </c>
      <c r="L663" s="84" t="str">
        <f t="array" ref="L663">IF(OR(
    AND('BD Asesor'!H663="Mensual", MATCH($B$2, {"Enero", "Febrero", "Marzo", "Abril", "Mayo", "Junio", "Julio", "Agosto", "Septiembre", "Octubre", "Noviembre", "Diciembre"}, 0)&gt;=1),
    AND('BD Asesor'!H663="Trimestral", MOD(MATCH($B$2, {"Enero", "Febrero", "Marzo", "Abril", "Mayo", "Junio", "Julio", "Agosto", "Septiembre", "Octubre", "Noviembre"}, 0)-MONTH('BD Asesor'!D663), 3)=0),
    AND('BD Asesor'!H663="Semestral", MOD(MATCH($B$2, {"Enero", "Febrero", "Marzo", "Abril", "Mayo", "Junio", "Julio", "Agosto", "Septiembre", "Octubre", "Noviembre"}, 0)-MONTH('BD Asesor'!D663), 6)=0),
    AND('BD Asesor'!H663="Anual", MONTH('BD Asesor'!D663)=MATCH($B$2, {"Enero", "Febrero", "Marzo", "Abril", "Mayo", "Junio", "Julio", "Agosto", "Septiembre", "Octubre", "Noviembre"}, 0))
), 'BD Asesor'!L663, "")
</f>
        <v/>
      </c>
    </row>
    <row r="664">
      <c r="C664" s="84" t="str">
        <f t="array" ref="C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Asesor'!A664, "")
</f>
        <v/>
      </c>
      <c r="D664" s="84" t="str">
        <f t="array" ref="D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Asesor'!B664, "")
</f>
        <v/>
      </c>
      <c r="E664" s="212" t="str">
        <f t="array" ref="E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Asesor'!C664, "")
</f>
        <v/>
      </c>
      <c r="F664" s="212" t="str">
        <f t="array" ref="F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Asesor'!D664, "")
</f>
        <v/>
      </c>
      <c r="G664" s="212" t="str">
        <f t="array" ref="G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Asesor'!E664, "")
</f>
        <v/>
      </c>
      <c r="H664" s="84" t="str">
        <f t="array" ref="H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Asesor'!F664, "")
</f>
        <v/>
      </c>
      <c r="I664" s="84" t="str">
        <f t="array" ref="I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Asesor'!G664, "")
</f>
        <v/>
      </c>
      <c r="J664" s="84" t="str">
        <f t="array" ref="J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Asesor'!H664, "")
</f>
        <v/>
      </c>
      <c r="K664" s="84" t="str">
        <f t="array" ref="K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Asesor'!K664, "")
</f>
        <v/>
      </c>
      <c r="L664" s="84" t="str">
        <f t="array" ref="L664">IF(OR(
    AND('BD Asesor'!H664="Mensual", MATCH($B$2, {"Enero", "Febrero", "Marzo", "Abril", "Mayo", "Junio", "Julio", "Agosto", "Septiembre", "Octubre", "Noviembre", "Diciembre"}, 0)&gt;=1),
    AND('BD Asesor'!H664="Trimestral", MOD(MATCH($B$2, {"Enero", "Febrero", "Marzo", "Abril", "Mayo", "Junio", "Julio", "Agosto", "Septiembre", "Octubre", "Noviembre"}, 0)-MONTH('BD Asesor'!D664), 3)=0),
    AND('BD Asesor'!H664="Semestral", MOD(MATCH($B$2, {"Enero", "Febrero", "Marzo", "Abril", "Mayo", "Junio", "Julio", "Agosto", "Septiembre", "Octubre", "Noviembre"}, 0)-MONTH('BD Asesor'!D664), 6)=0),
    AND('BD Asesor'!H664="Anual", MONTH('BD Asesor'!D664)=MATCH($B$2, {"Enero", "Febrero", "Marzo", "Abril", "Mayo", "Junio", "Julio", "Agosto", "Septiembre", "Octubre", "Noviembre"}, 0))
), 'BD Asesor'!L664, "")
</f>
        <v/>
      </c>
    </row>
    <row r="665">
      <c r="C665" s="84" t="str">
        <f t="array" ref="C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Asesor'!A665, "")
</f>
        <v/>
      </c>
      <c r="D665" s="84" t="str">
        <f t="array" ref="D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Asesor'!B665, "")
</f>
        <v/>
      </c>
      <c r="E665" s="212" t="str">
        <f t="array" ref="E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Asesor'!C665, "")
</f>
        <v/>
      </c>
      <c r="F665" s="212" t="str">
        <f t="array" ref="F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Asesor'!D665, "")
</f>
        <v/>
      </c>
      <c r="G665" s="212" t="str">
        <f t="array" ref="G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Asesor'!E665, "")
</f>
        <v/>
      </c>
      <c r="H665" s="84" t="str">
        <f t="array" ref="H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Asesor'!F665, "")
</f>
        <v/>
      </c>
      <c r="I665" s="84" t="str">
        <f t="array" ref="I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Asesor'!G665, "")
</f>
        <v/>
      </c>
      <c r="J665" s="84" t="str">
        <f t="array" ref="J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Asesor'!H665, "")
</f>
        <v/>
      </c>
      <c r="K665" s="84" t="str">
        <f t="array" ref="K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Asesor'!K665, "")
</f>
        <v/>
      </c>
      <c r="L665" s="84" t="str">
        <f t="array" ref="L665">IF(OR(
    AND('BD Asesor'!H665="Mensual", MATCH($B$2, {"Enero", "Febrero", "Marzo", "Abril", "Mayo", "Junio", "Julio", "Agosto", "Septiembre", "Octubre", "Noviembre", "Diciembre"}, 0)&gt;=1),
    AND('BD Asesor'!H665="Trimestral", MOD(MATCH($B$2, {"Enero", "Febrero", "Marzo", "Abril", "Mayo", "Junio", "Julio", "Agosto", "Septiembre", "Octubre", "Noviembre"}, 0)-MONTH('BD Asesor'!D665), 3)=0),
    AND('BD Asesor'!H665="Semestral", MOD(MATCH($B$2, {"Enero", "Febrero", "Marzo", "Abril", "Mayo", "Junio", "Julio", "Agosto", "Septiembre", "Octubre", "Noviembre"}, 0)-MONTH('BD Asesor'!D665), 6)=0),
    AND('BD Asesor'!H665="Anual", MONTH('BD Asesor'!D665)=MATCH($B$2, {"Enero", "Febrero", "Marzo", "Abril", "Mayo", "Junio", "Julio", "Agosto", "Septiembre", "Octubre", "Noviembre"}, 0))
), 'BD Asesor'!L665, "")
</f>
        <v/>
      </c>
    </row>
    <row r="666">
      <c r="C666" s="84" t="str">
        <f t="array" ref="C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Asesor'!A666, "")
</f>
        <v/>
      </c>
      <c r="D666" s="84" t="str">
        <f t="array" ref="D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Asesor'!B666, "")
</f>
        <v/>
      </c>
      <c r="E666" s="212" t="str">
        <f t="array" ref="E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Asesor'!C666, "")
</f>
        <v/>
      </c>
      <c r="F666" s="212" t="str">
        <f t="array" ref="F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Asesor'!D666, "")
</f>
        <v/>
      </c>
      <c r="G666" s="212" t="str">
        <f t="array" ref="G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Asesor'!E666, "")
</f>
        <v/>
      </c>
      <c r="H666" s="84" t="str">
        <f t="array" ref="H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Asesor'!F666, "")
</f>
        <v/>
      </c>
      <c r="I666" s="84" t="str">
        <f t="array" ref="I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Asesor'!G666, "")
</f>
        <v/>
      </c>
      <c r="J666" s="84" t="str">
        <f t="array" ref="J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Asesor'!H666, "")
</f>
        <v/>
      </c>
      <c r="K666" s="84" t="str">
        <f t="array" ref="K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Asesor'!K666, "")
</f>
        <v/>
      </c>
      <c r="L666" s="84" t="str">
        <f t="array" ref="L666">IF(OR(
    AND('BD Asesor'!H666="Mensual", MATCH($B$2, {"Enero", "Febrero", "Marzo", "Abril", "Mayo", "Junio", "Julio", "Agosto", "Septiembre", "Octubre", "Noviembre", "Diciembre"}, 0)&gt;=1),
    AND('BD Asesor'!H666="Trimestral", MOD(MATCH($B$2, {"Enero", "Febrero", "Marzo", "Abril", "Mayo", "Junio", "Julio", "Agosto", "Septiembre", "Octubre", "Noviembre"}, 0)-MONTH('BD Asesor'!D666), 3)=0),
    AND('BD Asesor'!H666="Semestral", MOD(MATCH($B$2, {"Enero", "Febrero", "Marzo", "Abril", "Mayo", "Junio", "Julio", "Agosto", "Septiembre", "Octubre", "Noviembre"}, 0)-MONTH('BD Asesor'!D666), 6)=0),
    AND('BD Asesor'!H666="Anual", MONTH('BD Asesor'!D666)=MATCH($B$2, {"Enero", "Febrero", "Marzo", "Abril", "Mayo", "Junio", "Julio", "Agosto", "Septiembre", "Octubre", "Noviembre"}, 0))
), 'BD Asesor'!L666, "")
</f>
        <v/>
      </c>
    </row>
    <row r="667">
      <c r="C667" s="84" t="str">
        <f t="array" ref="C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Asesor'!A667, "")
</f>
        <v/>
      </c>
      <c r="D667" s="84" t="str">
        <f t="array" ref="D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Asesor'!B667, "")
</f>
        <v/>
      </c>
      <c r="E667" s="212" t="str">
        <f t="array" ref="E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Asesor'!C667, "")
</f>
        <v/>
      </c>
      <c r="F667" s="212" t="str">
        <f t="array" ref="F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Asesor'!D667, "")
</f>
        <v/>
      </c>
      <c r="G667" s="212" t="str">
        <f t="array" ref="G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Asesor'!E667, "")
</f>
        <v/>
      </c>
      <c r="H667" s="84" t="str">
        <f t="array" ref="H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Asesor'!F667, "")
</f>
        <v/>
      </c>
      <c r="I667" s="84" t="str">
        <f t="array" ref="I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Asesor'!G667, "")
</f>
        <v/>
      </c>
      <c r="J667" s="84" t="str">
        <f t="array" ref="J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Asesor'!H667, "")
</f>
        <v/>
      </c>
      <c r="K667" s="84" t="str">
        <f t="array" ref="K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Asesor'!K667, "")
</f>
        <v/>
      </c>
      <c r="L667" s="84" t="str">
        <f t="array" ref="L667">IF(OR(
    AND('BD Asesor'!H667="Mensual", MATCH($B$2, {"Enero", "Febrero", "Marzo", "Abril", "Mayo", "Junio", "Julio", "Agosto", "Septiembre", "Octubre", "Noviembre", "Diciembre"}, 0)&gt;=1),
    AND('BD Asesor'!H667="Trimestral", MOD(MATCH($B$2, {"Enero", "Febrero", "Marzo", "Abril", "Mayo", "Junio", "Julio", "Agosto", "Septiembre", "Octubre", "Noviembre"}, 0)-MONTH('BD Asesor'!D667), 3)=0),
    AND('BD Asesor'!H667="Semestral", MOD(MATCH($B$2, {"Enero", "Febrero", "Marzo", "Abril", "Mayo", "Junio", "Julio", "Agosto", "Septiembre", "Octubre", "Noviembre"}, 0)-MONTH('BD Asesor'!D667), 6)=0),
    AND('BD Asesor'!H667="Anual", MONTH('BD Asesor'!D667)=MATCH($B$2, {"Enero", "Febrero", "Marzo", "Abril", "Mayo", "Junio", "Julio", "Agosto", "Septiembre", "Octubre", "Noviembre"}, 0))
), 'BD Asesor'!L667, "")
</f>
        <v/>
      </c>
    </row>
    <row r="668">
      <c r="C668" s="84" t="str">
        <f t="array" ref="C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Asesor'!A668, "")
</f>
        <v/>
      </c>
      <c r="D668" s="84" t="str">
        <f t="array" ref="D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Asesor'!B668, "")
</f>
        <v/>
      </c>
      <c r="E668" s="212" t="str">
        <f t="array" ref="E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Asesor'!C668, "")
</f>
        <v/>
      </c>
      <c r="F668" s="212" t="str">
        <f t="array" ref="F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Asesor'!D668, "")
</f>
        <v/>
      </c>
      <c r="G668" s="212" t="str">
        <f t="array" ref="G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Asesor'!E668, "")
</f>
        <v/>
      </c>
      <c r="H668" s="84" t="str">
        <f t="array" ref="H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Asesor'!F668, "")
</f>
        <v/>
      </c>
      <c r="I668" s="84" t="str">
        <f t="array" ref="I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Asesor'!G668, "")
</f>
        <v/>
      </c>
      <c r="J668" s="84" t="str">
        <f t="array" ref="J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Asesor'!H668, "")
</f>
        <v/>
      </c>
      <c r="K668" s="84" t="str">
        <f t="array" ref="K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Asesor'!K668, "")
</f>
        <v/>
      </c>
      <c r="L668" s="84" t="str">
        <f t="array" ref="L668">IF(OR(
    AND('BD Asesor'!H668="Mensual", MATCH($B$2, {"Enero", "Febrero", "Marzo", "Abril", "Mayo", "Junio", "Julio", "Agosto", "Septiembre", "Octubre", "Noviembre", "Diciembre"}, 0)&gt;=1),
    AND('BD Asesor'!H668="Trimestral", MOD(MATCH($B$2, {"Enero", "Febrero", "Marzo", "Abril", "Mayo", "Junio", "Julio", "Agosto", "Septiembre", "Octubre", "Noviembre"}, 0)-MONTH('BD Asesor'!D668), 3)=0),
    AND('BD Asesor'!H668="Semestral", MOD(MATCH($B$2, {"Enero", "Febrero", "Marzo", "Abril", "Mayo", "Junio", "Julio", "Agosto", "Septiembre", "Octubre", "Noviembre"}, 0)-MONTH('BD Asesor'!D668), 6)=0),
    AND('BD Asesor'!H668="Anual", MONTH('BD Asesor'!D668)=MATCH($B$2, {"Enero", "Febrero", "Marzo", "Abril", "Mayo", "Junio", "Julio", "Agosto", "Septiembre", "Octubre", "Noviembre"}, 0))
), 'BD Asesor'!L668, "")
</f>
        <v/>
      </c>
    </row>
    <row r="669">
      <c r="C669" s="84" t="str">
        <f t="array" ref="C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Asesor'!A669, "")
</f>
        <v/>
      </c>
      <c r="D669" s="84" t="str">
        <f t="array" ref="D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Asesor'!B669, "")
</f>
        <v/>
      </c>
      <c r="E669" s="212" t="str">
        <f t="array" ref="E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Asesor'!C669, "")
</f>
        <v/>
      </c>
      <c r="F669" s="212" t="str">
        <f t="array" ref="F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Asesor'!D669, "")
</f>
        <v/>
      </c>
      <c r="G669" s="212" t="str">
        <f t="array" ref="G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Asesor'!E669, "")
</f>
        <v/>
      </c>
      <c r="H669" s="84" t="str">
        <f t="array" ref="H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Asesor'!F669, "")
</f>
        <v/>
      </c>
      <c r="I669" s="84" t="str">
        <f t="array" ref="I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Asesor'!G669, "")
</f>
        <v/>
      </c>
      <c r="J669" s="84" t="str">
        <f t="array" ref="J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Asesor'!H669, "")
</f>
        <v/>
      </c>
      <c r="K669" s="84" t="str">
        <f t="array" ref="K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Asesor'!K669, "")
</f>
        <v/>
      </c>
      <c r="L669" s="84" t="str">
        <f t="array" ref="L669">IF(OR(
    AND('BD Asesor'!H669="Mensual", MATCH($B$2, {"Enero", "Febrero", "Marzo", "Abril", "Mayo", "Junio", "Julio", "Agosto", "Septiembre", "Octubre", "Noviembre", "Diciembre"}, 0)&gt;=1),
    AND('BD Asesor'!H669="Trimestral", MOD(MATCH($B$2, {"Enero", "Febrero", "Marzo", "Abril", "Mayo", "Junio", "Julio", "Agosto", "Septiembre", "Octubre", "Noviembre"}, 0)-MONTH('BD Asesor'!D669), 3)=0),
    AND('BD Asesor'!H669="Semestral", MOD(MATCH($B$2, {"Enero", "Febrero", "Marzo", "Abril", "Mayo", "Junio", "Julio", "Agosto", "Septiembre", "Octubre", "Noviembre"}, 0)-MONTH('BD Asesor'!D669), 6)=0),
    AND('BD Asesor'!H669="Anual", MONTH('BD Asesor'!D669)=MATCH($B$2, {"Enero", "Febrero", "Marzo", "Abril", "Mayo", "Junio", "Julio", "Agosto", "Septiembre", "Octubre", "Noviembre"}, 0))
), 'BD Asesor'!L669, "")
</f>
        <v/>
      </c>
    </row>
    <row r="670">
      <c r="C670" s="84" t="str">
        <f t="array" ref="C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Asesor'!A670, "")
</f>
        <v/>
      </c>
      <c r="D670" s="84" t="str">
        <f t="array" ref="D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Asesor'!B670, "")
</f>
        <v/>
      </c>
      <c r="E670" s="212" t="str">
        <f t="array" ref="E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Asesor'!C670, "")
</f>
        <v/>
      </c>
      <c r="F670" s="212" t="str">
        <f t="array" ref="F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Asesor'!D670, "")
</f>
        <v/>
      </c>
      <c r="G670" s="212" t="str">
        <f t="array" ref="G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Asesor'!E670, "")
</f>
        <v/>
      </c>
      <c r="H670" s="84" t="str">
        <f t="array" ref="H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Asesor'!F670, "")
</f>
        <v/>
      </c>
      <c r="I670" s="84" t="str">
        <f t="array" ref="I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Asesor'!G670, "")
</f>
        <v/>
      </c>
      <c r="J670" s="84" t="str">
        <f t="array" ref="J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Asesor'!H670, "")
</f>
        <v/>
      </c>
      <c r="K670" s="84" t="str">
        <f t="array" ref="K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Asesor'!K670, "")
</f>
        <v/>
      </c>
      <c r="L670" s="84" t="str">
        <f t="array" ref="L670">IF(OR(
    AND('BD Asesor'!H670="Mensual", MATCH($B$2, {"Enero", "Febrero", "Marzo", "Abril", "Mayo", "Junio", "Julio", "Agosto", "Septiembre", "Octubre", "Noviembre", "Diciembre"}, 0)&gt;=1),
    AND('BD Asesor'!H670="Trimestral", MOD(MATCH($B$2, {"Enero", "Febrero", "Marzo", "Abril", "Mayo", "Junio", "Julio", "Agosto", "Septiembre", "Octubre", "Noviembre"}, 0)-MONTH('BD Asesor'!D670), 3)=0),
    AND('BD Asesor'!H670="Semestral", MOD(MATCH($B$2, {"Enero", "Febrero", "Marzo", "Abril", "Mayo", "Junio", "Julio", "Agosto", "Septiembre", "Octubre", "Noviembre"}, 0)-MONTH('BD Asesor'!D670), 6)=0),
    AND('BD Asesor'!H670="Anual", MONTH('BD Asesor'!D670)=MATCH($B$2, {"Enero", "Febrero", "Marzo", "Abril", "Mayo", "Junio", "Julio", "Agosto", "Septiembre", "Octubre", "Noviembre"}, 0))
), 'BD Asesor'!L670, "")
</f>
        <v/>
      </c>
    </row>
    <row r="671">
      <c r="C671" s="84" t="str">
        <f t="array" ref="C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Asesor'!A671, "")
</f>
        <v/>
      </c>
      <c r="D671" s="84" t="str">
        <f t="array" ref="D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Asesor'!B671, "")
</f>
        <v/>
      </c>
      <c r="E671" s="212" t="str">
        <f t="array" ref="E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Asesor'!C671, "")
</f>
        <v/>
      </c>
      <c r="F671" s="212" t="str">
        <f t="array" ref="F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Asesor'!D671, "")
</f>
        <v/>
      </c>
      <c r="G671" s="212" t="str">
        <f t="array" ref="G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Asesor'!E671, "")
</f>
        <v/>
      </c>
      <c r="H671" s="84" t="str">
        <f t="array" ref="H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Asesor'!F671, "")
</f>
        <v/>
      </c>
      <c r="I671" s="84" t="str">
        <f t="array" ref="I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Asesor'!G671, "")
</f>
        <v/>
      </c>
      <c r="J671" s="84" t="str">
        <f t="array" ref="J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Asesor'!H671, "")
</f>
        <v/>
      </c>
      <c r="K671" s="84" t="str">
        <f t="array" ref="K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Asesor'!K671, "")
</f>
        <v/>
      </c>
      <c r="L671" s="84" t="str">
        <f t="array" ref="L671">IF(OR(
    AND('BD Asesor'!H671="Mensual", MATCH($B$2, {"Enero", "Febrero", "Marzo", "Abril", "Mayo", "Junio", "Julio", "Agosto", "Septiembre", "Octubre", "Noviembre", "Diciembre"}, 0)&gt;=1),
    AND('BD Asesor'!H671="Trimestral", MOD(MATCH($B$2, {"Enero", "Febrero", "Marzo", "Abril", "Mayo", "Junio", "Julio", "Agosto", "Septiembre", "Octubre", "Noviembre"}, 0)-MONTH('BD Asesor'!D671), 3)=0),
    AND('BD Asesor'!H671="Semestral", MOD(MATCH($B$2, {"Enero", "Febrero", "Marzo", "Abril", "Mayo", "Junio", "Julio", "Agosto", "Septiembre", "Octubre", "Noviembre"}, 0)-MONTH('BD Asesor'!D671), 6)=0),
    AND('BD Asesor'!H671="Anual", MONTH('BD Asesor'!D671)=MATCH($B$2, {"Enero", "Febrero", "Marzo", "Abril", "Mayo", "Junio", "Julio", "Agosto", "Septiembre", "Octubre", "Noviembre"}, 0))
), 'BD Asesor'!L671, "")
</f>
        <v/>
      </c>
    </row>
    <row r="672">
      <c r="C672" s="84" t="str">
        <f t="array" ref="C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Asesor'!A672, "")
</f>
        <v/>
      </c>
      <c r="D672" s="84" t="str">
        <f t="array" ref="D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Asesor'!B672, "")
</f>
        <v/>
      </c>
      <c r="E672" s="212" t="str">
        <f t="array" ref="E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Asesor'!C672, "")
</f>
        <v/>
      </c>
      <c r="F672" s="212" t="str">
        <f t="array" ref="F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Asesor'!D672, "")
</f>
        <v/>
      </c>
      <c r="G672" s="212" t="str">
        <f t="array" ref="G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Asesor'!E672, "")
</f>
        <v/>
      </c>
      <c r="H672" s="84" t="str">
        <f t="array" ref="H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Asesor'!F672, "")
</f>
        <v/>
      </c>
      <c r="I672" s="84" t="str">
        <f t="array" ref="I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Asesor'!G672, "")
</f>
        <v/>
      </c>
      <c r="J672" s="84" t="str">
        <f t="array" ref="J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Asesor'!H672, "")
</f>
        <v/>
      </c>
      <c r="K672" s="84" t="str">
        <f t="array" ref="K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Asesor'!K672, "")
</f>
        <v/>
      </c>
      <c r="L672" s="84" t="str">
        <f t="array" ref="L672">IF(OR(
    AND('BD Asesor'!H672="Mensual", MATCH($B$2, {"Enero", "Febrero", "Marzo", "Abril", "Mayo", "Junio", "Julio", "Agosto", "Septiembre", "Octubre", "Noviembre", "Diciembre"}, 0)&gt;=1),
    AND('BD Asesor'!H672="Trimestral", MOD(MATCH($B$2, {"Enero", "Febrero", "Marzo", "Abril", "Mayo", "Junio", "Julio", "Agosto", "Septiembre", "Octubre", "Noviembre"}, 0)-MONTH('BD Asesor'!D672), 3)=0),
    AND('BD Asesor'!H672="Semestral", MOD(MATCH($B$2, {"Enero", "Febrero", "Marzo", "Abril", "Mayo", "Junio", "Julio", "Agosto", "Septiembre", "Octubre", "Noviembre"}, 0)-MONTH('BD Asesor'!D672), 6)=0),
    AND('BD Asesor'!H672="Anual", MONTH('BD Asesor'!D672)=MATCH($B$2, {"Enero", "Febrero", "Marzo", "Abril", "Mayo", "Junio", "Julio", "Agosto", "Septiembre", "Octubre", "Noviembre"}, 0))
), 'BD Asesor'!L672, "")
</f>
        <v/>
      </c>
    </row>
    <row r="673">
      <c r="C673" s="84" t="str">
        <f t="array" ref="C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Asesor'!A673, "")
</f>
        <v/>
      </c>
      <c r="D673" s="84" t="str">
        <f t="array" ref="D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Asesor'!B673, "")
</f>
        <v/>
      </c>
      <c r="E673" s="212" t="str">
        <f t="array" ref="E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Asesor'!C673, "")
</f>
        <v/>
      </c>
      <c r="F673" s="212" t="str">
        <f t="array" ref="F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Asesor'!D673, "")
</f>
        <v/>
      </c>
      <c r="G673" s="212" t="str">
        <f t="array" ref="G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Asesor'!E673, "")
</f>
        <v/>
      </c>
      <c r="H673" s="84" t="str">
        <f t="array" ref="H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Asesor'!F673, "")
</f>
        <v/>
      </c>
      <c r="I673" s="84" t="str">
        <f t="array" ref="I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Asesor'!G673, "")
</f>
        <v/>
      </c>
      <c r="J673" s="84" t="str">
        <f t="array" ref="J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Asesor'!H673, "")
</f>
        <v/>
      </c>
      <c r="K673" s="84" t="str">
        <f t="array" ref="K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Asesor'!K673, "")
</f>
        <v/>
      </c>
      <c r="L673" s="84" t="str">
        <f t="array" ref="L673">IF(OR(
    AND('BD Asesor'!H673="Mensual", MATCH($B$2, {"Enero", "Febrero", "Marzo", "Abril", "Mayo", "Junio", "Julio", "Agosto", "Septiembre", "Octubre", "Noviembre", "Diciembre"}, 0)&gt;=1),
    AND('BD Asesor'!H673="Trimestral", MOD(MATCH($B$2, {"Enero", "Febrero", "Marzo", "Abril", "Mayo", "Junio", "Julio", "Agosto", "Septiembre", "Octubre", "Noviembre"}, 0)-MONTH('BD Asesor'!D673), 3)=0),
    AND('BD Asesor'!H673="Semestral", MOD(MATCH($B$2, {"Enero", "Febrero", "Marzo", "Abril", "Mayo", "Junio", "Julio", "Agosto", "Septiembre", "Octubre", "Noviembre"}, 0)-MONTH('BD Asesor'!D673), 6)=0),
    AND('BD Asesor'!H673="Anual", MONTH('BD Asesor'!D673)=MATCH($B$2, {"Enero", "Febrero", "Marzo", "Abril", "Mayo", "Junio", "Julio", "Agosto", "Septiembre", "Octubre", "Noviembre"}, 0))
), 'BD Asesor'!L673, "")
</f>
        <v/>
      </c>
    </row>
    <row r="674">
      <c r="C674" s="84" t="str">
        <f t="array" ref="C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Asesor'!A674, "")
</f>
        <v/>
      </c>
      <c r="D674" s="84" t="str">
        <f t="array" ref="D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Asesor'!B674, "")
</f>
        <v/>
      </c>
      <c r="E674" s="212" t="str">
        <f t="array" ref="E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Asesor'!C674, "")
</f>
        <v/>
      </c>
      <c r="F674" s="212" t="str">
        <f t="array" ref="F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Asesor'!D674, "")
</f>
        <v/>
      </c>
      <c r="G674" s="212" t="str">
        <f t="array" ref="G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Asesor'!E674, "")
</f>
        <v/>
      </c>
      <c r="H674" s="84" t="str">
        <f t="array" ref="H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Asesor'!F674, "")
</f>
        <v/>
      </c>
      <c r="I674" s="84" t="str">
        <f t="array" ref="I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Asesor'!G674, "")
</f>
        <v/>
      </c>
      <c r="J674" s="84" t="str">
        <f t="array" ref="J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Asesor'!H674, "")
</f>
        <v/>
      </c>
      <c r="K674" s="84" t="str">
        <f t="array" ref="K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Asesor'!K674, "")
</f>
        <v/>
      </c>
      <c r="L674" s="84" t="str">
        <f t="array" ref="L674">IF(OR(
    AND('BD Asesor'!H674="Mensual", MATCH($B$2, {"Enero", "Febrero", "Marzo", "Abril", "Mayo", "Junio", "Julio", "Agosto", "Septiembre", "Octubre", "Noviembre", "Diciembre"}, 0)&gt;=1),
    AND('BD Asesor'!H674="Trimestral", MOD(MATCH($B$2, {"Enero", "Febrero", "Marzo", "Abril", "Mayo", "Junio", "Julio", "Agosto", "Septiembre", "Octubre", "Noviembre"}, 0)-MONTH('BD Asesor'!D674), 3)=0),
    AND('BD Asesor'!H674="Semestral", MOD(MATCH($B$2, {"Enero", "Febrero", "Marzo", "Abril", "Mayo", "Junio", "Julio", "Agosto", "Septiembre", "Octubre", "Noviembre"}, 0)-MONTH('BD Asesor'!D674), 6)=0),
    AND('BD Asesor'!H674="Anual", MONTH('BD Asesor'!D674)=MATCH($B$2, {"Enero", "Febrero", "Marzo", "Abril", "Mayo", "Junio", "Julio", "Agosto", "Septiembre", "Octubre", "Noviembre"}, 0))
), 'BD Asesor'!L674, "")
</f>
        <v/>
      </c>
    </row>
    <row r="675">
      <c r="C675" s="84" t="str">
        <f t="array" ref="C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Asesor'!A675, "")
</f>
        <v/>
      </c>
      <c r="D675" s="84" t="str">
        <f t="array" ref="D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Asesor'!B675, "")
</f>
        <v/>
      </c>
      <c r="E675" s="212" t="str">
        <f t="array" ref="E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Asesor'!C675, "")
</f>
        <v/>
      </c>
      <c r="F675" s="212" t="str">
        <f t="array" ref="F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Asesor'!D675, "")
</f>
        <v/>
      </c>
      <c r="G675" s="212" t="str">
        <f t="array" ref="G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Asesor'!E675, "")
</f>
        <v/>
      </c>
      <c r="H675" s="84" t="str">
        <f t="array" ref="H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Asesor'!F675, "")
</f>
        <v/>
      </c>
      <c r="I675" s="84" t="str">
        <f t="array" ref="I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Asesor'!G675, "")
</f>
        <v/>
      </c>
      <c r="J675" s="84" t="str">
        <f t="array" ref="J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Asesor'!H675, "")
</f>
        <v/>
      </c>
      <c r="K675" s="84" t="str">
        <f t="array" ref="K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Asesor'!K675, "")
</f>
        <v/>
      </c>
      <c r="L675" s="84" t="str">
        <f t="array" ref="L675">IF(OR(
    AND('BD Asesor'!H675="Mensual", MATCH($B$2, {"Enero", "Febrero", "Marzo", "Abril", "Mayo", "Junio", "Julio", "Agosto", "Septiembre", "Octubre", "Noviembre", "Diciembre"}, 0)&gt;=1),
    AND('BD Asesor'!H675="Trimestral", MOD(MATCH($B$2, {"Enero", "Febrero", "Marzo", "Abril", "Mayo", "Junio", "Julio", "Agosto", "Septiembre", "Octubre", "Noviembre"}, 0)-MONTH('BD Asesor'!D675), 3)=0),
    AND('BD Asesor'!H675="Semestral", MOD(MATCH($B$2, {"Enero", "Febrero", "Marzo", "Abril", "Mayo", "Junio", "Julio", "Agosto", "Septiembre", "Octubre", "Noviembre"}, 0)-MONTH('BD Asesor'!D675), 6)=0),
    AND('BD Asesor'!H675="Anual", MONTH('BD Asesor'!D675)=MATCH($B$2, {"Enero", "Febrero", "Marzo", "Abril", "Mayo", "Junio", "Julio", "Agosto", "Septiembre", "Octubre", "Noviembre"}, 0))
), 'BD Asesor'!L675, "")
</f>
        <v/>
      </c>
    </row>
    <row r="676">
      <c r="C676" s="84" t="str">
        <f t="array" ref="C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Asesor'!A676, "")
</f>
        <v/>
      </c>
      <c r="D676" s="84" t="str">
        <f t="array" ref="D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Asesor'!B676, "")
</f>
        <v/>
      </c>
      <c r="E676" s="212" t="str">
        <f t="array" ref="E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Asesor'!C676, "")
</f>
        <v/>
      </c>
      <c r="F676" s="212" t="str">
        <f t="array" ref="F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Asesor'!D676, "")
</f>
        <v/>
      </c>
      <c r="G676" s="212" t="str">
        <f t="array" ref="G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Asesor'!E676, "")
</f>
        <v/>
      </c>
      <c r="H676" s="84" t="str">
        <f t="array" ref="H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Asesor'!F676, "")
</f>
        <v/>
      </c>
      <c r="I676" s="84" t="str">
        <f t="array" ref="I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Asesor'!G676, "")
</f>
        <v/>
      </c>
      <c r="J676" s="84" t="str">
        <f t="array" ref="J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Asesor'!H676, "")
</f>
        <v/>
      </c>
      <c r="K676" s="84" t="str">
        <f t="array" ref="K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Asesor'!K676, "")
</f>
        <v/>
      </c>
      <c r="L676" s="84" t="str">
        <f t="array" ref="L676">IF(OR(
    AND('BD Asesor'!H676="Mensual", MATCH($B$2, {"Enero", "Febrero", "Marzo", "Abril", "Mayo", "Junio", "Julio", "Agosto", "Septiembre", "Octubre", "Noviembre", "Diciembre"}, 0)&gt;=1),
    AND('BD Asesor'!H676="Trimestral", MOD(MATCH($B$2, {"Enero", "Febrero", "Marzo", "Abril", "Mayo", "Junio", "Julio", "Agosto", "Septiembre", "Octubre", "Noviembre"}, 0)-MONTH('BD Asesor'!D676), 3)=0),
    AND('BD Asesor'!H676="Semestral", MOD(MATCH($B$2, {"Enero", "Febrero", "Marzo", "Abril", "Mayo", "Junio", "Julio", "Agosto", "Septiembre", "Octubre", "Noviembre"}, 0)-MONTH('BD Asesor'!D676), 6)=0),
    AND('BD Asesor'!H676="Anual", MONTH('BD Asesor'!D676)=MATCH($B$2, {"Enero", "Febrero", "Marzo", "Abril", "Mayo", "Junio", "Julio", "Agosto", "Septiembre", "Octubre", "Noviembre"}, 0))
), 'BD Asesor'!L676, "")
</f>
        <v/>
      </c>
    </row>
    <row r="677">
      <c r="C677" s="84" t="str">
        <f t="array" ref="C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Asesor'!A677, "")
</f>
        <v/>
      </c>
      <c r="D677" s="84" t="str">
        <f t="array" ref="D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Asesor'!B677, "")
</f>
        <v/>
      </c>
      <c r="E677" s="212" t="str">
        <f t="array" ref="E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Asesor'!C677, "")
</f>
        <v/>
      </c>
      <c r="F677" s="212" t="str">
        <f t="array" ref="F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Asesor'!D677, "")
</f>
        <v/>
      </c>
      <c r="G677" s="212" t="str">
        <f t="array" ref="G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Asesor'!E677, "")
</f>
        <v/>
      </c>
      <c r="H677" s="84" t="str">
        <f t="array" ref="H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Asesor'!F677, "")
</f>
        <v/>
      </c>
      <c r="I677" s="84" t="str">
        <f t="array" ref="I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Asesor'!G677, "")
</f>
        <v/>
      </c>
      <c r="J677" s="84" t="str">
        <f t="array" ref="J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Asesor'!H677, "")
</f>
        <v/>
      </c>
      <c r="K677" s="84" t="str">
        <f t="array" ref="K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Asesor'!K677, "")
</f>
        <v/>
      </c>
      <c r="L677" s="84" t="str">
        <f t="array" ref="L677">IF(OR(
    AND('BD Asesor'!H677="Mensual", MATCH($B$2, {"Enero", "Febrero", "Marzo", "Abril", "Mayo", "Junio", "Julio", "Agosto", "Septiembre", "Octubre", "Noviembre", "Diciembre"}, 0)&gt;=1),
    AND('BD Asesor'!H677="Trimestral", MOD(MATCH($B$2, {"Enero", "Febrero", "Marzo", "Abril", "Mayo", "Junio", "Julio", "Agosto", "Septiembre", "Octubre", "Noviembre"}, 0)-MONTH('BD Asesor'!D677), 3)=0),
    AND('BD Asesor'!H677="Semestral", MOD(MATCH($B$2, {"Enero", "Febrero", "Marzo", "Abril", "Mayo", "Junio", "Julio", "Agosto", "Septiembre", "Octubre", "Noviembre"}, 0)-MONTH('BD Asesor'!D677), 6)=0),
    AND('BD Asesor'!H677="Anual", MONTH('BD Asesor'!D677)=MATCH($B$2, {"Enero", "Febrero", "Marzo", "Abril", "Mayo", "Junio", "Julio", "Agosto", "Septiembre", "Octubre", "Noviembre"}, 0))
), 'BD Asesor'!L677, "")
</f>
        <v/>
      </c>
    </row>
    <row r="678">
      <c r="C678" s="84" t="str">
        <f t="array" ref="C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Asesor'!A678, "")
</f>
        <v/>
      </c>
      <c r="D678" s="84" t="str">
        <f t="array" ref="D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Asesor'!B678, "")
</f>
        <v/>
      </c>
      <c r="E678" s="212" t="str">
        <f t="array" ref="E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Asesor'!C678, "")
</f>
        <v/>
      </c>
      <c r="F678" s="212" t="str">
        <f t="array" ref="F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Asesor'!D678, "")
</f>
        <v/>
      </c>
      <c r="G678" s="212" t="str">
        <f t="array" ref="G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Asesor'!E678, "")
</f>
        <v/>
      </c>
      <c r="H678" s="84" t="str">
        <f t="array" ref="H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Asesor'!F678, "")
</f>
        <v/>
      </c>
      <c r="I678" s="84" t="str">
        <f t="array" ref="I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Asesor'!G678, "")
</f>
        <v/>
      </c>
      <c r="J678" s="84" t="str">
        <f t="array" ref="J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Asesor'!H678, "")
</f>
        <v/>
      </c>
      <c r="K678" s="84" t="str">
        <f t="array" ref="K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Asesor'!K678, "")
</f>
        <v/>
      </c>
      <c r="L678" s="84" t="str">
        <f t="array" ref="L678">IF(OR(
    AND('BD Asesor'!H678="Mensual", MATCH($B$2, {"Enero", "Febrero", "Marzo", "Abril", "Mayo", "Junio", "Julio", "Agosto", "Septiembre", "Octubre", "Noviembre", "Diciembre"}, 0)&gt;=1),
    AND('BD Asesor'!H678="Trimestral", MOD(MATCH($B$2, {"Enero", "Febrero", "Marzo", "Abril", "Mayo", "Junio", "Julio", "Agosto", "Septiembre", "Octubre", "Noviembre"}, 0)-MONTH('BD Asesor'!D678), 3)=0),
    AND('BD Asesor'!H678="Semestral", MOD(MATCH($B$2, {"Enero", "Febrero", "Marzo", "Abril", "Mayo", "Junio", "Julio", "Agosto", "Septiembre", "Octubre", "Noviembre"}, 0)-MONTH('BD Asesor'!D678), 6)=0),
    AND('BD Asesor'!H678="Anual", MONTH('BD Asesor'!D678)=MATCH($B$2, {"Enero", "Febrero", "Marzo", "Abril", "Mayo", "Junio", "Julio", "Agosto", "Septiembre", "Octubre", "Noviembre"}, 0))
), 'BD Asesor'!L678, "")
</f>
        <v/>
      </c>
    </row>
    <row r="679">
      <c r="C679" s="84" t="str">
        <f t="array" ref="C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Asesor'!A679, "")
</f>
        <v/>
      </c>
      <c r="D679" s="84" t="str">
        <f t="array" ref="D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Asesor'!B679, "")
</f>
        <v/>
      </c>
      <c r="E679" s="212" t="str">
        <f t="array" ref="E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Asesor'!C679, "")
</f>
        <v/>
      </c>
      <c r="F679" s="212" t="str">
        <f t="array" ref="F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Asesor'!D679, "")
</f>
        <v/>
      </c>
      <c r="G679" s="212" t="str">
        <f t="array" ref="G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Asesor'!E679, "")
</f>
        <v/>
      </c>
      <c r="H679" s="84" t="str">
        <f t="array" ref="H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Asesor'!F679, "")
</f>
        <v/>
      </c>
      <c r="I679" s="84" t="str">
        <f t="array" ref="I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Asesor'!G679, "")
</f>
        <v/>
      </c>
      <c r="J679" s="84" t="str">
        <f t="array" ref="J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Asesor'!H679, "")
</f>
        <v/>
      </c>
      <c r="K679" s="84" t="str">
        <f t="array" ref="K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Asesor'!K679, "")
</f>
        <v/>
      </c>
      <c r="L679" s="84" t="str">
        <f t="array" ref="L679">IF(OR(
    AND('BD Asesor'!H679="Mensual", MATCH($B$2, {"Enero", "Febrero", "Marzo", "Abril", "Mayo", "Junio", "Julio", "Agosto", "Septiembre", "Octubre", "Noviembre", "Diciembre"}, 0)&gt;=1),
    AND('BD Asesor'!H679="Trimestral", MOD(MATCH($B$2, {"Enero", "Febrero", "Marzo", "Abril", "Mayo", "Junio", "Julio", "Agosto", "Septiembre", "Octubre", "Noviembre"}, 0)-MONTH('BD Asesor'!D679), 3)=0),
    AND('BD Asesor'!H679="Semestral", MOD(MATCH($B$2, {"Enero", "Febrero", "Marzo", "Abril", "Mayo", "Junio", "Julio", "Agosto", "Septiembre", "Octubre", "Noviembre"}, 0)-MONTH('BD Asesor'!D679), 6)=0),
    AND('BD Asesor'!H679="Anual", MONTH('BD Asesor'!D679)=MATCH($B$2, {"Enero", "Febrero", "Marzo", "Abril", "Mayo", "Junio", "Julio", "Agosto", "Septiembre", "Octubre", "Noviembre"}, 0))
), 'BD Asesor'!L679, "")
</f>
        <v/>
      </c>
    </row>
    <row r="680">
      <c r="C680" s="84" t="str">
        <f t="array" ref="C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Asesor'!A680, "")
</f>
        <v/>
      </c>
      <c r="D680" s="84" t="str">
        <f t="array" ref="D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Asesor'!B680, "")
</f>
        <v/>
      </c>
      <c r="E680" s="212" t="str">
        <f t="array" ref="E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Asesor'!C680, "")
</f>
        <v/>
      </c>
      <c r="F680" s="212" t="str">
        <f t="array" ref="F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Asesor'!D680, "")
</f>
        <v/>
      </c>
      <c r="G680" s="212" t="str">
        <f t="array" ref="G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Asesor'!E680, "")
</f>
        <v/>
      </c>
      <c r="H680" s="84" t="str">
        <f t="array" ref="H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Asesor'!F680, "")
</f>
        <v/>
      </c>
      <c r="I680" s="84" t="str">
        <f t="array" ref="I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Asesor'!G680, "")
</f>
        <v/>
      </c>
      <c r="J680" s="84" t="str">
        <f t="array" ref="J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Asesor'!H680, "")
</f>
        <v/>
      </c>
      <c r="K680" s="84" t="str">
        <f t="array" ref="K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Asesor'!K680, "")
</f>
        <v/>
      </c>
      <c r="L680" s="84" t="str">
        <f t="array" ref="L680">IF(OR(
    AND('BD Asesor'!H680="Mensual", MATCH($B$2, {"Enero", "Febrero", "Marzo", "Abril", "Mayo", "Junio", "Julio", "Agosto", "Septiembre", "Octubre", "Noviembre", "Diciembre"}, 0)&gt;=1),
    AND('BD Asesor'!H680="Trimestral", MOD(MATCH($B$2, {"Enero", "Febrero", "Marzo", "Abril", "Mayo", "Junio", "Julio", "Agosto", "Septiembre", "Octubre", "Noviembre"}, 0)-MONTH('BD Asesor'!D680), 3)=0),
    AND('BD Asesor'!H680="Semestral", MOD(MATCH($B$2, {"Enero", "Febrero", "Marzo", "Abril", "Mayo", "Junio", "Julio", "Agosto", "Septiembre", "Octubre", "Noviembre"}, 0)-MONTH('BD Asesor'!D680), 6)=0),
    AND('BD Asesor'!H680="Anual", MONTH('BD Asesor'!D680)=MATCH($B$2, {"Enero", "Febrero", "Marzo", "Abril", "Mayo", "Junio", "Julio", "Agosto", "Septiembre", "Octubre", "Noviembre"}, 0))
), 'BD Asesor'!L680, "")
</f>
        <v/>
      </c>
    </row>
    <row r="681">
      <c r="C681" s="84" t="str">
        <f t="array" ref="C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Asesor'!A681, "")
</f>
        <v/>
      </c>
      <c r="D681" s="84" t="str">
        <f t="array" ref="D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Asesor'!B681, "")
</f>
        <v/>
      </c>
      <c r="E681" s="212" t="str">
        <f t="array" ref="E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Asesor'!C681, "")
</f>
        <v/>
      </c>
      <c r="F681" s="212" t="str">
        <f t="array" ref="F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Asesor'!D681, "")
</f>
        <v/>
      </c>
      <c r="G681" s="212" t="str">
        <f t="array" ref="G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Asesor'!E681, "")
</f>
        <v/>
      </c>
      <c r="H681" s="84" t="str">
        <f t="array" ref="H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Asesor'!F681, "")
</f>
        <v/>
      </c>
      <c r="I681" s="84" t="str">
        <f t="array" ref="I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Asesor'!G681, "")
</f>
        <v/>
      </c>
      <c r="J681" s="84" t="str">
        <f t="array" ref="J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Asesor'!H681, "")
</f>
        <v/>
      </c>
      <c r="K681" s="84" t="str">
        <f t="array" ref="K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Asesor'!K681, "")
</f>
        <v/>
      </c>
      <c r="L681" s="84" t="str">
        <f t="array" ref="L681">IF(OR(
    AND('BD Asesor'!H681="Mensual", MATCH($B$2, {"Enero", "Febrero", "Marzo", "Abril", "Mayo", "Junio", "Julio", "Agosto", "Septiembre", "Octubre", "Noviembre", "Diciembre"}, 0)&gt;=1),
    AND('BD Asesor'!H681="Trimestral", MOD(MATCH($B$2, {"Enero", "Febrero", "Marzo", "Abril", "Mayo", "Junio", "Julio", "Agosto", "Septiembre", "Octubre", "Noviembre"}, 0)-MONTH('BD Asesor'!D681), 3)=0),
    AND('BD Asesor'!H681="Semestral", MOD(MATCH($B$2, {"Enero", "Febrero", "Marzo", "Abril", "Mayo", "Junio", "Julio", "Agosto", "Septiembre", "Octubre", "Noviembre"}, 0)-MONTH('BD Asesor'!D681), 6)=0),
    AND('BD Asesor'!H681="Anual", MONTH('BD Asesor'!D681)=MATCH($B$2, {"Enero", "Febrero", "Marzo", "Abril", "Mayo", "Junio", "Julio", "Agosto", "Septiembre", "Octubre", "Noviembre"}, 0))
), 'BD Asesor'!L681, "")
</f>
        <v/>
      </c>
    </row>
    <row r="682">
      <c r="C682" s="84" t="str">
        <f t="array" ref="C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Asesor'!A682, "")
</f>
        <v/>
      </c>
      <c r="D682" s="84" t="str">
        <f t="array" ref="D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Asesor'!B682, "")
</f>
        <v/>
      </c>
      <c r="E682" s="212" t="str">
        <f t="array" ref="E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Asesor'!C682, "")
</f>
        <v/>
      </c>
      <c r="F682" s="212" t="str">
        <f t="array" ref="F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Asesor'!D682, "")
</f>
        <v/>
      </c>
      <c r="G682" s="212" t="str">
        <f t="array" ref="G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Asesor'!E682, "")
</f>
        <v/>
      </c>
      <c r="H682" s="84" t="str">
        <f t="array" ref="H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Asesor'!F682, "")
</f>
        <v/>
      </c>
      <c r="I682" s="84" t="str">
        <f t="array" ref="I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Asesor'!G682, "")
</f>
        <v/>
      </c>
      <c r="J682" s="84" t="str">
        <f t="array" ref="J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Asesor'!H682, "")
</f>
        <v/>
      </c>
      <c r="K682" s="84" t="str">
        <f t="array" ref="K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Asesor'!K682, "")
</f>
        <v/>
      </c>
      <c r="L682" s="84" t="str">
        <f t="array" ref="L682">IF(OR(
    AND('BD Asesor'!H682="Mensual", MATCH($B$2, {"Enero", "Febrero", "Marzo", "Abril", "Mayo", "Junio", "Julio", "Agosto", "Septiembre", "Octubre", "Noviembre", "Diciembre"}, 0)&gt;=1),
    AND('BD Asesor'!H682="Trimestral", MOD(MATCH($B$2, {"Enero", "Febrero", "Marzo", "Abril", "Mayo", "Junio", "Julio", "Agosto", "Septiembre", "Octubre", "Noviembre"}, 0)-MONTH('BD Asesor'!D682), 3)=0),
    AND('BD Asesor'!H682="Semestral", MOD(MATCH($B$2, {"Enero", "Febrero", "Marzo", "Abril", "Mayo", "Junio", "Julio", "Agosto", "Septiembre", "Octubre", "Noviembre"}, 0)-MONTH('BD Asesor'!D682), 6)=0),
    AND('BD Asesor'!H682="Anual", MONTH('BD Asesor'!D682)=MATCH($B$2, {"Enero", "Febrero", "Marzo", "Abril", "Mayo", "Junio", "Julio", "Agosto", "Septiembre", "Octubre", "Noviembre"}, 0))
), 'BD Asesor'!L682, "")
</f>
        <v/>
      </c>
    </row>
    <row r="683">
      <c r="C683" s="84" t="str">
        <f t="array" ref="C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Asesor'!A683, "")
</f>
        <v/>
      </c>
      <c r="D683" s="84" t="str">
        <f t="array" ref="D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Asesor'!B683, "")
</f>
        <v/>
      </c>
      <c r="E683" s="212" t="str">
        <f t="array" ref="E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Asesor'!C683, "")
</f>
        <v/>
      </c>
      <c r="F683" s="212" t="str">
        <f t="array" ref="F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Asesor'!D683, "")
</f>
        <v/>
      </c>
      <c r="G683" s="212" t="str">
        <f t="array" ref="G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Asesor'!E683, "")
</f>
        <v/>
      </c>
      <c r="H683" s="84" t="str">
        <f t="array" ref="H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Asesor'!F683, "")
</f>
        <v/>
      </c>
      <c r="I683" s="84" t="str">
        <f t="array" ref="I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Asesor'!G683, "")
</f>
        <v/>
      </c>
      <c r="J683" s="84" t="str">
        <f t="array" ref="J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Asesor'!H683, "")
</f>
        <v/>
      </c>
      <c r="K683" s="84" t="str">
        <f t="array" ref="K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Asesor'!K683, "")
</f>
        <v/>
      </c>
      <c r="L683" s="84" t="str">
        <f t="array" ref="L683">IF(OR(
    AND('BD Asesor'!H683="Mensual", MATCH($B$2, {"Enero", "Febrero", "Marzo", "Abril", "Mayo", "Junio", "Julio", "Agosto", "Septiembre", "Octubre", "Noviembre", "Diciembre"}, 0)&gt;=1),
    AND('BD Asesor'!H683="Trimestral", MOD(MATCH($B$2, {"Enero", "Febrero", "Marzo", "Abril", "Mayo", "Junio", "Julio", "Agosto", "Septiembre", "Octubre", "Noviembre"}, 0)-MONTH('BD Asesor'!D683), 3)=0),
    AND('BD Asesor'!H683="Semestral", MOD(MATCH($B$2, {"Enero", "Febrero", "Marzo", "Abril", "Mayo", "Junio", "Julio", "Agosto", "Septiembre", "Octubre", "Noviembre"}, 0)-MONTH('BD Asesor'!D683), 6)=0),
    AND('BD Asesor'!H683="Anual", MONTH('BD Asesor'!D683)=MATCH($B$2, {"Enero", "Febrero", "Marzo", "Abril", "Mayo", "Junio", "Julio", "Agosto", "Septiembre", "Octubre", "Noviembre"}, 0))
), 'BD Asesor'!L683, "")
</f>
        <v/>
      </c>
    </row>
    <row r="684">
      <c r="C684" s="84" t="str">
        <f t="array" ref="C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Asesor'!A684, "")
</f>
        <v/>
      </c>
      <c r="D684" s="84" t="str">
        <f t="array" ref="D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Asesor'!B684, "")
</f>
        <v/>
      </c>
      <c r="E684" s="212" t="str">
        <f t="array" ref="E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Asesor'!C684, "")
</f>
        <v/>
      </c>
      <c r="F684" s="212" t="str">
        <f t="array" ref="F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Asesor'!D684, "")
</f>
        <v/>
      </c>
      <c r="G684" s="212" t="str">
        <f t="array" ref="G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Asesor'!E684, "")
</f>
        <v/>
      </c>
      <c r="H684" s="84" t="str">
        <f t="array" ref="H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Asesor'!F684, "")
</f>
        <v/>
      </c>
      <c r="I684" s="84" t="str">
        <f t="array" ref="I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Asesor'!G684, "")
</f>
        <v/>
      </c>
      <c r="J684" s="84" t="str">
        <f t="array" ref="J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Asesor'!H684, "")
</f>
        <v/>
      </c>
      <c r="K684" s="84" t="str">
        <f t="array" ref="K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Asesor'!K684, "")
</f>
        <v/>
      </c>
      <c r="L684" s="84" t="str">
        <f t="array" ref="L684">IF(OR(
    AND('BD Asesor'!H684="Mensual", MATCH($B$2, {"Enero", "Febrero", "Marzo", "Abril", "Mayo", "Junio", "Julio", "Agosto", "Septiembre", "Octubre", "Noviembre", "Diciembre"}, 0)&gt;=1),
    AND('BD Asesor'!H684="Trimestral", MOD(MATCH($B$2, {"Enero", "Febrero", "Marzo", "Abril", "Mayo", "Junio", "Julio", "Agosto", "Septiembre", "Octubre", "Noviembre"}, 0)-MONTH('BD Asesor'!D684), 3)=0),
    AND('BD Asesor'!H684="Semestral", MOD(MATCH($B$2, {"Enero", "Febrero", "Marzo", "Abril", "Mayo", "Junio", "Julio", "Agosto", "Septiembre", "Octubre", "Noviembre"}, 0)-MONTH('BD Asesor'!D684), 6)=0),
    AND('BD Asesor'!H684="Anual", MONTH('BD Asesor'!D684)=MATCH($B$2, {"Enero", "Febrero", "Marzo", "Abril", "Mayo", "Junio", "Julio", "Agosto", "Septiembre", "Octubre", "Noviembre"}, 0))
), 'BD Asesor'!L684, "")
</f>
        <v/>
      </c>
    </row>
    <row r="685">
      <c r="C685" s="84" t="str">
        <f t="array" ref="C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Asesor'!A685, "")
</f>
        <v/>
      </c>
      <c r="D685" s="84" t="str">
        <f t="array" ref="D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Asesor'!B685, "")
</f>
        <v/>
      </c>
      <c r="E685" s="212" t="str">
        <f t="array" ref="E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Asesor'!C685, "")
</f>
        <v/>
      </c>
      <c r="F685" s="212" t="str">
        <f t="array" ref="F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Asesor'!D685, "")
</f>
        <v/>
      </c>
      <c r="G685" s="212" t="str">
        <f t="array" ref="G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Asesor'!E685, "")
</f>
        <v/>
      </c>
      <c r="H685" s="84" t="str">
        <f t="array" ref="H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Asesor'!F685, "")
</f>
        <v/>
      </c>
      <c r="I685" s="84" t="str">
        <f t="array" ref="I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Asesor'!G685, "")
</f>
        <v/>
      </c>
      <c r="J685" s="84" t="str">
        <f t="array" ref="J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Asesor'!H685, "")
</f>
        <v/>
      </c>
      <c r="K685" s="84" t="str">
        <f t="array" ref="K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Asesor'!K685, "")
</f>
        <v/>
      </c>
      <c r="L685" s="84" t="str">
        <f t="array" ref="L685">IF(OR(
    AND('BD Asesor'!H685="Mensual", MATCH($B$2, {"Enero", "Febrero", "Marzo", "Abril", "Mayo", "Junio", "Julio", "Agosto", "Septiembre", "Octubre", "Noviembre", "Diciembre"}, 0)&gt;=1),
    AND('BD Asesor'!H685="Trimestral", MOD(MATCH($B$2, {"Enero", "Febrero", "Marzo", "Abril", "Mayo", "Junio", "Julio", "Agosto", "Septiembre", "Octubre", "Noviembre"}, 0)-MONTH('BD Asesor'!D685), 3)=0),
    AND('BD Asesor'!H685="Semestral", MOD(MATCH($B$2, {"Enero", "Febrero", "Marzo", "Abril", "Mayo", "Junio", "Julio", "Agosto", "Septiembre", "Octubre", "Noviembre"}, 0)-MONTH('BD Asesor'!D685), 6)=0),
    AND('BD Asesor'!H685="Anual", MONTH('BD Asesor'!D685)=MATCH($B$2, {"Enero", "Febrero", "Marzo", "Abril", "Mayo", "Junio", "Julio", "Agosto", "Septiembre", "Octubre", "Noviembre"}, 0))
), 'BD Asesor'!L685, "")
</f>
        <v/>
      </c>
    </row>
    <row r="686">
      <c r="C686" s="84" t="str">
        <f t="array" ref="C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Asesor'!A686, "")
</f>
        <v/>
      </c>
      <c r="D686" s="84" t="str">
        <f t="array" ref="D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Asesor'!B686, "")
</f>
        <v/>
      </c>
      <c r="E686" s="212" t="str">
        <f t="array" ref="E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Asesor'!C686, "")
</f>
        <v/>
      </c>
      <c r="F686" s="212" t="str">
        <f t="array" ref="F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Asesor'!D686, "")
</f>
        <v/>
      </c>
      <c r="G686" s="212" t="str">
        <f t="array" ref="G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Asesor'!E686, "")
</f>
        <v/>
      </c>
      <c r="H686" s="84" t="str">
        <f t="array" ref="H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Asesor'!F686, "")
</f>
        <v/>
      </c>
      <c r="I686" s="84" t="str">
        <f t="array" ref="I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Asesor'!G686, "")
</f>
        <v/>
      </c>
      <c r="J686" s="84" t="str">
        <f t="array" ref="J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Asesor'!H686, "")
</f>
        <v/>
      </c>
      <c r="K686" s="84" t="str">
        <f t="array" ref="K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Asesor'!K686, "")
</f>
        <v/>
      </c>
      <c r="L686" s="84" t="str">
        <f t="array" ref="L686">IF(OR(
    AND('BD Asesor'!H686="Mensual", MATCH($B$2, {"Enero", "Febrero", "Marzo", "Abril", "Mayo", "Junio", "Julio", "Agosto", "Septiembre", "Octubre", "Noviembre", "Diciembre"}, 0)&gt;=1),
    AND('BD Asesor'!H686="Trimestral", MOD(MATCH($B$2, {"Enero", "Febrero", "Marzo", "Abril", "Mayo", "Junio", "Julio", "Agosto", "Septiembre", "Octubre", "Noviembre"}, 0)-MONTH('BD Asesor'!D686), 3)=0),
    AND('BD Asesor'!H686="Semestral", MOD(MATCH($B$2, {"Enero", "Febrero", "Marzo", "Abril", "Mayo", "Junio", "Julio", "Agosto", "Septiembre", "Octubre", "Noviembre"}, 0)-MONTH('BD Asesor'!D686), 6)=0),
    AND('BD Asesor'!H686="Anual", MONTH('BD Asesor'!D686)=MATCH($B$2, {"Enero", "Febrero", "Marzo", "Abril", "Mayo", "Junio", "Julio", "Agosto", "Septiembre", "Octubre", "Noviembre"}, 0))
), 'BD Asesor'!L686, "")
</f>
        <v/>
      </c>
    </row>
    <row r="687">
      <c r="C687" s="84" t="str">
        <f t="array" ref="C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Asesor'!A687, "")
</f>
        <v/>
      </c>
      <c r="D687" s="84" t="str">
        <f t="array" ref="D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Asesor'!B687, "")
</f>
        <v/>
      </c>
      <c r="E687" s="212" t="str">
        <f t="array" ref="E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Asesor'!C687, "")
</f>
        <v/>
      </c>
      <c r="F687" s="212" t="str">
        <f t="array" ref="F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Asesor'!D687, "")
</f>
        <v/>
      </c>
      <c r="G687" s="212" t="str">
        <f t="array" ref="G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Asesor'!E687, "")
</f>
        <v/>
      </c>
      <c r="H687" s="84" t="str">
        <f t="array" ref="H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Asesor'!F687, "")
</f>
        <v/>
      </c>
      <c r="I687" s="84" t="str">
        <f t="array" ref="I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Asesor'!G687, "")
</f>
        <v/>
      </c>
      <c r="J687" s="84" t="str">
        <f t="array" ref="J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Asesor'!H687, "")
</f>
        <v/>
      </c>
      <c r="K687" s="84" t="str">
        <f t="array" ref="K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Asesor'!K687, "")
</f>
        <v/>
      </c>
      <c r="L687" s="84" t="str">
        <f t="array" ref="L687">IF(OR(
    AND('BD Asesor'!H687="Mensual", MATCH($B$2, {"Enero", "Febrero", "Marzo", "Abril", "Mayo", "Junio", "Julio", "Agosto", "Septiembre", "Octubre", "Noviembre", "Diciembre"}, 0)&gt;=1),
    AND('BD Asesor'!H687="Trimestral", MOD(MATCH($B$2, {"Enero", "Febrero", "Marzo", "Abril", "Mayo", "Junio", "Julio", "Agosto", "Septiembre", "Octubre", "Noviembre"}, 0)-MONTH('BD Asesor'!D687), 3)=0),
    AND('BD Asesor'!H687="Semestral", MOD(MATCH($B$2, {"Enero", "Febrero", "Marzo", "Abril", "Mayo", "Junio", "Julio", "Agosto", "Septiembre", "Octubre", "Noviembre"}, 0)-MONTH('BD Asesor'!D687), 6)=0),
    AND('BD Asesor'!H687="Anual", MONTH('BD Asesor'!D687)=MATCH($B$2, {"Enero", "Febrero", "Marzo", "Abril", "Mayo", "Junio", "Julio", "Agosto", "Septiembre", "Octubre", "Noviembre"}, 0))
), 'BD Asesor'!L687, "")
</f>
        <v/>
      </c>
    </row>
    <row r="688">
      <c r="C688" s="84" t="str">
        <f t="array" ref="C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Asesor'!A688, "")
</f>
        <v/>
      </c>
      <c r="D688" s="84" t="str">
        <f t="array" ref="D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Asesor'!B688, "")
</f>
        <v/>
      </c>
      <c r="E688" s="212" t="str">
        <f t="array" ref="E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Asesor'!C688, "")
</f>
        <v/>
      </c>
      <c r="F688" s="212" t="str">
        <f t="array" ref="F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Asesor'!D688, "")
</f>
        <v/>
      </c>
      <c r="G688" s="212" t="str">
        <f t="array" ref="G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Asesor'!E688, "")
</f>
        <v/>
      </c>
      <c r="H688" s="84" t="str">
        <f t="array" ref="H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Asesor'!F688, "")
</f>
        <v/>
      </c>
      <c r="I688" s="84" t="str">
        <f t="array" ref="I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Asesor'!G688, "")
</f>
        <v/>
      </c>
      <c r="J688" s="84" t="str">
        <f t="array" ref="J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Asesor'!H688, "")
</f>
        <v/>
      </c>
      <c r="K688" s="84" t="str">
        <f t="array" ref="K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Asesor'!K688, "")
</f>
        <v/>
      </c>
      <c r="L688" s="84" t="str">
        <f t="array" ref="L688">IF(OR(
    AND('BD Asesor'!H688="Mensual", MATCH($B$2, {"Enero", "Febrero", "Marzo", "Abril", "Mayo", "Junio", "Julio", "Agosto", "Septiembre", "Octubre", "Noviembre", "Diciembre"}, 0)&gt;=1),
    AND('BD Asesor'!H688="Trimestral", MOD(MATCH($B$2, {"Enero", "Febrero", "Marzo", "Abril", "Mayo", "Junio", "Julio", "Agosto", "Septiembre", "Octubre", "Noviembre"}, 0)-MONTH('BD Asesor'!D688), 3)=0),
    AND('BD Asesor'!H688="Semestral", MOD(MATCH($B$2, {"Enero", "Febrero", "Marzo", "Abril", "Mayo", "Junio", "Julio", "Agosto", "Septiembre", "Octubre", "Noviembre"}, 0)-MONTH('BD Asesor'!D688), 6)=0),
    AND('BD Asesor'!H688="Anual", MONTH('BD Asesor'!D688)=MATCH($B$2, {"Enero", "Febrero", "Marzo", "Abril", "Mayo", "Junio", "Julio", "Agosto", "Septiembre", "Octubre", "Noviembre"}, 0))
), 'BD Asesor'!L688, "")
</f>
        <v/>
      </c>
    </row>
    <row r="689">
      <c r="C689" s="84" t="str">
        <f t="array" ref="C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Asesor'!A689, "")
</f>
        <v/>
      </c>
      <c r="D689" s="84" t="str">
        <f t="array" ref="D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Asesor'!B689, "")
</f>
        <v/>
      </c>
      <c r="E689" s="212" t="str">
        <f t="array" ref="E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Asesor'!C689, "")
</f>
        <v/>
      </c>
      <c r="F689" s="212" t="str">
        <f t="array" ref="F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Asesor'!D689, "")
</f>
        <v/>
      </c>
      <c r="G689" s="212" t="str">
        <f t="array" ref="G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Asesor'!E689, "")
</f>
        <v/>
      </c>
      <c r="H689" s="84" t="str">
        <f t="array" ref="H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Asesor'!F689, "")
</f>
        <v/>
      </c>
      <c r="I689" s="84" t="str">
        <f t="array" ref="I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Asesor'!G689, "")
</f>
        <v/>
      </c>
      <c r="J689" s="84" t="str">
        <f t="array" ref="J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Asesor'!H689, "")
</f>
        <v/>
      </c>
      <c r="K689" s="84" t="str">
        <f t="array" ref="K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Asesor'!K689, "")
</f>
        <v/>
      </c>
      <c r="L689" s="84" t="str">
        <f t="array" ref="L689">IF(OR(
    AND('BD Asesor'!H689="Mensual", MATCH($B$2, {"Enero", "Febrero", "Marzo", "Abril", "Mayo", "Junio", "Julio", "Agosto", "Septiembre", "Octubre", "Noviembre", "Diciembre"}, 0)&gt;=1),
    AND('BD Asesor'!H689="Trimestral", MOD(MATCH($B$2, {"Enero", "Febrero", "Marzo", "Abril", "Mayo", "Junio", "Julio", "Agosto", "Septiembre", "Octubre", "Noviembre"}, 0)-MONTH('BD Asesor'!D689), 3)=0),
    AND('BD Asesor'!H689="Semestral", MOD(MATCH($B$2, {"Enero", "Febrero", "Marzo", "Abril", "Mayo", "Junio", "Julio", "Agosto", "Septiembre", "Octubre", "Noviembre"}, 0)-MONTH('BD Asesor'!D689), 6)=0),
    AND('BD Asesor'!H689="Anual", MONTH('BD Asesor'!D689)=MATCH($B$2, {"Enero", "Febrero", "Marzo", "Abril", "Mayo", "Junio", "Julio", "Agosto", "Septiembre", "Octubre", "Noviembre"}, 0))
), 'BD Asesor'!L689, "")
</f>
        <v/>
      </c>
    </row>
    <row r="690">
      <c r="C690" s="84" t="str">
        <f t="array" ref="C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Asesor'!A690, "")
</f>
        <v/>
      </c>
      <c r="D690" s="84" t="str">
        <f t="array" ref="D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Asesor'!B690, "")
</f>
        <v/>
      </c>
      <c r="E690" s="212" t="str">
        <f t="array" ref="E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Asesor'!C690, "")
</f>
        <v/>
      </c>
      <c r="F690" s="212" t="str">
        <f t="array" ref="F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Asesor'!D690, "")
</f>
        <v/>
      </c>
      <c r="G690" s="212" t="str">
        <f t="array" ref="G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Asesor'!E690, "")
</f>
        <v/>
      </c>
      <c r="H690" s="84" t="str">
        <f t="array" ref="H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Asesor'!F690, "")
</f>
        <v/>
      </c>
      <c r="I690" s="84" t="str">
        <f t="array" ref="I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Asesor'!G690, "")
</f>
        <v/>
      </c>
      <c r="J690" s="84" t="str">
        <f t="array" ref="J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Asesor'!H690, "")
</f>
        <v/>
      </c>
      <c r="K690" s="84" t="str">
        <f t="array" ref="K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Asesor'!K690, "")
</f>
        <v/>
      </c>
      <c r="L690" s="84" t="str">
        <f t="array" ref="L690">IF(OR(
    AND('BD Asesor'!H690="Mensual", MATCH($B$2, {"Enero", "Febrero", "Marzo", "Abril", "Mayo", "Junio", "Julio", "Agosto", "Septiembre", "Octubre", "Noviembre", "Diciembre"}, 0)&gt;=1),
    AND('BD Asesor'!H690="Trimestral", MOD(MATCH($B$2, {"Enero", "Febrero", "Marzo", "Abril", "Mayo", "Junio", "Julio", "Agosto", "Septiembre", "Octubre", "Noviembre"}, 0)-MONTH('BD Asesor'!D690), 3)=0),
    AND('BD Asesor'!H690="Semestral", MOD(MATCH($B$2, {"Enero", "Febrero", "Marzo", "Abril", "Mayo", "Junio", "Julio", "Agosto", "Septiembre", "Octubre", "Noviembre"}, 0)-MONTH('BD Asesor'!D690), 6)=0),
    AND('BD Asesor'!H690="Anual", MONTH('BD Asesor'!D690)=MATCH($B$2, {"Enero", "Febrero", "Marzo", "Abril", "Mayo", "Junio", "Julio", "Agosto", "Septiembre", "Octubre", "Noviembre"}, 0))
), 'BD Asesor'!L690, "")
</f>
        <v/>
      </c>
    </row>
    <row r="691">
      <c r="C691" s="84" t="str">
        <f t="array" ref="C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Asesor'!A691, "")
</f>
        <v/>
      </c>
      <c r="D691" s="84" t="str">
        <f t="array" ref="D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Asesor'!B691, "")
</f>
        <v/>
      </c>
      <c r="E691" s="212" t="str">
        <f t="array" ref="E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Asesor'!C691, "")
</f>
        <v/>
      </c>
      <c r="F691" s="212" t="str">
        <f t="array" ref="F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Asesor'!D691, "")
</f>
        <v/>
      </c>
      <c r="G691" s="212" t="str">
        <f t="array" ref="G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Asesor'!E691, "")
</f>
        <v/>
      </c>
      <c r="H691" s="84" t="str">
        <f t="array" ref="H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Asesor'!F691, "")
</f>
        <v/>
      </c>
      <c r="I691" s="84" t="str">
        <f t="array" ref="I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Asesor'!G691, "")
</f>
        <v/>
      </c>
      <c r="J691" s="84" t="str">
        <f t="array" ref="J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Asesor'!H691, "")
</f>
        <v/>
      </c>
      <c r="K691" s="84" t="str">
        <f t="array" ref="K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Asesor'!K691, "")
</f>
        <v/>
      </c>
      <c r="L691" s="84" t="str">
        <f t="array" ref="L691">IF(OR(
    AND('BD Asesor'!H691="Mensual", MATCH($B$2, {"Enero", "Febrero", "Marzo", "Abril", "Mayo", "Junio", "Julio", "Agosto", "Septiembre", "Octubre", "Noviembre", "Diciembre"}, 0)&gt;=1),
    AND('BD Asesor'!H691="Trimestral", MOD(MATCH($B$2, {"Enero", "Febrero", "Marzo", "Abril", "Mayo", "Junio", "Julio", "Agosto", "Septiembre", "Octubre", "Noviembre"}, 0)-MONTH('BD Asesor'!D691), 3)=0),
    AND('BD Asesor'!H691="Semestral", MOD(MATCH($B$2, {"Enero", "Febrero", "Marzo", "Abril", "Mayo", "Junio", "Julio", "Agosto", "Septiembre", "Octubre", "Noviembre"}, 0)-MONTH('BD Asesor'!D691), 6)=0),
    AND('BD Asesor'!H691="Anual", MONTH('BD Asesor'!D691)=MATCH($B$2, {"Enero", "Febrero", "Marzo", "Abril", "Mayo", "Junio", "Julio", "Agosto", "Septiembre", "Octubre", "Noviembre"}, 0))
), 'BD Asesor'!L691, "")
</f>
        <v/>
      </c>
    </row>
    <row r="692">
      <c r="C692" s="84" t="str">
        <f t="array" ref="C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Asesor'!A692, "")
</f>
        <v/>
      </c>
      <c r="D692" s="84" t="str">
        <f t="array" ref="D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Asesor'!B692, "")
</f>
        <v/>
      </c>
      <c r="E692" s="212" t="str">
        <f t="array" ref="E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Asesor'!C692, "")
</f>
        <v/>
      </c>
      <c r="F692" s="212" t="str">
        <f t="array" ref="F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Asesor'!D692, "")
</f>
        <v/>
      </c>
      <c r="G692" s="212" t="str">
        <f t="array" ref="G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Asesor'!E692, "")
</f>
        <v/>
      </c>
      <c r="H692" s="84" t="str">
        <f t="array" ref="H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Asesor'!F692, "")
</f>
        <v/>
      </c>
      <c r="I692" s="84" t="str">
        <f t="array" ref="I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Asesor'!G692, "")
</f>
        <v/>
      </c>
      <c r="J692" s="84" t="str">
        <f t="array" ref="J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Asesor'!H692, "")
</f>
        <v/>
      </c>
      <c r="K692" s="84" t="str">
        <f t="array" ref="K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Asesor'!K692, "")
</f>
        <v/>
      </c>
      <c r="L692" s="84" t="str">
        <f t="array" ref="L692">IF(OR(
    AND('BD Asesor'!H692="Mensual", MATCH($B$2, {"Enero", "Febrero", "Marzo", "Abril", "Mayo", "Junio", "Julio", "Agosto", "Septiembre", "Octubre", "Noviembre", "Diciembre"}, 0)&gt;=1),
    AND('BD Asesor'!H692="Trimestral", MOD(MATCH($B$2, {"Enero", "Febrero", "Marzo", "Abril", "Mayo", "Junio", "Julio", "Agosto", "Septiembre", "Octubre", "Noviembre"}, 0)-MONTH('BD Asesor'!D692), 3)=0),
    AND('BD Asesor'!H692="Semestral", MOD(MATCH($B$2, {"Enero", "Febrero", "Marzo", "Abril", "Mayo", "Junio", "Julio", "Agosto", "Septiembre", "Octubre", "Noviembre"}, 0)-MONTH('BD Asesor'!D692), 6)=0),
    AND('BD Asesor'!H692="Anual", MONTH('BD Asesor'!D692)=MATCH($B$2, {"Enero", "Febrero", "Marzo", "Abril", "Mayo", "Junio", "Julio", "Agosto", "Septiembre", "Octubre", "Noviembre"}, 0))
), 'BD Asesor'!L692, "")
</f>
        <v/>
      </c>
    </row>
    <row r="693">
      <c r="C693" s="84" t="str">
        <f t="array" ref="C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Asesor'!A693, "")
</f>
        <v/>
      </c>
      <c r="D693" s="84" t="str">
        <f t="array" ref="D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Asesor'!B693, "")
</f>
        <v/>
      </c>
      <c r="E693" s="212" t="str">
        <f t="array" ref="E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Asesor'!C693, "")
</f>
        <v/>
      </c>
      <c r="F693" s="212" t="str">
        <f t="array" ref="F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Asesor'!D693, "")
</f>
        <v/>
      </c>
      <c r="G693" s="212" t="str">
        <f t="array" ref="G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Asesor'!E693, "")
</f>
        <v/>
      </c>
      <c r="H693" s="84" t="str">
        <f t="array" ref="H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Asesor'!F693, "")
</f>
        <v/>
      </c>
      <c r="I693" s="84" t="str">
        <f t="array" ref="I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Asesor'!G693, "")
</f>
        <v/>
      </c>
      <c r="J693" s="84" t="str">
        <f t="array" ref="J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Asesor'!H693, "")
</f>
        <v/>
      </c>
      <c r="K693" s="84" t="str">
        <f t="array" ref="K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Asesor'!K693, "")
</f>
        <v/>
      </c>
      <c r="L693" s="84" t="str">
        <f t="array" ref="L693">IF(OR(
    AND('BD Asesor'!H693="Mensual", MATCH($B$2, {"Enero", "Febrero", "Marzo", "Abril", "Mayo", "Junio", "Julio", "Agosto", "Septiembre", "Octubre", "Noviembre", "Diciembre"}, 0)&gt;=1),
    AND('BD Asesor'!H693="Trimestral", MOD(MATCH($B$2, {"Enero", "Febrero", "Marzo", "Abril", "Mayo", "Junio", "Julio", "Agosto", "Septiembre", "Octubre", "Noviembre"}, 0)-MONTH('BD Asesor'!D693), 3)=0),
    AND('BD Asesor'!H693="Semestral", MOD(MATCH($B$2, {"Enero", "Febrero", "Marzo", "Abril", "Mayo", "Junio", "Julio", "Agosto", "Septiembre", "Octubre", "Noviembre"}, 0)-MONTH('BD Asesor'!D693), 6)=0),
    AND('BD Asesor'!H693="Anual", MONTH('BD Asesor'!D693)=MATCH($B$2, {"Enero", "Febrero", "Marzo", "Abril", "Mayo", "Junio", "Julio", "Agosto", "Septiembre", "Octubre", "Noviembre"}, 0))
), 'BD Asesor'!L693, "")
</f>
        <v/>
      </c>
    </row>
    <row r="694">
      <c r="C694" s="84" t="str">
        <f t="array" ref="C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Asesor'!A694, "")
</f>
        <v/>
      </c>
      <c r="D694" s="84" t="str">
        <f t="array" ref="D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Asesor'!B694, "")
</f>
        <v/>
      </c>
      <c r="E694" s="212" t="str">
        <f t="array" ref="E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Asesor'!C694, "")
</f>
        <v/>
      </c>
      <c r="F694" s="212" t="str">
        <f t="array" ref="F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Asesor'!D694, "")
</f>
        <v/>
      </c>
      <c r="G694" s="212" t="str">
        <f t="array" ref="G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Asesor'!E694, "")
</f>
        <v/>
      </c>
      <c r="H694" s="84" t="str">
        <f t="array" ref="H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Asesor'!F694, "")
</f>
        <v/>
      </c>
      <c r="I694" s="84" t="str">
        <f t="array" ref="I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Asesor'!G694, "")
</f>
        <v/>
      </c>
      <c r="J694" s="84" t="str">
        <f t="array" ref="J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Asesor'!H694, "")
</f>
        <v/>
      </c>
      <c r="K694" s="84" t="str">
        <f t="array" ref="K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Asesor'!K694, "")
</f>
        <v/>
      </c>
      <c r="L694" s="84" t="str">
        <f t="array" ref="L694">IF(OR(
    AND('BD Asesor'!H694="Mensual", MATCH($B$2, {"Enero", "Febrero", "Marzo", "Abril", "Mayo", "Junio", "Julio", "Agosto", "Septiembre", "Octubre", "Noviembre", "Diciembre"}, 0)&gt;=1),
    AND('BD Asesor'!H694="Trimestral", MOD(MATCH($B$2, {"Enero", "Febrero", "Marzo", "Abril", "Mayo", "Junio", "Julio", "Agosto", "Septiembre", "Octubre", "Noviembre"}, 0)-MONTH('BD Asesor'!D694), 3)=0),
    AND('BD Asesor'!H694="Semestral", MOD(MATCH($B$2, {"Enero", "Febrero", "Marzo", "Abril", "Mayo", "Junio", "Julio", "Agosto", "Septiembre", "Octubre", "Noviembre"}, 0)-MONTH('BD Asesor'!D694), 6)=0),
    AND('BD Asesor'!H694="Anual", MONTH('BD Asesor'!D694)=MATCH($B$2, {"Enero", "Febrero", "Marzo", "Abril", "Mayo", "Junio", "Julio", "Agosto", "Septiembre", "Octubre", "Noviembre"}, 0))
), 'BD Asesor'!L694, "")
</f>
        <v/>
      </c>
    </row>
    <row r="695">
      <c r="C695" s="84" t="str">
        <f t="array" ref="C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Asesor'!A695, "")
</f>
        <v/>
      </c>
      <c r="D695" s="84" t="str">
        <f t="array" ref="D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Asesor'!B695, "")
</f>
        <v/>
      </c>
      <c r="E695" s="212" t="str">
        <f t="array" ref="E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Asesor'!C695, "")
</f>
        <v/>
      </c>
      <c r="F695" s="212" t="str">
        <f t="array" ref="F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Asesor'!D695, "")
</f>
        <v/>
      </c>
      <c r="G695" s="212" t="str">
        <f t="array" ref="G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Asesor'!E695, "")
</f>
        <v/>
      </c>
      <c r="H695" s="84" t="str">
        <f t="array" ref="H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Asesor'!F695, "")
</f>
        <v/>
      </c>
      <c r="I695" s="84" t="str">
        <f t="array" ref="I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Asesor'!G695, "")
</f>
        <v/>
      </c>
      <c r="J695" s="84" t="str">
        <f t="array" ref="J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Asesor'!H695, "")
</f>
        <v/>
      </c>
      <c r="K695" s="84" t="str">
        <f t="array" ref="K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Asesor'!K695, "")
</f>
        <v/>
      </c>
      <c r="L695" s="84" t="str">
        <f t="array" ref="L695">IF(OR(
    AND('BD Asesor'!H695="Mensual", MATCH($B$2, {"Enero", "Febrero", "Marzo", "Abril", "Mayo", "Junio", "Julio", "Agosto", "Septiembre", "Octubre", "Noviembre", "Diciembre"}, 0)&gt;=1),
    AND('BD Asesor'!H695="Trimestral", MOD(MATCH($B$2, {"Enero", "Febrero", "Marzo", "Abril", "Mayo", "Junio", "Julio", "Agosto", "Septiembre", "Octubre", "Noviembre"}, 0)-MONTH('BD Asesor'!D695), 3)=0),
    AND('BD Asesor'!H695="Semestral", MOD(MATCH($B$2, {"Enero", "Febrero", "Marzo", "Abril", "Mayo", "Junio", "Julio", "Agosto", "Septiembre", "Octubre", "Noviembre"}, 0)-MONTH('BD Asesor'!D695), 6)=0),
    AND('BD Asesor'!H695="Anual", MONTH('BD Asesor'!D695)=MATCH($B$2, {"Enero", "Febrero", "Marzo", "Abril", "Mayo", "Junio", "Julio", "Agosto", "Septiembre", "Octubre", "Noviembre"}, 0))
), 'BD Asesor'!L695, "")
</f>
        <v/>
      </c>
    </row>
    <row r="696">
      <c r="C696" s="84" t="str">
        <f t="array" ref="C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Asesor'!A696, "")
</f>
        <v/>
      </c>
      <c r="D696" s="84" t="str">
        <f t="array" ref="D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Asesor'!B696, "")
</f>
        <v/>
      </c>
      <c r="E696" s="212" t="str">
        <f t="array" ref="E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Asesor'!C696, "")
</f>
        <v/>
      </c>
      <c r="F696" s="212" t="str">
        <f t="array" ref="F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Asesor'!D696, "")
</f>
        <v/>
      </c>
      <c r="G696" s="212" t="str">
        <f t="array" ref="G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Asesor'!E696, "")
</f>
        <v/>
      </c>
      <c r="H696" s="84" t="str">
        <f t="array" ref="H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Asesor'!F696, "")
</f>
        <v/>
      </c>
      <c r="I696" s="84" t="str">
        <f t="array" ref="I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Asesor'!G696, "")
</f>
        <v/>
      </c>
      <c r="J696" s="84" t="str">
        <f t="array" ref="J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Asesor'!H696, "")
</f>
        <v/>
      </c>
      <c r="K696" s="84" t="str">
        <f t="array" ref="K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Asesor'!K696, "")
</f>
        <v/>
      </c>
      <c r="L696" s="84" t="str">
        <f t="array" ref="L696">IF(OR(
    AND('BD Asesor'!H696="Mensual", MATCH($B$2, {"Enero", "Febrero", "Marzo", "Abril", "Mayo", "Junio", "Julio", "Agosto", "Septiembre", "Octubre", "Noviembre", "Diciembre"}, 0)&gt;=1),
    AND('BD Asesor'!H696="Trimestral", MOD(MATCH($B$2, {"Enero", "Febrero", "Marzo", "Abril", "Mayo", "Junio", "Julio", "Agosto", "Septiembre", "Octubre", "Noviembre"}, 0)-MONTH('BD Asesor'!D696), 3)=0),
    AND('BD Asesor'!H696="Semestral", MOD(MATCH($B$2, {"Enero", "Febrero", "Marzo", "Abril", "Mayo", "Junio", "Julio", "Agosto", "Septiembre", "Octubre", "Noviembre"}, 0)-MONTH('BD Asesor'!D696), 6)=0),
    AND('BD Asesor'!H696="Anual", MONTH('BD Asesor'!D696)=MATCH($B$2, {"Enero", "Febrero", "Marzo", "Abril", "Mayo", "Junio", "Julio", "Agosto", "Septiembre", "Octubre", "Noviembre"}, 0))
), 'BD Asesor'!L696, "")
</f>
        <v/>
      </c>
    </row>
    <row r="697">
      <c r="C697" s="84" t="str">
        <f t="array" ref="C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Asesor'!A697, "")
</f>
        <v/>
      </c>
      <c r="D697" s="84" t="str">
        <f t="array" ref="D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Asesor'!B697, "")
</f>
        <v/>
      </c>
      <c r="E697" s="212" t="str">
        <f t="array" ref="E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Asesor'!C697, "")
</f>
        <v/>
      </c>
      <c r="F697" s="212" t="str">
        <f t="array" ref="F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Asesor'!D697, "")
</f>
        <v/>
      </c>
      <c r="G697" s="212" t="str">
        <f t="array" ref="G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Asesor'!E697, "")
</f>
        <v/>
      </c>
      <c r="H697" s="84" t="str">
        <f t="array" ref="H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Asesor'!F697, "")
</f>
        <v/>
      </c>
      <c r="I697" s="84" t="str">
        <f t="array" ref="I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Asesor'!G697, "")
</f>
        <v/>
      </c>
      <c r="J697" s="84" t="str">
        <f t="array" ref="J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Asesor'!H697, "")
</f>
        <v/>
      </c>
      <c r="K697" s="84" t="str">
        <f t="array" ref="K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Asesor'!K697, "")
</f>
        <v/>
      </c>
      <c r="L697" s="84" t="str">
        <f t="array" ref="L697">IF(OR(
    AND('BD Asesor'!H697="Mensual", MATCH($B$2, {"Enero", "Febrero", "Marzo", "Abril", "Mayo", "Junio", "Julio", "Agosto", "Septiembre", "Octubre", "Noviembre", "Diciembre"}, 0)&gt;=1),
    AND('BD Asesor'!H697="Trimestral", MOD(MATCH($B$2, {"Enero", "Febrero", "Marzo", "Abril", "Mayo", "Junio", "Julio", "Agosto", "Septiembre", "Octubre", "Noviembre"}, 0)-MONTH('BD Asesor'!D697), 3)=0),
    AND('BD Asesor'!H697="Semestral", MOD(MATCH($B$2, {"Enero", "Febrero", "Marzo", "Abril", "Mayo", "Junio", "Julio", "Agosto", "Septiembre", "Octubre", "Noviembre"}, 0)-MONTH('BD Asesor'!D697), 6)=0),
    AND('BD Asesor'!H697="Anual", MONTH('BD Asesor'!D697)=MATCH($B$2, {"Enero", "Febrero", "Marzo", "Abril", "Mayo", "Junio", "Julio", "Agosto", "Septiembre", "Octubre", "Noviembre"}, 0))
), 'BD Asesor'!L697, "")
</f>
        <v/>
      </c>
    </row>
    <row r="698">
      <c r="C698" s="84" t="str">
        <f t="array" ref="C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Asesor'!A698, "")
</f>
        <v/>
      </c>
      <c r="D698" s="84" t="str">
        <f t="array" ref="D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Asesor'!B698, "")
</f>
        <v/>
      </c>
      <c r="E698" s="212" t="str">
        <f t="array" ref="E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Asesor'!C698, "")
</f>
        <v/>
      </c>
      <c r="F698" s="212" t="str">
        <f t="array" ref="F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Asesor'!D698, "")
</f>
        <v/>
      </c>
      <c r="G698" s="212" t="str">
        <f t="array" ref="G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Asesor'!E698, "")
</f>
        <v/>
      </c>
      <c r="H698" s="84" t="str">
        <f t="array" ref="H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Asesor'!F698, "")
</f>
        <v/>
      </c>
      <c r="I698" s="84" t="str">
        <f t="array" ref="I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Asesor'!G698, "")
</f>
        <v/>
      </c>
      <c r="J698" s="84" t="str">
        <f t="array" ref="J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Asesor'!H698, "")
</f>
        <v/>
      </c>
      <c r="K698" s="84" t="str">
        <f t="array" ref="K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Asesor'!K698, "")
</f>
        <v/>
      </c>
      <c r="L698" s="84" t="str">
        <f t="array" ref="L698">IF(OR(
    AND('BD Asesor'!H698="Mensual", MATCH($B$2, {"Enero", "Febrero", "Marzo", "Abril", "Mayo", "Junio", "Julio", "Agosto", "Septiembre", "Octubre", "Noviembre", "Diciembre"}, 0)&gt;=1),
    AND('BD Asesor'!H698="Trimestral", MOD(MATCH($B$2, {"Enero", "Febrero", "Marzo", "Abril", "Mayo", "Junio", "Julio", "Agosto", "Septiembre", "Octubre", "Noviembre"}, 0)-MONTH('BD Asesor'!D698), 3)=0),
    AND('BD Asesor'!H698="Semestral", MOD(MATCH($B$2, {"Enero", "Febrero", "Marzo", "Abril", "Mayo", "Junio", "Julio", "Agosto", "Septiembre", "Octubre", "Noviembre"}, 0)-MONTH('BD Asesor'!D698), 6)=0),
    AND('BD Asesor'!H698="Anual", MONTH('BD Asesor'!D698)=MATCH($B$2, {"Enero", "Febrero", "Marzo", "Abril", "Mayo", "Junio", "Julio", "Agosto", "Septiembre", "Octubre", "Noviembre"}, 0))
), 'BD Asesor'!L698, "")
</f>
        <v/>
      </c>
    </row>
    <row r="699">
      <c r="C699" s="84" t="str">
        <f t="array" ref="C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Asesor'!A699, "")
</f>
        <v/>
      </c>
      <c r="D699" s="84" t="str">
        <f t="array" ref="D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Asesor'!B699, "")
</f>
        <v/>
      </c>
      <c r="E699" s="212" t="str">
        <f t="array" ref="E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Asesor'!C699, "")
</f>
        <v/>
      </c>
      <c r="F699" s="212" t="str">
        <f t="array" ref="F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Asesor'!D699, "")
</f>
        <v/>
      </c>
      <c r="G699" s="212" t="str">
        <f t="array" ref="G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Asesor'!E699, "")
</f>
        <v/>
      </c>
      <c r="H699" s="84" t="str">
        <f t="array" ref="H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Asesor'!F699, "")
</f>
        <v/>
      </c>
      <c r="I699" s="84" t="str">
        <f t="array" ref="I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Asesor'!G699, "")
</f>
        <v/>
      </c>
      <c r="J699" s="84" t="str">
        <f t="array" ref="J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Asesor'!H699, "")
</f>
        <v/>
      </c>
      <c r="K699" s="84" t="str">
        <f t="array" ref="K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Asesor'!K699, "")
</f>
        <v/>
      </c>
      <c r="L699" s="84" t="str">
        <f t="array" ref="L699">IF(OR(
    AND('BD Asesor'!H699="Mensual", MATCH($B$2, {"Enero", "Febrero", "Marzo", "Abril", "Mayo", "Junio", "Julio", "Agosto", "Septiembre", "Octubre", "Noviembre", "Diciembre"}, 0)&gt;=1),
    AND('BD Asesor'!H699="Trimestral", MOD(MATCH($B$2, {"Enero", "Febrero", "Marzo", "Abril", "Mayo", "Junio", "Julio", "Agosto", "Septiembre", "Octubre", "Noviembre"}, 0)-MONTH('BD Asesor'!D699), 3)=0),
    AND('BD Asesor'!H699="Semestral", MOD(MATCH($B$2, {"Enero", "Febrero", "Marzo", "Abril", "Mayo", "Junio", "Julio", "Agosto", "Septiembre", "Octubre", "Noviembre"}, 0)-MONTH('BD Asesor'!D699), 6)=0),
    AND('BD Asesor'!H699="Anual", MONTH('BD Asesor'!D699)=MATCH($B$2, {"Enero", "Febrero", "Marzo", "Abril", "Mayo", "Junio", "Julio", "Agosto", "Septiembre", "Octubre", "Noviembre"}, 0))
), 'BD Asesor'!L699, "")
</f>
        <v/>
      </c>
    </row>
    <row r="700">
      <c r="C700" s="84" t="str">
        <f t="array" ref="C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Asesor'!A700, "")
</f>
        <v/>
      </c>
      <c r="D700" s="84" t="str">
        <f t="array" ref="D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Asesor'!B700, "")
</f>
        <v/>
      </c>
      <c r="E700" s="212" t="str">
        <f t="array" ref="E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Asesor'!C700, "")
</f>
        <v/>
      </c>
      <c r="F700" s="212" t="str">
        <f t="array" ref="F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Asesor'!D700, "")
</f>
        <v/>
      </c>
      <c r="G700" s="212" t="str">
        <f t="array" ref="G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Asesor'!E700, "")
</f>
        <v/>
      </c>
      <c r="H700" s="84" t="str">
        <f t="array" ref="H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Asesor'!F700, "")
</f>
        <v/>
      </c>
      <c r="I700" s="84" t="str">
        <f t="array" ref="I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Asesor'!G700, "")
</f>
        <v/>
      </c>
      <c r="J700" s="84" t="str">
        <f t="array" ref="J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Asesor'!H700, "")
</f>
        <v/>
      </c>
      <c r="K700" s="84" t="str">
        <f t="array" ref="K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Asesor'!K700, "")
</f>
        <v/>
      </c>
      <c r="L700" s="84" t="str">
        <f t="array" ref="L700">IF(OR(
    AND('BD Asesor'!H700="Mensual", MATCH($B$2, {"Enero", "Febrero", "Marzo", "Abril", "Mayo", "Junio", "Julio", "Agosto", "Septiembre", "Octubre", "Noviembre", "Diciembre"}, 0)&gt;=1),
    AND('BD Asesor'!H700="Trimestral", MOD(MATCH($B$2, {"Enero", "Febrero", "Marzo", "Abril", "Mayo", "Junio", "Julio", "Agosto", "Septiembre", "Octubre", "Noviembre"}, 0)-MONTH('BD Asesor'!D700), 3)=0),
    AND('BD Asesor'!H700="Semestral", MOD(MATCH($B$2, {"Enero", "Febrero", "Marzo", "Abril", "Mayo", "Junio", "Julio", "Agosto", "Septiembre", "Octubre", "Noviembre"}, 0)-MONTH('BD Asesor'!D700), 6)=0),
    AND('BD Asesor'!H700="Anual", MONTH('BD Asesor'!D700)=MATCH($B$2, {"Enero", "Febrero", "Marzo", "Abril", "Mayo", "Junio", "Julio", "Agosto", "Septiembre", "Octubre", "Noviembre"}, 0))
), 'BD Asesor'!L700, "")
</f>
        <v/>
      </c>
    </row>
    <row r="701">
      <c r="C701" s="84" t="str">
        <f t="array" ref="C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Asesor'!A701, "")
</f>
        <v/>
      </c>
      <c r="D701" s="84" t="str">
        <f t="array" ref="D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Asesor'!B701, "")
</f>
        <v/>
      </c>
      <c r="E701" s="212" t="str">
        <f t="array" ref="E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Asesor'!C701, "")
</f>
        <v/>
      </c>
      <c r="F701" s="212" t="str">
        <f t="array" ref="F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Asesor'!D701, "")
</f>
        <v/>
      </c>
      <c r="G701" s="212" t="str">
        <f t="array" ref="G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Asesor'!E701, "")
</f>
        <v/>
      </c>
      <c r="H701" s="84" t="str">
        <f t="array" ref="H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Asesor'!F701, "")
</f>
        <v/>
      </c>
      <c r="I701" s="84" t="str">
        <f t="array" ref="I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Asesor'!G701, "")
</f>
        <v/>
      </c>
      <c r="J701" s="84" t="str">
        <f t="array" ref="J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Asesor'!H701, "")
</f>
        <v/>
      </c>
      <c r="K701" s="84" t="str">
        <f t="array" ref="K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Asesor'!K701, "")
</f>
        <v/>
      </c>
      <c r="L701" s="84" t="str">
        <f t="array" ref="L701">IF(OR(
    AND('BD Asesor'!H701="Mensual", MATCH($B$2, {"Enero", "Febrero", "Marzo", "Abril", "Mayo", "Junio", "Julio", "Agosto", "Septiembre", "Octubre", "Noviembre", "Diciembre"}, 0)&gt;=1),
    AND('BD Asesor'!H701="Trimestral", MOD(MATCH($B$2, {"Enero", "Febrero", "Marzo", "Abril", "Mayo", "Junio", "Julio", "Agosto", "Septiembre", "Octubre", "Noviembre"}, 0)-MONTH('BD Asesor'!D701), 3)=0),
    AND('BD Asesor'!H701="Semestral", MOD(MATCH($B$2, {"Enero", "Febrero", "Marzo", "Abril", "Mayo", "Junio", "Julio", "Agosto", "Septiembre", "Octubre", "Noviembre"}, 0)-MONTH('BD Asesor'!D701), 6)=0),
    AND('BD Asesor'!H701="Anual", MONTH('BD Asesor'!D701)=MATCH($B$2, {"Enero", "Febrero", "Marzo", "Abril", "Mayo", "Junio", "Julio", "Agosto", "Septiembre", "Octubre", "Noviembre"}, 0))
), 'BD Asesor'!L701, "")
</f>
        <v/>
      </c>
    </row>
    <row r="702">
      <c r="C702" s="84" t="str">
        <f t="array" ref="C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Asesor'!A702, "")
</f>
        <v/>
      </c>
      <c r="D702" s="84" t="str">
        <f t="array" ref="D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Asesor'!B702, "")
</f>
        <v/>
      </c>
      <c r="E702" s="212" t="str">
        <f t="array" ref="E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Asesor'!C702, "")
</f>
        <v/>
      </c>
      <c r="F702" s="212" t="str">
        <f t="array" ref="F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Asesor'!D702, "")
</f>
        <v/>
      </c>
      <c r="G702" s="212" t="str">
        <f t="array" ref="G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Asesor'!E702, "")
</f>
        <v/>
      </c>
      <c r="H702" s="84" t="str">
        <f t="array" ref="H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Asesor'!F702, "")
</f>
        <v/>
      </c>
      <c r="I702" s="84" t="str">
        <f t="array" ref="I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Asesor'!G702, "")
</f>
        <v/>
      </c>
      <c r="J702" s="84" t="str">
        <f t="array" ref="J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Asesor'!H702, "")
</f>
        <v/>
      </c>
      <c r="K702" s="84" t="str">
        <f t="array" ref="K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Asesor'!K702, "")
</f>
        <v/>
      </c>
      <c r="L702" s="84" t="str">
        <f t="array" ref="L702">IF(OR(
    AND('BD Asesor'!H702="Mensual", MATCH($B$2, {"Enero", "Febrero", "Marzo", "Abril", "Mayo", "Junio", "Julio", "Agosto", "Septiembre", "Octubre", "Noviembre", "Diciembre"}, 0)&gt;=1),
    AND('BD Asesor'!H702="Trimestral", MOD(MATCH($B$2, {"Enero", "Febrero", "Marzo", "Abril", "Mayo", "Junio", "Julio", "Agosto", "Septiembre", "Octubre", "Noviembre"}, 0)-MONTH('BD Asesor'!D702), 3)=0),
    AND('BD Asesor'!H702="Semestral", MOD(MATCH($B$2, {"Enero", "Febrero", "Marzo", "Abril", "Mayo", "Junio", "Julio", "Agosto", "Septiembre", "Octubre", "Noviembre"}, 0)-MONTH('BD Asesor'!D702), 6)=0),
    AND('BD Asesor'!H702="Anual", MONTH('BD Asesor'!D702)=MATCH($B$2, {"Enero", "Febrero", "Marzo", "Abril", "Mayo", "Junio", "Julio", "Agosto", "Septiembre", "Octubre", "Noviembre"}, 0))
), 'BD Asesor'!L702, "")
</f>
        <v/>
      </c>
    </row>
    <row r="703">
      <c r="C703" s="84" t="str">
        <f t="array" ref="C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Asesor'!A703, "")
</f>
        <v/>
      </c>
      <c r="D703" s="84" t="str">
        <f t="array" ref="D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Asesor'!B703, "")
</f>
        <v/>
      </c>
      <c r="E703" s="212" t="str">
        <f t="array" ref="E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Asesor'!C703, "")
</f>
        <v/>
      </c>
      <c r="F703" s="212" t="str">
        <f t="array" ref="F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Asesor'!D703, "")
</f>
        <v/>
      </c>
      <c r="G703" s="212" t="str">
        <f t="array" ref="G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Asesor'!E703, "")
</f>
        <v/>
      </c>
      <c r="H703" s="84" t="str">
        <f t="array" ref="H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Asesor'!F703, "")
</f>
        <v/>
      </c>
      <c r="I703" s="84" t="str">
        <f t="array" ref="I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Asesor'!G703, "")
</f>
        <v/>
      </c>
      <c r="J703" s="84" t="str">
        <f t="array" ref="J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Asesor'!H703, "")
</f>
        <v/>
      </c>
      <c r="K703" s="84" t="str">
        <f t="array" ref="K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Asesor'!K703, "")
</f>
        <v/>
      </c>
      <c r="L703" s="84" t="str">
        <f t="array" ref="L703">IF(OR(
    AND('BD Asesor'!H703="Mensual", MATCH($B$2, {"Enero", "Febrero", "Marzo", "Abril", "Mayo", "Junio", "Julio", "Agosto", "Septiembre", "Octubre", "Noviembre", "Diciembre"}, 0)&gt;=1),
    AND('BD Asesor'!H703="Trimestral", MOD(MATCH($B$2, {"Enero", "Febrero", "Marzo", "Abril", "Mayo", "Junio", "Julio", "Agosto", "Septiembre", "Octubre", "Noviembre"}, 0)-MONTH('BD Asesor'!D703), 3)=0),
    AND('BD Asesor'!H703="Semestral", MOD(MATCH($B$2, {"Enero", "Febrero", "Marzo", "Abril", "Mayo", "Junio", "Julio", "Agosto", "Septiembre", "Octubre", "Noviembre"}, 0)-MONTH('BD Asesor'!D703), 6)=0),
    AND('BD Asesor'!H703="Anual", MONTH('BD Asesor'!D703)=MATCH($B$2, {"Enero", "Febrero", "Marzo", "Abril", "Mayo", "Junio", "Julio", "Agosto", "Septiembre", "Octubre", "Noviembre"}, 0))
), 'BD Asesor'!L703, "")
</f>
        <v/>
      </c>
    </row>
    <row r="704">
      <c r="C704" s="84" t="str">
        <f t="array" ref="C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Asesor'!A704, "")
</f>
        <v/>
      </c>
      <c r="D704" s="84" t="str">
        <f t="array" ref="D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Asesor'!B704, "")
</f>
        <v/>
      </c>
      <c r="E704" s="212" t="str">
        <f t="array" ref="E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Asesor'!C704, "")
</f>
        <v/>
      </c>
      <c r="F704" s="212" t="str">
        <f t="array" ref="F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Asesor'!D704, "")
</f>
        <v/>
      </c>
      <c r="G704" s="212" t="str">
        <f t="array" ref="G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Asesor'!E704, "")
</f>
        <v/>
      </c>
      <c r="H704" s="84" t="str">
        <f t="array" ref="H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Asesor'!F704, "")
</f>
        <v/>
      </c>
      <c r="I704" s="84" t="str">
        <f t="array" ref="I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Asesor'!G704, "")
</f>
        <v/>
      </c>
      <c r="J704" s="84" t="str">
        <f t="array" ref="J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Asesor'!H704, "")
</f>
        <v/>
      </c>
      <c r="K704" s="84" t="str">
        <f t="array" ref="K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Asesor'!K704, "")
</f>
        <v/>
      </c>
      <c r="L704" s="84" t="str">
        <f t="array" ref="L704">IF(OR(
    AND('BD Asesor'!H704="Mensual", MATCH($B$2, {"Enero", "Febrero", "Marzo", "Abril", "Mayo", "Junio", "Julio", "Agosto", "Septiembre", "Octubre", "Noviembre", "Diciembre"}, 0)&gt;=1),
    AND('BD Asesor'!H704="Trimestral", MOD(MATCH($B$2, {"Enero", "Febrero", "Marzo", "Abril", "Mayo", "Junio", "Julio", "Agosto", "Septiembre", "Octubre", "Noviembre"}, 0)-MONTH('BD Asesor'!D704), 3)=0),
    AND('BD Asesor'!H704="Semestral", MOD(MATCH($B$2, {"Enero", "Febrero", "Marzo", "Abril", "Mayo", "Junio", "Julio", "Agosto", "Septiembre", "Octubre", "Noviembre"}, 0)-MONTH('BD Asesor'!D704), 6)=0),
    AND('BD Asesor'!H704="Anual", MONTH('BD Asesor'!D704)=MATCH($B$2, {"Enero", "Febrero", "Marzo", "Abril", "Mayo", "Junio", "Julio", "Agosto", "Septiembre", "Octubre", "Noviembre"}, 0))
), 'BD Asesor'!L704, "")
</f>
        <v/>
      </c>
    </row>
    <row r="705">
      <c r="C705" s="84" t="str">
        <f t="array" ref="C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Asesor'!A705, "")
</f>
        <v/>
      </c>
      <c r="D705" s="84" t="str">
        <f t="array" ref="D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Asesor'!B705, "")
</f>
        <v/>
      </c>
      <c r="E705" s="212" t="str">
        <f t="array" ref="E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Asesor'!C705, "")
</f>
        <v/>
      </c>
      <c r="F705" s="212" t="str">
        <f t="array" ref="F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Asesor'!D705, "")
</f>
        <v/>
      </c>
      <c r="G705" s="212" t="str">
        <f t="array" ref="G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Asesor'!E705, "")
</f>
        <v/>
      </c>
      <c r="H705" s="84" t="str">
        <f t="array" ref="H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Asesor'!F705, "")
</f>
        <v/>
      </c>
      <c r="I705" s="84" t="str">
        <f t="array" ref="I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Asesor'!G705, "")
</f>
        <v/>
      </c>
      <c r="J705" s="84" t="str">
        <f t="array" ref="J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Asesor'!H705, "")
</f>
        <v/>
      </c>
      <c r="K705" s="84" t="str">
        <f t="array" ref="K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Asesor'!K705, "")
</f>
        <v/>
      </c>
      <c r="L705" s="84" t="str">
        <f t="array" ref="L705">IF(OR(
    AND('BD Asesor'!H705="Mensual", MATCH($B$2, {"Enero", "Febrero", "Marzo", "Abril", "Mayo", "Junio", "Julio", "Agosto", "Septiembre", "Octubre", "Noviembre", "Diciembre"}, 0)&gt;=1),
    AND('BD Asesor'!H705="Trimestral", MOD(MATCH($B$2, {"Enero", "Febrero", "Marzo", "Abril", "Mayo", "Junio", "Julio", "Agosto", "Septiembre", "Octubre", "Noviembre"}, 0)-MONTH('BD Asesor'!D705), 3)=0),
    AND('BD Asesor'!H705="Semestral", MOD(MATCH($B$2, {"Enero", "Febrero", "Marzo", "Abril", "Mayo", "Junio", "Julio", "Agosto", "Septiembre", "Octubre", "Noviembre"}, 0)-MONTH('BD Asesor'!D705), 6)=0),
    AND('BD Asesor'!H705="Anual", MONTH('BD Asesor'!D705)=MATCH($B$2, {"Enero", "Febrero", "Marzo", "Abril", "Mayo", "Junio", "Julio", "Agosto", "Septiembre", "Octubre", "Noviembre"}, 0))
), 'BD Asesor'!L705, "")
</f>
        <v/>
      </c>
    </row>
    <row r="706">
      <c r="C706" s="84" t="str">
        <f t="array" ref="C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Asesor'!A706, "")
</f>
        <v/>
      </c>
      <c r="D706" s="84" t="str">
        <f t="array" ref="D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Asesor'!B706, "")
</f>
        <v/>
      </c>
      <c r="E706" s="212" t="str">
        <f t="array" ref="E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Asesor'!C706, "")
</f>
        <v/>
      </c>
      <c r="F706" s="212" t="str">
        <f t="array" ref="F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Asesor'!D706, "")
</f>
        <v/>
      </c>
      <c r="G706" s="212" t="str">
        <f t="array" ref="G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Asesor'!E706, "")
</f>
        <v/>
      </c>
      <c r="H706" s="84" t="str">
        <f t="array" ref="H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Asesor'!F706, "")
</f>
        <v/>
      </c>
      <c r="I706" s="84" t="str">
        <f t="array" ref="I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Asesor'!G706, "")
</f>
        <v/>
      </c>
      <c r="J706" s="84" t="str">
        <f t="array" ref="J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Asesor'!H706, "")
</f>
        <v/>
      </c>
      <c r="K706" s="84" t="str">
        <f t="array" ref="K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Asesor'!K706, "")
</f>
        <v/>
      </c>
      <c r="L706" s="84" t="str">
        <f t="array" ref="L706">IF(OR(
    AND('BD Asesor'!H706="Mensual", MATCH($B$2, {"Enero", "Febrero", "Marzo", "Abril", "Mayo", "Junio", "Julio", "Agosto", "Septiembre", "Octubre", "Noviembre", "Diciembre"}, 0)&gt;=1),
    AND('BD Asesor'!H706="Trimestral", MOD(MATCH($B$2, {"Enero", "Febrero", "Marzo", "Abril", "Mayo", "Junio", "Julio", "Agosto", "Septiembre", "Octubre", "Noviembre"}, 0)-MONTH('BD Asesor'!D706), 3)=0),
    AND('BD Asesor'!H706="Semestral", MOD(MATCH($B$2, {"Enero", "Febrero", "Marzo", "Abril", "Mayo", "Junio", "Julio", "Agosto", "Septiembre", "Octubre", "Noviembre"}, 0)-MONTH('BD Asesor'!D706), 6)=0),
    AND('BD Asesor'!H706="Anual", MONTH('BD Asesor'!D706)=MATCH($B$2, {"Enero", "Febrero", "Marzo", "Abril", "Mayo", "Junio", "Julio", "Agosto", "Septiembre", "Octubre", "Noviembre"}, 0))
), 'BD Asesor'!L706, "")
</f>
        <v/>
      </c>
    </row>
    <row r="707">
      <c r="C707" s="84" t="str">
        <f t="array" ref="C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Asesor'!A707, "")
</f>
        <v/>
      </c>
      <c r="D707" s="84" t="str">
        <f t="array" ref="D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Asesor'!B707, "")
</f>
        <v/>
      </c>
      <c r="E707" s="212" t="str">
        <f t="array" ref="E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Asesor'!C707, "")
</f>
        <v/>
      </c>
      <c r="F707" s="212" t="str">
        <f t="array" ref="F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Asesor'!D707, "")
</f>
        <v/>
      </c>
      <c r="G707" s="212" t="str">
        <f t="array" ref="G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Asesor'!E707, "")
</f>
        <v/>
      </c>
      <c r="H707" s="84" t="str">
        <f t="array" ref="H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Asesor'!F707, "")
</f>
        <v/>
      </c>
      <c r="I707" s="84" t="str">
        <f t="array" ref="I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Asesor'!G707, "")
</f>
        <v/>
      </c>
      <c r="J707" s="84" t="str">
        <f t="array" ref="J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Asesor'!H707, "")
</f>
        <v/>
      </c>
      <c r="K707" s="84" t="str">
        <f t="array" ref="K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Asesor'!K707, "")
</f>
        <v/>
      </c>
      <c r="L707" s="84" t="str">
        <f t="array" ref="L707">IF(OR(
    AND('BD Asesor'!H707="Mensual", MATCH($B$2, {"Enero", "Febrero", "Marzo", "Abril", "Mayo", "Junio", "Julio", "Agosto", "Septiembre", "Octubre", "Noviembre", "Diciembre"}, 0)&gt;=1),
    AND('BD Asesor'!H707="Trimestral", MOD(MATCH($B$2, {"Enero", "Febrero", "Marzo", "Abril", "Mayo", "Junio", "Julio", "Agosto", "Septiembre", "Octubre", "Noviembre"}, 0)-MONTH('BD Asesor'!D707), 3)=0),
    AND('BD Asesor'!H707="Semestral", MOD(MATCH($B$2, {"Enero", "Febrero", "Marzo", "Abril", "Mayo", "Junio", "Julio", "Agosto", "Septiembre", "Octubre", "Noviembre"}, 0)-MONTH('BD Asesor'!D707), 6)=0),
    AND('BD Asesor'!H707="Anual", MONTH('BD Asesor'!D707)=MATCH($B$2, {"Enero", "Febrero", "Marzo", "Abril", "Mayo", "Junio", "Julio", "Agosto", "Septiembre", "Octubre", "Noviembre"}, 0))
), 'BD Asesor'!L707, "")
</f>
        <v/>
      </c>
    </row>
    <row r="708">
      <c r="C708" s="84" t="str">
        <f t="array" ref="C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Asesor'!A708, "")
</f>
        <v/>
      </c>
      <c r="D708" s="84" t="str">
        <f t="array" ref="D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Asesor'!B708, "")
</f>
        <v/>
      </c>
      <c r="E708" s="212" t="str">
        <f t="array" ref="E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Asesor'!C708, "")
</f>
        <v/>
      </c>
      <c r="F708" s="212" t="str">
        <f t="array" ref="F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Asesor'!D708, "")
</f>
        <v/>
      </c>
      <c r="G708" s="212" t="str">
        <f t="array" ref="G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Asesor'!E708, "")
</f>
        <v/>
      </c>
      <c r="H708" s="84" t="str">
        <f t="array" ref="H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Asesor'!F708, "")
</f>
        <v/>
      </c>
      <c r="I708" s="84" t="str">
        <f t="array" ref="I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Asesor'!G708, "")
</f>
        <v/>
      </c>
      <c r="J708" s="84" t="str">
        <f t="array" ref="J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Asesor'!H708, "")
</f>
        <v/>
      </c>
      <c r="K708" s="84" t="str">
        <f t="array" ref="K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Asesor'!K708, "")
</f>
        <v/>
      </c>
      <c r="L708" s="84" t="str">
        <f t="array" ref="L708">IF(OR(
    AND('BD Asesor'!H708="Mensual", MATCH($B$2, {"Enero", "Febrero", "Marzo", "Abril", "Mayo", "Junio", "Julio", "Agosto", "Septiembre", "Octubre", "Noviembre", "Diciembre"}, 0)&gt;=1),
    AND('BD Asesor'!H708="Trimestral", MOD(MATCH($B$2, {"Enero", "Febrero", "Marzo", "Abril", "Mayo", "Junio", "Julio", "Agosto", "Septiembre", "Octubre", "Noviembre"}, 0)-MONTH('BD Asesor'!D708), 3)=0),
    AND('BD Asesor'!H708="Semestral", MOD(MATCH($B$2, {"Enero", "Febrero", "Marzo", "Abril", "Mayo", "Junio", "Julio", "Agosto", "Septiembre", "Octubre", "Noviembre"}, 0)-MONTH('BD Asesor'!D708), 6)=0),
    AND('BD Asesor'!H708="Anual", MONTH('BD Asesor'!D708)=MATCH($B$2, {"Enero", "Febrero", "Marzo", "Abril", "Mayo", "Junio", "Julio", "Agosto", "Septiembre", "Octubre", "Noviembre"}, 0))
), 'BD Asesor'!L708, "")
</f>
        <v/>
      </c>
    </row>
    <row r="709">
      <c r="C709" s="84" t="str">
        <f t="array" ref="C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Asesor'!A709, "")
</f>
        <v/>
      </c>
      <c r="D709" s="84" t="str">
        <f t="array" ref="D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Asesor'!B709, "")
</f>
        <v/>
      </c>
      <c r="E709" s="212" t="str">
        <f t="array" ref="E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Asesor'!C709, "")
</f>
        <v/>
      </c>
      <c r="F709" s="212" t="str">
        <f t="array" ref="F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Asesor'!D709, "")
</f>
        <v/>
      </c>
      <c r="G709" s="212" t="str">
        <f t="array" ref="G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Asesor'!E709, "")
</f>
        <v/>
      </c>
      <c r="H709" s="84" t="str">
        <f t="array" ref="H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Asesor'!F709, "")
</f>
        <v/>
      </c>
      <c r="I709" s="84" t="str">
        <f t="array" ref="I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Asesor'!G709, "")
</f>
        <v/>
      </c>
      <c r="J709" s="84" t="str">
        <f t="array" ref="J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Asesor'!H709, "")
</f>
        <v/>
      </c>
      <c r="K709" s="84" t="str">
        <f t="array" ref="K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Asesor'!K709, "")
</f>
        <v/>
      </c>
      <c r="L709" s="84" t="str">
        <f t="array" ref="L709">IF(OR(
    AND('BD Asesor'!H709="Mensual", MATCH($B$2, {"Enero", "Febrero", "Marzo", "Abril", "Mayo", "Junio", "Julio", "Agosto", "Septiembre", "Octubre", "Noviembre", "Diciembre"}, 0)&gt;=1),
    AND('BD Asesor'!H709="Trimestral", MOD(MATCH($B$2, {"Enero", "Febrero", "Marzo", "Abril", "Mayo", "Junio", "Julio", "Agosto", "Septiembre", "Octubre", "Noviembre"}, 0)-MONTH('BD Asesor'!D709), 3)=0),
    AND('BD Asesor'!H709="Semestral", MOD(MATCH($B$2, {"Enero", "Febrero", "Marzo", "Abril", "Mayo", "Junio", "Julio", "Agosto", "Septiembre", "Octubre", "Noviembre"}, 0)-MONTH('BD Asesor'!D709), 6)=0),
    AND('BD Asesor'!H709="Anual", MONTH('BD Asesor'!D709)=MATCH($B$2, {"Enero", "Febrero", "Marzo", "Abril", "Mayo", "Junio", "Julio", "Agosto", "Septiembre", "Octubre", "Noviembre"}, 0))
), 'BD Asesor'!L709, "")
</f>
        <v/>
      </c>
    </row>
    <row r="710">
      <c r="C710" s="84" t="str">
        <f t="array" ref="C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Asesor'!A710, "")
</f>
        <v/>
      </c>
      <c r="D710" s="84" t="str">
        <f t="array" ref="D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Asesor'!B710, "")
</f>
        <v/>
      </c>
      <c r="E710" s="212" t="str">
        <f t="array" ref="E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Asesor'!C710, "")
</f>
        <v/>
      </c>
      <c r="F710" s="212" t="str">
        <f t="array" ref="F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Asesor'!D710, "")
</f>
        <v/>
      </c>
      <c r="G710" s="212" t="str">
        <f t="array" ref="G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Asesor'!E710, "")
</f>
        <v/>
      </c>
      <c r="H710" s="84" t="str">
        <f t="array" ref="H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Asesor'!F710, "")
</f>
        <v/>
      </c>
      <c r="I710" s="84" t="str">
        <f t="array" ref="I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Asesor'!G710, "")
</f>
        <v/>
      </c>
      <c r="J710" s="84" t="str">
        <f t="array" ref="J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Asesor'!H710, "")
</f>
        <v/>
      </c>
      <c r="K710" s="84" t="str">
        <f t="array" ref="K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Asesor'!K710, "")
</f>
        <v/>
      </c>
      <c r="L710" s="84" t="str">
        <f t="array" ref="L710">IF(OR(
    AND('BD Asesor'!H710="Mensual", MATCH($B$2, {"Enero", "Febrero", "Marzo", "Abril", "Mayo", "Junio", "Julio", "Agosto", "Septiembre", "Octubre", "Noviembre", "Diciembre"}, 0)&gt;=1),
    AND('BD Asesor'!H710="Trimestral", MOD(MATCH($B$2, {"Enero", "Febrero", "Marzo", "Abril", "Mayo", "Junio", "Julio", "Agosto", "Septiembre", "Octubre", "Noviembre"}, 0)-MONTH('BD Asesor'!D710), 3)=0),
    AND('BD Asesor'!H710="Semestral", MOD(MATCH($B$2, {"Enero", "Febrero", "Marzo", "Abril", "Mayo", "Junio", "Julio", "Agosto", "Septiembre", "Octubre", "Noviembre"}, 0)-MONTH('BD Asesor'!D710), 6)=0),
    AND('BD Asesor'!H710="Anual", MONTH('BD Asesor'!D710)=MATCH($B$2, {"Enero", "Febrero", "Marzo", "Abril", "Mayo", "Junio", "Julio", "Agosto", "Septiembre", "Octubre", "Noviembre"}, 0))
), 'BD Asesor'!L710, "")
</f>
        <v/>
      </c>
    </row>
    <row r="711">
      <c r="C711" s="84" t="str">
        <f t="array" ref="C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Asesor'!A711, "")
</f>
        <v/>
      </c>
      <c r="D711" s="84" t="str">
        <f t="array" ref="D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Asesor'!B711, "")
</f>
        <v/>
      </c>
      <c r="E711" s="212" t="str">
        <f t="array" ref="E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Asesor'!C711, "")
</f>
        <v/>
      </c>
      <c r="F711" s="212" t="str">
        <f t="array" ref="F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Asesor'!D711, "")
</f>
        <v/>
      </c>
      <c r="G711" s="212" t="str">
        <f t="array" ref="G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Asesor'!E711, "")
</f>
        <v/>
      </c>
      <c r="H711" s="84" t="str">
        <f t="array" ref="H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Asesor'!F711, "")
</f>
        <v/>
      </c>
      <c r="I711" s="84" t="str">
        <f t="array" ref="I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Asesor'!G711, "")
</f>
        <v/>
      </c>
      <c r="J711" s="84" t="str">
        <f t="array" ref="J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Asesor'!H711, "")
</f>
        <v/>
      </c>
      <c r="K711" s="84" t="str">
        <f t="array" ref="K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Asesor'!K711, "")
</f>
        <v/>
      </c>
      <c r="L711" s="84" t="str">
        <f t="array" ref="L711">IF(OR(
    AND('BD Asesor'!H711="Mensual", MATCH($B$2, {"Enero", "Febrero", "Marzo", "Abril", "Mayo", "Junio", "Julio", "Agosto", "Septiembre", "Octubre", "Noviembre", "Diciembre"}, 0)&gt;=1),
    AND('BD Asesor'!H711="Trimestral", MOD(MATCH($B$2, {"Enero", "Febrero", "Marzo", "Abril", "Mayo", "Junio", "Julio", "Agosto", "Septiembre", "Octubre", "Noviembre"}, 0)-MONTH('BD Asesor'!D711), 3)=0),
    AND('BD Asesor'!H711="Semestral", MOD(MATCH($B$2, {"Enero", "Febrero", "Marzo", "Abril", "Mayo", "Junio", "Julio", "Agosto", "Septiembre", "Octubre", "Noviembre"}, 0)-MONTH('BD Asesor'!D711), 6)=0),
    AND('BD Asesor'!H711="Anual", MONTH('BD Asesor'!D711)=MATCH($B$2, {"Enero", "Febrero", "Marzo", "Abril", "Mayo", "Junio", "Julio", "Agosto", "Septiembre", "Octubre", "Noviembre"}, 0))
), 'BD Asesor'!L711, "")
</f>
        <v/>
      </c>
    </row>
    <row r="712">
      <c r="C712" s="84" t="str">
        <f t="array" ref="C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Asesor'!A712, "")
</f>
        <v/>
      </c>
      <c r="D712" s="84" t="str">
        <f t="array" ref="D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Asesor'!B712, "")
</f>
        <v/>
      </c>
      <c r="E712" s="212" t="str">
        <f t="array" ref="E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Asesor'!C712, "")
</f>
        <v/>
      </c>
      <c r="F712" s="212" t="str">
        <f t="array" ref="F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Asesor'!D712, "")
</f>
        <v/>
      </c>
      <c r="G712" s="212" t="str">
        <f t="array" ref="G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Asesor'!E712, "")
</f>
        <v/>
      </c>
      <c r="H712" s="84" t="str">
        <f t="array" ref="H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Asesor'!F712, "")
</f>
        <v/>
      </c>
      <c r="I712" s="84" t="str">
        <f t="array" ref="I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Asesor'!G712, "")
</f>
        <v/>
      </c>
      <c r="J712" s="84" t="str">
        <f t="array" ref="J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Asesor'!H712, "")
</f>
        <v/>
      </c>
      <c r="K712" s="84" t="str">
        <f t="array" ref="K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Asesor'!K712, "")
</f>
        <v/>
      </c>
      <c r="L712" s="84" t="str">
        <f t="array" ref="L712">IF(OR(
    AND('BD Asesor'!H712="Mensual", MATCH($B$2, {"Enero", "Febrero", "Marzo", "Abril", "Mayo", "Junio", "Julio", "Agosto", "Septiembre", "Octubre", "Noviembre", "Diciembre"}, 0)&gt;=1),
    AND('BD Asesor'!H712="Trimestral", MOD(MATCH($B$2, {"Enero", "Febrero", "Marzo", "Abril", "Mayo", "Junio", "Julio", "Agosto", "Septiembre", "Octubre", "Noviembre"}, 0)-MONTH('BD Asesor'!D712), 3)=0),
    AND('BD Asesor'!H712="Semestral", MOD(MATCH($B$2, {"Enero", "Febrero", "Marzo", "Abril", "Mayo", "Junio", "Julio", "Agosto", "Septiembre", "Octubre", "Noviembre"}, 0)-MONTH('BD Asesor'!D712), 6)=0),
    AND('BD Asesor'!H712="Anual", MONTH('BD Asesor'!D712)=MATCH($B$2, {"Enero", "Febrero", "Marzo", "Abril", "Mayo", "Junio", "Julio", "Agosto", "Septiembre", "Octubre", "Noviembre"}, 0))
), 'BD Asesor'!L712, "")
</f>
        <v/>
      </c>
    </row>
    <row r="713">
      <c r="C713" s="84" t="str">
        <f t="array" ref="C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Asesor'!A713, "")
</f>
        <v/>
      </c>
      <c r="D713" s="84" t="str">
        <f t="array" ref="D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Asesor'!B713, "")
</f>
        <v/>
      </c>
      <c r="E713" s="212" t="str">
        <f t="array" ref="E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Asesor'!C713, "")
</f>
        <v/>
      </c>
      <c r="F713" s="212" t="str">
        <f t="array" ref="F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Asesor'!D713, "")
</f>
        <v/>
      </c>
      <c r="G713" s="212" t="str">
        <f t="array" ref="G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Asesor'!E713, "")
</f>
        <v/>
      </c>
      <c r="H713" s="84" t="str">
        <f t="array" ref="H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Asesor'!F713, "")
</f>
        <v/>
      </c>
      <c r="I713" s="84" t="str">
        <f t="array" ref="I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Asesor'!G713, "")
</f>
        <v/>
      </c>
      <c r="J713" s="84" t="str">
        <f t="array" ref="J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Asesor'!H713, "")
</f>
        <v/>
      </c>
      <c r="K713" s="84" t="str">
        <f t="array" ref="K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Asesor'!K713, "")
</f>
        <v/>
      </c>
      <c r="L713" s="84" t="str">
        <f t="array" ref="L713">IF(OR(
    AND('BD Asesor'!H713="Mensual", MATCH($B$2, {"Enero", "Febrero", "Marzo", "Abril", "Mayo", "Junio", "Julio", "Agosto", "Septiembre", "Octubre", "Noviembre", "Diciembre"}, 0)&gt;=1),
    AND('BD Asesor'!H713="Trimestral", MOD(MATCH($B$2, {"Enero", "Febrero", "Marzo", "Abril", "Mayo", "Junio", "Julio", "Agosto", "Septiembre", "Octubre", "Noviembre"}, 0)-MONTH('BD Asesor'!D713), 3)=0),
    AND('BD Asesor'!H713="Semestral", MOD(MATCH($B$2, {"Enero", "Febrero", "Marzo", "Abril", "Mayo", "Junio", "Julio", "Agosto", "Septiembre", "Octubre", "Noviembre"}, 0)-MONTH('BD Asesor'!D713), 6)=0),
    AND('BD Asesor'!H713="Anual", MONTH('BD Asesor'!D713)=MATCH($B$2, {"Enero", "Febrero", "Marzo", "Abril", "Mayo", "Junio", "Julio", "Agosto", "Septiembre", "Octubre", "Noviembre"}, 0))
), 'BD Asesor'!L713, "")
</f>
        <v/>
      </c>
    </row>
    <row r="714">
      <c r="C714" s="84" t="str">
        <f t="array" ref="C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Asesor'!A714, "")
</f>
        <v/>
      </c>
      <c r="D714" s="84" t="str">
        <f t="array" ref="D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Asesor'!B714, "")
</f>
        <v/>
      </c>
      <c r="E714" s="212" t="str">
        <f t="array" ref="E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Asesor'!C714, "")
</f>
        <v/>
      </c>
      <c r="F714" s="212" t="str">
        <f t="array" ref="F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Asesor'!D714, "")
</f>
        <v/>
      </c>
      <c r="G714" s="212" t="str">
        <f t="array" ref="G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Asesor'!E714, "")
</f>
        <v/>
      </c>
      <c r="H714" s="84" t="str">
        <f t="array" ref="H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Asesor'!F714, "")
</f>
        <v/>
      </c>
      <c r="I714" s="84" t="str">
        <f t="array" ref="I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Asesor'!G714, "")
</f>
        <v/>
      </c>
      <c r="J714" s="84" t="str">
        <f t="array" ref="J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Asesor'!H714, "")
</f>
        <v/>
      </c>
      <c r="K714" s="84" t="str">
        <f t="array" ref="K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Asesor'!K714, "")
</f>
        <v/>
      </c>
      <c r="L714" s="84" t="str">
        <f t="array" ref="L714">IF(OR(
    AND('BD Asesor'!H714="Mensual", MATCH($B$2, {"Enero", "Febrero", "Marzo", "Abril", "Mayo", "Junio", "Julio", "Agosto", "Septiembre", "Octubre", "Noviembre", "Diciembre"}, 0)&gt;=1),
    AND('BD Asesor'!H714="Trimestral", MOD(MATCH($B$2, {"Enero", "Febrero", "Marzo", "Abril", "Mayo", "Junio", "Julio", "Agosto", "Septiembre", "Octubre", "Noviembre"}, 0)-MONTH('BD Asesor'!D714), 3)=0),
    AND('BD Asesor'!H714="Semestral", MOD(MATCH($B$2, {"Enero", "Febrero", "Marzo", "Abril", "Mayo", "Junio", "Julio", "Agosto", "Septiembre", "Octubre", "Noviembre"}, 0)-MONTH('BD Asesor'!D714), 6)=0),
    AND('BD Asesor'!H714="Anual", MONTH('BD Asesor'!D714)=MATCH($B$2, {"Enero", "Febrero", "Marzo", "Abril", "Mayo", "Junio", "Julio", "Agosto", "Septiembre", "Octubre", "Noviembre"}, 0))
), 'BD Asesor'!L714, "")
</f>
        <v/>
      </c>
    </row>
    <row r="715">
      <c r="C715" s="84" t="str">
        <f t="array" ref="C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Asesor'!A715, "")
</f>
        <v/>
      </c>
      <c r="D715" s="84" t="str">
        <f t="array" ref="D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Asesor'!B715, "")
</f>
        <v/>
      </c>
      <c r="E715" s="212" t="str">
        <f t="array" ref="E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Asesor'!C715, "")
</f>
        <v/>
      </c>
      <c r="F715" s="212" t="str">
        <f t="array" ref="F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Asesor'!D715, "")
</f>
        <v/>
      </c>
      <c r="G715" s="212" t="str">
        <f t="array" ref="G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Asesor'!E715, "")
</f>
        <v/>
      </c>
      <c r="H715" s="84" t="str">
        <f t="array" ref="H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Asesor'!F715, "")
</f>
        <v/>
      </c>
      <c r="I715" s="84" t="str">
        <f t="array" ref="I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Asesor'!G715, "")
</f>
        <v/>
      </c>
      <c r="J715" s="84" t="str">
        <f t="array" ref="J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Asesor'!H715, "")
</f>
        <v/>
      </c>
      <c r="K715" s="84" t="str">
        <f t="array" ref="K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Asesor'!K715, "")
</f>
        <v/>
      </c>
      <c r="L715" s="84" t="str">
        <f t="array" ref="L715">IF(OR(
    AND('BD Asesor'!H715="Mensual", MATCH($B$2, {"Enero", "Febrero", "Marzo", "Abril", "Mayo", "Junio", "Julio", "Agosto", "Septiembre", "Octubre", "Noviembre", "Diciembre"}, 0)&gt;=1),
    AND('BD Asesor'!H715="Trimestral", MOD(MATCH($B$2, {"Enero", "Febrero", "Marzo", "Abril", "Mayo", "Junio", "Julio", "Agosto", "Septiembre", "Octubre", "Noviembre"}, 0)-MONTH('BD Asesor'!D715), 3)=0),
    AND('BD Asesor'!H715="Semestral", MOD(MATCH($B$2, {"Enero", "Febrero", "Marzo", "Abril", "Mayo", "Junio", "Julio", "Agosto", "Septiembre", "Octubre", "Noviembre"}, 0)-MONTH('BD Asesor'!D715), 6)=0),
    AND('BD Asesor'!H715="Anual", MONTH('BD Asesor'!D715)=MATCH($B$2, {"Enero", "Febrero", "Marzo", "Abril", "Mayo", "Junio", "Julio", "Agosto", "Septiembre", "Octubre", "Noviembre"}, 0))
), 'BD Asesor'!L715, "")
</f>
        <v/>
      </c>
    </row>
    <row r="716">
      <c r="C716" s="84" t="str">
        <f t="array" ref="C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Asesor'!A716, "")
</f>
        <v/>
      </c>
      <c r="D716" s="84" t="str">
        <f t="array" ref="D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Asesor'!B716, "")
</f>
        <v/>
      </c>
      <c r="E716" s="212" t="str">
        <f t="array" ref="E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Asesor'!C716, "")
</f>
        <v/>
      </c>
      <c r="F716" s="212" t="str">
        <f t="array" ref="F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Asesor'!D716, "")
</f>
        <v/>
      </c>
      <c r="G716" s="212" t="str">
        <f t="array" ref="G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Asesor'!E716, "")
</f>
        <v/>
      </c>
      <c r="H716" s="84" t="str">
        <f t="array" ref="H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Asesor'!F716, "")
</f>
        <v/>
      </c>
      <c r="I716" s="84" t="str">
        <f t="array" ref="I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Asesor'!G716, "")
</f>
        <v/>
      </c>
      <c r="J716" s="84" t="str">
        <f t="array" ref="J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Asesor'!H716, "")
</f>
        <v/>
      </c>
      <c r="K716" s="84" t="str">
        <f t="array" ref="K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Asesor'!K716, "")
</f>
        <v/>
      </c>
      <c r="L716" s="84" t="str">
        <f t="array" ref="L716">IF(OR(
    AND('BD Asesor'!H716="Mensual", MATCH($B$2, {"Enero", "Febrero", "Marzo", "Abril", "Mayo", "Junio", "Julio", "Agosto", "Septiembre", "Octubre", "Noviembre", "Diciembre"}, 0)&gt;=1),
    AND('BD Asesor'!H716="Trimestral", MOD(MATCH($B$2, {"Enero", "Febrero", "Marzo", "Abril", "Mayo", "Junio", "Julio", "Agosto", "Septiembre", "Octubre", "Noviembre"}, 0)-MONTH('BD Asesor'!D716), 3)=0),
    AND('BD Asesor'!H716="Semestral", MOD(MATCH($B$2, {"Enero", "Febrero", "Marzo", "Abril", "Mayo", "Junio", "Julio", "Agosto", "Septiembre", "Octubre", "Noviembre"}, 0)-MONTH('BD Asesor'!D716), 6)=0),
    AND('BD Asesor'!H716="Anual", MONTH('BD Asesor'!D716)=MATCH($B$2, {"Enero", "Febrero", "Marzo", "Abril", "Mayo", "Junio", "Julio", "Agosto", "Septiembre", "Octubre", "Noviembre"}, 0))
), 'BD Asesor'!L716, "")
</f>
        <v/>
      </c>
    </row>
    <row r="717">
      <c r="C717" s="84" t="str">
        <f t="array" ref="C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Asesor'!A717, "")
</f>
        <v/>
      </c>
      <c r="D717" s="84" t="str">
        <f t="array" ref="D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Asesor'!B717, "")
</f>
        <v/>
      </c>
      <c r="E717" s="212" t="str">
        <f t="array" ref="E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Asesor'!C717, "")
</f>
        <v/>
      </c>
      <c r="F717" s="212" t="str">
        <f t="array" ref="F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Asesor'!D717, "")
</f>
        <v/>
      </c>
      <c r="G717" s="212" t="str">
        <f t="array" ref="G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Asesor'!E717, "")
</f>
        <v/>
      </c>
      <c r="H717" s="84" t="str">
        <f t="array" ref="H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Asesor'!F717, "")
</f>
        <v/>
      </c>
      <c r="I717" s="84" t="str">
        <f t="array" ref="I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Asesor'!G717, "")
</f>
        <v/>
      </c>
      <c r="J717" s="84" t="str">
        <f t="array" ref="J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Asesor'!H717, "")
</f>
        <v/>
      </c>
      <c r="K717" s="84" t="str">
        <f t="array" ref="K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Asesor'!K717, "")
</f>
        <v/>
      </c>
      <c r="L717" s="84" t="str">
        <f t="array" ref="L717">IF(OR(
    AND('BD Asesor'!H717="Mensual", MATCH($B$2, {"Enero", "Febrero", "Marzo", "Abril", "Mayo", "Junio", "Julio", "Agosto", "Septiembre", "Octubre", "Noviembre", "Diciembre"}, 0)&gt;=1),
    AND('BD Asesor'!H717="Trimestral", MOD(MATCH($B$2, {"Enero", "Febrero", "Marzo", "Abril", "Mayo", "Junio", "Julio", "Agosto", "Septiembre", "Octubre", "Noviembre"}, 0)-MONTH('BD Asesor'!D717), 3)=0),
    AND('BD Asesor'!H717="Semestral", MOD(MATCH($B$2, {"Enero", "Febrero", "Marzo", "Abril", "Mayo", "Junio", "Julio", "Agosto", "Septiembre", "Octubre", "Noviembre"}, 0)-MONTH('BD Asesor'!D717), 6)=0),
    AND('BD Asesor'!H717="Anual", MONTH('BD Asesor'!D717)=MATCH($B$2, {"Enero", "Febrero", "Marzo", "Abril", "Mayo", "Junio", "Julio", "Agosto", "Septiembre", "Octubre", "Noviembre"}, 0))
), 'BD Asesor'!L717, "")
</f>
        <v/>
      </c>
    </row>
    <row r="718">
      <c r="C718" s="84" t="str">
        <f t="array" ref="C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Asesor'!A718, "")
</f>
        <v/>
      </c>
      <c r="D718" s="84" t="str">
        <f t="array" ref="D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Asesor'!B718, "")
</f>
        <v/>
      </c>
      <c r="E718" s="212" t="str">
        <f t="array" ref="E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Asesor'!C718, "")
</f>
        <v/>
      </c>
      <c r="F718" s="212" t="str">
        <f t="array" ref="F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Asesor'!D718, "")
</f>
        <v/>
      </c>
      <c r="G718" s="212" t="str">
        <f t="array" ref="G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Asesor'!E718, "")
</f>
        <v/>
      </c>
      <c r="H718" s="84" t="str">
        <f t="array" ref="H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Asesor'!F718, "")
</f>
        <v/>
      </c>
      <c r="I718" s="84" t="str">
        <f t="array" ref="I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Asesor'!G718, "")
</f>
        <v/>
      </c>
      <c r="J718" s="84" t="str">
        <f t="array" ref="J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Asesor'!H718, "")
</f>
        <v/>
      </c>
      <c r="K718" s="84" t="str">
        <f t="array" ref="K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Asesor'!K718, "")
</f>
        <v/>
      </c>
      <c r="L718" s="84" t="str">
        <f t="array" ref="L718">IF(OR(
    AND('BD Asesor'!H718="Mensual", MATCH($B$2, {"Enero", "Febrero", "Marzo", "Abril", "Mayo", "Junio", "Julio", "Agosto", "Septiembre", "Octubre", "Noviembre", "Diciembre"}, 0)&gt;=1),
    AND('BD Asesor'!H718="Trimestral", MOD(MATCH($B$2, {"Enero", "Febrero", "Marzo", "Abril", "Mayo", "Junio", "Julio", "Agosto", "Septiembre", "Octubre", "Noviembre"}, 0)-MONTH('BD Asesor'!D718), 3)=0),
    AND('BD Asesor'!H718="Semestral", MOD(MATCH($B$2, {"Enero", "Febrero", "Marzo", "Abril", "Mayo", "Junio", "Julio", "Agosto", "Septiembre", "Octubre", "Noviembre"}, 0)-MONTH('BD Asesor'!D718), 6)=0),
    AND('BD Asesor'!H718="Anual", MONTH('BD Asesor'!D718)=MATCH($B$2, {"Enero", "Febrero", "Marzo", "Abril", "Mayo", "Junio", "Julio", "Agosto", "Septiembre", "Octubre", "Noviembre"}, 0))
), 'BD Asesor'!L718, "")
</f>
        <v/>
      </c>
    </row>
    <row r="719">
      <c r="C719" s="84" t="str">
        <f t="array" ref="C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Asesor'!A719, "")
</f>
        <v/>
      </c>
      <c r="D719" s="84" t="str">
        <f t="array" ref="D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Asesor'!B719, "")
</f>
        <v/>
      </c>
      <c r="E719" s="212" t="str">
        <f t="array" ref="E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Asesor'!C719, "")
</f>
        <v/>
      </c>
      <c r="F719" s="212" t="str">
        <f t="array" ref="F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Asesor'!D719, "")
</f>
        <v/>
      </c>
      <c r="G719" s="212" t="str">
        <f t="array" ref="G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Asesor'!E719, "")
</f>
        <v/>
      </c>
      <c r="H719" s="84" t="str">
        <f t="array" ref="H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Asesor'!F719, "")
</f>
        <v/>
      </c>
      <c r="I719" s="84" t="str">
        <f t="array" ref="I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Asesor'!G719, "")
</f>
        <v/>
      </c>
      <c r="J719" s="84" t="str">
        <f t="array" ref="J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Asesor'!H719, "")
</f>
        <v/>
      </c>
      <c r="K719" s="84" t="str">
        <f t="array" ref="K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Asesor'!K719, "")
</f>
        <v/>
      </c>
      <c r="L719" s="84" t="str">
        <f t="array" ref="L719">IF(OR(
    AND('BD Asesor'!H719="Mensual", MATCH($B$2, {"Enero", "Febrero", "Marzo", "Abril", "Mayo", "Junio", "Julio", "Agosto", "Septiembre", "Octubre", "Noviembre", "Diciembre"}, 0)&gt;=1),
    AND('BD Asesor'!H719="Trimestral", MOD(MATCH($B$2, {"Enero", "Febrero", "Marzo", "Abril", "Mayo", "Junio", "Julio", "Agosto", "Septiembre", "Octubre", "Noviembre"}, 0)-MONTH('BD Asesor'!D719), 3)=0),
    AND('BD Asesor'!H719="Semestral", MOD(MATCH($B$2, {"Enero", "Febrero", "Marzo", "Abril", "Mayo", "Junio", "Julio", "Agosto", "Septiembre", "Octubre", "Noviembre"}, 0)-MONTH('BD Asesor'!D719), 6)=0),
    AND('BD Asesor'!H719="Anual", MONTH('BD Asesor'!D719)=MATCH($B$2, {"Enero", "Febrero", "Marzo", "Abril", "Mayo", "Junio", "Julio", "Agosto", "Septiembre", "Octubre", "Noviembre"}, 0))
), 'BD Asesor'!L719, "")
</f>
        <v/>
      </c>
    </row>
    <row r="720">
      <c r="C720" s="84" t="str">
        <f t="array" ref="C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Asesor'!A720, "")
</f>
        <v/>
      </c>
      <c r="D720" s="84" t="str">
        <f t="array" ref="D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Asesor'!B720, "")
</f>
        <v/>
      </c>
      <c r="E720" s="212" t="str">
        <f t="array" ref="E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Asesor'!C720, "")
</f>
        <v/>
      </c>
      <c r="F720" s="212" t="str">
        <f t="array" ref="F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Asesor'!D720, "")
</f>
        <v/>
      </c>
      <c r="G720" s="212" t="str">
        <f t="array" ref="G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Asesor'!E720, "")
</f>
        <v/>
      </c>
      <c r="H720" s="84" t="str">
        <f t="array" ref="H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Asesor'!F720, "")
</f>
        <v/>
      </c>
      <c r="I720" s="84" t="str">
        <f t="array" ref="I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Asesor'!G720, "")
</f>
        <v/>
      </c>
      <c r="J720" s="84" t="str">
        <f t="array" ref="J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Asesor'!H720, "")
</f>
        <v/>
      </c>
      <c r="K720" s="84" t="str">
        <f t="array" ref="K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Asesor'!K720, "")
</f>
        <v/>
      </c>
      <c r="L720" s="84" t="str">
        <f t="array" ref="L720">IF(OR(
    AND('BD Asesor'!H720="Mensual", MATCH($B$2, {"Enero", "Febrero", "Marzo", "Abril", "Mayo", "Junio", "Julio", "Agosto", "Septiembre", "Octubre", "Noviembre", "Diciembre"}, 0)&gt;=1),
    AND('BD Asesor'!H720="Trimestral", MOD(MATCH($B$2, {"Enero", "Febrero", "Marzo", "Abril", "Mayo", "Junio", "Julio", "Agosto", "Septiembre", "Octubre", "Noviembre"}, 0)-MONTH('BD Asesor'!D720), 3)=0),
    AND('BD Asesor'!H720="Semestral", MOD(MATCH($B$2, {"Enero", "Febrero", "Marzo", "Abril", "Mayo", "Junio", "Julio", "Agosto", "Septiembre", "Octubre", "Noviembre"}, 0)-MONTH('BD Asesor'!D720), 6)=0),
    AND('BD Asesor'!H720="Anual", MONTH('BD Asesor'!D720)=MATCH($B$2, {"Enero", "Febrero", "Marzo", "Abril", "Mayo", "Junio", "Julio", "Agosto", "Septiembre", "Octubre", "Noviembre"}, 0))
), 'BD Asesor'!L720, "")
</f>
        <v/>
      </c>
    </row>
    <row r="721">
      <c r="C721" s="84" t="str">
        <f t="array" ref="C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Asesor'!A721, "")
</f>
        <v/>
      </c>
      <c r="D721" s="84" t="str">
        <f t="array" ref="D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Asesor'!B721, "")
</f>
        <v/>
      </c>
      <c r="E721" s="212" t="str">
        <f t="array" ref="E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Asesor'!C721, "")
</f>
        <v/>
      </c>
      <c r="F721" s="212" t="str">
        <f t="array" ref="F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Asesor'!D721, "")
</f>
        <v/>
      </c>
      <c r="G721" s="212" t="str">
        <f t="array" ref="G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Asesor'!E721, "")
</f>
        <v/>
      </c>
      <c r="H721" s="84" t="str">
        <f t="array" ref="H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Asesor'!F721, "")
</f>
        <v/>
      </c>
      <c r="I721" s="84" t="str">
        <f t="array" ref="I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Asesor'!G721, "")
</f>
        <v/>
      </c>
      <c r="J721" s="84" t="str">
        <f t="array" ref="J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Asesor'!H721, "")
</f>
        <v/>
      </c>
      <c r="K721" s="84" t="str">
        <f t="array" ref="K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Asesor'!K721, "")
</f>
        <v/>
      </c>
      <c r="L721" s="84" t="str">
        <f t="array" ref="L721">IF(OR(
    AND('BD Asesor'!H721="Mensual", MATCH($B$2, {"Enero", "Febrero", "Marzo", "Abril", "Mayo", "Junio", "Julio", "Agosto", "Septiembre", "Octubre", "Noviembre", "Diciembre"}, 0)&gt;=1),
    AND('BD Asesor'!H721="Trimestral", MOD(MATCH($B$2, {"Enero", "Febrero", "Marzo", "Abril", "Mayo", "Junio", "Julio", "Agosto", "Septiembre", "Octubre", "Noviembre"}, 0)-MONTH('BD Asesor'!D721), 3)=0),
    AND('BD Asesor'!H721="Semestral", MOD(MATCH($B$2, {"Enero", "Febrero", "Marzo", "Abril", "Mayo", "Junio", "Julio", "Agosto", "Septiembre", "Octubre", "Noviembre"}, 0)-MONTH('BD Asesor'!D721), 6)=0),
    AND('BD Asesor'!H721="Anual", MONTH('BD Asesor'!D721)=MATCH($B$2, {"Enero", "Febrero", "Marzo", "Abril", "Mayo", "Junio", "Julio", "Agosto", "Septiembre", "Octubre", "Noviembre"}, 0))
), 'BD Asesor'!L721, "")
</f>
        <v/>
      </c>
    </row>
    <row r="722">
      <c r="C722" s="84" t="str">
        <f t="array" ref="C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Asesor'!A722, "")
</f>
        <v/>
      </c>
      <c r="D722" s="84" t="str">
        <f t="array" ref="D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Asesor'!B722, "")
</f>
        <v/>
      </c>
      <c r="E722" s="212" t="str">
        <f t="array" ref="E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Asesor'!C722, "")
</f>
        <v/>
      </c>
      <c r="F722" s="212" t="str">
        <f t="array" ref="F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Asesor'!D722, "")
</f>
        <v/>
      </c>
      <c r="G722" s="212" t="str">
        <f t="array" ref="G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Asesor'!E722, "")
</f>
        <v/>
      </c>
      <c r="H722" s="84" t="str">
        <f t="array" ref="H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Asesor'!F722, "")
</f>
        <v/>
      </c>
      <c r="I722" s="84" t="str">
        <f t="array" ref="I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Asesor'!G722, "")
</f>
        <v/>
      </c>
      <c r="J722" s="84" t="str">
        <f t="array" ref="J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Asesor'!H722, "")
</f>
        <v/>
      </c>
      <c r="K722" s="84" t="str">
        <f t="array" ref="K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Asesor'!K722, "")
</f>
        <v/>
      </c>
      <c r="L722" s="84" t="str">
        <f t="array" ref="L722">IF(OR(
    AND('BD Asesor'!H722="Mensual", MATCH($B$2, {"Enero", "Febrero", "Marzo", "Abril", "Mayo", "Junio", "Julio", "Agosto", "Septiembre", "Octubre", "Noviembre", "Diciembre"}, 0)&gt;=1),
    AND('BD Asesor'!H722="Trimestral", MOD(MATCH($B$2, {"Enero", "Febrero", "Marzo", "Abril", "Mayo", "Junio", "Julio", "Agosto", "Septiembre", "Octubre", "Noviembre"}, 0)-MONTH('BD Asesor'!D722), 3)=0),
    AND('BD Asesor'!H722="Semestral", MOD(MATCH($B$2, {"Enero", "Febrero", "Marzo", "Abril", "Mayo", "Junio", "Julio", "Agosto", "Septiembre", "Octubre", "Noviembre"}, 0)-MONTH('BD Asesor'!D722), 6)=0),
    AND('BD Asesor'!H722="Anual", MONTH('BD Asesor'!D722)=MATCH($B$2, {"Enero", "Febrero", "Marzo", "Abril", "Mayo", "Junio", "Julio", "Agosto", "Septiembre", "Octubre", "Noviembre"}, 0))
), 'BD Asesor'!L722, "")
</f>
        <v/>
      </c>
    </row>
    <row r="723">
      <c r="C723" s="84" t="str">
        <f t="array" ref="C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Asesor'!A723, "")
</f>
        <v/>
      </c>
      <c r="D723" s="84" t="str">
        <f t="array" ref="D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Asesor'!B723, "")
</f>
        <v/>
      </c>
      <c r="E723" s="212" t="str">
        <f t="array" ref="E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Asesor'!C723, "")
</f>
        <v/>
      </c>
      <c r="F723" s="212" t="str">
        <f t="array" ref="F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Asesor'!D723, "")
</f>
        <v/>
      </c>
      <c r="G723" s="212" t="str">
        <f t="array" ref="G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Asesor'!E723, "")
</f>
        <v/>
      </c>
      <c r="H723" s="84" t="str">
        <f t="array" ref="H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Asesor'!F723, "")
</f>
        <v/>
      </c>
      <c r="I723" s="84" t="str">
        <f t="array" ref="I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Asesor'!G723, "")
</f>
        <v/>
      </c>
      <c r="J723" s="84" t="str">
        <f t="array" ref="J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Asesor'!H723, "")
</f>
        <v/>
      </c>
      <c r="K723" s="84" t="str">
        <f t="array" ref="K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Asesor'!K723, "")
</f>
        <v/>
      </c>
      <c r="L723" s="84" t="str">
        <f t="array" ref="L723">IF(OR(
    AND('BD Asesor'!H723="Mensual", MATCH($B$2, {"Enero", "Febrero", "Marzo", "Abril", "Mayo", "Junio", "Julio", "Agosto", "Septiembre", "Octubre", "Noviembre", "Diciembre"}, 0)&gt;=1),
    AND('BD Asesor'!H723="Trimestral", MOD(MATCH($B$2, {"Enero", "Febrero", "Marzo", "Abril", "Mayo", "Junio", "Julio", "Agosto", "Septiembre", "Octubre", "Noviembre"}, 0)-MONTH('BD Asesor'!D723), 3)=0),
    AND('BD Asesor'!H723="Semestral", MOD(MATCH($B$2, {"Enero", "Febrero", "Marzo", "Abril", "Mayo", "Junio", "Julio", "Agosto", "Septiembre", "Octubre", "Noviembre"}, 0)-MONTH('BD Asesor'!D723), 6)=0),
    AND('BD Asesor'!H723="Anual", MONTH('BD Asesor'!D723)=MATCH($B$2, {"Enero", "Febrero", "Marzo", "Abril", "Mayo", "Junio", "Julio", "Agosto", "Septiembre", "Octubre", "Noviembre"}, 0))
), 'BD Asesor'!L723, "")
</f>
        <v/>
      </c>
    </row>
    <row r="724">
      <c r="C724" s="84" t="str">
        <f t="array" ref="C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Asesor'!A724, "")
</f>
        <v/>
      </c>
      <c r="D724" s="84" t="str">
        <f t="array" ref="D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Asesor'!B724, "")
</f>
        <v/>
      </c>
      <c r="E724" s="212" t="str">
        <f t="array" ref="E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Asesor'!C724, "")
</f>
        <v/>
      </c>
      <c r="F724" s="212" t="str">
        <f t="array" ref="F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Asesor'!D724, "")
</f>
        <v/>
      </c>
      <c r="G724" s="212" t="str">
        <f t="array" ref="G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Asesor'!E724, "")
</f>
        <v/>
      </c>
      <c r="H724" s="84" t="str">
        <f t="array" ref="H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Asesor'!F724, "")
</f>
        <v/>
      </c>
      <c r="I724" s="84" t="str">
        <f t="array" ref="I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Asesor'!G724, "")
</f>
        <v/>
      </c>
      <c r="J724" s="84" t="str">
        <f t="array" ref="J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Asesor'!H724, "")
</f>
        <v/>
      </c>
      <c r="K724" s="84" t="str">
        <f t="array" ref="K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Asesor'!K724, "")
</f>
        <v/>
      </c>
      <c r="L724" s="84" t="str">
        <f t="array" ref="L724">IF(OR(
    AND('BD Asesor'!H724="Mensual", MATCH($B$2, {"Enero", "Febrero", "Marzo", "Abril", "Mayo", "Junio", "Julio", "Agosto", "Septiembre", "Octubre", "Noviembre", "Diciembre"}, 0)&gt;=1),
    AND('BD Asesor'!H724="Trimestral", MOD(MATCH($B$2, {"Enero", "Febrero", "Marzo", "Abril", "Mayo", "Junio", "Julio", "Agosto", "Septiembre", "Octubre", "Noviembre"}, 0)-MONTH('BD Asesor'!D724), 3)=0),
    AND('BD Asesor'!H724="Semestral", MOD(MATCH($B$2, {"Enero", "Febrero", "Marzo", "Abril", "Mayo", "Junio", "Julio", "Agosto", "Septiembre", "Octubre", "Noviembre"}, 0)-MONTH('BD Asesor'!D724), 6)=0),
    AND('BD Asesor'!H724="Anual", MONTH('BD Asesor'!D724)=MATCH($B$2, {"Enero", "Febrero", "Marzo", "Abril", "Mayo", "Junio", "Julio", "Agosto", "Septiembre", "Octubre", "Noviembre"}, 0))
), 'BD Asesor'!L724, "")
</f>
        <v/>
      </c>
    </row>
    <row r="725">
      <c r="C725" s="84" t="str">
        <f t="array" ref="C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Asesor'!A725, "")
</f>
        <v/>
      </c>
      <c r="D725" s="84" t="str">
        <f t="array" ref="D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Asesor'!B725, "")
</f>
        <v/>
      </c>
      <c r="E725" s="212" t="str">
        <f t="array" ref="E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Asesor'!C725, "")
</f>
        <v/>
      </c>
      <c r="F725" s="212" t="str">
        <f t="array" ref="F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Asesor'!D725, "")
</f>
        <v/>
      </c>
      <c r="G725" s="212" t="str">
        <f t="array" ref="G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Asesor'!E725, "")
</f>
        <v/>
      </c>
      <c r="H725" s="84" t="str">
        <f t="array" ref="H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Asesor'!F725, "")
</f>
        <v/>
      </c>
      <c r="I725" s="84" t="str">
        <f t="array" ref="I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Asesor'!G725, "")
</f>
        <v/>
      </c>
      <c r="J725" s="84" t="str">
        <f t="array" ref="J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Asesor'!H725, "")
</f>
        <v/>
      </c>
      <c r="K725" s="84" t="str">
        <f t="array" ref="K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Asesor'!K725, "")
</f>
        <v/>
      </c>
      <c r="L725" s="84" t="str">
        <f t="array" ref="L725">IF(OR(
    AND('BD Asesor'!H725="Mensual", MATCH($B$2, {"Enero", "Febrero", "Marzo", "Abril", "Mayo", "Junio", "Julio", "Agosto", "Septiembre", "Octubre", "Noviembre", "Diciembre"}, 0)&gt;=1),
    AND('BD Asesor'!H725="Trimestral", MOD(MATCH($B$2, {"Enero", "Febrero", "Marzo", "Abril", "Mayo", "Junio", "Julio", "Agosto", "Septiembre", "Octubre", "Noviembre"}, 0)-MONTH('BD Asesor'!D725), 3)=0),
    AND('BD Asesor'!H725="Semestral", MOD(MATCH($B$2, {"Enero", "Febrero", "Marzo", "Abril", "Mayo", "Junio", "Julio", "Agosto", "Septiembre", "Octubre", "Noviembre"}, 0)-MONTH('BD Asesor'!D725), 6)=0),
    AND('BD Asesor'!H725="Anual", MONTH('BD Asesor'!D725)=MATCH($B$2, {"Enero", "Febrero", "Marzo", "Abril", "Mayo", "Junio", "Julio", "Agosto", "Septiembre", "Octubre", "Noviembre"}, 0))
), 'BD Asesor'!L725, "")
</f>
        <v/>
      </c>
    </row>
    <row r="726">
      <c r="C726" s="84" t="str">
        <f t="array" ref="C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Asesor'!A726, "")
</f>
        <v/>
      </c>
      <c r="D726" s="84" t="str">
        <f t="array" ref="D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Asesor'!B726, "")
</f>
        <v/>
      </c>
      <c r="E726" s="212" t="str">
        <f t="array" ref="E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Asesor'!C726, "")
</f>
        <v/>
      </c>
      <c r="F726" s="212" t="str">
        <f t="array" ref="F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Asesor'!D726, "")
</f>
        <v/>
      </c>
      <c r="G726" s="212" t="str">
        <f t="array" ref="G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Asesor'!E726, "")
</f>
        <v/>
      </c>
      <c r="H726" s="84" t="str">
        <f t="array" ref="H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Asesor'!F726, "")
</f>
        <v/>
      </c>
      <c r="I726" s="84" t="str">
        <f t="array" ref="I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Asesor'!G726, "")
</f>
        <v/>
      </c>
      <c r="J726" s="84" t="str">
        <f t="array" ref="J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Asesor'!H726, "")
</f>
        <v/>
      </c>
      <c r="K726" s="84" t="str">
        <f t="array" ref="K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Asesor'!K726, "")
</f>
        <v/>
      </c>
      <c r="L726" s="84" t="str">
        <f t="array" ref="L726">IF(OR(
    AND('BD Asesor'!H726="Mensual", MATCH($B$2, {"Enero", "Febrero", "Marzo", "Abril", "Mayo", "Junio", "Julio", "Agosto", "Septiembre", "Octubre", "Noviembre", "Diciembre"}, 0)&gt;=1),
    AND('BD Asesor'!H726="Trimestral", MOD(MATCH($B$2, {"Enero", "Febrero", "Marzo", "Abril", "Mayo", "Junio", "Julio", "Agosto", "Septiembre", "Octubre", "Noviembre"}, 0)-MONTH('BD Asesor'!D726), 3)=0),
    AND('BD Asesor'!H726="Semestral", MOD(MATCH($B$2, {"Enero", "Febrero", "Marzo", "Abril", "Mayo", "Junio", "Julio", "Agosto", "Septiembre", "Octubre", "Noviembre"}, 0)-MONTH('BD Asesor'!D726), 6)=0),
    AND('BD Asesor'!H726="Anual", MONTH('BD Asesor'!D726)=MATCH($B$2, {"Enero", "Febrero", "Marzo", "Abril", "Mayo", "Junio", "Julio", "Agosto", "Septiembre", "Octubre", "Noviembre"}, 0))
), 'BD Asesor'!L726, "")
</f>
        <v/>
      </c>
    </row>
    <row r="727">
      <c r="C727" s="84" t="str">
        <f t="array" ref="C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Asesor'!A727, "")
</f>
        <v/>
      </c>
      <c r="D727" s="84" t="str">
        <f t="array" ref="D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Asesor'!B727, "")
</f>
        <v/>
      </c>
      <c r="E727" s="212" t="str">
        <f t="array" ref="E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Asesor'!C727, "")
</f>
        <v/>
      </c>
      <c r="F727" s="212" t="str">
        <f t="array" ref="F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Asesor'!D727, "")
</f>
        <v/>
      </c>
      <c r="G727" s="212" t="str">
        <f t="array" ref="G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Asesor'!E727, "")
</f>
        <v/>
      </c>
      <c r="H727" s="84" t="str">
        <f t="array" ref="H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Asesor'!F727, "")
</f>
        <v/>
      </c>
      <c r="I727" s="84" t="str">
        <f t="array" ref="I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Asesor'!G727, "")
</f>
        <v/>
      </c>
      <c r="J727" s="84" t="str">
        <f t="array" ref="J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Asesor'!H727, "")
</f>
        <v/>
      </c>
      <c r="K727" s="84" t="str">
        <f t="array" ref="K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Asesor'!K727, "")
</f>
        <v/>
      </c>
      <c r="L727" s="84" t="str">
        <f t="array" ref="L727">IF(OR(
    AND('BD Asesor'!H727="Mensual", MATCH($B$2, {"Enero", "Febrero", "Marzo", "Abril", "Mayo", "Junio", "Julio", "Agosto", "Septiembre", "Octubre", "Noviembre", "Diciembre"}, 0)&gt;=1),
    AND('BD Asesor'!H727="Trimestral", MOD(MATCH($B$2, {"Enero", "Febrero", "Marzo", "Abril", "Mayo", "Junio", "Julio", "Agosto", "Septiembre", "Octubre", "Noviembre"}, 0)-MONTH('BD Asesor'!D727), 3)=0),
    AND('BD Asesor'!H727="Semestral", MOD(MATCH($B$2, {"Enero", "Febrero", "Marzo", "Abril", "Mayo", "Junio", "Julio", "Agosto", "Septiembre", "Octubre", "Noviembre"}, 0)-MONTH('BD Asesor'!D727), 6)=0),
    AND('BD Asesor'!H727="Anual", MONTH('BD Asesor'!D727)=MATCH($B$2, {"Enero", "Febrero", "Marzo", "Abril", "Mayo", "Junio", "Julio", "Agosto", "Septiembre", "Octubre", "Noviembre"}, 0))
), 'BD Asesor'!L727, "")
</f>
        <v/>
      </c>
    </row>
    <row r="728">
      <c r="C728" s="84" t="str">
        <f t="array" ref="C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Asesor'!A728, "")
</f>
        <v/>
      </c>
      <c r="D728" s="84" t="str">
        <f t="array" ref="D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Asesor'!B728, "")
</f>
        <v/>
      </c>
      <c r="E728" s="212" t="str">
        <f t="array" ref="E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Asesor'!C728, "")
</f>
        <v/>
      </c>
      <c r="F728" s="212" t="str">
        <f t="array" ref="F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Asesor'!D728, "")
</f>
        <v/>
      </c>
      <c r="G728" s="212" t="str">
        <f t="array" ref="G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Asesor'!E728, "")
</f>
        <v/>
      </c>
      <c r="H728" s="84" t="str">
        <f t="array" ref="H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Asesor'!F728, "")
</f>
        <v/>
      </c>
      <c r="I728" s="84" t="str">
        <f t="array" ref="I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Asesor'!G728, "")
</f>
        <v/>
      </c>
      <c r="J728" s="84" t="str">
        <f t="array" ref="J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Asesor'!H728, "")
</f>
        <v/>
      </c>
      <c r="K728" s="84" t="str">
        <f t="array" ref="K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Asesor'!K728, "")
</f>
        <v/>
      </c>
      <c r="L728" s="84" t="str">
        <f t="array" ref="L728">IF(OR(
    AND('BD Asesor'!H728="Mensual", MATCH($B$2, {"Enero", "Febrero", "Marzo", "Abril", "Mayo", "Junio", "Julio", "Agosto", "Septiembre", "Octubre", "Noviembre", "Diciembre"}, 0)&gt;=1),
    AND('BD Asesor'!H728="Trimestral", MOD(MATCH($B$2, {"Enero", "Febrero", "Marzo", "Abril", "Mayo", "Junio", "Julio", "Agosto", "Septiembre", "Octubre", "Noviembre"}, 0)-MONTH('BD Asesor'!D728), 3)=0),
    AND('BD Asesor'!H728="Semestral", MOD(MATCH($B$2, {"Enero", "Febrero", "Marzo", "Abril", "Mayo", "Junio", "Julio", "Agosto", "Septiembre", "Octubre", "Noviembre"}, 0)-MONTH('BD Asesor'!D728), 6)=0),
    AND('BD Asesor'!H728="Anual", MONTH('BD Asesor'!D728)=MATCH($B$2, {"Enero", "Febrero", "Marzo", "Abril", "Mayo", "Junio", "Julio", "Agosto", "Septiembre", "Octubre", "Noviembre"}, 0))
), 'BD Asesor'!L728, "")
</f>
        <v/>
      </c>
    </row>
    <row r="729">
      <c r="C729" s="84" t="str">
        <f t="array" ref="C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Asesor'!A729, "")
</f>
        <v/>
      </c>
      <c r="D729" s="84" t="str">
        <f t="array" ref="D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Asesor'!B729, "")
</f>
        <v/>
      </c>
      <c r="E729" s="212" t="str">
        <f t="array" ref="E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Asesor'!C729, "")
</f>
        <v/>
      </c>
      <c r="F729" s="212" t="str">
        <f t="array" ref="F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Asesor'!D729, "")
</f>
        <v/>
      </c>
      <c r="G729" s="212" t="str">
        <f t="array" ref="G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Asesor'!E729, "")
</f>
        <v/>
      </c>
      <c r="H729" s="84" t="str">
        <f t="array" ref="H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Asesor'!F729, "")
</f>
        <v/>
      </c>
      <c r="I729" s="84" t="str">
        <f t="array" ref="I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Asesor'!G729, "")
</f>
        <v/>
      </c>
      <c r="J729" s="84" t="str">
        <f t="array" ref="J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Asesor'!H729, "")
</f>
        <v/>
      </c>
      <c r="K729" s="84" t="str">
        <f t="array" ref="K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Asesor'!K729, "")
</f>
        <v/>
      </c>
      <c r="L729" s="84" t="str">
        <f t="array" ref="L729">IF(OR(
    AND('BD Asesor'!H729="Mensual", MATCH($B$2, {"Enero", "Febrero", "Marzo", "Abril", "Mayo", "Junio", "Julio", "Agosto", "Septiembre", "Octubre", "Noviembre", "Diciembre"}, 0)&gt;=1),
    AND('BD Asesor'!H729="Trimestral", MOD(MATCH($B$2, {"Enero", "Febrero", "Marzo", "Abril", "Mayo", "Junio", "Julio", "Agosto", "Septiembre", "Octubre", "Noviembre"}, 0)-MONTH('BD Asesor'!D729), 3)=0),
    AND('BD Asesor'!H729="Semestral", MOD(MATCH($B$2, {"Enero", "Febrero", "Marzo", "Abril", "Mayo", "Junio", "Julio", "Agosto", "Septiembre", "Octubre", "Noviembre"}, 0)-MONTH('BD Asesor'!D729), 6)=0),
    AND('BD Asesor'!H729="Anual", MONTH('BD Asesor'!D729)=MATCH($B$2, {"Enero", "Febrero", "Marzo", "Abril", "Mayo", "Junio", "Julio", "Agosto", "Septiembre", "Octubre", "Noviembre"}, 0))
), 'BD Asesor'!L729, "")
</f>
        <v/>
      </c>
    </row>
    <row r="730">
      <c r="C730" s="84" t="str">
        <f t="array" ref="C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Asesor'!A730, "")
</f>
        <v/>
      </c>
      <c r="D730" s="84" t="str">
        <f t="array" ref="D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Asesor'!B730, "")
</f>
        <v/>
      </c>
      <c r="E730" s="212" t="str">
        <f t="array" ref="E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Asesor'!C730, "")
</f>
        <v/>
      </c>
      <c r="F730" s="212" t="str">
        <f t="array" ref="F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Asesor'!D730, "")
</f>
        <v/>
      </c>
      <c r="G730" s="212" t="str">
        <f t="array" ref="G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Asesor'!E730, "")
</f>
        <v/>
      </c>
      <c r="H730" s="84" t="str">
        <f t="array" ref="H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Asesor'!F730, "")
</f>
        <v/>
      </c>
      <c r="I730" s="84" t="str">
        <f t="array" ref="I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Asesor'!G730, "")
</f>
        <v/>
      </c>
      <c r="J730" s="84" t="str">
        <f t="array" ref="J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Asesor'!H730, "")
</f>
        <v/>
      </c>
      <c r="K730" s="84" t="str">
        <f t="array" ref="K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Asesor'!K730, "")
</f>
        <v/>
      </c>
      <c r="L730" s="84" t="str">
        <f t="array" ref="L730">IF(OR(
    AND('BD Asesor'!H730="Mensual", MATCH($B$2, {"Enero", "Febrero", "Marzo", "Abril", "Mayo", "Junio", "Julio", "Agosto", "Septiembre", "Octubre", "Noviembre", "Diciembre"}, 0)&gt;=1),
    AND('BD Asesor'!H730="Trimestral", MOD(MATCH($B$2, {"Enero", "Febrero", "Marzo", "Abril", "Mayo", "Junio", "Julio", "Agosto", "Septiembre", "Octubre", "Noviembre"}, 0)-MONTH('BD Asesor'!D730), 3)=0),
    AND('BD Asesor'!H730="Semestral", MOD(MATCH($B$2, {"Enero", "Febrero", "Marzo", "Abril", "Mayo", "Junio", "Julio", "Agosto", "Septiembre", "Octubre", "Noviembre"}, 0)-MONTH('BD Asesor'!D730), 6)=0),
    AND('BD Asesor'!H730="Anual", MONTH('BD Asesor'!D730)=MATCH($B$2, {"Enero", "Febrero", "Marzo", "Abril", "Mayo", "Junio", "Julio", "Agosto", "Septiembre", "Octubre", "Noviembre"}, 0))
), 'BD Asesor'!L730, "")
</f>
        <v/>
      </c>
    </row>
    <row r="731">
      <c r="C731" s="84" t="str">
        <f t="array" ref="C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Asesor'!A731, "")
</f>
        <v/>
      </c>
      <c r="D731" s="84" t="str">
        <f t="array" ref="D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Asesor'!B731, "")
</f>
        <v/>
      </c>
      <c r="E731" s="212" t="str">
        <f t="array" ref="E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Asesor'!C731, "")
</f>
        <v/>
      </c>
      <c r="F731" s="212" t="str">
        <f t="array" ref="F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Asesor'!D731, "")
</f>
        <v/>
      </c>
      <c r="G731" s="212" t="str">
        <f t="array" ref="G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Asesor'!E731, "")
</f>
        <v/>
      </c>
      <c r="H731" s="84" t="str">
        <f t="array" ref="H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Asesor'!F731, "")
</f>
        <v/>
      </c>
      <c r="I731" s="84" t="str">
        <f t="array" ref="I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Asesor'!G731, "")
</f>
        <v/>
      </c>
      <c r="J731" s="84" t="str">
        <f t="array" ref="J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Asesor'!H731, "")
</f>
        <v/>
      </c>
      <c r="K731" s="84" t="str">
        <f t="array" ref="K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Asesor'!K731, "")
</f>
        <v/>
      </c>
      <c r="L731" s="84" t="str">
        <f t="array" ref="L731">IF(OR(
    AND('BD Asesor'!H731="Mensual", MATCH($B$2, {"Enero", "Febrero", "Marzo", "Abril", "Mayo", "Junio", "Julio", "Agosto", "Septiembre", "Octubre", "Noviembre", "Diciembre"}, 0)&gt;=1),
    AND('BD Asesor'!H731="Trimestral", MOD(MATCH($B$2, {"Enero", "Febrero", "Marzo", "Abril", "Mayo", "Junio", "Julio", "Agosto", "Septiembre", "Octubre", "Noviembre"}, 0)-MONTH('BD Asesor'!D731), 3)=0),
    AND('BD Asesor'!H731="Semestral", MOD(MATCH($B$2, {"Enero", "Febrero", "Marzo", "Abril", "Mayo", "Junio", "Julio", "Agosto", "Septiembre", "Octubre", "Noviembre"}, 0)-MONTH('BD Asesor'!D731), 6)=0),
    AND('BD Asesor'!H731="Anual", MONTH('BD Asesor'!D731)=MATCH($B$2, {"Enero", "Febrero", "Marzo", "Abril", "Mayo", "Junio", "Julio", "Agosto", "Septiembre", "Octubre", "Noviembre"}, 0))
), 'BD Asesor'!L731, "")
</f>
        <v/>
      </c>
    </row>
    <row r="732">
      <c r="C732" s="84" t="str">
        <f t="array" ref="C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Asesor'!A732, "")
</f>
        <v/>
      </c>
      <c r="D732" s="84" t="str">
        <f t="array" ref="D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Asesor'!B732, "")
</f>
        <v/>
      </c>
      <c r="E732" s="212" t="str">
        <f t="array" ref="E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Asesor'!C732, "")
</f>
        <v/>
      </c>
      <c r="F732" s="212" t="str">
        <f t="array" ref="F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Asesor'!D732, "")
</f>
        <v/>
      </c>
      <c r="G732" s="212" t="str">
        <f t="array" ref="G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Asesor'!E732, "")
</f>
        <v/>
      </c>
      <c r="H732" s="84" t="str">
        <f t="array" ref="H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Asesor'!F732, "")
</f>
        <v/>
      </c>
      <c r="I732" s="84" t="str">
        <f t="array" ref="I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Asesor'!G732, "")
</f>
        <v/>
      </c>
      <c r="J732" s="84" t="str">
        <f t="array" ref="J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Asesor'!H732, "")
</f>
        <v/>
      </c>
      <c r="K732" s="84" t="str">
        <f t="array" ref="K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Asesor'!K732, "")
</f>
        <v/>
      </c>
      <c r="L732" s="84" t="str">
        <f t="array" ref="L732">IF(OR(
    AND('BD Asesor'!H732="Mensual", MATCH($B$2, {"Enero", "Febrero", "Marzo", "Abril", "Mayo", "Junio", "Julio", "Agosto", "Septiembre", "Octubre", "Noviembre", "Diciembre"}, 0)&gt;=1),
    AND('BD Asesor'!H732="Trimestral", MOD(MATCH($B$2, {"Enero", "Febrero", "Marzo", "Abril", "Mayo", "Junio", "Julio", "Agosto", "Septiembre", "Octubre", "Noviembre"}, 0)-MONTH('BD Asesor'!D732), 3)=0),
    AND('BD Asesor'!H732="Semestral", MOD(MATCH($B$2, {"Enero", "Febrero", "Marzo", "Abril", "Mayo", "Junio", "Julio", "Agosto", "Septiembre", "Octubre", "Noviembre"}, 0)-MONTH('BD Asesor'!D732), 6)=0),
    AND('BD Asesor'!H732="Anual", MONTH('BD Asesor'!D732)=MATCH($B$2, {"Enero", "Febrero", "Marzo", "Abril", "Mayo", "Junio", "Julio", "Agosto", "Septiembre", "Octubre", "Noviembre"}, 0))
), 'BD Asesor'!L732, "")
</f>
        <v/>
      </c>
    </row>
    <row r="733">
      <c r="C733" s="84" t="str">
        <f t="array" ref="C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Asesor'!A733, "")
</f>
        <v/>
      </c>
      <c r="D733" s="84" t="str">
        <f t="array" ref="D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Asesor'!B733, "")
</f>
        <v/>
      </c>
      <c r="E733" s="212" t="str">
        <f t="array" ref="E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Asesor'!C733, "")
</f>
        <v/>
      </c>
      <c r="F733" s="212" t="str">
        <f t="array" ref="F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Asesor'!D733, "")
</f>
        <v/>
      </c>
      <c r="G733" s="212" t="str">
        <f t="array" ref="G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Asesor'!E733, "")
</f>
        <v/>
      </c>
      <c r="H733" s="84" t="str">
        <f t="array" ref="H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Asesor'!F733, "")
</f>
        <v/>
      </c>
      <c r="I733" s="84" t="str">
        <f t="array" ref="I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Asesor'!G733, "")
</f>
        <v/>
      </c>
      <c r="J733" s="84" t="str">
        <f t="array" ref="J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Asesor'!H733, "")
</f>
        <v/>
      </c>
      <c r="K733" s="84" t="str">
        <f t="array" ref="K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Asesor'!K733, "")
</f>
        <v/>
      </c>
      <c r="L733" s="84" t="str">
        <f t="array" ref="L733">IF(OR(
    AND('BD Asesor'!H733="Mensual", MATCH($B$2, {"Enero", "Febrero", "Marzo", "Abril", "Mayo", "Junio", "Julio", "Agosto", "Septiembre", "Octubre", "Noviembre", "Diciembre"}, 0)&gt;=1),
    AND('BD Asesor'!H733="Trimestral", MOD(MATCH($B$2, {"Enero", "Febrero", "Marzo", "Abril", "Mayo", "Junio", "Julio", "Agosto", "Septiembre", "Octubre", "Noviembre"}, 0)-MONTH('BD Asesor'!D733), 3)=0),
    AND('BD Asesor'!H733="Semestral", MOD(MATCH($B$2, {"Enero", "Febrero", "Marzo", "Abril", "Mayo", "Junio", "Julio", "Agosto", "Septiembre", "Octubre", "Noviembre"}, 0)-MONTH('BD Asesor'!D733), 6)=0),
    AND('BD Asesor'!H733="Anual", MONTH('BD Asesor'!D733)=MATCH($B$2, {"Enero", "Febrero", "Marzo", "Abril", "Mayo", "Junio", "Julio", "Agosto", "Septiembre", "Octubre", "Noviembre"}, 0))
), 'BD Asesor'!L733, "")
</f>
        <v/>
      </c>
    </row>
    <row r="734">
      <c r="C734" s="84" t="str">
        <f t="array" ref="C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Asesor'!A734, "")
</f>
        <v/>
      </c>
      <c r="D734" s="84" t="str">
        <f t="array" ref="D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Asesor'!B734, "")
</f>
        <v/>
      </c>
      <c r="E734" s="212" t="str">
        <f t="array" ref="E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Asesor'!C734, "")
</f>
        <v/>
      </c>
      <c r="F734" s="212" t="str">
        <f t="array" ref="F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Asesor'!D734, "")
</f>
        <v/>
      </c>
      <c r="G734" s="212" t="str">
        <f t="array" ref="G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Asesor'!E734, "")
</f>
        <v/>
      </c>
      <c r="H734" s="84" t="str">
        <f t="array" ref="H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Asesor'!F734, "")
</f>
        <v/>
      </c>
      <c r="I734" s="84" t="str">
        <f t="array" ref="I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Asesor'!G734, "")
</f>
        <v/>
      </c>
      <c r="J734" s="84" t="str">
        <f t="array" ref="J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Asesor'!H734, "")
</f>
        <v/>
      </c>
      <c r="K734" s="84" t="str">
        <f t="array" ref="K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Asesor'!K734, "")
</f>
        <v/>
      </c>
      <c r="L734" s="84" t="str">
        <f t="array" ref="L734">IF(OR(
    AND('BD Asesor'!H734="Mensual", MATCH($B$2, {"Enero", "Febrero", "Marzo", "Abril", "Mayo", "Junio", "Julio", "Agosto", "Septiembre", "Octubre", "Noviembre", "Diciembre"}, 0)&gt;=1),
    AND('BD Asesor'!H734="Trimestral", MOD(MATCH($B$2, {"Enero", "Febrero", "Marzo", "Abril", "Mayo", "Junio", "Julio", "Agosto", "Septiembre", "Octubre", "Noviembre"}, 0)-MONTH('BD Asesor'!D734), 3)=0),
    AND('BD Asesor'!H734="Semestral", MOD(MATCH($B$2, {"Enero", "Febrero", "Marzo", "Abril", "Mayo", "Junio", "Julio", "Agosto", "Septiembre", "Octubre", "Noviembre"}, 0)-MONTH('BD Asesor'!D734), 6)=0),
    AND('BD Asesor'!H734="Anual", MONTH('BD Asesor'!D734)=MATCH($B$2, {"Enero", "Febrero", "Marzo", "Abril", "Mayo", "Junio", "Julio", "Agosto", "Septiembre", "Octubre", "Noviembre"}, 0))
), 'BD Asesor'!L734, "")
</f>
        <v/>
      </c>
    </row>
    <row r="735">
      <c r="C735" s="84" t="str">
        <f t="array" ref="C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Asesor'!A735, "")
</f>
        <v/>
      </c>
      <c r="D735" s="84" t="str">
        <f t="array" ref="D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Asesor'!B735, "")
</f>
        <v/>
      </c>
      <c r="E735" s="212" t="str">
        <f t="array" ref="E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Asesor'!C735, "")
</f>
        <v/>
      </c>
      <c r="F735" s="212" t="str">
        <f t="array" ref="F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Asesor'!D735, "")
</f>
        <v/>
      </c>
      <c r="G735" s="212" t="str">
        <f t="array" ref="G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Asesor'!E735, "")
</f>
        <v/>
      </c>
      <c r="H735" s="84" t="str">
        <f t="array" ref="H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Asesor'!F735, "")
</f>
        <v/>
      </c>
      <c r="I735" s="84" t="str">
        <f t="array" ref="I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Asesor'!G735, "")
</f>
        <v/>
      </c>
      <c r="J735" s="84" t="str">
        <f t="array" ref="J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Asesor'!H735, "")
</f>
        <v/>
      </c>
      <c r="K735" s="84" t="str">
        <f t="array" ref="K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Asesor'!K735, "")
</f>
        <v/>
      </c>
      <c r="L735" s="84" t="str">
        <f t="array" ref="L735">IF(OR(
    AND('BD Asesor'!H735="Mensual", MATCH($B$2, {"Enero", "Febrero", "Marzo", "Abril", "Mayo", "Junio", "Julio", "Agosto", "Septiembre", "Octubre", "Noviembre", "Diciembre"}, 0)&gt;=1),
    AND('BD Asesor'!H735="Trimestral", MOD(MATCH($B$2, {"Enero", "Febrero", "Marzo", "Abril", "Mayo", "Junio", "Julio", "Agosto", "Septiembre", "Octubre", "Noviembre"}, 0)-MONTH('BD Asesor'!D735), 3)=0),
    AND('BD Asesor'!H735="Semestral", MOD(MATCH($B$2, {"Enero", "Febrero", "Marzo", "Abril", "Mayo", "Junio", "Julio", "Agosto", "Septiembre", "Octubre", "Noviembre"}, 0)-MONTH('BD Asesor'!D735), 6)=0),
    AND('BD Asesor'!H735="Anual", MONTH('BD Asesor'!D735)=MATCH($B$2, {"Enero", "Febrero", "Marzo", "Abril", "Mayo", "Junio", "Julio", "Agosto", "Septiembre", "Octubre", "Noviembre"}, 0))
), 'BD Asesor'!L735, "")
</f>
        <v/>
      </c>
    </row>
    <row r="736">
      <c r="C736" s="84" t="str">
        <f t="array" ref="C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Asesor'!A736, "")
</f>
        <v/>
      </c>
      <c r="D736" s="84" t="str">
        <f t="array" ref="D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Asesor'!B736, "")
</f>
        <v/>
      </c>
      <c r="E736" s="212" t="str">
        <f t="array" ref="E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Asesor'!C736, "")
</f>
        <v/>
      </c>
      <c r="F736" s="212" t="str">
        <f t="array" ref="F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Asesor'!D736, "")
</f>
        <v/>
      </c>
      <c r="G736" s="212" t="str">
        <f t="array" ref="G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Asesor'!E736, "")
</f>
        <v/>
      </c>
      <c r="H736" s="84" t="str">
        <f t="array" ref="H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Asesor'!F736, "")
</f>
        <v/>
      </c>
      <c r="I736" s="84" t="str">
        <f t="array" ref="I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Asesor'!G736, "")
</f>
        <v/>
      </c>
      <c r="J736" s="84" t="str">
        <f t="array" ref="J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Asesor'!H736, "")
</f>
        <v/>
      </c>
      <c r="K736" s="84" t="str">
        <f t="array" ref="K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Asesor'!K736, "")
</f>
        <v/>
      </c>
      <c r="L736" s="84" t="str">
        <f t="array" ref="L736">IF(OR(
    AND('BD Asesor'!H736="Mensual", MATCH($B$2, {"Enero", "Febrero", "Marzo", "Abril", "Mayo", "Junio", "Julio", "Agosto", "Septiembre", "Octubre", "Noviembre", "Diciembre"}, 0)&gt;=1),
    AND('BD Asesor'!H736="Trimestral", MOD(MATCH($B$2, {"Enero", "Febrero", "Marzo", "Abril", "Mayo", "Junio", "Julio", "Agosto", "Septiembre", "Octubre", "Noviembre"}, 0)-MONTH('BD Asesor'!D736), 3)=0),
    AND('BD Asesor'!H736="Semestral", MOD(MATCH($B$2, {"Enero", "Febrero", "Marzo", "Abril", "Mayo", "Junio", "Julio", "Agosto", "Septiembre", "Octubre", "Noviembre"}, 0)-MONTH('BD Asesor'!D736), 6)=0),
    AND('BD Asesor'!H736="Anual", MONTH('BD Asesor'!D736)=MATCH($B$2, {"Enero", "Febrero", "Marzo", "Abril", "Mayo", "Junio", "Julio", "Agosto", "Septiembre", "Octubre", "Noviembre"}, 0))
), 'BD Asesor'!L736, "")
</f>
        <v/>
      </c>
    </row>
    <row r="737">
      <c r="C737" s="84" t="str">
        <f t="array" ref="C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Asesor'!A737, "")
</f>
        <v/>
      </c>
      <c r="D737" s="84" t="str">
        <f t="array" ref="D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Asesor'!B737, "")
</f>
        <v/>
      </c>
      <c r="E737" s="212" t="str">
        <f t="array" ref="E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Asesor'!C737, "")
</f>
        <v/>
      </c>
      <c r="F737" s="212" t="str">
        <f t="array" ref="F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Asesor'!D737, "")
</f>
        <v/>
      </c>
      <c r="G737" s="212" t="str">
        <f t="array" ref="G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Asesor'!E737, "")
</f>
        <v/>
      </c>
      <c r="H737" s="84" t="str">
        <f t="array" ref="H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Asesor'!F737, "")
</f>
        <v/>
      </c>
      <c r="I737" s="84" t="str">
        <f t="array" ref="I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Asesor'!G737, "")
</f>
        <v/>
      </c>
      <c r="J737" s="84" t="str">
        <f t="array" ref="J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Asesor'!H737, "")
</f>
        <v/>
      </c>
      <c r="K737" s="84" t="str">
        <f t="array" ref="K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Asesor'!K737, "")
</f>
        <v/>
      </c>
      <c r="L737" s="84" t="str">
        <f t="array" ref="L737">IF(OR(
    AND('BD Asesor'!H737="Mensual", MATCH($B$2, {"Enero", "Febrero", "Marzo", "Abril", "Mayo", "Junio", "Julio", "Agosto", "Septiembre", "Octubre", "Noviembre", "Diciembre"}, 0)&gt;=1),
    AND('BD Asesor'!H737="Trimestral", MOD(MATCH($B$2, {"Enero", "Febrero", "Marzo", "Abril", "Mayo", "Junio", "Julio", "Agosto", "Septiembre", "Octubre", "Noviembre"}, 0)-MONTH('BD Asesor'!D737), 3)=0),
    AND('BD Asesor'!H737="Semestral", MOD(MATCH($B$2, {"Enero", "Febrero", "Marzo", "Abril", "Mayo", "Junio", "Julio", "Agosto", "Septiembre", "Octubre", "Noviembre"}, 0)-MONTH('BD Asesor'!D737), 6)=0),
    AND('BD Asesor'!H737="Anual", MONTH('BD Asesor'!D737)=MATCH($B$2, {"Enero", "Febrero", "Marzo", "Abril", "Mayo", "Junio", "Julio", "Agosto", "Septiembre", "Octubre", "Noviembre"}, 0))
), 'BD Asesor'!L737, "")
</f>
        <v/>
      </c>
    </row>
    <row r="738">
      <c r="C738" s="84" t="str">
        <f t="array" ref="C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Asesor'!A738, "")
</f>
        <v/>
      </c>
      <c r="D738" s="84" t="str">
        <f t="array" ref="D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Asesor'!B738, "")
</f>
        <v/>
      </c>
      <c r="E738" s="212" t="str">
        <f t="array" ref="E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Asesor'!C738, "")
</f>
        <v/>
      </c>
      <c r="F738" s="212" t="str">
        <f t="array" ref="F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Asesor'!D738, "")
</f>
        <v/>
      </c>
      <c r="G738" s="212" t="str">
        <f t="array" ref="G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Asesor'!E738, "")
</f>
        <v/>
      </c>
      <c r="H738" s="84" t="str">
        <f t="array" ref="H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Asesor'!F738, "")
</f>
        <v/>
      </c>
      <c r="I738" s="84" t="str">
        <f t="array" ref="I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Asesor'!G738, "")
</f>
        <v/>
      </c>
      <c r="J738" s="84" t="str">
        <f t="array" ref="J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Asesor'!H738, "")
</f>
        <v/>
      </c>
      <c r="K738" s="84" t="str">
        <f t="array" ref="K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Asesor'!K738, "")
</f>
        <v/>
      </c>
      <c r="L738" s="84" t="str">
        <f t="array" ref="L738">IF(OR(
    AND('BD Asesor'!H738="Mensual", MATCH($B$2, {"Enero", "Febrero", "Marzo", "Abril", "Mayo", "Junio", "Julio", "Agosto", "Septiembre", "Octubre", "Noviembre", "Diciembre"}, 0)&gt;=1),
    AND('BD Asesor'!H738="Trimestral", MOD(MATCH($B$2, {"Enero", "Febrero", "Marzo", "Abril", "Mayo", "Junio", "Julio", "Agosto", "Septiembre", "Octubre", "Noviembre"}, 0)-MONTH('BD Asesor'!D738), 3)=0),
    AND('BD Asesor'!H738="Semestral", MOD(MATCH($B$2, {"Enero", "Febrero", "Marzo", "Abril", "Mayo", "Junio", "Julio", "Agosto", "Septiembre", "Octubre", "Noviembre"}, 0)-MONTH('BD Asesor'!D738), 6)=0),
    AND('BD Asesor'!H738="Anual", MONTH('BD Asesor'!D738)=MATCH($B$2, {"Enero", "Febrero", "Marzo", "Abril", "Mayo", "Junio", "Julio", "Agosto", "Septiembre", "Octubre", "Noviembre"}, 0))
), 'BD Asesor'!L738, "")
</f>
        <v/>
      </c>
    </row>
    <row r="739">
      <c r="C739" s="84" t="str">
        <f t="array" ref="C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Asesor'!A739, "")
</f>
        <v/>
      </c>
      <c r="D739" s="84" t="str">
        <f t="array" ref="D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Asesor'!B739, "")
</f>
        <v/>
      </c>
      <c r="E739" s="212" t="str">
        <f t="array" ref="E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Asesor'!C739, "")
</f>
        <v/>
      </c>
      <c r="F739" s="212" t="str">
        <f t="array" ref="F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Asesor'!D739, "")
</f>
        <v/>
      </c>
      <c r="G739" s="212" t="str">
        <f t="array" ref="G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Asesor'!E739, "")
</f>
        <v/>
      </c>
      <c r="H739" s="84" t="str">
        <f t="array" ref="H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Asesor'!F739, "")
</f>
        <v/>
      </c>
      <c r="I739" s="84" t="str">
        <f t="array" ref="I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Asesor'!G739, "")
</f>
        <v/>
      </c>
      <c r="J739" s="84" t="str">
        <f t="array" ref="J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Asesor'!H739, "")
</f>
        <v/>
      </c>
      <c r="K739" s="84" t="str">
        <f t="array" ref="K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Asesor'!K739, "")
</f>
        <v/>
      </c>
      <c r="L739" s="84" t="str">
        <f t="array" ref="L739">IF(OR(
    AND('BD Asesor'!H739="Mensual", MATCH($B$2, {"Enero", "Febrero", "Marzo", "Abril", "Mayo", "Junio", "Julio", "Agosto", "Septiembre", "Octubre", "Noviembre", "Diciembre"}, 0)&gt;=1),
    AND('BD Asesor'!H739="Trimestral", MOD(MATCH($B$2, {"Enero", "Febrero", "Marzo", "Abril", "Mayo", "Junio", "Julio", "Agosto", "Septiembre", "Octubre", "Noviembre"}, 0)-MONTH('BD Asesor'!D739), 3)=0),
    AND('BD Asesor'!H739="Semestral", MOD(MATCH($B$2, {"Enero", "Febrero", "Marzo", "Abril", "Mayo", "Junio", "Julio", "Agosto", "Septiembre", "Octubre", "Noviembre"}, 0)-MONTH('BD Asesor'!D739), 6)=0),
    AND('BD Asesor'!H739="Anual", MONTH('BD Asesor'!D739)=MATCH($B$2, {"Enero", "Febrero", "Marzo", "Abril", "Mayo", "Junio", "Julio", "Agosto", "Septiembre", "Octubre", "Noviembre"}, 0))
), 'BD Asesor'!L739, "")
</f>
        <v/>
      </c>
    </row>
    <row r="740">
      <c r="C740" s="84" t="str">
        <f t="array" ref="C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Asesor'!A740, "")
</f>
        <v/>
      </c>
      <c r="D740" s="84" t="str">
        <f t="array" ref="D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Asesor'!B740, "")
</f>
        <v/>
      </c>
      <c r="E740" s="212" t="str">
        <f t="array" ref="E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Asesor'!C740, "")
</f>
        <v/>
      </c>
      <c r="F740" s="212" t="str">
        <f t="array" ref="F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Asesor'!D740, "")
</f>
        <v/>
      </c>
      <c r="G740" s="212" t="str">
        <f t="array" ref="G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Asesor'!E740, "")
</f>
        <v/>
      </c>
      <c r="H740" s="84" t="str">
        <f t="array" ref="H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Asesor'!F740, "")
</f>
        <v/>
      </c>
      <c r="I740" s="84" t="str">
        <f t="array" ref="I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Asesor'!G740, "")
</f>
        <v/>
      </c>
      <c r="J740" s="84" t="str">
        <f t="array" ref="J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Asesor'!H740, "")
</f>
        <v/>
      </c>
      <c r="K740" s="84" t="str">
        <f t="array" ref="K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Asesor'!K740, "")
</f>
        <v/>
      </c>
      <c r="L740" s="84" t="str">
        <f t="array" ref="L740">IF(OR(
    AND('BD Asesor'!H740="Mensual", MATCH($B$2, {"Enero", "Febrero", "Marzo", "Abril", "Mayo", "Junio", "Julio", "Agosto", "Septiembre", "Octubre", "Noviembre", "Diciembre"}, 0)&gt;=1),
    AND('BD Asesor'!H740="Trimestral", MOD(MATCH($B$2, {"Enero", "Febrero", "Marzo", "Abril", "Mayo", "Junio", "Julio", "Agosto", "Septiembre", "Octubre", "Noviembre"}, 0)-MONTH('BD Asesor'!D740), 3)=0),
    AND('BD Asesor'!H740="Semestral", MOD(MATCH($B$2, {"Enero", "Febrero", "Marzo", "Abril", "Mayo", "Junio", "Julio", "Agosto", "Septiembre", "Octubre", "Noviembre"}, 0)-MONTH('BD Asesor'!D740), 6)=0),
    AND('BD Asesor'!H740="Anual", MONTH('BD Asesor'!D740)=MATCH($B$2, {"Enero", "Febrero", "Marzo", "Abril", "Mayo", "Junio", "Julio", "Agosto", "Septiembre", "Octubre", "Noviembre"}, 0))
), 'BD Asesor'!L740, "")
</f>
        <v/>
      </c>
    </row>
    <row r="741">
      <c r="C741" s="84" t="str">
        <f t="array" ref="C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Asesor'!A741, "")
</f>
        <v/>
      </c>
      <c r="D741" s="84" t="str">
        <f t="array" ref="D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Asesor'!B741, "")
</f>
        <v/>
      </c>
      <c r="E741" s="212" t="str">
        <f t="array" ref="E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Asesor'!C741, "")
</f>
        <v/>
      </c>
      <c r="F741" s="212" t="str">
        <f t="array" ref="F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Asesor'!D741, "")
</f>
        <v/>
      </c>
      <c r="G741" s="212" t="str">
        <f t="array" ref="G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Asesor'!E741, "")
</f>
        <v/>
      </c>
      <c r="H741" s="84" t="str">
        <f t="array" ref="H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Asesor'!F741, "")
</f>
        <v/>
      </c>
      <c r="I741" s="84" t="str">
        <f t="array" ref="I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Asesor'!G741, "")
</f>
        <v/>
      </c>
      <c r="J741" s="84" t="str">
        <f t="array" ref="J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Asesor'!H741, "")
</f>
        <v/>
      </c>
      <c r="K741" s="84" t="str">
        <f t="array" ref="K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Asesor'!K741, "")
</f>
        <v/>
      </c>
      <c r="L741" s="84" t="str">
        <f t="array" ref="L741">IF(OR(
    AND('BD Asesor'!H741="Mensual", MATCH($B$2, {"Enero", "Febrero", "Marzo", "Abril", "Mayo", "Junio", "Julio", "Agosto", "Septiembre", "Octubre", "Noviembre", "Diciembre"}, 0)&gt;=1),
    AND('BD Asesor'!H741="Trimestral", MOD(MATCH($B$2, {"Enero", "Febrero", "Marzo", "Abril", "Mayo", "Junio", "Julio", "Agosto", "Septiembre", "Octubre", "Noviembre"}, 0)-MONTH('BD Asesor'!D741), 3)=0),
    AND('BD Asesor'!H741="Semestral", MOD(MATCH($B$2, {"Enero", "Febrero", "Marzo", "Abril", "Mayo", "Junio", "Julio", "Agosto", "Septiembre", "Octubre", "Noviembre"}, 0)-MONTH('BD Asesor'!D741), 6)=0),
    AND('BD Asesor'!H741="Anual", MONTH('BD Asesor'!D741)=MATCH($B$2, {"Enero", "Febrero", "Marzo", "Abril", "Mayo", "Junio", "Julio", "Agosto", "Septiembre", "Octubre", "Noviembre"}, 0))
), 'BD Asesor'!L741, "")
</f>
        <v/>
      </c>
    </row>
    <row r="742">
      <c r="C742" s="84" t="str">
        <f t="array" ref="C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Asesor'!A742, "")
</f>
        <v/>
      </c>
      <c r="D742" s="84" t="str">
        <f t="array" ref="D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Asesor'!B742, "")
</f>
        <v/>
      </c>
      <c r="E742" s="212" t="str">
        <f t="array" ref="E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Asesor'!C742, "")
</f>
        <v/>
      </c>
      <c r="F742" s="212" t="str">
        <f t="array" ref="F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Asesor'!D742, "")
</f>
        <v/>
      </c>
      <c r="G742" s="212" t="str">
        <f t="array" ref="G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Asesor'!E742, "")
</f>
        <v/>
      </c>
      <c r="H742" s="84" t="str">
        <f t="array" ref="H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Asesor'!F742, "")
</f>
        <v/>
      </c>
      <c r="I742" s="84" t="str">
        <f t="array" ref="I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Asesor'!G742, "")
</f>
        <v/>
      </c>
      <c r="J742" s="84" t="str">
        <f t="array" ref="J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Asesor'!H742, "")
</f>
        <v/>
      </c>
      <c r="K742" s="84" t="str">
        <f t="array" ref="K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Asesor'!K742, "")
</f>
        <v/>
      </c>
      <c r="L742" s="84" t="str">
        <f t="array" ref="L742">IF(OR(
    AND('BD Asesor'!H742="Mensual", MATCH($B$2, {"Enero", "Febrero", "Marzo", "Abril", "Mayo", "Junio", "Julio", "Agosto", "Septiembre", "Octubre", "Noviembre", "Diciembre"}, 0)&gt;=1),
    AND('BD Asesor'!H742="Trimestral", MOD(MATCH($B$2, {"Enero", "Febrero", "Marzo", "Abril", "Mayo", "Junio", "Julio", "Agosto", "Septiembre", "Octubre", "Noviembre"}, 0)-MONTH('BD Asesor'!D742), 3)=0),
    AND('BD Asesor'!H742="Semestral", MOD(MATCH($B$2, {"Enero", "Febrero", "Marzo", "Abril", "Mayo", "Junio", "Julio", "Agosto", "Septiembre", "Octubre", "Noviembre"}, 0)-MONTH('BD Asesor'!D742), 6)=0),
    AND('BD Asesor'!H742="Anual", MONTH('BD Asesor'!D742)=MATCH($B$2, {"Enero", "Febrero", "Marzo", "Abril", "Mayo", "Junio", "Julio", "Agosto", "Septiembre", "Octubre", "Noviembre"}, 0))
), 'BD Asesor'!L742, "")
</f>
        <v/>
      </c>
    </row>
    <row r="743">
      <c r="C743" s="84" t="str">
        <f t="array" ref="C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Asesor'!A743, "")
</f>
        <v/>
      </c>
      <c r="D743" s="84" t="str">
        <f t="array" ref="D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Asesor'!B743, "")
</f>
        <v/>
      </c>
      <c r="E743" s="212" t="str">
        <f t="array" ref="E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Asesor'!C743, "")
</f>
        <v/>
      </c>
      <c r="F743" s="212" t="str">
        <f t="array" ref="F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Asesor'!D743, "")
</f>
        <v/>
      </c>
      <c r="G743" s="212" t="str">
        <f t="array" ref="G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Asesor'!E743, "")
</f>
        <v/>
      </c>
      <c r="H743" s="84" t="str">
        <f t="array" ref="H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Asesor'!F743, "")
</f>
        <v/>
      </c>
      <c r="I743" s="84" t="str">
        <f t="array" ref="I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Asesor'!G743, "")
</f>
        <v/>
      </c>
      <c r="J743" s="84" t="str">
        <f t="array" ref="J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Asesor'!H743, "")
</f>
        <v/>
      </c>
      <c r="K743" s="84" t="str">
        <f t="array" ref="K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Asesor'!K743, "")
</f>
        <v/>
      </c>
      <c r="L743" s="84" t="str">
        <f t="array" ref="L743">IF(OR(
    AND('BD Asesor'!H743="Mensual", MATCH($B$2, {"Enero", "Febrero", "Marzo", "Abril", "Mayo", "Junio", "Julio", "Agosto", "Septiembre", "Octubre", "Noviembre", "Diciembre"}, 0)&gt;=1),
    AND('BD Asesor'!H743="Trimestral", MOD(MATCH($B$2, {"Enero", "Febrero", "Marzo", "Abril", "Mayo", "Junio", "Julio", "Agosto", "Septiembre", "Octubre", "Noviembre"}, 0)-MONTH('BD Asesor'!D743), 3)=0),
    AND('BD Asesor'!H743="Semestral", MOD(MATCH($B$2, {"Enero", "Febrero", "Marzo", "Abril", "Mayo", "Junio", "Julio", "Agosto", "Septiembre", "Octubre", "Noviembre"}, 0)-MONTH('BD Asesor'!D743), 6)=0),
    AND('BD Asesor'!H743="Anual", MONTH('BD Asesor'!D743)=MATCH($B$2, {"Enero", "Febrero", "Marzo", "Abril", "Mayo", "Junio", "Julio", "Agosto", "Septiembre", "Octubre", "Noviembre"}, 0))
), 'BD Asesor'!L743, "")
</f>
        <v/>
      </c>
    </row>
    <row r="744">
      <c r="C744" s="84" t="str">
        <f t="array" ref="C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Asesor'!A744, "")
</f>
        <v/>
      </c>
      <c r="D744" s="84" t="str">
        <f t="array" ref="D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Asesor'!B744, "")
</f>
        <v/>
      </c>
      <c r="E744" s="212" t="str">
        <f t="array" ref="E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Asesor'!C744, "")
</f>
        <v/>
      </c>
      <c r="F744" s="212" t="str">
        <f t="array" ref="F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Asesor'!D744, "")
</f>
        <v/>
      </c>
      <c r="G744" s="212" t="str">
        <f t="array" ref="G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Asesor'!E744, "")
</f>
        <v/>
      </c>
      <c r="H744" s="84" t="str">
        <f t="array" ref="H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Asesor'!F744, "")
</f>
        <v/>
      </c>
      <c r="I744" s="84" t="str">
        <f t="array" ref="I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Asesor'!G744, "")
</f>
        <v/>
      </c>
      <c r="J744" s="84" t="str">
        <f t="array" ref="J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Asesor'!H744, "")
</f>
        <v/>
      </c>
      <c r="K744" s="84" t="str">
        <f t="array" ref="K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Asesor'!K744, "")
</f>
        <v/>
      </c>
      <c r="L744" s="84" t="str">
        <f t="array" ref="L744">IF(OR(
    AND('BD Asesor'!H744="Mensual", MATCH($B$2, {"Enero", "Febrero", "Marzo", "Abril", "Mayo", "Junio", "Julio", "Agosto", "Septiembre", "Octubre", "Noviembre", "Diciembre"}, 0)&gt;=1),
    AND('BD Asesor'!H744="Trimestral", MOD(MATCH($B$2, {"Enero", "Febrero", "Marzo", "Abril", "Mayo", "Junio", "Julio", "Agosto", "Septiembre", "Octubre", "Noviembre"}, 0)-MONTH('BD Asesor'!D744), 3)=0),
    AND('BD Asesor'!H744="Semestral", MOD(MATCH($B$2, {"Enero", "Febrero", "Marzo", "Abril", "Mayo", "Junio", "Julio", "Agosto", "Septiembre", "Octubre", "Noviembre"}, 0)-MONTH('BD Asesor'!D744), 6)=0),
    AND('BD Asesor'!H744="Anual", MONTH('BD Asesor'!D744)=MATCH($B$2, {"Enero", "Febrero", "Marzo", "Abril", "Mayo", "Junio", "Julio", "Agosto", "Septiembre", "Octubre", "Noviembre"}, 0))
), 'BD Asesor'!L744, "")
</f>
        <v/>
      </c>
    </row>
    <row r="745">
      <c r="C745" s="84" t="str">
        <f t="array" ref="C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Asesor'!A745, "")
</f>
        <v/>
      </c>
      <c r="D745" s="84" t="str">
        <f t="array" ref="D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Asesor'!B745, "")
</f>
        <v/>
      </c>
      <c r="E745" s="212" t="str">
        <f t="array" ref="E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Asesor'!C745, "")
</f>
        <v/>
      </c>
      <c r="F745" s="212" t="str">
        <f t="array" ref="F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Asesor'!D745, "")
</f>
        <v/>
      </c>
      <c r="G745" s="212" t="str">
        <f t="array" ref="G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Asesor'!E745, "")
</f>
        <v/>
      </c>
      <c r="H745" s="84" t="str">
        <f t="array" ref="H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Asesor'!F745, "")
</f>
        <v/>
      </c>
      <c r="I745" s="84" t="str">
        <f t="array" ref="I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Asesor'!G745, "")
</f>
        <v/>
      </c>
      <c r="J745" s="84" t="str">
        <f t="array" ref="J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Asesor'!H745, "")
</f>
        <v/>
      </c>
      <c r="K745" s="84" t="str">
        <f t="array" ref="K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Asesor'!K745, "")
</f>
        <v/>
      </c>
      <c r="L745" s="84" t="str">
        <f t="array" ref="L745">IF(OR(
    AND('BD Asesor'!H745="Mensual", MATCH($B$2, {"Enero", "Febrero", "Marzo", "Abril", "Mayo", "Junio", "Julio", "Agosto", "Septiembre", "Octubre", "Noviembre", "Diciembre"}, 0)&gt;=1),
    AND('BD Asesor'!H745="Trimestral", MOD(MATCH($B$2, {"Enero", "Febrero", "Marzo", "Abril", "Mayo", "Junio", "Julio", "Agosto", "Septiembre", "Octubre", "Noviembre"}, 0)-MONTH('BD Asesor'!D745), 3)=0),
    AND('BD Asesor'!H745="Semestral", MOD(MATCH($B$2, {"Enero", "Febrero", "Marzo", "Abril", "Mayo", "Junio", "Julio", "Agosto", "Septiembre", "Octubre", "Noviembre"}, 0)-MONTH('BD Asesor'!D745), 6)=0),
    AND('BD Asesor'!H745="Anual", MONTH('BD Asesor'!D745)=MATCH($B$2, {"Enero", "Febrero", "Marzo", "Abril", "Mayo", "Junio", "Julio", "Agosto", "Septiembre", "Octubre", "Noviembre"}, 0))
), 'BD Asesor'!L745, "")
</f>
        <v/>
      </c>
    </row>
    <row r="746">
      <c r="C746" s="84" t="str">
        <f t="array" ref="C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Asesor'!A746, "")
</f>
        <v/>
      </c>
      <c r="D746" s="84" t="str">
        <f t="array" ref="D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Asesor'!B746, "")
</f>
        <v/>
      </c>
      <c r="E746" s="212" t="str">
        <f t="array" ref="E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Asesor'!C746, "")
</f>
        <v/>
      </c>
      <c r="F746" s="212" t="str">
        <f t="array" ref="F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Asesor'!D746, "")
</f>
        <v/>
      </c>
      <c r="G746" s="212" t="str">
        <f t="array" ref="G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Asesor'!E746, "")
</f>
        <v/>
      </c>
      <c r="H746" s="84" t="str">
        <f t="array" ref="H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Asesor'!F746, "")
</f>
        <v/>
      </c>
      <c r="I746" s="84" t="str">
        <f t="array" ref="I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Asesor'!G746, "")
</f>
        <v/>
      </c>
      <c r="J746" s="84" t="str">
        <f t="array" ref="J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Asesor'!H746, "")
</f>
        <v/>
      </c>
      <c r="K746" s="84" t="str">
        <f t="array" ref="K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Asesor'!K746, "")
</f>
        <v/>
      </c>
      <c r="L746" s="84" t="str">
        <f t="array" ref="L746">IF(OR(
    AND('BD Asesor'!H746="Mensual", MATCH($B$2, {"Enero", "Febrero", "Marzo", "Abril", "Mayo", "Junio", "Julio", "Agosto", "Septiembre", "Octubre", "Noviembre", "Diciembre"}, 0)&gt;=1),
    AND('BD Asesor'!H746="Trimestral", MOD(MATCH($B$2, {"Enero", "Febrero", "Marzo", "Abril", "Mayo", "Junio", "Julio", "Agosto", "Septiembre", "Octubre", "Noviembre"}, 0)-MONTH('BD Asesor'!D746), 3)=0),
    AND('BD Asesor'!H746="Semestral", MOD(MATCH($B$2, {"Enero", "Febrero", "Marzo", "Abril", "Mayo", "Junio", "Julio", "Agosto", "Septiembre", "Octubre", "Noviembre"}, 0)-MONTH('BD Asesor'!D746), 6)=0),
    AND('BD Asesor'!H746="Anual", MONTH('BD Asesor'!D746)=MATCH($B$2, {"Enero", "Febrero", "Marzo", "Abril", "Mayo", "Junio", "Julio", "Agosto", "Septiembre", "Octubre", "Noviembre"}, 0))
), 'BD Asesor'!L746, "")
</f>
        <v/>
      </c>
    </row>
    <row r="747">
      <c r="C747" s="84" t="str">
        <f t="array" ref="C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Asesor'!A747, "")
</f>
        <v/>
      </c>
      <c r="D747" s="84" t="str">
        <f t="array" ref="D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Asesor'!B747, "")
</f>
        <v/>
      </c>
      <c r="E747" s="212" t="str">
        <f t="array" ref="E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Asesor'!C747, "")
</f>
        <v/>
      </c>
      <c r="F747" s="212" t="str">
        <f t="array" ref="F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Asesor'!D747, "")
</f>
        <v/>
      </c>
      <c r="G747" s="212" t="str">
        <f t="array" ref="G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Asesor'!E747, "")
</f>
        <v/>
      </c>
      <c r="H747" s="84" t="str">
        <f t="array" ref="H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Asesor'!F747, "")
</f>
        <v/>
      </c>
      <c r="I747" s="84" t="str">
        <f t="array" ref="I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Asesor'!G747, "")
</f>
        <v/>
      </c>
      <c r="J747" s="84" t="str">
        <f t="array" ref="J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Asesor'!H747, "")
</f>
        <v/>
      </c>
      <c r="K747" s="84" t="str">
        <f t="array" ref="K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Asesor'!K747, "")
</f>
        <v/>
      </c>
      <c r="L747" s="84" t="str">
        <f t="array" ref="L747">IF(OR(
    AND('BD Asesor'!H747="Mensual", MATCH($B$2, {"Enero", "Febrero", "Marzo", "Abril", "Mayo", "Junio", "Julio", "Agosto", "Septiembre", "Octubre", "Noviembre", "Diciembre"}, 0)&gt;=1),
    AND('BD Asesor'!H747="Trimestral", MOD(MATCH($B$2, {"Enero", "Febrero", "Marzo", "Abril", "Mayo", "Junio", "Julio", "Agosto", "Septiembre", "Octubre", "Noviembre"}, 0)-MONTH('BD Asesor'!D747), 3)=0),
    AND('BD Asesor'!H747="Semestral", MOD(MATCH($B$2, {"Enero", "Febrero", "Marzo", "Abril", "Mayo", "Junio", "Julio", "Agosto", "Septiembre", "Octubre", "Noviembre"}, 0)-MONTH('BD Asesor'!D747), 6)=0),
    AND('BD Asesor'!H747="Anual", MONTH('BD Asesor'!D747)=MATCH($B$2, {"Enero", "Febrero", "Marzo", "Abril", "Mayo", "Junio", "Julio", "Agosto", "Septiembre", "Octubre", "Noviembre"}, 0))
), 'BD Asesor'!L747, "")
</f>
        <v/>
      </c>
    </row>
    <row r="748">
      <c r="C748" s="84" t="str">
        <f t="array" ref="C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Asesor'!A748, "")
</f>
        <v/>
      </c>
      <c r="D748" s="84" t="str">
        <f t="array" ref="D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Asesor'!B748, "")
</f>
        <v/>
      </c>
      <c r="E748" s="212" t="str">
        <f t="array" ref="E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Asesor'!C748, "")
</f>
        <v/>
      </c>
      <c r="F748" s="212" t="str">
        <f t="array" ref="F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Asesor'!D748, "")
</f>
        <v/>
      </c>
      <c r="G748" s="212" t="str">
        <f t="array" ref="G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Asesor'!E748, "")
</f>
        <v/>
      </c>
      <c r="H748" s="84" t="str">
        <f t="array" ref="H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Asesor'!F748, "")
</f>
        <v/>
      </c>
      <c r="I748" s="84" t="str">
        <f t="array" ref="I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Asesor'!G748, "")
</f>
        <v/>
      </c>
      <c r="J748" s="84" t="str">
        <f t="array" ref="J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Asesor'!H748, "")
</f>
        <v/>
      </c>
      <c r="K748" s="84" t="str">
        <f t="array" ref="K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Asesor'!K748, "")
</f>
        <v/>
      </c>
      <c r="L748" s="84" t="str">
        <f t="array" ref="L748">IF(OR(
    AND('BD Asesor'!H748="Mensual", MATCH($B$2, {"Enero", "Febrero", "Marzo", "Abril", "Mayo", "Junio", "Julio", "Agosto", "Septiembre", "Octubre", "Noviembre", "Diciembre"}, 0)&gt;=1),
    AND('BD Asesor'!H748="Trimestral", MOD(MATCH($B$2, {"Enero", "Febrero", "Marzo", "Abril", "Mayo", "Junio", "Julio", "Agosto", "Septiembre", "Octubre", "Noviembre"}, 0)-MONTH('BD Asesor'!D748), 3)=0),
    AND('BD Asesor'!H748="Semestral", MOD(MATCH($B$2, {"Enero", "Febrero", "Marzo", "Abril", "Mayo", "Junio", "Julio", "Agosto", "Septiembre", "Octubre", "Noviembre"}, 0)-MONTH('BD Asesor'!D748), 6)=0),
    AND('BD Asesor'!H748="Anual", MONTH('BD Asesor'!D748)=MATCH($B$2, {"Enero", "Febrero", "Marzo", "Abril", "Mayo", "Junio", "Julio", "Agosto", "Septiembre", "Octubre", "Noviembre"}, 0))
), 'BD Asesor'!L748, "")
</f>
        <v/>
      </c>
    </row>
    <row r="749">
      <c r="C749" s="84" t="str">
        <f t="array" ref="C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Asesor'!A749, "")
</f>
        <v/>
      </c>
      <c r="D749" s="84" t="str">
        <f t="array" ref="D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Asesor'!B749, "")
</f>
        <v/>
      </c>
      <c r="E749" s="212" t="str">
        <f t="array" ref="E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Asesor'!C749, "")
</f>
        <v/>
      </c>
      <c r="F749" s="212" t="str">
        <f t="array" ref="F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Asesor'!D749, "")
</f>
        <v/>
      </c>
      <c r="G749" s="212" t="str">
        <f t="array" ref="G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Asesor'!E749, "")
</f>
        <v/>
      </c>
      <c r="H749" s="84" t="str">
        <f t="array" ref="H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Asesor'!F749, "")
</f>
        <v/>
      </c>
      <c r="I749" s="84" t="str">
        <f t="array" ref="I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Asesor'!G749, "")
</f>
        <v/>
      </c>
      <c r="J749" s="84" t="str">
        <f t="array" ref="J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Asesor'!H749, "")
</f>
        <v/>
      </c>
      <c r="K749" s="84" t="str">
        <f t="array" ref="K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Asesor'!K749, "")
</f>
        <v/>
      </c>
      <c r="L749" s="84" t="str">
        <f t="array" ref="L749">IF(OR(
    AND('BD Asesor'!H749="Mensual", MATCH($B$2, {"Enero", "Febrero", "Marzo", "Abril", "Mayo", "Junio", "Julio", "Agosto", "Septiembre", "Octubre", "Noviembre", "Diciembre"}, 0)&gt;=1),
    AND('BD Asesor'!H749="Trimestral", MOD(MATCH($B$2, {"Enero", "Febrero", "Marzo", "Abril", "Mayo", "Junio", "Julio", "Agosto", "Septiembre", "Octubre", "Noviembre"}, 0)-MONTH('BD Asesor'!D749), 3)=0),
    AND('BD Asesor'!H749="Semestral", MOD(MATCH($B$2, {"Enero", "Febrero", "Marzo", "Abril", "Mayo", "Junio", "Julio", "Agosto", "Septiembre", "Octubre", "Noviembre"}, 0)-MONTH('BD Asesor'!D749), 6)=0),
    AND('BD Asesor'!H749="Anual", MONTH('BD Asesor'!D749)=MATCH($B$2, {"Enero", "Febrero", "Marzo", "Abril", "Mayo", "Junio", "Julio", "Agosto", "Septiembre", "Octubre", "Noviembre"}, 0))
), 'BD Asesor'!L749, "")
</f>
        <v/>
      </c>
    </row>
    <row r="750">
      <c r="C750" s="84" t="str">
        <f t="array" ref="C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Asesor'!A750, "")
</f>
        <v/>
      </c>
      <c r="D750" s="84" t="str">
        <f t="array" ref="D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Asesor'!B750, "")
</f>
        <v/>
      </c>
      <c r="E750" s="212" t="str">
        <f t="array" ref="E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Asesor'!C750, "")
</f>
        <v/>
      </c>
      <c r="F750" s="212" t="str">
        <f t="array" ref="F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Asesor'!D750, "")
</f>
        <v/>
      </c>
      <c r="G750" s="212" t="str">
        <f t="array" ref="G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Asesor'!E750, "")
</f>
        <v/>
      </c>
      <c r="H750" s="84" t="str">
        <f t="array" ref="H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Asesor'!F750, "")
</f>
        <v/>
      </c>
      <c r="I750" s="84" t="str">
        <f t="array" ref="I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Asesor'!G750, "")
</f>
        <v/>
      </c>
      <c r="J750" s="84" t="str">
        <f t="array" ref="J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Asesor'!H750, "")
</f>
        <v/>
      </c>
      <c r="K750" s="84" t="str">
        <f t="array" ref="K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Asesor'!K750, "")
</f>
        <v/>
      </c>
      <c r="L750" s="84" t="str">
        <f t="array" ref="L750">IF(OR(
    AND('BD Asesor'!H750="Mensual", MATCH($B$2, {"Enero", "Febrero", "Marzo", "Abril", "Mayo", "Junio", "Julio", "Agosto", "Septiembre", "Octubre", "Noviembre", "Diciembre"}, 0)&gt;=1),
    AND('BD Asesor'!H750="Trimestral", MOD(MATCH($B$2, {"Enero", "Febrero", "Marzo", "Abril", "Mayo", "Junio", "Julio", "Agosto", "Septiembre", "Octubre", "Noviembre"}, 0)-MONTH('BD Asesor'!D750), 3)=0),
    AND('BD Asesor'!H750="Semestral", MOD(MATCH($B$2, {"Enero", "Febrero", "Marzo", "Abril", "Mayo", "Junio", "Julio", "Agosto", "Septiembre", "Octubre", "Noviembre"}, 0)-MONTH('BD Asesor'!D750), 6)=0),
    AND('BD Asesor'!H750="Anual", MONTH('BD Asesor'!D750)=MATCH($B$2, {"Enero", "Febrero", "Marzo", "Abril", "Mayo", "Junio", "Julio", "Agosto", "Septiembre", "Octubre", "Noviembre"}, 0))
), 'BD Asesor'!L750, "")
</f>
        <v/>
      </c>
    </row>
    <row r="751">
      <c r="C751" s="84" t="str">
        <f t="array" ref="C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Asesor'!A751, "")
</f>
        <v/>
      </c>
      <c r="D751" s="84" t="str">
        <f t="array" ref="D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Asesor'!B751, "")
</f>
        <v/>
      </c>
      <c r="E751" s="212" t="str">
        <f t="array" ref="E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Asesor'!C751, "")
</f>
        <v/>
      </c>
      <c r="F751" s="212" t="str">
        <f t="array" ref="F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Asesor'!D751, "")
</f>
        <v/>
      </c>
      <c r="G751" s="212" t="str">
        <f t="array" ref="G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Asesor'!E751, "")
</f>
        <v/>
      </c>
      <c r="H751" s="84" t="str">
        <f t="array" ref="H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Asesor'!F751, "")
</f>
        <v/>
      </c>
      <c r="I751" s="84" t="str">
        <f t="array" ref="I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Asesor'!G751, "")
</f>
        <v/>
      </c>
      <c r="J751" s="84" t="str">
        <f t="array" ref="J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Asesor'!H751, "")
</f>
        <v/>
      </c>
      <c r="K751" s="84" t="str">
        <f t="array" ref="K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Asesor'!K751, "")
</f>
        <v/>
      </c>
      <c r="L751" s="84" t="str">
        <f t="array" ref="L751">IF(OR(
    AND('BD Asesor'!H751="Mensual", MATCH($B$2, {"Enero", "Febrero", "Marzo", "Abril", "Mayo", "Junio", "Julio", "Agosto", "Septiembre", "Octubre", "Noviembre", "Diciembre"}, 0)&gt;=1),
    AND('BD Asesor'!H751="Trimestral", MOD(MATCH($B$2, {"Enero", "Febrero", "Marzo", "Abril", "Mayo", "Junio", "Julio", "Agosto", "Septiembre", "Octubre", "Noviembre"}, 0)-MONTH('BD Asesor'!D751), 3)=0),
    AND('BD Asesor'!H751="Semestral", MOD(MATCH($B$2, {"Enero", "Febrero", "Marzo", "Abril", "Mayo", "Junio", "Julio", "Agosto", "Septiembre", "Octubre", "Noviembre"}, 0)-MONTH('BD Asesor'!D751), 6)=0),
    AND('BD Asesor'!H751="Anual", MONTH('BD Asesor'!D751)=MATCH($B$2, {"Enero", "Febrero", "Marzo", "Abril", "Mayo", "Junio", "Julio", "Agosto", "Septiembre", "Octubre", "Noviembre"}, 0))
), 'BD Asesor'!L751, "")
</f>
        <v/>
      </c>
    </row>
    <row r="752">
      <c r="C752" s="84" t="str">
        <f t="array" ref="C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Asesor'!A752, "")
</f>
        <v/>
      </c>
      <c r="D752" s="84" t="str">
        <f t="array" ref="D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Asesor'!B752, "")
</f>
        <v/>
      </c>
      <c r="E752" s="212" t="str">
        <f t="array" ref="E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Asesor'!C752, "")
</f>
        <v/>
      </c>
      <c r="F752" s="212" t="str">
        <f t="array" ref="F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Asesor'!D752, "")
</f>
        <v/>
      </c>
      <c r="G752" s="212" t="str">
        <f t="array" ref="G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Asesor'!E752, "")
</f>
        <v/>
      </c>
      <c r="H752" s="84" t="str">
        <f t="array" ref="H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Asesor'!F752, "")
</f>
        <v/>
      </c>
      <c r="I752" s="84" t="str">
        <f t="array" ref="I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Asesor'!G752, "")
</f>
        <v/>
      </c>
      <c r="J752" s="84" t="str">
        <f t="array" ref="J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Asesor'!H752, "")
</f>
        <v/>
      </c>
      <c r="K752" s="84" t="str">
        <f t="array" ref="K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Asesor'!K752, "")
</f>
        <v/>
      </c>
      <c r="L752" s="84" t="str">
        <f t="array" ref="L752">IF(OR(
    AND('BD Asesor'!H752="Mensual", MATCH($B$2, {"Enero", "Febrero", "Marzo", "Abril", "Mayo", "Junio", "Julio", "Agosto", "Septiembre", "Octubre", "Noviembre", "Diciembre"}, 0)&gt;=1),
    AND('BD Asesor'!H752="Trimestral", MOD(MATCH($B$2, {"Enero", "Febrero", "Marzo", "Abril", "Mayo", "Junio", "Julio", "Agosto", "Septiembre", "Octubre", "Noviembre"}, 0)-MONTH('BD Asesor'!D752), 3)=0),
    AND('BD Asesor'!H752="Semestral", MOD(MATCH($B$2, {"Enero", "Febrero", "Marzo", "Abril", "Mayo", "Junio", "Julio", "Agosto", "Septiembre", "Octubre", "Noviembre"}, 0)-MONTH('BD Asesor'!D752), 6)=0),
    AND('BD Asesor'!H752="Anual", MONTH('BD Asesor'!D752)=MATCH($B$2, {"Enero", "Febrero", "Marzo", "Abril", "Mayo", "Junio", "Julio", "Agosto", "Septiembre", "Octubre", "Noviembre"}, 0))
), 'BD Asesor'!L752, "")
</f>
        <v/>
      </c>
    </row>
    <row r="753">
      <c r="C753" s="84" t="str">
        <f t="array" ref="C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Asesor'!A753, "")
</f>
        <v/>
      </c>
      <c r="D753" s="84" t="str">
        <f t="array" ref="D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Asesor'!B753, "")
</f>
        <v/>
      </c>
      <c r="E753" s="212" t="str">
        <f t="array" ref="E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Asesor'!C753, "")
</f>
        <v/>
      </c>
      <c r="F753" s="212" t="str">
        <f t="array" ref="F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Asesor'!D753, "")
</f>
        <v/>
      </c>
      <c r="G753" s="212" t="str">
        <f t="array" ref="G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Asesor'!E753, "")
</f>
        <v/>
      </c>
      <c r="H753" s="84" t="str">
        <f t="array" ref="H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Asesor'!F753, "")
</f>
        <v/>
      </c>
      <c r="I753" s="84" t="str">
        <f t="array" ref="I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Asesor'!G753, "")
</f>
        <v/>
      </c>
      <c r="J753" s="84" t="str">
        <f t="array" ref="J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Asesor'!H753, "")
</f>
        <v/>
      </c>
      <c r="K753" s="84" t="str">
        <f t="array" ref="K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Asesor'!K753, "")
</f>
        <v/>
      </c>
      <c r="L753" s="84" t="str">
        <f t="array" ref="L753">IF(OR(
    AND('BD Asesor'!H753="Mensual", MATCH($B$2, {"Enero", "Febrero", "Marzo", "Abril", "Mayo", "Junio", "Julio", "Agosto", "Septiembre", "Octubre", "Noviembre", "Diciembre"}, 0)&gt;=1),
    AND('BD Asesor'!H753="Trimestral", MOD(MATCH($B$2, {"Enero", "Febrero", "Marzo", "Abril", "Mayo", "Junio", "Julio", "Agosto", "Septiembre", "Octubre", "Noviembre"}, 0)-MONTH('BD Asesor'!D753), 3)=0),
    AND('BD Asesor'!H753="Semestral", MOD(MATCH($B$2, {"Enero", "Febrero", "Marzo", "Abril", "Mayo", "Junio", "Julio", "Agosto", "Septiembre", "Octubre", "Noviembre"}, 0)-MONTH('BD Asesor'!D753), 6)=0),
    AND('BD Asesor'!H753="Anual", MONTH('BD Asesor'!D753)=MATCH($B$2, {"Enero", "Febrero", "Marzo", "Abril", "Mayo", "Junio", "Julio", "Agosto", "Septiembre", "Octubre", "Noviembre"}, 0))
), 'BD Asesor'!L753, "")
</f>
        <v/>
      </c>
    </row>
    <row r="754">
      <c r="C754" s="84" t="str">
        <f t="array" ref="C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Asesor'!A754, "")
</f>
        <v/>
      </c>
      <c r="D754" s="84" t="str">
        <f t="array" ref="D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Asesor'!B754, "")
</f>
        <v/>
      </c>
      <c r="E754" s="212" t="str">
        <f t="array" ref="E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Asesor'!C754, "")
</f>
        <v/>
      </c>
      <c r="F754" s="212" t="str">
        <f t="array" ref="F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Asesor'!D754, "")
</f>
        <v/>
      </c>
      <c r="G754" s="212" t="str">
        <f t="array" ref="G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Asesor'!E754, "")
</f>
        <v/>
      </c>
      <c r="H754" s="84" t="str">
        <f t="array" ref="H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Asesor'!F754, "")
</f>
        <v/>
      </c>
      <c r="I754" s="84" t="str">
        <f t="array" ref="I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Asesor'!G754, "")
</f>
        <v/>
      </c>
      <c r="J754" s="84" t="str">
        <f t="array" ref="J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Asesor'!H754, "")
</f>
        <v/>
      </c>
      <c r="K754" s="84" t="str">
        <f t="array" ref="K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Asesor'!K754, "")
</f>
        <v/>
      </c>
      <c r="L754" s="84" t="str">
        <f t="array" ref="L754">IF(OR(
    AND('BD Asesor'!H754="Mensual", MATCH($B$2, {"Enero", "Febrero", "Marzo", "Abril", "Mayo", "Junio", "Julio", "Agosto", "Septiembre", "Octubre", "Noviembre", "Diciembre"}, 0)&gt;=1),
    AND('BD Asesor'!H754="Trimestral", MOD(MATCH($B$2, {"Enero", "Febrero", "Marzo", "Abril", "Mayo", "Junio", "Julio", "Agosto", "Septiembre", "Octubre", "Noviembre"}, 0)-MONTH('BD Asesor'!D754), 3)=0),
    AND('BD Asesor'!H754="Semestral", MOD(MATCH($B$2, {"Enero", "Febrero", "Marzo", "Abril", "Mayo", "Junio", "Julio", "Agosto", "Septiembre", "Octubre", "Noviembre"}, 0)-MONTH('BD Asesor'!D754), 6)=0),
    AND('BD Asesor'!H754="Anual", MONTH('BD Asesor'!D754)=MATCH($B$2, {"Enero", "Febrero", "Marzo", "Abril", "Mayo", "Junio", "Julio", "Agosto", "Septiembre", "Octubre", "Noviembre"}, 0))
), 'BD Asesor'!L754, "")
</f>
        <v/>
      </c>
    </row>
    <row r="755">
      <c r="C755" s="84" t="str">
        <f t="array" ref="C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Asesor'!A755, "")
</f>
        <v/>
      </c>
      <c r="D755" s="84" t="str">
        <f t="array" ref="D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Asesor'!B755, "")
</f>
        <v/>
      </c>
      <c r="E755" s="212" t="str">
        <f t="array" ref="E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Asesor'!C755, "")
</f>
        <v/>
      </c>
      <c r="F755" s="212" t="str">
        <f t="array" ref="F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Asesor'!D755, "")
</f>
        <v/>
      </c>
      <c r="G755" s="212" t="str">
        <f t="array" ref="G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Asesor'!E755, "")
</f>
        <v/>
      </c>
      <c r="H755" s="84" t="str">
        <f t="array" ref="H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Asesor'!F755, "")
</f>
        <v/>
      </c>
      <c r="I755" s="84" t="str">
        <f t="array" ref="I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Asesor'!G755, "")
</f>
        <v/>
      </c>
      <c r="J755" s="84" t="str">
        <f t="array" ref="J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Asesor'!H755, "")
</f>
        <v/>
      </c>
      <c r="K755" s="84" t="str">
        <f t="array" ref="K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Asesor'!K755, "")
</f>
        <v/>
      </c>
      <c r="L755" s="84" t="str">
        <f t="array" ref="L755">IF(OR(
    AND('BD Asesor'!H755="Mensual", MATCH($B$2, {"Enero", "Febrero", "Marzo", "Abril", "Mayo", "Junio", "Julio", "Agosto", "Septiembre", "Octubre", "Noviembre", "Diciembre"}, 0)&gt;=1),
    AND('BD Asesor'!H755="Trimestral", MOD(MATCH($B$2, {"Enero", "Febrero", "Marzo", "Abril", "Mayo", "Junio", "Julio", "Agosto", "Septiembre", "Octubre", "Noviembre"}, 0)-MONTH('BD Asesor'!D755), 3)=0),
    AND('BD Asesor'!H755="Semestral", MOD(MATCH($B$2, {"Enero", "Febrero", "Marzo", "Abril", "Mayo", "Junio", "Julio", "Agosto", "Septiembre", "Octubre", "Noviembre"}, 0)-MONTH('BD Asesor'!D755), 6)=0),
    AND('BD Asesor'!H755="Anual", MONTH('BD Asesor'!D755)=MATCH($B$2, {"Enero", "Febrero", "Marzo", "Abril", "Mayo", "Junio", "Julio", "Agosto", "Septiembre", "Octubre", "Noviembre"}, 0))
), 'BD Asesor'!L755, "")
</f>
        <v/>
      </c>
    </row>
    <row r="756">
      <c r="C756" s="84" t="str">
        <f t="array" ref="C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Asesor'!A756, "")
</f>
        <v/>
      </c>
      <c r="D756" s="84" t="str">
        <f t="array" ref="D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Asesor'!B756, "")
</f>
        <v/>
      </c>
      <c r="E756" s="212" t="str">
        <f t="array" ref="E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Asesor'!C756, "")
</f>
        <v/>
      </c>
      <c r="F756" s="212" t="str">
        <f t="array" ref="F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Asesor'!D756, "")
</f>
        <v/>
      </c>
      <c r="G756" s="212" t="str">
        <f t="array" ref="G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Asesor'!E756, "")
</f>
        <v/>
      </c>
      <c r="H756" s="84" t="str">
        <f t="array" ref="H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Asesor'!F756, "")
</f>
        <v/>
      </c>
      <c r="I756" s="84" t="str">
        <f t="array" ref="I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Asesor'!G756, "")
</f>
        <v/>
      </c>
      <c r="J756" s="84" t="str">
        <f t="array" ref="J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Asesor'!H756, "")
</f>
        <v/>
      </c>
      <c r="K756" s="84" t="str">
        <f t="array" ref="K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Asesor'!K756, "")
</f>
        <v/>
      </c>
      <c r="L756" s="84" t="str">
        <f t="array" ref="L756">IF(OR(
    AND('BD Asesor'!H756="Mensual", MATCH($B$2, {"Enero", "Febrero", "Marzo", "Abril", "Mayo", "Junio", "Julio", "Agosto", "Septiembre", "Octubre", "Noviembre", "Diciembre"}, 0)&gt;=1),
    AND('BD Asesor'!H756="Trimestral", MOD(MATCH($B$2, {"Enero", "Febrero", "Marzo", "Abril", "Mayo", "Junio", "Julio", "Agosto", "Septiembre", "Octubre", "Noviembre"}, 0)-MONTH('BD Asesor'!D756), 3)=0),
    AND('BD Asesor'!H756="Semestral", MOD(MATCH($B$2, {"Enero", "Febrero", "Marzo", "Abril", "Mayo", "Junio", "Julio", "Agosto", "Septiembre", "Octubre", "Noviembre"}, 0)-MONTH('BD Asesor'!D756), 6)=0),
    AND('BD Asesor'!H756="Anual", MONTH('BD Asesor'!D756)=MATCH($B$2, {"Enero", "Febrero", "Marzo", "Abril", "Mayo", "Junio", "Julio", "Agosto", "Septiembre", "Octubre", "Noviembre"}, 0))
), 'BD Asesor'!L756, "")
</f>
        <v/>
      </c>
    </row>
    <row r="757">
      <c r="C757" s="84" t="str">
        <f t="array" ref="C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Asesor'!A757, "")
</f>
        <v/>
      </c>
      <c r="D757" s="84" t="str">
        <f t="array" ref="D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Asesor'!B757, "")
</f>
        <v/>
      </c>
      <c r="E757" s="212" t="str">
        <f t="array" ref="E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Asesor'!C757, "")
</f>
        <v/>
      </c>
      <c r="F757" s="212" t="str">
        <f t="array" ref="F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Asesor'!D757, "")
</f>
        <v/>
      </c>
      <c r="G757" s="212" t="str">
        <f t="array" ref="G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Asesor'!E757, "")
</f>
        <v/>
      </c>
      <c r="H757" s="84" t="str">
        <f t="array" ref="H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Asesor'!F757, "")
</f>
        <v/>
      </c>
      <c r="I757" s="84" t="str">
        <f t="array" ref="I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Asesor'!G757, "")
</f>
        <v/>
      </c>
      <c r="J757" s="84" t="str">
        <f t="array" ref="J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Asesor'!H757, "")
</f>
        <v/>
      </c>
      <c r="K757" s="84" t="str">
        <f t="array" ref="K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Asesor'!K757, "")
</f>
        <v/>
      </c>
      <c r="L757" s="84" t="str">
        <f t="array" ref="L757">IF(OR(
    AND('BD Asesor'!H757="Mensual", MATCH($B$2, {"Enero", "Febrero", "Marzo", "Abril", "Mayo", "Junio", "Julio", "Agosto", "Septiembre", "Octubre", "Noviembre", "Diciembre"}, 0)&gt;=1),
    AND('BD Asesor'!H757="Trimestral", MOD(MATCH($B$2, {"Enero", "Febrero", "Marzo", "Abril", "Mayo", "Junio", "Julio", "Agosto", "Septiembre", "Octubre", "Noviembre"}, 0)-MONTH('BD Asesor'!D757), 3)=0),
    AND('BD Asesor'!H757="Semestral", MOD(MATCH($B$2, {"Enero", "Febrero", "Marzo", "Abril", "Mayo", "Junio", "Julio", "Agosto", "Septiembre", "Octubre", "Noviembre"}, 0)-MONTH('BD Asesor'!D757), 6)=0),
    AND('BD Asesor'!H757="Anual", MONTH('BD Asesor'!D757)=MATCH($B$2, {"Enero", "Febrero", "Marzo", "Abril", "Mayo", "Junio", "Julio", "Agosto", "Septiembre", "Octubre", "Noviembre"}, 0))
), 'BD Asesor'!L757, "")
</f>
        <v/>
      </c>
    </row>
    <row r="758">
      <c r="C758" s="84" t="str">
        <f t="array" ref="C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Asesor'!A758, "")
</f>
        <v/>
      </c>
      <c r="D758" s="84" t="str">
        <f t="array" ref="D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Asesor'!B758, "")
</f>
        <v/>
      </c>
      <c r="E758" s="212" t="str">
        <f t="array" ref="E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Asesor'!C758, "")
</f>
        <v/>
      </c>
      <c r="F758" s="212" t="str">
        <f t="array" ref="F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Asesor'!D758, "")
</f>
        <v/>
      </c>
      <c r="G758" s="212" t="str">
        <f t="array" ref="G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Asesor'!E758, "")
</f>
        <v/>
      </c>
      <c r="H758" s="84" t="str">
        <f t="array" ref="H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Asesor'!F758, "")
</f>
        <v/>
      </c>
      <c r="I758" s="84" t="str">
        <f t="array" ref="I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Asesor'!G758, "")
</f>
        <v/>
      </c>
      <c r="J758" s="84" t="str">
        <f t="array" ref="J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Asesor'!H758, "")
</f>
        <v/>
      </c>
      <c r="K758" s="84" t="str">
        <f t="array" ref="K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Asesor'!K758, "")
</f>
        <v/>
      </c>
      <c r="L758" s="84" t="str">
        <f t="array" ref="L758">IF(OR(
    AND('BD Asesor'!H758="Mensual", MATCH($B$2, {"Enero", "Febrero", "Marzo", "Abril", "Mayo", "Junio", "Julio", "Agosto", "Septiembre", "Octubre", "Noviembre", "Diciembre"}, 0)&gt;=1),
    AND('BD Asesor'!H758="Trimestral", MOD(MATCH($B$2, {"Enero", "Febrero", "Marzo", "Abril", "Mayo", "Junio", "Julio", "Agosto", "Septiembre", "Octubre", "Noviembre"}, 0)-MONTH('BD Asesor'!D758), 3)=0),
    AND('BD Asesor'!H758="Semestral", MOD(MATCH($B$2, {"Enero", "Febrero", "Marzo", "Abril", "Mayo", "Junio", "Julio", "Agosto", "Septiembre", "Octubre", "Noviembre"}, 0)-MONTH('BD Asesor'!D758), 6)=0),
    AND('BD Asesor'!H758="Anual", MONTH('BD Asesor'!D758)=MATCH($B$2, {"Enero", "Febrero", "Marzo", "Abril", "Mayo", "Junio", "Julio", "Agosto", "Septiembre", "Octubre", "Noviembre"}, 0))
), 'BD Asesor'!L758, "")
</f>
        <v/>
      </c>
    </row>
    <row r="759">
      <c r="C759" s="84" t="str">
        <f t="array" ref="C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Asesor'!A759, "")
</f>
        <v/>
      </c>
      <c r="D759" s="84" t="str">
        <f t="array" ref="D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Asesor'!B759, "")
</f>
        <v/>
      </c>
      <c r="E759" s="212" t="str">
        <f t="array" ref="E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Asesor'!C759, "")
</f>
        <v/>
      </c>
      <c r="F759" s="212" t="str">
        <f t="array" ref="F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Asesor'!D759, "")
</f>
        <v/>
      </c>
      <c r="G759" s="212" t="str">
        <f t="array" ref="G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Asesor'!E759, "")
</f>
        <v/>
      </c>
      <c r="H759" s="84" t="str">
        <f t="array" ref="H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Asesor'!F759, "")
</f>
        <v/>
      </c>
      <c r="I759" s="84" t="str">
        <f t="array" ref="I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Asesor'!G759, "")
</f>
        <v/>
      </c>
      <c r="J759" s="84" t="str">
        <f t="array" ref="J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Asesor'!H759, "")
</f>
        <v/>
      </c>
      <c r="K759" s="84" t="str">
        <f t="array" ref="K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Asesor'!K759, "")
</f>
        <v/>
      </c>
      <c r="L759" s="84" t="str">
        <f t="array" ref="L759">IF(OR(
    AND('BD Asesor'!H759="Mensual", MATCH($B$2, {"Enero", "Febrero", "Marzo", "Abril", "Mayo", "Junio", "Julio", "Agosto", "Septiembre", "Octubre", "Noviembre", "Diciembre"}, 0)&gt;=1),
    AND('BD Asesor'!H759="Trimestral", MOD(MATCH($B$2, {"Enero", "Febrero", "Marzo", "Abril", "Mayo", "Junio", "Julio", "Agosto", "Septiembre", "Octubre", "Noviembre"}, 0)-MONTH('BD Asesor'!D759), 3)=0),
    AND('BD Asesor'!H759="Semestral", MOD(MATCH($B$2, {"Enero", "Febrero", "Marzo", "Abril", "Mayo", "Junio", "Julio", "Agosto", "Septiembre", "Octubre", "Noviembre"}, 0)-MONTH('BD Asesor'!D759), 6)=0),
    AND('BD Asesor'!H759="Anual", MONTH('BD Asesor'!D759)=MATCH($B$2, {"Enero", "Febrero", "Marzo", "Abril", "Mayo", "Junio", "Julio", "Agosto", "Septiembre", "Octubre", "Noviembre"}, 0))
), 'BD Asesor'!L759, "")
</f>
        <v/>
      </c>
    </row>
    <row r="760">
      <c r="C760" s="84" t="str">
        <f t="array" ref="C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Asesor'!A760, "")
</f>
        <v/>
      </c>
      <c r="D760" s="84" t="str">
        <f t="array" ref="D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Asesor'!B760, "")
</f>
        <v/>
      </c>
      <c r="E760" s="212" t="str">
        <f t="array" ref="E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Asesor'!C760, "")
</f>
        <v/>
      </c>
      <c r="F760" s="212" t="str">
        <f t="array" ref="F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Asesor'!D760, "")
</f>
        <v/>
      </c>
      <c r="G760" s="212" t="str">
        <f t="array" ref="G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Asesor'!E760, "")
</f>
        <v/>
      </c>
      <c r="H760" s="84" t="str">
        <f t="array" ref="H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Asesor'!F760, "")
</f>
        <v/>
      </c>
      <c r="I760" s="84" t="str">
        <f t="array" ref="I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Asesor'!G760, "")
</f>
        <v/>
      </c>
      <c r="J760" s="84" t="str">
        <f t="array" ref="J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Asesor'!H760, "")
</f>
        <v/>
      </c>
      <c r="K760" s="84" t="str">
        <f t="array" ref="K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Asesor'!K760, "")
</f>
        <v/>
      </c>
      <c r="L760" s="84" t="str">
        <f t="array" ref="L760">IF(OR(
    AND('BD Asesor'!H760="Mensual", MATCH($B$2, {"Enero", "Febrero", "Marzo", "Abril", "Mayo", "Junio", "Julio", "Agosto", "Septiembre", "Octubre", "Noviembre", "Diciembre"}, 0)&gt;=1),
    AND('BD Asesor'!H760="Trimestral", MOD(MATCH($B$2, {"Enero", "Febrero", "Marzo", "Abril", "Mayo", "Junio", "Julio", "Agosto", "Septiembre", "Octubre", "Noviembre"}, 0)-MONTH('BD Asesor'!D760), 3)=0),
    AND('BD Asesor'!H760="Semestral", MOD(MATCH($B$2, {"Enero", "Febrero", "Marzo", "Abril", "Mayo", "Junio", "Julio", "Agosto", "Septiembre", "Octubre", "Noviembre"}, 0)-MONTH('BD Asesor'!D760), 6)=0),
    AND('BD Asesor'!H760="Anual", MONTH('BD Asesor'!D760)=MATCH($B$2, {"Enero", "Febrero", "Marzo", "Abril", "Mayo", "Junio", "Julio", "Agosto", "Septiembre", "Octubre", "Noviembre"}, 0))
), 'BD Asesor'!L760, "")
</f>
        <v/>
      </c>
    </row>
    <row r="761">
      <c r="C761" s="84" t="str">
        <f t="array" ref="C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Asesor'!A761, "")
</f>
        <v/>
      </c>
      <c r="D761" s="84" t="str">
        <f t="array" ref="D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Asesor'!B761, "")
</f>
        <v/>
      </c>
      <c r="E761" s="212" t="str">
        <f t="array" ref="E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Asesor'!C761, "")
</f>
        <v/>
      </c>
      <c r="F761" s="212" t="str">
        <f t="array" ref="F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Asesor'!D761, "")
</f>
        <v/>
      </c>
      <c r="G761" s="212" t="str">
        <f t="array" ref="G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Asesor'!E761, "")
</f>
        <v/>
      </c>
      <c r="H761" s="84" t="str">
        <f t="array" ref="H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Asesor'!F761, "")
</f>
        <v/>
      </c>
      <c r="I761" s="84" t="str">
        <f t="array" ref="I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Asesor'!G761, "")
</f>
        <v/>
      </c>
      <c r="J761" s="84" t="str">
        <f t="array" ref="J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Asesor'!H761, "")
</f>
        <v/>
      </c>
      <c r="K761" s="84" t="str">
        <f t="array" ref="K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Asesor'!K761, "")
</f>
        <v/>
      </c>
      <c r="L761" s="84" t="str">
        <f t="array" ref="L761">IF(OR(
    AND('BD Asesor'!H761="Mensual", MATCH($B$2, {"Enero", "Febrero", "Marzo", "Abril", "Mayo", "Junio", "Julio", "Agosto", "Septiembre", "Octubre", "Noviembre", "Diciembre"}, 0)&gt;=1),
    AND('BD Asesor'!H761="Trimestral", MOD(MATCH($B$2, {"Enero", "Febrero", "Marzo", "Abril", "Mayo", "Junio", "Julio", "Agosto", "Septiembre", "Octubre", "Noviembre"}, 0)-MONTH('BD Asesor'!D761), 3)=0),
    AND('BD Asesor'!H761="Semestral", MOD(MATCH($B$2, {"Enero", "Febrero", "Marzo", "Abril", "Mayo", "Junio", "Julio", "Agosto", "Septiembre", "Octubre", "Noviembre"}, 0)-MONTH('BD Asesor'!D761), 6)=0),
    AND('BD Asesor'!H761="Anual", MONTH('BD Asesor'!D761)=MATCH($B$2, {"Enero", "Febrero", "Marzo", "Abril", "Mayo", "Junio", "Julio", "Agosto", "Septiembre", "Octubre", "Noviembre"}, 0))
), 'BD Asesor'!L761, "")
</f>
        <v/>
      </c>
    </row>
    <row r="762">
      <c r="C762" s="84" t="str">
        <f t="array" ref="C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Asesor'!A762, "")
</f>
        <v/>
      </c>
      <c r="D762" s="84" t="str">
        <f t="array" ref="D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Asesor'!B762, "")
</f>
        <v/>
      </c>
      <c r="E762" s="212" t="str">
        <f t="array" ref="E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Asesor'!C762, "")
</f>
        <v/>
      </c>
      <c r="F762" s="212" t="str">
        <f t="array" ref="F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Asesor'!D762, "")
</f>
        <v/>
      </c>
      <c r="G762" s="212" t="str">
        <f t="array" ref="G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Asesor'!E762, "")
</f>
        <v/>
      </c>
      <c r="H762" s="84" t="str">
        <f t="array" ref="H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Asesor'!F762, "")
</f>
        <v/>
      </c>
      <c r="I762" s="84" t="str">
        <f t="array" ref="I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Asesor'!G762, "")
</f>
        <v/>
      </c>
      <c r="J762" s="84" t="str">
        <f t="array" ref="J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Asesor'!H762, "")
</f>
        <v/>
      </c>
      <c r="K762" s="84" t="str">
        <f t="array" ref="K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Asesor'!K762, "")
</f>
        <v/>
      </c>
      <c r="L762" s="84" t="str">
        <f t="array" ref="L762">IF(OR(
    AND('BD Asesor'!H762="Mensual", MATCH($B$2, {"Enero", "Febrero", "Marzo", "Abril", "Mayo", "Junio", "Julio", "Agosto", "Septiembre", "Octubre", "Noviembre", "Diciembre"}, 0)&gt;=1),
    AND('BD Asesor'!H762="Trimestral", MOD(MATCH($B$2, {"Enero", "Febrero", "Marzo", "Abril", "Mayo", "Junio", "Julio", "Agosto", "Septiembre", "Octubre", "Noviembre"}, 0)-MONTH('BD Asesor'!D762), 3)=0),
    AND('BD Asesor'!H762="Semestral", MOD(MATCH($B$2, {"Enero", "Febrero", "Marzo", "Abril", "Mayo", "Junio", "Julio", "Agosto", "Septiembre", "Octubre", "Noviembre"}, 0)-MONTH('BD Asesor'!D762), 6)=0),
    AND('BD Asesor'!H762="Anual", MONTH('BD Asesor'!D762)=MATCH($B$2, {"Enero", "Febrero", "Marzo", "Abril", "Mayo", "Junio", "Julio", "Agosto", "Septiembre", "Octubre", "Noviembre"}, 0))
), 'BD Asesor'!L762, "")
</f>
        <v/>
      </c>
    </row>
    <row r="763">
      <c r="C763" s="84" t="str">
        <f t="array" ref="C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Asesor'!A763, "")
</f>
        <v/>
      </c>
      <c r="D763" s="84" t="str">
        <f t="array" ref="D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Asesor'!B763, "")
</f>
        <v/>
      </c>
      <c r="E763" s="212" t="str">
        <f t="array" ref="E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Asesor'!C763, "")
</f>
        <v/>
      </c>
      <c r="F763" s="212" t="str">
        <f t="array" ref="F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Asesor'!D763, "")
</f>
        <v/>
      </c>
      <c r="G763" s="212" t="str">
        <f t="array" ref="G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Asesor'!E763, "")
</f>
        <v/>
      </c>
      <c r="H763" s="84" t="str">
        <f t="array" ref="H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Asesor'!F763, "")
</f>
        <v/>
      </c>
      <c r="I763" s="84" t="str">
        <f t="array" ref="I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Asesor'!G763, "")
</f>
        <v/>
      </c>
      <c r="J763" s="84" t="str">
        <f t="array" ref="J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Asesor'!H763, "")
</f>
        <v/>
      </c>
      <c r="K763" s="84" t="str">
        <f t="array" ref="K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Asesor'!K763, "")
</f>
        <v/>
      </c>
      <c r="L763" s="84" t="str">
        <f t="array" ref="L763">IF(OR(
    AND('BD Asesor'!H763="Mensual", MATCH($B$2, {"Enero", "Febrero", "Marzo", "Abril", "Mayo", "Junio", "Julio", "Agosto", "Septiembre", "Octubre", "Noviembre", "Diciembre"}, 0)&gt;=1),
    AND('BD Asesor'!H763="Trimestral", MOD(MATCH($B$2, {"Enero", "Febrero", "Marzo", "Abril", "Mayo", "Junio", "Julio", "Agosto", "Septiembre", "Octubre", "Noviembre"}, 0)-MONTH('BD Asesor'!D763), 3)=0),
    AND('BD Asesor'!H763="Semestral", MOD(MATCH($B$2, {"Enero", "Febrero", "Marzo", "Abril", "Mayo", "Junio", "Julio", "Agosto", "Septiembre", "Octubre", "Noviembre"}, 0)-MONTH('BD Asesor'!D763), 6)=0),
    AND('BD Asesor'!H763="Anual", MONTH('BD Asesor'!D763)=MATCH($B$2, {"Enero", "Febrero", "Marzo", "Abril", "Mayo", "Junio", "Julio", "Agosto", "Septiembre", "Octubre", "Noviembre"}, 0))
), 'BD Asesor'!L763, "")
</f>
        <v/>
      </c>
    </row>
    <row r="764">
      <c r="C764" s="84" t="str">
        <f t="array" ref="C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Asesor'!A764, "")
</f>
        <v/>
      </c>
      <c r="D764" s="84" t="str">
        <f t="array" ref="D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Asesor'!B764, "")
</f>
        <v/>
      </c>
      <c r="E764" s="212" t="str">
        <f t="array" ref="E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Asesor'!C764, "")
</f>
        <v/>
      </c>
      <c r="F764" s="212" t="str">
        <f t="array" ref="F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Asesor'!D764, "")
</f>
        <v/>
      </c>
      <c r="G764" s="212" t="str">
        <f t="array" ref="G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Asesor'!E764, "")
</f>
        <v/>
      </c>
      <c r="H764" s="84" t="str">
        <f t="array" ref="H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Asesor'!F764, "")
</f>
        <v/>
      </c>
      <c r="I764" s="84" t="str">
        <f t="array" ref="I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Asesor'!G764, "")
</f>
        <v/>
      </c>
      <c r="J764" s="84" t="str">
        <f t="array" ref="J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Asesor'!H764, "")
</f>
        <v/>
      </c>
      <c r="K764" s="84" t="str">
        <f t="array" ref="K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Asesor'!K764, "")
</f>
        <v/>
      </c>
      <c r="L764" s="84" t="str">
        <f t="array" ref="L764">IF(OR(
    AND('BD Asesor'!H764="Mensual", MATCH($B$2, {"Enero", "Febrero", "Marzo", "Abril", "Mayo", "Junio", "Julio", "Agosto", "Septiembre", "Octubre", "Noviembre", "Diciembre"}, 0)&gt;=1),
    AND('BD Asesor'!H764="Trimestral", MOD(MATCH($B$2, {"Enero", "Febrero", "Marzo", "Abril", "Mayo", "Junio", "Julio", "Agosto", "Septiembre", "Octubre", "Noviembre"}, 0)-MONTH('BD Asesor'!D764), 3)=0),
    AND('BD Asesor'!H764="Semestral", MOD(MATCH($B$2, {"Enero", "Febrero", "Marzo", "Abril", "Mayo", "Junio", "Julio", "Agosto", "Septiembre", "Octubre", "Noviembre"}, 0)-MONTH('BD Asesor'!D764), 6)=0),
    AND('BD Asesor'!H764="Anual", MONTH('BD Asesor'!D764)=MATCH($B$2, {"Enero", "Febrero", "Marzo", "Abril", "Mayo", "Junio", "Julio", "Agosto", "Septiembre", "Octubre", "Noviembre"}, 0))
), 'BD Asesor'!L764, "")
</f>
        <v/>
      </c>
    </row>
    <row r="765">
      <c r="C765" s="84" t="str">
        <f t="array" ref="C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Asesor'!A765, "")
</f>
        <v/>
      </c>
      <c r="D765" s="84" t="str">
        <f t="array" ref="D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Asesor'!B765, "")
</f>
        <v/>
      </c>
      <c r="E765" s="212" t="str">
        <f t="array" ref="E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Asesor'!C765, "")
</f>
        <v/>
      </c>
      <c r="F765" s="212" t="str">
        <f t="array" ref="F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Asesor'!D765, "")
</f>
        <v/>
      </c>
      <c r="G765" s="212" t="str">
        <f t="array" ref="G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Asesor'!E765, "")
</f>
        <v/>
      </c>
      <c r="H765" s="84" t="str">
        <f t="array" ref="H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Asesor'!F765, "")
</f>
        <v/>
      </c>
      <c r="I765" s="84" t="str">
        <f t="array" ref="I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Asesor'!G765, "")
</f>
        <v/>
      </c>
      <c r="J765" s="84" t="str">
        <f t="array" ref="J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Asesor'!H765, "")
</f>
        <v/>
      </c>
      <c r="K765" s="84" t="str">
        <f t="array" ref="K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Asesor'!K765, "")
</f>
        <v/>
      </c>
      <c r="L765" s="84" t="str">
        <f t="array" ref="L765">IF(OR(
    AND('BD Asesor'!H765="Mensual", MATCH($B$2, {"Enero", "Febrero", "Marzo", "Abril", "Mayo", "Junio", "Julio", "Agosto", "Septiembre", "Octubre", "Noviembre", "Diciembre"}, 0)&gt;=1),
    AND('BD Asesor'!H765="Trimestral", MOD(MATCH($B$2, {"Enero", "Febrero", "Marzo", "Abril", "Mayo", "Junio", "Julio", "Agosto", "Septiembre", "Octubre", "Noviembre"}, 0)-MONTH('BD Asesor'!D765), 3)=0),
    AND('BD Asesor'!H765="Semestral", MOD(MATCH($B$2, {"Enero", "Febrero", "Marzo", "Abril", "Mayo", "Junio", "Julio", "Agosto", "Septiembre", "Octubre", "Noviembre"}, 0)-MONTH('BD Asesor'!D765), 6)=0),
    AND('BD Asesor'!H765="Anual", MONTH('BD Asesor'!D765)=MATCH($B$2, {"Enero", "Febrero", "Marzo", "Abril", "Mayo", "Junio", "Julio", "Agosto", "Septiembre", "Octubre", "Noviembre"}, 0))
), 'BD Asesor'!L765, "")
</f>
        <v/>
      </c>
    </row>
    <row r="766">
      <c r="C766" s="84" t="str">
        <f t="array" ref="C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Asesor'!A766, "")
</f>
        <v/>
      </c>
      <c r="D766" s="84" t="str">
        <f t="array" ref="D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Asesor'!B766, "")
</f>
        <v/>
      </c>
      <c r="E766" s="212" t="str">
        <f t="array" ref="E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Asesor'!C766, "")
</f>
        <v/>
      </c>
      <c r="F766" s="212" t="str">
        <f t="array" ref="F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Asesor'!D766, "")
</f>
        <v/>
      </c>
      <c r="G766" s="212" t="str">
        <f t="array" ref="G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Asesor'!E766, "")
</f>
        <v/>
      </c>
      <c r="H766" s="84" t="str">
        <f t="array" ref="H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Asesor'!F766, "")
</f>
        <v/>
      </c>
      <c r="I766" s="84" t="str">
        <f t="array" ref="I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Asesor'!G766, "")
</f>
        <v/>
      </c>
      <c r="J766" s="84" t="str">
        <f t="array" ref="J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Asesor'!H766, "")
</f>
        <v/>
      </c>
      <c r="K766" s="84" t="str">
        <f t="array" ref="K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Asesor'!K766, "")
</f>
        <v/>
      </c>
      <c r="L766" s="84" t="str">
        <f t="array" ref="L766">IF(OR(
    AND('BD Asesor'!H766="Mensual", MATCH($B$2, {"Enero", "Febrero", "Marzo", "Abril", "Mayo", "Junio", "Julio", "Agosto", "Septiembre", "Octubre", "Noviembre", "Diciembre"}, 0)&gt;=1),
    AND('BD Asesor'!H766="Trimestral", MOD(MATCH($B$2, {"Enero", "Febrero", "Marzo", "Abril", "Mayo", "Junio", "Julio", "Agosto", "Septiembre", "Octubre", "Noviembre"}, 0)-MONTH('BD Asesor'!D766), 3)=0),
    AND('BD Asesor'!H766="Semestral", MOD(MATCH($B$2, {"Enero", "Febrero", "Marzo", "Abril", "Mayo", "Junio", "Julio", "Agosto", "Septiembre", "Octubre", "Noviembre"}, 0)-MONTH('BD Asesor'!D766), 6)=0),
    AND('BD Asesor'!H766="Anual", MONTH('BD Asesor'!D766)=MATCH($B$2, {"Enero", "Febrero", "Marzo", "Abril", "Mayo", "Junio", "Julio", "Agosto", "Septiembre", "Octubre", "Noviembre"}, 0))
), 'BD Asesor'!L766, "")
</f>
        <v/>
      </c>
    </row>
    <row r="767">
      <c r="C767" s="84" t="str">
        <f t="array" ref="C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Asesor'!A767, "")
</f>
        <v/>
      </c>
      <c r="D767" s="84" t="str">
        <f t="array" ref="D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Asesor'!B767, "")
</f>
        <v/>
      </c>
      <c r="E767" s="212" t="str">
        <f t="array" ref="E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Asesor'!C767, "")
</f>
        <v/>
      </c>
      <c r="F767" s="212" t="str">
        <f t="array" ref="F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Asesor'!D767, "")
</f>
        <v/>
      </c>
      <c r="G767" s="212" t="str">
        <f t="array" ref="G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Asesor'!E767, "")
</f>
        <v/>
      </c>
      <c r="H767" s="84" t="str">
        <f t="array" ref="H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Asesor'!F767, "")
</f>
        <v/>
      </c>
      <c r="I767" s="84" t="str">
        <f t="array" ref="I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Asesor'!G767, "")
</f>
        <v/>
      </c>
      <c r="J767" s="84" t="str">
        <f t="array" ref="J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Asesor'!H767, "")
</f>
        <v/>
      </c>
      <c r="K767" s="84" t="str">
        <f t="array" ref="K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Asesor'!K767, "")
</f>
        <v/>
      </c>
      <c r="L767" s="84" t="str">
        <f t="array" ref="L767">IF(OR(
    AND('BD Asesor'!H767="Mensual", MATCH($B$2, {"Enero", "Febrero", "Marzo", "Abril", "Mayo", "Junio", "Julio", "Agosto", "Septiembre", "Octubre", "Noviembre", "Diciembre"}, 0)&gt;=1),
    AND('BD Asesor'!H767="Trimestral", MOD(MATCH($B$2, {"Enero", "Febrero", "Marzo", "Abril", "Mayo", "Junio", "Julio", "Agosto", "Septiembre", "Octubre", "Noviembre"}, 0)-MONTH('BD Asesor'!D767), 3)=0),
    AND('BD Asesor'!H767="Semestral", MOD(MATCH($B$2, {"Enero", "Febrero", "Marzo", "Abril", "Mayo", "Junio", "Julio", "Agosto", "Septiembre", "Octubre", "Noviembre"}, 0)-MONTH('BD Asesor'!D767), 6)=0),
    AND('BD Asesor'!H767="Anual", MONTH('BD Asesor'!D767)=MATCH($B$2, {"Enero", "Febrero", "Marzo", "Abril", "Mayo", "Junio", "Julio", "Agosto", "Septiembre", "Octubre", "Noviembre"}, 0))
), 'BD Asesor'!L767, "")
</f>
        <v/>
      </c>
    </row>
    <row r="768">
      <c r="C768" s="84" t="str">
        <f t="array" ref="C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Asesor'!A768, "")
</f>
        <v/>
      </c>
      <c r="D768" s="84" t="str">
        <f t="array" ref="D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Asesor'!B768, "")
</f>
        <v/>
      </c>
      <c r="E768" s="212" t="str">
        <f t="array" ref="E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Asesor'!C768, "")
</f>
        <v/>
      </c>
      <c r="F768" s="212" t="str">
        <f t="array" ref="F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Asesor'!D768, "")
</f>
        <v/>
      </c>
      <c r="G768" s="212" t="str">
        <f t="array" ref="G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Asesor'!E768, "")
</f>
        <v/>
      </c>
      <c r="H768" s="84" t="str">
        <f t="array" ref="H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Asesor'!F768, "")
</f>
        <v/>
      </c>
      <c r="I768" s="84" t="str">
        <f t="array" ref="I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Asesor'!G768, "")
</f>
        <v/>
      </c>
      <c r="J768" s="84" t="str">
        <f t="array" ref="J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Asesor'!H768, "")
</f>
        <v/>
      </c>
      <c r="K768" s="84" t="str">
        <f t="array" ref="K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Asesor'!K768, "")
</f>
        <v/>
      </c>
      <c r="L768" s="84" t="str">
        <f t="array" ref="L768">IF(OR(
    AND('BD Asesor'!H768="Mensual", MATCH($B$2, {"Enero", "Febrero", "Marzo", "Abril", "Mayo", "Junio", "Julio", "Agosto", "Septiembre", "Octubre", "Noviembre", "Diciembre"}, 0)&gt;=1),
    AND('BD Asesor'!H768="Trimestral", MOD(MATCH($B$2, {"Enero", "Febrero", "Marzo", "Abril", "Mayo", "Junio", "Julio", "Agosto", "Septiembre", "Octubre", "Noviembre"}, 0)-MONTH('BD Asesor'!D768), 3)=0),
    AND('BD Asesor'!H768="Semestral", MOD(MATCH($B$2, {"Enero", "Febrero", "Marzo", "Abril", "Mayo", "Junio", "Julio", "Agosto", "Septiembre", "Octubre", "Noviembre"}, 0)-MONTH('BD Asesor'!D768), 6)=0),
    AND('BD Asesor'!H768="Anual", MONTH('BD Asesor'!D768)=MATCH($B$2, {"Enero", "Febrero", "Marzo", "Abril", "Mayo", "Junio", "Julio", "Agosto", "Septiembre", "Octubre", "Noviembre"}, 0))
), 'BD Asesor'!L768, "")
</f>
        <v/>
      </c>
    </row>
    <row r="769">
      <c r="C769" s="84" t="str">
        <f t="array" ref="C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Asesor'!A769, "")
</f>
        <v/>
      </c>
      <c r="D769" s="84" t="str">
        <f t="array" ref="D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Asesor'!B769, "")
</f>
        <v/>
      </c>
      <c r="E769" s="212" t="str">
        <f t="array" ref="E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Asesor'!C769, "")
</f>
        <v/>
      </c>
      <c r="F769" s="212" t="str">
        <f t="array" ref="F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Asesor'!D769, "")
</f>
        <v/>
      </c>
      <c r="G769" s="212" t="str">
        <f t="array" ref="G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Asesor'!E769, "")
</f>
        <v/>
      </c>
      <c r="H769" s="84" t="str">
        <f t="array" ref="H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Asesor'!F769, "")
</f>
        <v/>
      </c>
      <c r="I769" s="84" t="str">
        <f t="array" ref="I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Asesor'!G769, "")
</f>
        <v/>
      </c>
      <c r="J769" s="84" t="str">
        <f t="array" ref="J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Asesor'!H769, "")
</f>
        <v/>
      </c>
      <c r="K769" s="84" t="str">
        <f t="array" ref="K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Asesor'!K769, "")
</f>
        <v/>
      </c>
      <c r="L769" s="84" t="str">
        <f t="array" ref="L769">IF(OR(
    AND('BD Asesor'!H769="Mensual", MATCH($B$2, {"Enero", "Febrero", "Marzo", "Abril", "Mayo", "Junio", "Julio", "Agosto", "Septiembre", "Octubre", "Noviembre", "Diciembre"}, 0)&gt;=1),
    AND('BD Asesor'!H769="Trimestral", MOD(MATCH($B$2, {"Enero", "Febrero", "Marzo", "Abril", "Mayo", "Junio", "Julio", "Agosto", "Septiembre", "Octubre", "Noviembre"}, 0)-MONTH('BD Asesor'!D769), 3)=0),
    AND('BD Asesor'!H769="Semestral", MOD(MATCH($B$2, {"Enero", "Febrero", "Marzo", "Abril", "Mayo", "Junio", "Julio", "Agosto", "Septiembre", "Octubre", "Noviembre"}, 0)-MONTH('BD Asesor'!D769), 6)=0),
    AND('BD Asesor'!H769="Anual", MONTH('BD Asesor'!D769)=MATCH($B$2, {"Enero", "Febrero", "Marzo", "Abril", "Mayo", "Junio", "Julio", "Agosto", "Septiembre", "Octubre", "Noviembre"}, 0))
), 'BD Asesor'!L769, "")
</f>
        <v/>
      </c>
    </row>
    <row r="770">
      <c r="C770" s="84" t="str">
        <f t="array" ref="C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Asesor'!A770, "")
</f>
        <v/>
      </c>
      <c r="D770" s="84" t="str">
        <f t="array" ref="D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Asesor'!B770, "")
</f>
        <v/>
      </c>
      <c r="E770" s="212" t="str">
        <f t="array" ref="E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Asesor'!C770, "")
</f>
        <v/>
      </c>
      <c r="F770" s="212" t="str">
        <f t="array" ref="F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Asesor'!D770, "")
</f>
        <v/>
      </c>
      <c r="G770" s="212" t="str">
        <f t="array" ref="G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Asesor'!E770, "")
</f>
        <v/>
      </c>
      <c r="H770" s="84" t="str">
        <f t="array" ref="H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Asesor'!F770, "")
</f>
        <v/>
      </c>
      <c r="I770" s="84" t="str">
        <f t="array" ref="I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Asesor'!G770, "")
</f>
        <v/>
      </c>
      <c r="J770" s="84" t="str">
        <f t="array" ref="J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Asesor'!H770, "")
</f>
        <v/>
      </c>
      <c r="K770" s="84" t="str">
        <f t="array" ref="K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Asesor'!K770, "")
</f>
        <v/>
      </c>
      <c r="L770" s="84" t="str">
        <f t="array" ref="L770">IF(OR(
    AND('BD Asesor'!H770="Mensual", MATCH($B$2, {"Enero", "Febrero", "Marzo", "Abril", "Mayo", "Junio", "Julio", "Agosto", "Septiembre", "Octubre", "Noviembre", "Diciembre"}, 0)&gt;=1),
    AND('BD Asesor'!H770="Trimestral", MOD(MATCH($B$2, {"Enero", "Febrero", "Marzo", "Abril", "Mayo", "Junio", "Julio", "Agosto", "Septiembre", "Octubre", "Noviembre"}, 0)-MONTH('BD Asesor'!D770), 3)=0),
    AND('BD Asesor'!H770="Semestral", MOD(MATCH($B$2, {"Enero", "Febrero", "Marzo", "Abril", "Mayo", "Junio", "Julio", "Agosto", "Septiembre", "Octubre", "Noviembre"}, 0)-MONTH('BD Asesor'!D770), 6)=0),
    AND('BD Asesor'!H770="Anual", MONTH('BD Asesor'!D770)=MATCH($B$2, {"Enero", "Febrero", "Marzo", "Abril", "Mayo", "Junio", "Julio", "Agosto", "Septiembre", "Octubre", "Noviembre"}, 0))
), 'BD Asesor'!L770, "")
</f>
        <v/>
      </c>
    </row>
    <row r="771">
      <c r="C771" s="84" t="str">
        <f t="array" ref="C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Asesor'!A771, "")
</f>
        <v/>
      </c>
      <c r="D771" s="84" t="str">
        <f t="array" ref="D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Asesor'!B771, "")
</f>
        <v/>
      </c>
      <c r="E771" s="212" t="str">
        <f t="array" ref="E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Asesor'!C771, "")
</f>
        <v/>
      </c>
      <c r="F771" s="212" t="str">
        <f t="array" ref="F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Asesor'!D771, "")
</f>
        <v/>
      </c>
      <c r="G771" s="212" t="str">
        <f t="array" ref="G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Asesor'!E771, "")
</f>
        <v/>
      </c>
      <c r="H771" s="84" t="str">
        <f t="array" ref="H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Asesor'!F771, "")
</f>
        <v/>
      </c>
      <c r="I771" s="84" t="str">
        <f t="array" ref="I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Asesor'!G771, "")
</f>
        <v/>
      </c>
      <c r="J771" s="84" t="str">
        <f t="array" ref="J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Asesor'!H771, "")
</f>
        <v/>
      </c>
      <c r="K771" s="84" t="str">
        <f t="array" ref="K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Asesor'!K771, "")
</f>
        <v/>
      </c>
      <c r="L771" s="84" t="str">
        <f t="array" ref="L771">IF(OR(
    AND('BD Asesor'!H771="Mensual", MATCH($B$2, {"Enero", "Febrero", "Marzo", "Abril", "Mayo", "Junio", "Julio", "Agosto", "Septiembre", "Octubre", "Noviembre", "Diciembre"}, 0)&gt;=1),
    AND('BD Asesor'!H771="Trimestral", MOD(MATCH($B$2, {"Enero", "Febrero", "Marzo", "Abril", "Mayo", "Junio", "Julio", "Agosto", "Septiembre", "Octubre", "Noviembre"}, 0)-MONTH('BD Asesor'!D771), 3)=0),
    AND('BD Asesor'!H771="Semestral", MOD(MATCH($B$2, {"Enero", "Febrero", "Marzo", "Abril", "Mayo", "Junio", "Julio", "Agosto", "Septiembre", "Octubre", "Noviembre"}, 0)-MONTH('BD Asesor'!D771), 6)=0),
    AND('BD Asesor'!H771="Anual", MONTH('BD Asesor'!D771)=MATCH($B$2, {"Enero", "Febrero", "Marzo", "Abril", "Mayo", "Junio", "Julio", "Agosto", "Septiembre", "Octubre", "Noviembre"}, 0))
), 'BD Asesor'!L771, "")
</f>
        <v/>
      </c>
    </row>
    <row r="772">
      <c r="C772" s="84" t="str">
        <f t="array" ref="C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Asesor'!A772, "")
</f>
        <v/>
      </c>
      <c r="D772" s="84" t="str">
        <f t="array" ref="D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Asesor'!B772, "")
</f>
        <v/>
      </c>
      <c r="E772" s="212" t="str">
        <f t="array" ref="E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Asesor'!C772, "")
</f>
        <v/>
      </c>
      <c r="F772" s="212" t="str">
        <f t="array" ref="F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Asesor'!D772, "")
</f>
        <v/>
      </c>
      <c r="G772" s="212" t="str">
        <f t="array" ref="G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Asesor'!E772, "")
</f>
        <v/>
      </c>
      <c r="H772" s="84" t="str">
        <f t="array" ref="H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Asesor'!F772, "")
</f>
        <v/>
      </c>
      <c r="I772" s="84" t="str">
        <f t="array" ref="I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Asesor'!G772, "")
</f>
        <v/>
      </c>
      <c r="J772" s="84" t="str">
        <f t="array" ref="J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Asesor'!H772, "")
</f>
        <v/>
      </c>
      <c r="K772" s="84" t="str">
        <f t="array" ref="K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Asesor'!K772, "")
</f>
        <v/>
      </c>
      <c r="L772" s="84" t="str">
        <f t="array" ref="L772">IF(OR(
    AND('BD Asesor'!H772="Mensual", MATCH($B$2, {"Enero", "Febrero", "Marzo", "Abril", "Mayo", "Junio", "Julio", "Agosto", "Septiembre", "Octubre", "Noviembre", "Diciembre"}, 0)&gt;=1),
    AND('BD Asesor'!H772="Trimestral", MOD(MATCH($B$2, {"Enero", "Febrero", "Marzo", "Abril", "Mayo", "Junio", "Julio", "Agosto", "Septiembre", "Octubre", "Noviembre"}, 0)-MONTH('BD Asesor'!D772), 3)=0),
    AND('BD Asesor'!H772="Semestral", MOD(MATCH($B$2, {"Enero", "Febrero", "Marzo", "Abril", "Mayo", "Junio", "Julio", "Agosto", "Septiembre", "Octubre", "Noviembre"}, 0)-MONTH('BD Asesor'!D772), 6)=0),
    AND('BD Asesor'!H772="Anual", MONTH('BD Asesor'!D772)=MATCH($B$2, {"Enero", "Febrero", "Marzo", "Abril", "Mayo", "Junio", "Julio", "Agosto", "Septiembre", "Octubre", "Noviembre"}, 0))
), 'BD Asesor'!L772, "")
</f>
        <v/>
      </c>
    </row>
    <row r="773">
      <c r="C773" s="84" t="str">
        <f t="array" ref="C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Asesor'!A773, "")
</f>
        <v/>
      </c>
      <c r="D773" s="84" t="str">
        <f t="array" ref="D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Asesor'!B773, "")
</f>
        <v/>
      </c>
      <c r="E773" s="212" t="str">
        <f t="array" ref="E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Asesor'!C773, "")
</f>
        <v/>
      </c>
      <c r="F773" s="212" t="str">
        <f t="array" ref="F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Asesor'!D773, "")
</f>
        <v/>
      </c>
      <c r="G773" s="212" t="str">
        <f t="array" ref="G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Asesor'!E773, "")
</f>
        <v/>
      </c>
      <c r="H773" s="84" t="str">
        <f t="array" ref="H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Asesor'!F773, "")
</f>
        <v/>
      </c>
      <c r="I773" s="84" t="str">
        <f t="array" ref="I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Asesor'!G773, "")
</f>
        <v/>
      </c>
      <c r="J773" s="84" t="str">
        <f t="array" ref="J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Asesor'!H773, "")
</f>
        <v/>
      </c>
      <c r="K773" s="84" t="str">
        <f t="array" ref="K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Asesor'!K773, "")
</f>
        <v/>
      </c>
      <c r="L773" s="84" t="str">
        <f t="array" ref="L773">IF(OR(
    AND('BD Asesor'!H773="Mensual", MATCH($B$2, {"Enero", "Febrero", "Marzo", "Abril", "Mayo", "Junio", "Julio", "Agosto", "Septiembre", "Octubre", "Noviembre", "Diciembre"}, 0)&gt;=1),
    AND('BD Asesor'!H773="Trimestral", MOD(MATCH($B$2, {"Enero", "Febrero", "Marzo", "Abril", "Mayo", "Junio", "Julio", "Agosto", "Septiembre", "Octubre", "Noviembre"}, 0)-MONTH('BD Asesor'!D773), 3)=0),
    AND('BD Asesor'!H773="Semestral", MOD(MATCH($B$2, {"Enero", "Febrero", "Marzo", "Abril", "Mayo", "Junio", "Julio", "Agosto", "Septiembre", "Octubre", "Noviembre"}, 0)-MONTH('BD Asesor'!D773), 6)=0),
    AND('BD Asesor'!H773="Anual", MONTH('BD Asesor'!D773)=MATCH($B$2, {"Enero", "Febrero", "Marzo", "Abril", "Mayo", "Junio", "Julio", "Agosto", "Septiembre", "Octubre", "Noviembre"}, 0))
), 'BD Asesor'!L773, "")
</f>
        <v/>
      </c>
    </row>
    <row r="774">
      <c r="C774" s="84" t="str">
        <f t="array" ref="C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Asesor'!A774, "")
</f>
        <v/>
      </c>
      <c r="D774" s="84" t="str">
        <f t="array" ref="D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Asesor'!B774, "")
</f>
        <v/>
      </c>
      <c r="E774" s="212" t="str">
        <f t="array" ref="E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Asesor'!C774, "")
</f>
        <v/>
      </c>
      <c r="F774" s="212" t="str">
        <f t="array" ref="F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Asesor'!D774, "")
</f>
        <v/>
      </c>
      <c r="G774" s="212" t="str">
        <f t="array" ref="G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Asesor'!E774, "")
</f>
        <v/>
      </c>
      <c r="H774" s="84" t="str">
        <f t="array" ref="H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Asesor'!F774, "")
</f>
        <v/>
      </c>
      <c r="I774" s="84" t="str">
        <f t="array" ref="I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Asesor'!G774, "")
</f>
        <v/>
      </c>
      <c r="J774" s="84" t="str">
        <f t="array" ref="J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Asesor'!H774, "")
</f>
        <v/>
      </c>
      <c r="K774" s="84" t="str">
        <f t="array" ref="K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Asesor'!K774, "")
</f>
        <v/>
      </c>
      <c r="L774" s="84" t="str">
        <f t="array" ref="L774">IF(OR(
    AND('BD Asesor'!H774="Mensual", MATCH($B$2, {"Enero", "Febrero", "Marzo", "Abril", "Mayo", "Junio", "Julio", "Agosto", "Septiembre", "Octubre", "Noviembre", "Diciembre"}, 0)&gt;=1),
    AND('BD Asesor'!H774="Trimestral", MOD(MATCH($B$2, {"Enero", "Febrero", "Marzo", "Abril", "Mayo", "Junio", "Julio", "Agosto", "Septiembre", "Octubre", "Noviembre"}, 0)-MONTH('BD Asesor'!D774), 3)=0),
    AND('BD Asesor'!H774="Semestral", MOD(MATCH($B$2, {"Enero", "Febrero", "Marzo", "Abril", "Mayo", "Junio", "Julio", "Agosto", "Septiembre", "Octubre", "Noviembre"}, 0)-MONTH('BD Asesor'!D774), 6)=0),
    AND('BD Asesor'!H774="Anual", MONTH('BD Asesor'!D774)=MATCH($B$2, {"Enero", "Febrero", "Marzo", "Abril", "Mayo", "Junio", "Julio", "Agosto", "Septiembre", "Octubre", "Noviembre"}, 0))
), 'BD Asesor'!L774, "")
</f>
        <v/>
      </c>
    </row>
    <row r="775">
      <c r="C775" s="84" t="str">
        <f t="array" ref="C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Asesor'!A775, "")
</f>
        <v/>
      </c>
      <c r="D775" s="84" t="str">
        <f t="array" ref="D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Asesor'!B775, "")
</f>
        <v/>
      </c>
      <c r="E775" s="212" t="str">
        <f t="array" ref="E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Asesor'!C775, "")
</f>
        <v/>
      </c>
      <c r="F775" s="212" t="str">
        <f t="array" ref="F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Asesor'!D775, "")
</f>
        <v/>
      </c>
      <c r="G775" s="212" t="str">
        <f t="array" ref="G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Asesor'!E775, "")
</f>
        <v/>
      </c>
      <c r="H775" s="84" t="str">
        <f t="array" ref="H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Asesor'!F775, "")
</f>
        <v/>
      </c>
      <c r="I775" s="84" t="str">
        <f t="array" ref="I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Asesor'!G775, "")
</f>
        <v/>
      </c>
      <c r="J775" s="84" t="str">
        <f t="array" ref="J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Asesor'!H775, "")
</f>
        <v/>
      </c>
      <c r="K775" s="84" t="str">
        <f t="array" ref="K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Asesor'!K775, "")
</f>
        <v/>
      </c>
      <c r="L775" s="84" t="str">
        <f t="array" ref="L775">IF(OR(
    AND('BD Asesor'!H775="Mensual", MATCH($B$2, {"Enero", "Febrero", "Marzo", "Abril", "Mayo", "Junio", "Julio", "Agosto", "Septiembre", "Octubre", "Noviembre", "Diciembre"}, 0)&gt;=1),
    AND('BD Asesor'!H775="Trimestral", MOD(MATCH($B$2, {"Enero", "Febrero", "Marzo", "Abril", "Mayo", "Junio", "Julio", "Agosto", "Septiembre", "Octubre", "Noviembre"}, 0)-MONTH('BD Asesor'!D775), 3)=0),
    AND('BD Asesor'!H775="Semestral", MOD(MATCH($B$2, {"Enero", "Febrero", "Marzo", "Abril", "Mayo", "Junio", "Julio", "Agosto", "Septiembre", "Octubre", "Noviembre"}, 0)-MONTH('BD Asesor'!D775), 6)=0),
    AND('BD Asesor'!H775="Anual", MONTH('BD Asesor'!D775)=MATCH($B$2, {"Enero", "Febrero", "Marzo", "Abril", "Mayo", "Junio", "Julio", "Agosto", "Septiembre", "Octubre", "Noviembre"}, 0))
), 'BD Asesor'!L775, "")
</f>
        <v/>
      </c>
    </row>
    <row r="776">
      <c r="C776" s="84" t="str">
        <f t="array" ref="C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Asesor'!A776, "")
</f>
        <v/>
      </c>
      <c r="D776" s="84" t="str">
        <f t="array" ref="D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Asesor'!B776, "")
</f>
        <v/>
      </c>
      <c r="E776" s="212" t="str">
        <f t="array" ref="E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Asesor'!C776, "")
</f>
        <v/>
      </c>
      <c r="F776" s="212" t="str">
        <f t="array" ref="F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Asesor'!D776, "")
</f>
        <v/>
      </c>
      <c r="G776" s="212" t="str">
        <f t="array" ref="G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Asesor'!E776, "")
</f>
        <v/>
      </c>
      <c r="H776" s="84" t="str">
        <f t="array" ref="H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Asesor'!F776, "")
</f>
        <v/>
      </c>
      <c r="I776" s="84" t="str">
        <f t="array" ref="I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Asesor'!G776, "")
</f>
        <v/>
      </c>
      <c r="J776" s="84" t="str">
        <f t="array" ref="J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Asesor'!H776, "")
</f>
        <v/>
      </c>
      <c r="K776" s="84" t="str">
        <f t="array" ref="K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Asesor'!K776, "")
</f>
        <v/>
      </c>
      <c r="L776" s="84" t="str">
        <f t="array" ref="L776">IF(OR(
    AND('BD Asesor'!H776="Mensual", MATCH($B$2, {"Enero", "Febrero", "Marzo", "Abril", "Mayo", "Junio", "Julio", "Agosto", "Septiembre", "Octubre", "Noviembre", "Diciembre"}, 0)&gt;=1),
    AND('BD Asesor'!H776="Trimestral", MOD(MATCH($B$2, {"Enero", "Febrero", "Marzo", "Abril", "Mayo", "Junio", "Julio", "Agosto", "Septiembre", "Octubre", "Noviembre"}, 0)-MONTH('BD Asesor'!D776), 3)=0),
    AND('BD Asesor'!H776="Semestral", MOD(MATCH($B$2, {"Enero", "Febrero", "Marzo", "Abril", "Mayo", "Junio", "Julio", "Agosto", "Septiembre", "Octubre", "Noviembre"}, 0)-MONTH('BD Asesor'!D776), 6)=0),
    AND('BD Asesor'!H776="Anual", MONTH('BD Asesor'!D776)=MATCH($B$2, {"Enero", "Febrero", "Marzo", "Abril", "Mayo", "Junio", "Julio", "Agosto", "Septiembre", "Octubre", "Noviembre"}, 0))
), 'BD Asesor'!L776, "")
</f>
        <v/>
      </c>
    </row>
    <row r="777">
      <c r="C777" s="84" t="str">
        <f t="array" ref="C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Asesor'!A777, "")
</f>
        <v/>
      </c>
      <c r="D777" s="84" t="str">
        <f t="array" ref="D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Asesor'!B777, "")
</f>
        <v/>
      </c>
      <c r="E777" s="212" t="str">
        <f t="array" ref="E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Asesor'!C777, "")
</f>
        <v/>
      </c>
      <c r="F777" s="212" t="str">
        <f t="array" ref="F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Asesor'!D777, "")
</f>
        <v/>
      </c>
      <c r="G777" s="212" t="str">
        <f t="array" ref="G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Asesor'!E777, "")
</f>
        <v/>
      </c>
      <c r="H777" s="84" t="str">
        <f t="array" ref="H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Asesor'!F777, "")
</f>
        <v/>
      </c>
      <c r="I777" s="84" t="str">
        <f t="array" ref="I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Asesor'!G777, "")
</f>
        <v/>
      </c>
      <c r="J777" s="84" t="str">
        <f t="array" ref="J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Asesor'!H777, "")
</f>
        <v/>
      </c>
      <c r="K777" s="84" t="str">
        <f t="array" ref="K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Asesor'!K777, "")
</f>
        <v/>
      </c>
      <c r="L777" s="84" t="str">
        <f t="array" ref="L777">IF(OR(
    AND('BD Asesor'!H777="Mensual", MATCH($B$2, {"Enero", "Febrero", "Marzo", "Abril", "Mayo", "Junio", "Julio", "Agosto", "Septiembre", "Octubre", "Noviembre", "Diciembre"}, 0)&gt;=1),
    AND('BD Asesor'!H777="Trimestral", MOD(MATCH($B$2, {"Enero", "Febrero", "Marzo", "Abril", "Mayo", "Junio", "Julio", "Agosto", "Septiembre", "Octubre", "Noviembre"}, 0)-MONTH('BD Asesor'!D777), 3)=0),
    AND('BD Asesor'!H777="Semestral", MOD(MATCH($B$2, {"Enero", "Febrero", "Marzo", "Abril", "Mayo", "Junio", "Julio", "Agosto", "Septiembre", "Octubre", "Noviembre"}, 0)-MONTH('BD Asesor'!D777), 6)=0),
    AND('BD Asesor'!H777="Anual", MONTH('BD Asesor'!D777)=MATCH($B$2, {"Enero", "Febrero", "Marzo", "Abril", "Mayo", "Junio", "Julio", "Agosto", "Septiembre", "Octubre", "Noviembre"}, 0))
), 'BD Asesor'!L777, "")
</f>
        <v/>
      </c>
    </row>
    <row r="778">
      <c r="C778" s="84" t="str">
        <f t="array" ref="C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Asesor'!A778, "")
</f>
        <v/>
      </c>
      <c r="D778" s="84" t="str">
        <f t="array" ref="D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Asesor'!B778, "")
</f>
        <v/>
      </c>
      <c r="E778" s="212" t="str">
        <f t="array" ref="E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Asesor'!C778, "")
</f>
        <v/>
      </c>
      <c r="F778" s="212" t="str">
        <f t="array" ref="F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Asesor'!D778, "")
</f>
        <v/>
      </c>
      <c r="G778" s="212" t="str">
        <f t="array" ref="G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Asesor'!E778, "")
</f>
        <v/>
      </c>
      <c r="H778" s="84" t="str">
        <f t="array" ref="H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Asesor'!F778, "")
</f>
        <v/>
      </c>
      <c r="I778" s="84" t="str">
        <f t="array" ref="I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Asesor'!G778, "")
</f>
        <v/>
      </c>
      <c r="J778" s="84" t="str">
        <f t="array" ref="J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Asesor'!H778, "")
</f>
        <v/>
      </c>
      <c r="K778" s="84" t="str">
        <f t="array" ref="K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Asesor'!K778, "")
</f>
        <v/>
      </c>
      <c r="L778" s="84" t="str">
        <f t="array" ref="L778">IF(OR(
    AND('BD Asesor'!H778="Mensual", MATCH($B$2, {"Enero", "Febrero", "Marzo", "Abril", "Mayo", "Junio", "Julio", "Agosto", "Septiembre", "Octubre", "Noviembre", "Diciembre"}, 0)&gt;=1),
    AND('BD Asesor'!H778="Trimestral", MOD(MATCH($B$2, {"Enero", "Febrero", "Marzo", "Abril", "Mayo", "Junio", "Julio", "Agosto", "Septiembre", "Octubre", "Noviembre"}, 0)-MONTH('BD Asesor'!D778), 3)=0),
    AND('BD Asesor'!H778="Semestral", MOD(MATCH($B$2, {"Enero", "Febrero", "Marzo", "Abril", "Mayo", "Junio", "Julio", "Agosto", "Septiembre", "Octubre", "Noviembre"}, 0)-MONTH('BD Asesor'!D778), 6)=0),
    AND('BD Asesor'!H778="Anual", MONTH('BD Asesor'!D778)=MATCH($B$2, {"Enero", "Febrero", "Marzo", "Abril", "Mayo", "Junio", "Julio", "Agosto", "Septiembre", "Octubre", "Noviembre"}, 0))
), 'BD Asesor'!L778, "")
</f>
        <v/>
      </c>
    </row>
    <row r="779">
      <c r="C779" s="84" t="str">
        <f t="array" ref="C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Asesor'!A779, "")
</f>
        <v/>
      </c>
      <c r="D779" s="84" t="str">
        <f t="array" ref="D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Asesor'!B779, "")
</f>
        <v/>
      </c>
      <c r="E779" s="212" t="str">
        <f t="array" ref="E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Asesor'!C779, "")
</f>
        <v/>
      </c>
      <c r="F779" s="212" t="str">
        <f t="array" ref="F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Asesor'!D779, "")
</f>
        <v/>
      </c>
      <c r="G779" s="212" t="str">
        <f t="array" ref="G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Asesor'!E779, "")
</f>
        <v/>
      </c>
      <c r="H779" s="84" t="str">
        <f t="array" ref="H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Asesor'!F779, "")
</f>
        <v/>
      </c>
      <c r="I779" s="84" t="str">
        <f t="array" ref="I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Asesor'!G779, "")
</f>
        <v/>
      </c>
      <c r="J779" s="84" t="str">
        <f t="array" ref="J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Asesor'!H779, "")
</f>
        <v/>
      </c>
      <c r="K779" s="84" t="str">
        <f t="array" ref="K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Asesor'!K779, "")
</f>
        <v/>
      </c>
      <c r="L779" s="84" t="str">
        <f t="array" ref="L779">IF(OR(
    AND('BD Asesor'!H779="Mensual", MATCH($B$2, {"Enero", "Febrero", "Marzo", "Abril", "Mayo", "Junio", "Julio", "Agosto", "Septiembre", "Octubre", "Noviembre", "Diciembre"}, 0)&gt;=1),
    AND('BD Asesor'!H779="Trimestral", MOD(MATCH($B$2, {"Enero", "Febrero", "Marzo", "Abril", "Mayo", "Junio", "Julio", "Agosto", "Septiembre", "Octubre", "Noviembre"}, 0)-MONTH('BD Asesor'!D779), 3)=0),
    AND('BD Asesor'!H779="Semestral", MOD(MATCH($B$2, {"Enero", "Febrero", "Marzo", "Abril", "Mayo", "Junio", "Julio", "Agosto", "Septiembre", "Octubre", "Noviembre"}, 0)-MONTH('BD Asesor'!D779), 6)=0),
    AND('BD Asesor'!H779="Anual", MONTH('BD Asesor'!D779)=MATCH($B$2, {"Enero", "Febrero", "Marzo", "Abril", "Mayo", "Junio", "Julio", "Agosto", "Septiembre", "Octubre", "Noviembre"}, 0))
), 'BD Asesor'!L779, "")
</f>
        <v/>
      </c>
    </row>
    <row r="780">
      <c r="C780" s="84" t="str">
        <f t="array" ref="C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Asesor'!A780, "")
</f>
        <v/>
      </c>
      <c r="D780" s="84" t="str">
        <f t="array" ref="D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Asesor'!B780, "")
</f>
        <v/>
      </c>
      <c r="E780" s="212" t="str">
        <f t="array" ref="E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Asesor'!C780, "")
</f>
        <v/>
      </c>
      <c r="F780" s="212" t="str">
        <f t="array" ref="F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Asesor'!D780, "")
</f>
        <v/>
      </c>
      <c r="G780" s="212" t="str">
        <f t="array" ref="G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Asesor'!E780, "")
</f>
        <v/>
      </c>
      <c r="H780" s="84" t="str">
        <f t="array" ref="H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Asesor'!F780, "")
</f>
        <v/>
      </c>
      <c r="I780" s="84" t="str">
        <f t="array" ref="I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Asesor'!G780, "")
</f>
        <v/>
      </c>
      <c r="J780" s="84" t="str">
        <f t="array" ref="J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Asesor'!H780, "")
</f>
        <v/>
      </c>
      <c r="K780" s="84" t="str">
        <f t="array" ref="K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Asesor'!K780, "")
</f>
        <v/>
      </c>
      <c r="L780" s="84" t="str">
        <f t="array" ref="L780">IF(OR(
    AND('BD Asesor'!H780="Mensual", MATCH($B$2, {"Enero", "Febrero", "Marzo", "Abril", "Mayo", "Junio", "Julio", "Agosto", "Septiembre", "Octubre", "Noviembre", "Diciembre"}, 0)&gt;=1),
    AND('BD Asesor'!H780="Trimestral", MOD(MATCH($B$2, {"Enero", "Febrero", "Marzo", "Abril", "Mayo", "Junio", "Julio", "Agosto", "Septiembre", "Octubre", "Noviembre"}, 0)-MONTH('BD Asesor'!D780), 3)=0),
    AND('BD Asesor'!H780="Semestral", MOD(MATCH($B$2, {"Enero", "Febrero", "Marzo", "Abril", "Mayo", "Junio", "Julio", "Agosto", "Septiembre", "Octubre", "Noviembre"}, 0)-MONTH('BD Asesor'!D780), 6)=0),
    AND('BD Asesor'!H780="Anual", MONTH('BD Asesor'!D780)=MATCH($B$2, {"Enero", "Febrero", "Marzo", "Abril", "Mayo", "Junio", "Julio", "Agosto", "Septiembre", "Octubre", "Noviembre"}, 0))
), 'BD Asesor'!L780, "")
</f>
        <v/>
      </c>
    </row>
    <row r="781">
      <c r="C781" s="84" t="str">
        <f t="array" ref="C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Asesor'!A781, "")
</f>
        <v/>
      </c>
      <c r="D781" s="84" t="str">
        <f t="array" ref="D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Asesor'!B781, "")
</f>
        <v/>
      </c>
      <c r="E781" s="212" t="str">
        <f t="array" ref="E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Asesor'!C781, "")
</f>
        <v/>
      </c>
      <c r="F781" s="212" t="str">
        <f t="array" ref="F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Asesor'!D781, "")
</f>
        <v/>
      </c>
      <c r="G781" s="212" t="str">
        <f t="array" ref="G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Asesor'!E781, "")
</f>
        <v/>
      </c>
      <c r="H781" s="84" t="str">
        <f t="array" ref="H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Asesor'!F781, "")
</f>
        <v/>
      </c>
      <c r="I781" s="84" t="str">
        <f t="array" ref="I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Asesor'!G781, "")
</f>
        <v/>
      </c>
      <c r="J781" s="84" t="str">
        <f t="array" ref="J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Asesor'!H781, "")
</f>
        <v/>
      </c>
      <c r="K781" s="84" t="str">
        <f t="array" ref="K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Asesor'!K781, "")
</f>
        <v/>
      </c>
      <c r="L781" s="84" t="str">
        <f t="array" ref="L781">IF(OR(
    AND('BD Asesor'!H781="Mensual", MATCH($B$2, {"Enero", "Febrero", "Marzo", "Abril", "Mayo", "Junio", "Julio", "Agosto", "Septiembre", "Octubre", "Noviembre", "Diciembre"}, 0)&gt;=1),
    AND('BD Asesor'!H781="Trimestral", MOD(MATCH($B$2, {"Enero", "Febrero", "Marzo", "Abril", "Mayo", "Junio", "Julio", "Agosto", "Septiembre", "Octubre", "Noviembre"}, 0)-MONTH('BD Asesor'!D781), 3)=0),
    AND('BD Asesor'!H781="Semestral", MOD(MATCH($B$2, {"Enero", "Febrero", "Marzo", "Abril", "Mayo", "Junio", "Julio", "Agosto", "Septiembre", "Octubre", "Noviembre"}, 0)-MONTH('BD Asesor'!D781), 6)=0),
    AND('BD Asesor'!H781="Anual", MONTH('BD Asesor'!D781)=MATCH($B$2, {"Enero", "Febrero", "Marzo", "Abril", "Mayo", "Junio", "Julio", "Agosto", "Septiembre", "Octubre", "Noviembre"}, 0))
), 'BD Asesor'!L781, "")
</f>
        <v/>
      </c>
    </row>
    <row r="782">
      <c r="C782" s="84" t="str">
        <f t="array" ref="C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Asesor'!A782, "")
</f>
        <v/>
      </c>
      <c r="D782" s="84" t="str">
        <f t="array" ref="D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Asesor'!B782, "")
</f>
        <v/>
      </c>
      <c r="E782" s="212" t="str">
        <f t="array" ref="E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Asesor'!C782, "")
</f>
        <v/>
      </c>
      <c r="F782" s="212" t="str">
        <f t="array" ref="F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Asesor'!D782, "")
</f>
        <v/>
      </c>
      <c r="G782" s="212" t="str">
        <f t="array" ref="G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Asesor'!E782, "")
</f>
        <v/>
      </c>
      <c r="H782" s="84" t="str">
        <f t="array" ref="H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Asesor'!F782, "")
</f>
        <v/>
      </c>
      <c r="I782" s="84" t="str">
        <f t="array" ref="I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Asesor'!G782, "")
</f>
        <v/>
      </c>
      <c r="J782" s="84" t="str">
        <f t="array" ref="J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Asesor'!H782, "")
</f>
        <v/>
      </c>
      <c r="K782" s="84" t="str">
        <f t="array" ref="K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Asesor'!K782, "")
</f>
        <v/>
      </c>
      <c r="L782" s="84" t="str">
        <f t="array" ref="L782">IF(OR(
    AND('BD Asesor'!H782="Mensual", MATCH($B$2, {"Enero", "Febrero", "Marzo", "Abril", "Mayo", "Junio", "Julio", "Agosto", "Septiembre", "Octubre", "Noviembre", "Diciembre"}, 0)&gt;=1),
    AND('BD Asesor'!H782="Trimestral", MOD(MATCH($B$2, {"Enero", "Febrero", "Marzo", "Abril", "Mayo", "Junio", "Julio", "Agosto", "Septiembre", "Octubre", "Noviembre"}, 0)-MONTH('BD Asesor'!D782), 3)=0),
    AND('BD Asesor'!H782="Semestral", MOD(MATCH($B$2, {"Enero", "Febrero", "Marzo", "Abril", "Mayo", "Junio", "Julio", "Agosto", "Septiembre", "Octubre", "Noviembre"}, 0)-MONTH('BD Asesor'!D782), 6)=0),
    AND('BD Asesor'!H782="Anual", MONTH('BD Asesor'!D782)=MATCH($B$2, {"Enero", "Febrero", "Marzo", "Abril", "Mayo", "Junio", "Julio", "Agosto", "Septiembre", "Octubre", "Noviembre"}, 0))
), 'BD Asesor'!L782, "")
</f>
        <v/>
      </c>
    </row>
    <row r="783">
      <c r="C783" s="84" t="str">
        <f t="array" ref="C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Asesor'!A783, "")
</f>
        <v/>
      </c>
      <c r="D783" s="84" t="str">
        <f t="array" ref="D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Asesor'!B783, "")
</f>
        <v/>
      </c>
      <c r="E783" s="212" t="str">
        <f t="array" ref="E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Asesor'!C783, "")
</f>
        <v/>
      </c>
      <c r="F783" s="212" t="str">
        <f t="array" ref="F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Asesor'!D783, "")
</f>
        <v/>
      </c>
      <c r="G783" s="212" t="str">
        <f t="array" ref="G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Asesor'!E783, "")
</f>
        <v/>
      </c>
      <c r="H783" s="84" t="str">
        <f t="array" ref="H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Asesor'!F783, "")
</f>
        <v/>
      </c>
      <c r="I783" s="84" t="str">
        <f t="array" ref="I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Asesor'!G783, "")
</f>
        <v/>
      </c>
      <c r="J783" s="84" t="str">
        <f t="array" ref="J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Asesor'!H783, "")
</f>
        <v/>
      </c>
      <c r="K783" s="84" t="str">
        <f t="array" ref="K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Asesor'!K783, "")
</f>
        <v/>
      </c>
      <c r="L783" s="84" t="str">
        <f t="array" ref="L783">IF(OR(
    AND('BD Asesor'!H783="Mensual", MATCH($B$2, {"Enero", "Febrero", "Marzo", "Abril", "Mayo", "Junio", "Julio", "Agosto", "Septiembre", "Octubre", "Noviembre", "Diciembre"}, 0)&gt;=1),
    AND('BD Asesor'!H783="Trimestral", MOD(MATCH($B$2, {"Enero", "Febrero", "Marzo", "Abril", "Mayo", "Junio", "Julio", "Agosto", "Septiembre", "Octubre", "Noviembre"}, 0)-MONTH('BD Asesor'!D783), 3)=0),
    AND('BD Asesor'!H783="Semestral", MOD(MATCH($B$2, {"Enero", "Febrero", "Marzo", "Abril", "Mayo", "Junio", "Julio", "Agosto", "Septiembre", "Octubre", "Noviembre"}, 0)-MONTH('BD Asesor'!D783), 6)=0),
    AND('BD Asesor'!H783="Anual", MONTH('BD Asesor'!D783)=MATCH($B$2, {"Enero", "Febrero", "Marzo", "Abril", "Mayo", "Junio", "Julio", "Agosto", "Septiembre", "Octubre", "Noviembre"}, 0))
), 'BD Asesor'!L783, "")
</f>
        <v/>
      </c>
    </row>
    <row r="784">
      <c r="C784" s="84" t="str">
        <f t="array" ref="C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Asesor'!A784, "")
</f>
        <v/>
      </c>
      <c r="D784" s="84" t="str">
        <f t="array" ref="D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Asesor'!B784, "")
</f>
        <v/>
      </c>
      <c r="E784" s="212" t="str">
        <f t="array" ref="E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Asesor'!C784, "")
</f>
        <v/>
      </c>
      <c r="F784" s="212" t="str">
        <f t="array" ref="F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Asesor'!D784, "")
</f>
        <v/>
      </c>
      <c r="G784" s="212" t="str">
        <f t="array" ref="G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Asesor'!E784, "")
</f>
        <v/>
      </c>
      <c r="H784" s="84" t="str">
        <f t="array" ref="H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Asesor'!F784, "")
</f>
        <v/>
      </c>
      <c r="I784" s="84" t="str">
        <f t="array" ref="I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Asesor'!G784, "")
</f>
        <v/>
      </c>
      <c r="J784" s="84" t="str">
        <f t="array" ref="J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Asesor'!H784, "")
</f>
        <v/>
      </c>
      <c r="K784" s="84" t="str">
        <f t="array" ref="K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Asesor'!K784, "")
</f>
        <v/>
      </c>
      <c r="L784" s="84" t="str">
        <f t="array" ref="L784">IF(OR(
    AND('BD Asesor'!H784="Mensual", MATCH($B$2, {"Enero", "Febrero", "Marzo", "Abril", "Mayo", "Junio", "Julio", "Agosto", "Septiembre", "Octubre", "Noviembre", "Diciembre"}, 0)&gt;=1),
    AND('BD Asesor'!H784="Trimestral", MOD(MATCH($B$2, {"Enero", "Febrero", "Marzo", "Abril", "Mayo", "Junio", "Julio", "Agosto", "Septiembre", "Octubre", "Noviembre"}, 0)-MONTH('BD Asesor'!D784), 3)=0),
    AND('BD Asesor'!H784="Semestral", MOD(MATCH($B$2, {"Enero", "Febrero", "Marzo", "Abril", "Mayo", "Junio", "Julio", "Agosto", "Septiembre", "Octubre", "Noviembre"}, 0)-MONTH('BD Asesor'!D784), 6)=0),
    AND('BD Asesor'!H784="Anual", MONTH('BD Asesor'!D784)=MATCH($B$2, {"Enero", "Febrero", "Marzo", "Abril", "Mayo", "Junio", "Julio", "Agosto", "Septiembre", "Octubre", "Noviembre"}, 0))
), 'BD Asesor'!L784, "")
</f>
        <v/>
      </c>
    </row>
    <row r="785">
      <c r="C785" s="84" t="str">
        <f t="array" ref="C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Asesor'!A785, "")
</f>
        <v/>
      </c>
      <c r="D785" s="84" t="str">
        <f t="array" ref="D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Asesor'!B785, "")
</f>
        <v/>
      </c>
      <c r="E785" s="212" t="str">
        <f t="array" ref="E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Asesor'!C785, "")
</f>
        <v/>
      </c>
      <c r="F785" s="212" t="str">
        <f t="array" ref="F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Asesor'!D785, "")
</f>
        <v/>
      </c>
      <c r="G785" s="212" t="str">
        <f t="array" ref="G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Asesor'!E785, "")
</f>
        <v/>
      </c>
      <c r="H785" s="84" t="str">
        <f t="array" ref="H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Asesor'!F785, "")
</f>
        <v/>
      </c>
      <c r="I785" s="84" t="str">
        <f t="array" ref="I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Asesor'!G785, "")
</f>
        <v/>
      </c>
      <c r="J785" s="84" t="str">
        <f t="array" ref="J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Asesor'!H785, "")
</f>
        <v/>
      </c>
      <c r="K785" s="84" t="str">
        <f t="array" ref="K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Asesor'!K785, "")
</f>
        <v/>
      </c>
      <c r="L785" s="84" t="str">
        <f t="array" ref="L785">IF(OR(
    AND('BD Asesor'!H785="Mensual", MATCH($B$2, {"Enero", "Febrero", "Marzo", "Abril", "Mayo", "Junio", "Julio", "Agosto", "Septiembre", "Octubre", "Noviembre", "Diciembre"}, 0)&gt;=1),
    AND('BD Asesor'!H785="Trimestral", MOD(MATCH($B$2, {"Enero", "Febrero", "Marzo", "Abril", "Mayo", "Junio", "Julio", "Agosto", "Septiembre", "Octubre", "Noviembre"}, 0)-MONTH('BD Asesor'!D785), 3)=0),
    AND('BD Asesor'!H785="Semestral", MOD(MATCH($B$2, {"Enero", "Febrero", "Marzo", "Abril", "Mayo", "Junio", "Julio", "Agosto", "Septiembre", "Octubre", "Noviembre"}, 0)-MONTH('BD Asesor'!D785), 6)=0),
    AND('BD Asesor'!H785="Anual", MONTH('BD Asesor'!D785)=MATCH($B$2, {"Enero", "Febrero", "Marzo", "Abril", "Mayo", "Junio", "Julio", "Agosto", "Septiembre", "Octubre", "Noviembre"}, 0))
), 'BD Asesor'!L785, "")
</f>
        <v/>
      </c>
    </row>
    <row r="786">
      <c r="C786" s="84" t="str">
        <f t="array" ref="C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Asesor'!A786, "")
</f>
        <v/>
      </c>
      <c r="D786" s="84" t="str">
        <f t="array" ref="D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Asesor'!B786, "")
</f>
        <v/>
      </c>
      <c r="E786" s="212" t="str">
        <f t="array" ref="E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Asesor'!C786, "")
</f>
        <v/>
      </c>
      <c r="F786" s="212" t="str">
        <f t="array" ref="F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Asesor'!D786, "")
</f>
        <v/>
      </c>
      <c r="G786" s="212" t="str">
        <f t="array" ref="G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Asesor'!E786, "")
</f>
        <v/>
      </c>
      <c r="H786" s="84" t="str">
        <f t="array" ref="H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Asesor'!F786, "")
</f>
        <v/>
      </c>
      <c r="I786" s="84" t="str">
        <f t="array" ref="I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Asesor'!G786, "")
</f>
        <v/>
      </c>
      <c r="J786" s="84" t="str">
        <f t="array" ref="J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Asesor'!H786, "")
</f>
        <v/>
      </c>
      <c r="K786" s="84" t="str">
        <f t="array" ref="K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Asesor'!K786, "")
</f>
        <v/>
      </c>
      <c r="L786" s="84" t="str">
        <f t="array" ref="L786">IF(OR(
    AND('BD Asesor'!H786="Mensual", MATCH($B$2, {"Enero", "Febrero", "Marzo", "Abril", "Mayo", "Junio", "Julio", "Agosto", "Septiembre", "Octubre", "Noviembre", "Diciembre"}, 0)&gt;=1),
    AND('BD Asesor'!H786="Trimestral", MOD(MATCH($B$2, {"Enero", "Febrero", "Marzo", "Abril", "Mayo", "Junio", "Julio", "Agosto", "Septiembre", "Octubre", "Noviembre"}, 0)-MONTH('BD Asesor'!D786), 3)=0),
    AND('BD Asesor'!H786="Semestral", MOD(MATCH($B$2, {"Enero", "Febrero", "Marzo", "Abril", "Mayo", "Junio", "Julio", "Agosto", "Septiembre", "Octubre", "Noviembre"}, 0)-MONTH('BD Asesor'!D786), 6)=0),
    AND('BD Asesor'!H786="Anual", MONTH('BD Asesor'!D786)=MATCH($B$2, {"Enero", "Febrero", "Marzo", "Abril", "Mayo", "Junio", "Julio", "Agosto", "Septiembre", "Octubre", "Noviembre"}, 0))
), 'BD Asesor'!L786, "")
</f>
        <v/>
      </c>
    </row>
    <row r="787">
      <c r="C787" s="84" t="str">
        <f t="array" ref="C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Asesor'!A787, "")
</f>
        <v/>
      </c>
      <c r="D787" s="84" t="str">
        <f t="array" ref="D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Asesor'!B787, "")
</f>
        <v/>
      </c>
      <c r="E787" s="212" t="str">
        <f t="array" ref="E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Asesor'!C787, "")
</f>
        <v/>
      </c>
      <c r="F787" s="212" t="str">
        <f t="array" ref="F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Asesor'!D787, "")
</f>
        <v/>
      </c>
      <c r="G787" s="212" t="str">
        <f t="array" ref="G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Asesor'!E787, "")
</f>
        <v/>
      </c>
      <c r="H787" s="84" t="str">
        <f t="array" ref="H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Asesor'!F787, "")
</f>
        <v/>
      </c>
      <c r="I787" s="84" t="str">
        <f t="array" ref="I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Asesor'!G787, "")
</f>
        <v/>
      </c>
      <c r="J787" s="84" t="str">
        <f t="array" ref="J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Asesor'!H787, "")
</f>
        <v/>
      </c>
      <c r="K787" s="84" t="str">
        <f t="array" ref="K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Asesor'!K787, "")
</f>
        <v/>
      </c>
      <c r="L787" s="84" t="str">
        <f t="array" ref="L787">IF(OR(
    AND('BD Asesor'!H787="Mensual", MATCH($B$2, {"Enero", "Febrero", "Marzo", "Abril", "Mayo", "Junio", "Julio", "Agosto", "Septiembre", "Octubre", "Noviembre", "Diciembre"}, 0)&gt;=1),
    AND('BD Asesor'!H787="Trimestral", MOD(MATCH($B$2, {"Enero", "Febrero", "Marzo", "Abril", "Mayo", "Junio", "Julio", "Agosto", "Septiembre", "Octubre", "Noviembre"}, 0)-MONTH('BD Asesor'!D787), 3)=0),
    AND('BD Asesor'!H787="Semestral", MOD(MATCH($B$2, {"Enero", "Febrero", "Marzo", "Abril", "Mayo", "Junio", "Julio", "Agosto", "Septiembre", "Octubre", "Noviembre"}, 0)-MONTH('BD Asesor'!D787), 6)=0),
    AND('BD Asesor'!H787="Anual", MONTH('BD Asesor'!D787)=MATCH($B$2, {"Enero", "Febrero", "Marzo", "Abril", "Mayo", "Junio", "Julio", "Agosto", "Septiembre", "Octubre", "Noviembre"}, 0))
), 'BD Asesor'!L787, "")
</f>
        <v/>
      </c>
    </row>
    <row r="788">
      <c r="C788" s="84" t="str">
        <f t="array" ref="C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Asesor'!A788, "")
</f>
        <v/>
      </c>
      <c r="D788" s="84" t="str">
        <f t="array" ref="D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Asesor'!B788, "")
</f>
        <v/>
      </c>
      <c r="E788" s="212" t="str">
        <f t="array" ref="E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Asesor'!C788, "")
</f>
        <v/>
      </c>
      <c r="F788" s="212" t="str">
        <f t="array" ref="F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Asesor'!D788, "")
</f>
        <v/>
      </c>
      <c r="G788" s="212" t="str">
        <f t="array" ref="G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Asesor'!E788, "")
</f>
        <v/>
      </c>
      <c r="H788" s="84" t="str">
        <f t="array" ref="H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Asesor'!F788, "")
</f>
        <v/>
      </c>
      <c r="I788" s="84" t="str">
        <f t="array" ref="I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Asesor'!G788, "")
</f>
        <v/>
      </c>
      <c r="J788" s="84" t="str">
        <f t="array" ref="J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Asesor'!H788, "")
</f>
        <v/>
      </c>
      <c r="K788" s="84" t="str">
        <f t="array" ref="K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Asesor'!K788, "")
</f>
        <v/>
      </c>
      <c r="L788" s="84" t="str">
        <f t="array" ref="L788">IF(OR(
    AND('BD Asesor'!H788="Mensual", MATCH($B$2, {"Enero", "Febrero", "Marzo", "Abril", "Mayo", "Junio", "Julio", "Agosto", "Septiembre", "Octubre", "Noviembre", "Diciembre"}, 0)&gt;=1),
    AND('BD Asesor'!H788="Trimestral", MOD(MATCH($B$2, {"Enero", "Febrero", "Marzo", "Abril", "Mayo", "Junio", "Julio", "Agosto", "Septiembre", "Octubre", "Noviembre"}, 0)-MONTH('BD Asesor'!D788), 3)=0),
    AND('BD Asesor'!H788="Semestral", MOD(MATCH($B$2, {"Enero", "Febrero", "Marzo", "Abril", "Mayo", "Junio", "Julio", "Agosto", "Septiembre", "Octubre", "Noviembre"}, 0)-MONTH('BD Asesor'!D788), 6)=0),
    AND('BD Asesor'!H788="Anual", MONTH('BD Asesor'!D788)=MATCH($B$2, {"Enero", "Febrero", "Marzo", "Abril", "Mayo", "Junio", "Julio", "Agosto", "Septiembre", "Octubre", "Noviembre"}, 0))
), 'BD Asesor'!L788, "")
</f>
        <v/>
      </c>
    </row>
    <row r="789">
      <c r="C789" s="84" t="str">
        <f t="array" ref="C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Asesor'!A789, "")
</f>
        <v/>
      </c>
      <c r="D789" s="84" t="str">
        <f t="array" ref="D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Asesor'!B789, "")
</f>
        <v/>
      </c>
      <c r="E789" s="212" t="str">
        <f t="array" ref="E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Asesor'!C789, "")
</f>
        <v/>
      </c>
      <c r="F789" s="212" t="str">
        <f t="array" ref="F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Asesor'!D789, "")
</f>
        <v/>
      </c>
      <c r="G789" s="212" t="str">
        <f t="array" ref="G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Asesor'!E789, "")
</f>
        <v/>
      </c>
      <c r="H789" s="84" t="str">
        <f t="array" ref="H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Asesor'!F789, "")
</f>
        <v/>
      </c>
      <c r="I789" s="84" t="str">
        <f t="array" ref="I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Asesor'!G789, "")
</f>
        <v/>
      </c>
      <c r="J789" s="84" t="str">
        <f t="array" ref="J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Asesor'!H789, "")
</f>
        <v/>
      </c>
      <c r="K789" s="84" t="str">
        <f t="array" ref="K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Asesor'!K789, "")
</f>
        <v/>
      </c>
      <c r="L789" s="84" t="str">
        <f t="array" ref="L789">IF(OR(
    AND('BD Asesor'!H789="Mensual", MATCH($B$2, {"Enero", "Febrero", "Marzo", "Abril", "Mayo", "Junio", "Julio", "Agosto", "Septiembre", "Octubre", "Noviembre", "Diciembre"}, 0)&gt;=1),
    AND('BD Asesor'!H789="Trimestral", MOD(MATCH($B$2, {"Enero", "Febrero", "Marzo", "Abril", "Mayo", "Junio", "Julio", "Agosto", "Septiembre", "Octubre", "Noviembre"}, 0)-MONTH('BD Asesor'!D789), 3)=0),
    AND('BD Asesor'!H789="Semestral", MOD(MATCH($B$2, {"Enero", "Febrero", "Marzo", "Abril", "Mayo", "Junio", "Julio", "Agosto", "Septiembre", "Octubre", "Noviembre"}, 0)-MONTH('BD Asesor'!D789), 6)=0),
    AND('BD Asesor'!H789="Anual", MONTH('BD Asesor'!D789)=MATCH($B$2, {"Enero", "Febrero", "Marzo", "Abril", "Mayo", "Junio", "Julio", "Agosto", "Septiembre", "Octubre", "Noviembre"}, 0))
), 'BD Asesor'!L789, "")
</f>
        <v/>
      </c>
    </row>
    <row r="790">
      <c r="C790" s="84" t="str">
        <f t="array" ref="C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Asesor'!A790, "")
</f>
        <v/>
      </c>
      <c r="D790" s="84" t="str">
        <f t="array" ref="D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Asesor'!B790, "")
</f>
        <v/>
      </c>
      <c r="E790" s="212" t="str">
        <f t="array" ref="E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Asesor'!C790, "")
</f>
        <v/>
      </c>
      <c r="F790" s="212" t="str">
        <f t="array" ref="F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Asesor'!D790, "")
</f>
        <v/>
      </c>
      <c r="G790" s="212" t="str">
        <f t="array" ref="G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Asesor'!E790, "")
</f>
        <v/>
      </c>
      <c r="H790" s="84" t="str">
        <f t="array" ref="H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Asesor'!F790, "")
</f>
        <v/>
      </c>
      <c r="I790" s="84" t="str">
        <f t="array" ref="I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Asesor'!G790, "")
</f>
        <v/>
      </c>
      <c r="J790" s="84" t="str">
        <f t="array" ref="J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Asesor'!H790, "")
</f>
        <v/>
      </c>
      <c r="K790" s="84" t="str">
        <f t="array" ref="K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Asesor'!K790, "")
</f>
        <v/>
      </c>
      <c r="L790" s="84" t="str">
        <f t="array" ref="L790">IF(OR(
    AND('BD Asesor'!H790="Mensual", MATCH($B$2, {"Enero", "Febrero", "Marzo", "Abril", "Mayo", "Junio", "Julio", "Agosto", "Septiembre", "Octubre", "Noviembre", "Diciembre"}, 0)&gt;=1),
    AND('BD Asesor'!H790="Trimestral", MOD(MATCH($B$2, {"Enero", "Febrero", "Marzo", "Abril", "Mayo", "Junio", "Julio", "Agosto", "Septiembre", "Octubre", "Noviembre"}, 0)-MONTH('BD Asesor'!D790), 3)=0),
    AND('BD Asesor'!H790="Semestral", MOD(MATCH($B$2, {"Enero", "Febrero", "Marzo", "Abril", "Mayo", "Junio", "Julio", "Agosto", "Septiembre", "Octubre", "Noviembre"}, 0)-MONTH('BD Asesor'!D790), 6)=0),
    AND('BD Asesor'!H790="Anual", MONTH('BD Asesor'!D790)=MATCH($B$2, {"Enero", "Febrero", "Marzo", "Abril", "Mayo", "Junio", "Julio", "Agosto", "Septiembre", "Octubre", "Noviembre"}, 0))
), 'BD Asesor'!L790, "")
</f>
        <v/>
      </c>
    </row>
    <row r="791">
      <c r="C791" s="84" t="str">
        <f t="array" ref="C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Asesor'!A791, "")
</f>
        <v/>
      </c>
      <c r="D791" s="84" t="str">
        <f t="array" ref="D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Asesor'!B791, "")
</f>
        <v/>
      </c>
      <c r="E791" s="212" t="str">
        <f t="array" ref="E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Asesor'!C791, "")
</f>
        <v/>
      </c>
      <c r="F791" s="212" t="str">
        <f t="array" ref="F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Asesor'!D791, "")
</f>
        <v/>
      </c>
      <c r="G791" s="212" t="str">
        <f t="array" ref="G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Asesor'!E791, "")
</f>
        <v/>
      </c>
      <c r="H791" s="84" t="str">
        <f t="array" ref="H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Asesor'!F791, "")
</f>
        <v/>
      </c>
      <c r="I791" s="84" t="str">
        <f t="array" ref="I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Asesor'!G791, "")
</f>
        <v/>
      </c>
      <c r="J791" s="84" t="str">
        <f t="array" ref="J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Asesor'!H791, "")
</f>
        <v/>
      </c>
      <c r="K791" s="84" t="str">
        <f t="array" ref="K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Asesor'!K791, "")
</f>
        <v/>
      </c>
      <c r="L791" s="84" t="str">
        <f t="array" ref="L791">IF(OR(
    AND('BD Asesor'!H791="Mensual", MATCH($B$2, {"Enero", "Febrero", "Marzo", "Abril", "Mayo", "Junio", "Julio", "Agosto", "Septiembre", "Octubre", "Noviembre", "Diciembre"}, 0)&gt;=1),
    AND('BD Asesor'!H791="Trimestral", MOD(MATCH($B$2, {"Enero", "Febrero", "Marzo", "Abril", "Mayo", "Junio", "Julio", "Agosto", "Septiembre", "Octubre", "Noviembre"}, 0)-MONTH('BD Asesor'!D791), 3)=0),
    AND('BD Asesor'!H791="Semestral", MOD(MATCH($B$2, {"Enero", "Febrero", "Marzo", "Abril", "Mayo", "Junio", "Julio", "Agosto", "Septiembre", "Octubre", "Noviembre"}, 0)-MONTH('BD Asesor'!D791), 6)=0),
    AND('BD Asesor'!H791="Anual", MONTH('BD Asesor'!D791)=MATCH($B$2, {"Enero", "Febrero", "Marzo", "Abril", "Mayo", "Junio", "Julio", "Agosto", "Septiembre", "Octubre", "Noviembre"}, 0))
), 'BD Asesor'!L791, "")
</f>
        <v/>
      </c>
    </row>
    <row r="792">
      <c r="C792" s="84" t="str">
        <f t="array" ref="C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Asesor'!A792, "")
</f>
        <v/>
      </c>
      <c r="D792" s="84" t="str">
        <f t="array" ref="D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Asesor'!B792, "")
</f>
        <v/>
      </c>
      <c r="E792" s="212" t="str">
        <f t="array" ref="E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Asesor'!C792, "")
</f>
        <v/>
      </c>
      <c r="F792" s="212" t="str">
        <f t="array" ref="F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Asesor'!D792, "")
</f>
        <v/>
      </c>
      <c r="G792" s="212" t="str">
        <f t="array" ref="G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Asesor'!E792, "")
</f>
        <v/>
      </c>
      <c r="H792" s="84" t="str">
        <f t="array" ref="H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Asesor'!F792, "")
</f>
        <v/>
      </c>
      <c r="I792" s="84" t="str">
        <f t="array" ref="I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Asesor'!G792, "")
</f>
        <v/>
      </c>
      <c r="J792" s="84" t="str">
        <f t="array" ref="J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Asesor'!H792, "")
</f>
        <v/>
      </c>
      <c r="K792" s="84" t="str">
        <f t="array" ref="K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Asesor'!K792, "")
</f>
        <v/>
      </c>
      <c r="L792" s="84" t="str">
        <f t="array" ref="L792">IF(OR(
    AND('BD Asesor'!H792="Mensual", MATCH($B$2, {"Enero", "Febrero", "Marzo", "Abril", "Mayo", "Junio", "Julio", "Agosto", "Septiembre", "Octubre", "Noviembre", "Diciembre"}, 0)&gt;=1),
    AND('BD Asesor'!H792="Trimestral", MOD(MATCH($B$2, {"Enero", "Febrero", "Marzo", "Abril", "Mayo", "Junio", "Julio", "Agosto", "Septiembre", "Octubre", "Noviembre"}, 0)-MONTH('BD Asesor'!D792), 3)=0),
    AND('BD Asesor'!H792="Semestral", MOD(MATCH($B$2, {"Enero", "Febrero", "Marzo", "Abril", "Mayo", "Junio", "Julio", "Agosto", "Septiembre", "Octubre", "Noviembre"}, 0)-MONTH('BD Asesor'!D792), 6)=0),
    AND('BD Asesor'!H792="Anual", MONTH('BD Asesor'!D792)=MATCH($B$2, {"Enero", "Febrero", "Marzo", "Abril", "Mayo", "Junio", "Julio", "Agosto", "Septiembre", "Octubre", "Noviembre"}, 0))
), 'BD Asesor'!L792, "")
</f>
        <v/>
      </c>
    </row>
    <row r="793">
      <c r="C793" s="84" t="str">
        <f t="array" ref="C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Asesor'!A793, "")
</f>
        <v/>
      </c>
      <c r="D793" s="84" t="str">
        <f t="array" ref="D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Asesor'!B793, "")
</f>
        <v/>
      </c>
      <c r="E793" s="212" t="str">
        <f t="array" ref="E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Asesor'!C793, "")
</f>
        <v/>
      </c>
      <c r="F793" s="212" t="str">
        <f t="array" ref="F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Asesor'!D793, "")
</f>
        <v/>
      </c>
      <c r="G793" s="212" t="str">
        <f t="array" ref="G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Asesor'!E793, "")
</f>
        <v/>
      </c>
      <c r="H793" s="84" t="str">
        <f t="array" ref="H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Asesor'!F793, "")
</f>
        <v/>
      </c>
      <c r="I793" s="84" t="str">
        <f t="array" ref="I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Asesor'!G793, "")
</f>
        <v/>
      </c>
      <c r="J793" s="84" t="str">
        <f t="array" ref="J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Asesor'!H793, "")
</f>
        <v/>
      </c>
      <c r="K793" s="84" t="str">
        <f t="array" ref="K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Asesor'!K793, "")
</f>
        <v/>
      </c>
      <c r="L793" s="84" t="str">
        <f t="array" ref="L793">IF(OR(
    AND('BD Asesor'!H793="Mensual", MATCH($B$2, {"Enero", "Febrero", "Marzo", "Abril", "Mayo", "Junio", "Julio", "Agosto", "Septiembre", "Octubre", "Noviembre", "Diciembre"}, 0)&gt;=1),
    AND('BD Asesor'!H793="Trimestral", MOD(MATCH($B$2, {"Enero", "Febrero", "Marzo", "Abril", "Mayo", "Junio", "Julio", "Agosto", "Septiembre", "Octubre", "Noviembre"}, 0)-MONTH('BD Asesor'!D793), 3)=0),
    AND('BD Asesor'!H793="Semestral", MOD(MATCH($B$2, {"Enero", "Febrero", "Marzo", "Abril", "Mayo", "Junio", "Julio", "Agosto", "Septiembre", "Octubre", "Noviembre"}, 0)-MONTH('BD Asesor'!D793), 6)=0),
    AND('BD Asesor'!H793="Anual", MONTH('BD Asesor'!D793)=MATCH($B$2, {"Enero", "Febrero", "Marzo", "Abril", "Mayo", "Junio", "Julio", "Agosto", "Septiembre", "Octubre", "Noviembre"}, 0))
), 'BD Asesor'!L793, "")
</f>
        <v/>
      </c>
    </row>
    <row r="794">
      <c r="C794" s="84" t="str">
        <f t="array" ref="C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Asesor'!A794, "")
</f>
        <v/>
      </c>
      <c r="D794" s="84" t="str">
        <f t="array" ref="D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Asesor'!B794, "")
</f>
        <v/>
      </c>
      <c r="E794" s="212" t="str">
        <f t="array" ref="E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Asesor'!C794, "")
</f>
        <v/>
      </c>
      <c r="F794" s="212" t="str">
        <f t="array" ref="F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Asesor'!D794, "")
</f>
        <v/>
      </c>
      <c r="G794" s="212" t="str">
        <f t="array" ref="G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Asesor'!E794, "")
</f>
        <v/>
      </c>
      <c r="H794" s="84" t="str">
        <f t="array" ref="H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Asesor'!F794, "")
</f>
        <v/>
      </c>
      <c r="I794" s="84" t="str">
        <f t="array" ref="I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Asesor'!G794, "")
</f>
        <v/>
      </c>
      <c r="J794" s="84" t="str">
        <f t="array" ref="J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Asesor'!H794, "")
</f>
        <v/>
      </c>
      <c r="K794" s="84" t="str">
        <f t="array" ref="K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Asesor'!K794, "")
</f>
        <v/>
      </c>
      <c r="L794" s="84" t="str">
        <f t="array" ref="L794">IF(OR(
    AND('BD Asesor'!H794="Mensual", MATCH($B$2, {"Enero", "Febrero", "Marzo", "Abril", "Mayo", "Junio", "Julio", "Agosto", "Septiembre", "Octubre", "Noviembre", "Diciembre"}, 0)&gt;=1),
    AND('BD Asesor'!H794="Trimestral", MOD(MATCH($B$2, {"Enero", "Febrero", "Marzo", "Abril", "Mayo", "Junio", "Julio", "Agosto", "Septiembre", "Octubre", "Noviembre"}, 0)-MONTH('BD Asesor'!D794), 3)=0),
    AND('BD Asesor'!H794="Semestral", MOD(MATCH($B$2, {"Enero", "Febrero", "Marzo", "Abril", "Mayo", "Junio", "Julio", "Agosto", "Septiembre", "Octubre", "Noviembre"}, 0)-MONTH('BD Asesor'!D794), 6)=0),
    AND('BD Asesor'!H794="Anual", MONTH('BD Asesor'!D794)=MATCH($B$2, {"Enero", "Febrero", "Marzo", "Abril", "Mayo", "Junio", "Julio", "Agosto", "Septiembre", "Octubre", "Noviembre"}, 0))
), 'BD Asesor'!L794, "")
</f>
        <v/>
      </c>
    </row>
    <row r="795">
      <c r="C795" s="84" t="str">
        <f t="array" ref="C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Asesor'!A795, "")
</f>
        <v/>
      </c>
      <c r="D795" s="84" t="str">
        <f t="array" ref="D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Asesor'!B795, "")
</f>
        <v/>
      </c>
      <c r="E795" s="212" t="str">
        <f t="array" ref="E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Asesor'!C795, "")
</f>
        <v/>
      </c>
      <c r="F795" s="212" t="str">
        <f t="array" ref="F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Asesor'!D795, "")
</f>
        <v/>
      </c>
      <c r="G795" s="212" t="str">
        <f t="array" ref="G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Asesor'!E795, "")
</f>
        <v/>
      </c>
      <c r="H795" s="84" t="str">
        <f t="array" ref="H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Asesor'!F795, "")
</f>
        <v/>
      </c>
      <c r="I795" s="84" t="str">
        <f t="array" ref="I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Asesor'!G795, "")
</f>
        <v/>
      </c>
      <c r="J795" s="84" t="str">
        <f t="array" ref="J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Asesor'!H795, "")
</f>
        <v/>
      </c>
      <c r="K795" s="84" t="str">
        <f t="array" ref="K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Asesor'!K795, "")
</f>
        <v/>
      </c>
      <c r="L795" s="84" t="str">
        <f t="array" ref="L795">IF(OR(
    AND('BD Asesor'!H795="Mensual", MATCH($B$2, {"Enero", "Febrero", "Marzo", "Abril", "Mayo", "Junio", "Julio", "Agosto", "Septiembre", "Octubre", "Noviembre", "Diciembre"}, 0)&gt;=1),
    AND('BD Asesor'!H795="Trimestral", MOD(MATCH($B$2, {"Enero", "Febrero", "Marzo", "Abril", "Mayo", "Junio", "Julio", "Agosto", "Septiembre", "Octubre", "Noviembre"}, 0)-MONTH('BD Asesor'!D795), 3)=0),
    AND('BD Asesor'!H795="Semestral", MOD(MATCH($B$2, {"Enero", "Febrero", "Marzo", "Abril", "Mayo", "Junio", "Julio", "Agosto", "Septiembre", "Octubre", "Noviembre"}, 0)-MONTH('BD Asesor'!D795), 6)=0),
    AND('BD Asesor'!H795="Anual", MONTH('BD Asesor'!D795)=MATCH($B$2, {"Enero", "Febrero", "Marzo", "Abril", "Mayo", "Junio", "Julio", "Agosto", "Septiembre", "Octubre", "Noviembre"}, 0))
), 'BD Asesor'!L795, "")
</f>
        <v/>
      </c>
    </row>
    <row r="796">
      <c r="C796" s="84" t="str">
        <f t="array" ref="C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Asesor'!A796, "")
</f>
        <v/>
      </c>
      <c r="D796" s="84" t="str">
        <f t="array" ref="D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Asesor'!B796, "")
</f>
        <v/>
      </c>
      <c r="E796" s="212" t="str">
        <f t="array" ref="E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Asesor'!C796, "")
</f>
        <v/>
      </c>
      <c r="F796" s="212" t="str">
        <f t="array" ref="F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Asesor'!D796, "")
</f>
        <v/>
      </c>
      <c r="G796" s="212" t="str">
        <f t="array" ref="G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Asesor'!E796, "")
</f>
        <v/>
      </c>
      <c r="H796" s="84" t="str">
        <f t="array" ref="H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Asesor'!F796, "")
</f>
        <v/>
      </c>
      <c r="I796" s="84" t="str">
        <f t="array" ref="I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Asesor'!G796, "")
</f>
        <v/>
      </c>
      <c r="J796" s="84" t="str">
        <f t="array" ref="J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Asesor'!H796, "")
</f>
        <v/>
      </c>
      <c r="K796" s="84" t="str">
        <f t="array" ref="K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Asesor'!K796, "")
</f>
        <v/>
      </c>
      <c r="L796" s="84" t="str">
        <f t="array" ref="L796">IF(OR(
    AND('BD Asesor'!H796="Mensual", MATCH($B$2, {"Enero", "Febrero", "Marzo", "Abril", "Mayo", "Junio", "Julio", "Agosto", "Septiembre", "Octubre", "Noviembre", "Diciembre"}, 0)&gt;=1),
    AND('BD Asesor'!H796="Trimestral", MOD(MATCH($B$2, {"Enero", "Febrero", "Marzo", "Abril", "Mayo", "Junio", "Julio", "Agosto", "Septiembre", "Octubre", "Noviembre"}, 0)-MONTH('BD Asesor'!D796), 3)=0),
    AND('BD Asesor'!H796="Semestral", MOD(MATCH($B$2, {"Enero", "Febrero", "Marzo", "Abril", "Mayo", "Junio", "Julio", "Agosto", "Septiembre", "Octubre", "Noviembre"}, 0)-MONTH('BD Asesor'!D796), 6)=0),
    AND('BD Asesor'!H796="Anual", MONTH('BD Asesor'!D796)=MATCH($B$2, {"Enero", "Febrero", "Marzo", "Abril", "Mayo", "Junio", "Julio", "Agosto", "Septiembre", "Octubre", "Noviembre"}, 0))
), 'BD Asesor'!L796, "")
</f>
        <v/>
      </c>
    </row>
    <row r="797">
      <c r="C797" s="84" t="str">
        <f t="array" ref="C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Asesor'!A797, "")
</f>
        <v/>
      </c>
      <c r="D797" s="84" t="str">
        <f t="array" ref="D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Asesor'!B797, "")
</f>
        <v/>
      </c>
      <c r="E797" s="212" t="str">
        <f t="array" ref="E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Asesor'!C797, "")
</f>
        <v/>
      </c>
      <c r="F797" s="212" t="str">
        <f t="array" ref="F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Asesor'!D797, "")
</f>
        <v/>
      </c>
      <c r="G797" s="212" t="str">
        <f t="array" ref="G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Asesor'!E797, "")
</f>
        <v/>
      </c>
      <c r="H797" s="84" t="str">
        <f t="array" ref="H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Asesor'!F797, "")
</f>
        <v/>
      </c>
      <c r="I797" s="84" t="str">
        <f t="array" ref="I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Asesor'!G797, "")
</f>
        <v/>
      </c>
      <c r="J797" s="84" t="str">
        <f t="array" ref="J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Asesor'!H797, "")
</f>
        <v/>
      </c>
      <c r="K797" s="84" t="str">
        <f t="array" ref="K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Asesor'!K797, "")
</f>
        <v/>
      </c>
      <c r="L797" s="84" t="str">
        <f t="array" ref="L797">IF(OR(
    AND('BD Asesor'!H797="Mensual", MATCH($B$2, {"Enero", "Febrero", "Marzo", "Abril", "Mayo", "Junio", "Julio", "Agosto", "Septiembre", "Octubre", "Noviembre", "Diciembre"}, 0)&gt;=1),
    AND('BD Asesor'!H797="Trimestral", MOD(MATCH($B$2, {"Enero", "Febrero", "Marzo", "Abril", "Mayo", "Junio", "Julio", "Agosto", "Septiembre", "Octubre", "Noviembre"}, 0)-MONTH('BD Asesor'!D797), 3)=0),
    AND('BD Asesor'!H797="Semestral", MOD(MATCH($B$2, {"Enero", "Febrero", "Marzo", "Abril", "Mayo", "Junio", "Julio", "Agosto", "Septiembre", "Octubre", "Noviembre"}, 0)-MONTH('BD Asesor'!D797), 6)=0),
    AND('BD Asesor'!H797="Anual", MONTH('BD Asesor'!D797)=MATCH($B$2, {"Enero", "Febrero", "Marzo", "Abril", "Mayo", "Junio", "Julio", "Agosto", "Septiembre", "Octubre", "Noviembre"}, 0))
), 'BD Asesor'!L797, "")
</f>
        <v/>
      </c>
    </row>
    <row r="798">
      <c r="C798" s="84" t="str">
        <f t="array" ref="C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Asesor'!A798, "")
</f>
        <v/>
      </c>
      <c r="D798" s="84" t="str">
        <f t="array" ref="D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Asesor'!B798, "")
</f>
        <v/>
      </c>
      <c r="E798" s="212" t="str">
        <f t="array" ref="E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Asesor'!C798, "")
</f>
        <v/>
      </c>
      <c r="F798" s="212" t="str">
        <f t="array" ref="F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Asesor'!D798, "")
</f>
        <v/>
      </c>
      <c r="G798" s="212" t="str">
        <f t="array" ref="G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Asesor'!E798, "")
</f>
        <v/>
      </c>
      <c r="H798" s="84" t="str">
        <f t="array" ref="H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Asesor'!F798, "")
</f>
        <v/>
      </c>
      <c r="I798" s="84" t="str">
        <f t="array" ref="I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Asesor'!G798, "")
</f>
        <v/>
      </c>
      <c r="J798" s="84" t="str">
        <f t="array" ref="J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Asesor'!H798, "")
</f>
        <v/>
      </c>
      <c r="K798" s="84" t="str">
        <f t="array" ref="K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Asesor'!K798, "")
</f>
        <v/>
      </c>
      <c r="L798" s="84" t="str">
        <f t="array" ref="L798">IF(OR(
    AND('BD Asesor'!H798="Mensual", MATCH($B$2, {"Enero", "Febrero", "Marzo", "Abril", "Mayo", "Junio", "Julio", "Agosto", "Septiembre", "Octubre", "Noviembre", "Diciembre"}, 0)&gt;=1),
    AND('BD Asesor'!H798="Trimestral", MOD(MATCH($B$2, {"Enero", "Febrero", "Marzo", "Abril", "Mayo", "Junio", "Julio", "Agosto", "Septiembre", "Octubre", "Noviembre"}, 0)-MONTH('BD Asesor'!D798), 3)=0),
    AND('BD Asesor'!H798="Semestral", MOD(MATCH($B$2, {"Enero", "Febrero", "Marzo", "Abril", "Mayo", "Junio", "Julio", "Agosto", "Septiembre", "Octubre", "Noviembre"}, 0)-MONTH('BD Asesor'!D798), 6)=0),
    AND('BD Asesor'!H798="Anual", MONTH('BD Asesor'!D798)=MATCH($B$2, {"Enero", "Febrero", "Marzo", "Abril", "Mayo", "Junio", "Julio", "Agosto", "Septiembre", "Octubre", "Noviembre"}, 0))
), 'BD Asesor'!L798, "")
</f>
        <v/>
      </c>
    </row>
    <row r="799">
      <c r="C799" s="84" t="str">
        <f t="array" ref="C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Asesor'!A799, "")
</f>
        <v/>
      </c>
      <c r="D799" s="84" t="str">
        <f t="array" ref="D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Asesor'!B799, "")
</f>
        <v/>
      </c>
      <c r="E799" s="212" t="str">
        <f t="array" ref="E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Asesor'!C799, "")
</f>
        <v/>
      </c>
      <c r="F799" s="212" t="str">
        <f t="array" ref="F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Asesor'!D799, "")
</f>
        <v/>
      </c>
      <c r="G799" s="212" t="str">
        <f t="array" ref="G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Asesor'!E799, "")
</f>
        <v/>
      </c>
      <c r="H799" s="84" t="str">
        <f t="array" ref="H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Asesor'!F799, "")
</f>
        <v/>
      </c>
      <c r="I799" s="84" t="str">
        <f t="array" ref="I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Asesor'!G799, "")
</f>
        <v/>
      </c>
      <c r="J799" s="84" t="str">
        <f t="array" ref="J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Asesor'!H799, "")
</f>
        <v/>
      </c>
      <c r="K799" s="84" t="str">
        <f t="array" ref="K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Asesor'!K799, "")
</f>
        <v/>
      </c>
      <c r="L799" s="84" t="str">
        <f t="array" ref="L799">IF(OR(
    AND('BD Asesor'!H799="Mensual", MATCH($B$2, {"Enero", "Febrero", "Marzo", "Abril", "Mayo", "Junio", "Julio", "Agosto", "Septiembre", "Octubre", "Noviembre", "Diciembre"}, 0)&gt;=1),
    AND('BD Asesor'!H799="Trimestral", MOD(MATCH($B$2, {"Enero", "Febrero", "Marzo", "Abril", "Mayo", "Junio", "Julio", "Agosto", "Septiembre", "Octubre", "Noviembre"}, 0)-MONTH('BD Asesor'!D799), 3)=0),
    AND('BD Asesor'!H799="Semestral", MOD(MATCH($B$2, {"Enero", "Febrero", "Marzo", "Abril", "Mayo", "Junio", "Julio", "Agosto", "Septiembre", "Octubre", "Noviembre"}, 0)-MONTH('BD Asesor'!D799), 6)=0),
    AND('BD Asesor'!H799="Anual", MONTH('BD Asesor'!D799)=MATCH($B$2, {"Enero", "Febrero", "Marzo", "Abril", "Mayo", "Junio", "Julio", "Agosto", "Septiembre", "Octubre", "Noviembre"}, 0))
), 'BD Asesor'!L799, "")
</f>
        <v/>
      </c>
    </row>
    <row r="800">
      <c r="C800" s="84" t="str">
        <f t="array" ref="C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Asesor'!A800, "")
</f>
        <v/>
      </c>
      <c r="D800" s="84" t="str">
        <f t="array" ref="D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Asesor'!B800, "")
</f>
        <v/>
      </c>
      <c r="E800" s="212" t="str">
        <f t="array" ref="E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Asesor'!C800, "")
</f>
        <v/>
      </c>
      <c r="F800" s="212" t="str">
        <f t="array" ref="F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Asesor'!D800, "")
</f>
        <v/>
      </c>
      <c r="G800" s="212" t="str">
        <f t="array" ref="G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Asesor'!E800, "")
</f>
        <v/>
      </c>
      <c r="H800" s="84" t="str">
        <f t="array" ref="H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Asesor'!F800, "")
</f>
        <v/>
      </c>
      <c r="I800" s="84" t="str">
        <f t="array" ref="I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Asesor'!G800, "")
</f>
        <v/>
      </c>
      <c r="J800" s="84" t="str">
        <f t="array" ref="J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Asesor'!H800, "")
</f>
        <v/>
      </c>
      <c r="K800" s="84" t="str">
        <f t="array" ref="K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Asesor'!K800, "")
</f>
        <v/>
      </c>
      <c r="L800" s="84" t="str">
        <f t="array" ref="L800">IF(OR(
    AND('BD Asesor'!H800="Mensual", MATCH($B$2, {"Enero", "Febrero", "Marzo", "Abril", "Mayo", "Junio", "Julio", "Agosto", "Septiembre", "Octubre", "Noviembre", "Diciembre"}, 0)&gt;=1),
    AND('BD Asesor'!H800="Trimestral", MOD(MATCH($B$2, {"Enero", "Febrero", "Marzo", "Abril", "Mayo", "Junio", "Julio", "Agosto", "Septiembre", "Octubre", "Noviembre"}, 0)-MONTH('BD Asesor'!D800), 3)=0),
    AND('BD Asesor'!H800="Semestral", MOD(MATCH($B$2, {"Enero", "Febrero", "Marzo", "Abril", "Mayo", "Junio", "Julio", "Agosto", "Septiembre", "Octubre", "Noviembre"}, 0)-MONTH('BD Asesor'!D800), 6)=0),
    AND('BD Asesor'!H800="Anual", MONTH('BD Asesor'!D800)=MATCH($B$2, {"Enero", "Febrero", "Marzo", "Abril", "Mayo", "Junio", "Julio", "Agosto", "Septiembre", "Octubre", "Noviembre"}, 0))
), 'BD Asesor'!L800, "")
</f>
        <v/>
      </c>
    </row>
    <row r="801">
      <c r="C801" s="84" t="str">
        <f t="array" ref="C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Asesor'!A801, "")
</f>
        <v/>
      </c>
      <c r="D801" s="84" t="str">
        <f t="array" ref="D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Asesor'!B801, "")
</f>
        <v/>
      </c>
      <c r="E801" s="212" t="str">
        <f t="array" ref="E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Asesor'!C801, "")
</f>
        <v/>
      </c>
      <c r="F801" s="212" t="str">
        <f t="array" ref="F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Asesor'!D801, "")
</f>
        <v/>
      </c>
      <c r="G801" s="212" t="str">
        <f t="array" ref="G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Asesor'!E801, "")
</f>
        <v/>
      </c>
      <c r="H801" s="84" t="str">
        <f t="array" ref="H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Asesor'!F801, "")
</f>
        <v/>
      </c>
      <c r="I801" s="84" t="str">
        <f t="array" ref="I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Asesor'!G801, "")
</f>
        <v/>
      </c>
      <c r="J801" s="84" t="str">
        <f t="array" ref="J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Asesor'!H801, "")
</f>
        <v/>
      </c>
      <c r="K801" s="84" t="str">
        <f t="array" ref="K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Asesor'!K801, "")
</f>
        <v/>
      </c>
      <c r="L801" s="84" t="str">
        <f t="array" ref="L801">IF(OR(
    AND('BD Asesor'!H801="Mensual", MATCH($B$2, {"Enero", "Febrero", "Marzo", "Abril", "Mayo", "Junio", "Julio", "Agosto", "Septiembre", "Octubre", "Noviembre", "Diciembre"}, 0)&gt;=1),
    AND('BD Asesor'!H801="Trimestral", MOD(MATCH($B$2, {"Enero", "Febrero", "Marzo", "Abril", "Mayo", "Junio", "Julio", "Agosto", "Septiembre", "Octubre", "Noviembre"}, 0)-MONTH('BD Asesor'!D801), 3)=0),
    AND('BD Asesor'!H801="Semestral", MOD(MATCH($B$2, {"Enero", "Febrero", "Marzo", "Abril", "Mayo", "Junio", "Julio", "Agosto", "Septiembre", "Octubre", "Noviembre"}, 0)-MONTH('BD Asesor'!D801), 6)=0),
    AND('BD Asesor'!H801="Anual", MONTH('BD Asesor'!D801)=MATCH($B$2, {"Enero", "Febrero", "Marzo", "Abril", "Mayo", "Junio", "Julio", "Agosto", "Septiembre", "Octubre", "Noviembre"}, 0))
), 'BD Asesor'!L801, "")
</f>
        <v/>
      </c>
    </row>
    <row r="802">
      <c r="C802" s="84" t="str">
        <f t="array" ref="C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Asesor'!A802, "")
</f>
        <v/>
      </c>
      <c r="D802" s="84" t="str">
        <f t="array" ref="D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Asesor'!B802, "")
</f>
        <v/>
      </c>
      <c r="E802" s="212" t="str">
        <f t="array" ref="E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Asesor'!C802, "")
</f>
        <v/>
      </c>
      <c r="F802" s="212" t="str">
        <f t="array" ref="F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Asesor'!D802, "")
</f>
        <v/>
      </c>
      <c r="G802" s="212" t="str">
        <f t="array" ref="G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Asesor'!E802, "")
</f>
        <v/>
      </c>
      <c r="H802" s="84" t="str">
        <f t="array" ref="H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Asesor'!F802, "")
</f>
        <v/>
      </c>
      <c r="I802" s="84" t="str">
        <f t="array" ref="I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Asesor'!G802, "")
</f>
        <v/>
      </c>
      <c r="J802" s="84" t="str">
        <f t="array" ref="J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Asesor'!H802, "")
</f>
        <v/>
      </c>
      <c r="K802" s="84" t="str">
        <f t="array" ref="K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Asesor'!K802, "")
</f>
        <v/>
      </c>
      <c r="L802" s="84" t="str">
        <f t="array" ref="L802">IF(OR(
    AND('BD Asesor'!H802="Mensual", MATCH($B$2, {"Enero", "Febrero", "Marzo", "Abril", "Mayo", "Junio", "Julio", "Agosto", "Septiembre", "Octubre", "Noviembre", "Diciembre"}, 0)&gt;=1),
    AND('BD Asesor'!H802="Trimestral", MOD(MATCH($B$2, {"Enero", "Febrero", "Marzo", "Abril", "Mayo", "Junio", "Julio", "Agosto", "Septiembre", "Octubre", "Noviembre"}, 0)-MONTH('BD Asesor'!D802), 3)=0),
    AND('BD Asesor'!H802="Semestral", MOD(MATCH($B$2, {"Enero", "Febrero", "Marzo", "Abril", "Mayo", "Junio", "Julio", "Agosto", "Septiembre", "Octubre", "Noviembre"}, 0)-MONTH('BD Asesor'!D802), 6)=0),
    AND('BD Asesor'!H802="Anual", MONTH('BD Asesor'!D802)=MATCH($B$2, {"Enero", "Febrero", "Marzo", "Abril", "Mayo", "Junio", "Julio", "Agosto", "Septiembre", "Octubre", "Noviembre"}, 0))
), 'BD Asesor'!L802, "")
</f>
        <v/>
      </c>
    </row>
    <row r="803">
      <c r="C803" s="84" t="str">
        <f t="array" ref="C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Asesor'!A803, "")
</f>
        <v/>
      </c>
      <c r="D803" s="84" t="str">
        <f t="array" ref="D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Asesor'!B803, "")
</f>
        <v/>
      </c>
      <c r="E803" s="212" t="str">
        <f t="array" ref="E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Asesor'!C803, "")
</f>
        <v/>
      </c>
      <c r="F803" s="212" t="str">
        <f t="array" ref="F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Asesor'!D803, "")
</f>
        <v/>
      </c>
      <c r="G803" s="212" t="str">
        <f t="array" ref="G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Asesor'!E803, "")
</f>
        <v/>
      </c>
      <c r="H803" s="84" t="str">
        <f t="array" ref="H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Asesor'!F803, "")
</f>
        <v/>
      </c>
      <c r="I803" s="84" t="str">
        <f t="array" ref="I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Asesor'!G803, "")
</f>
        <v/>
      </c>
      <c r="J803" s="84" t="str">
        <f t="array" ref="J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Asesor'!H803, "")
</f>
        <v/>
      </c>
      <c r="K803" s="84" t="str">
        <f t="array" ref="K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Asesor'!K803, "")
</f>
        <v/>
      </c>
      <c r="L803" s="84" t="str">
        <f t="array" ref="L803">IF(OR(
    AND('BD Asesor'!H803="Mensual", MATCH($B$2, {"Enero", "Febrero", "Marzo", "Abril", "Mayo", "Junio", "Julio", "Agosto", "Septiembre", "Octubre", "Noviembre", "Diciembre"}, 0)&gt;=1),
    AND('BD Asesor'!H803="Trimestral", MOD(MATCH($B$2, {"Enero", "Febrero", "Marzo", "Abril", "Mayo", "Junio", "Julio", "Agosto", "Septiembre", "Octubre", "Noviembre"}, 0)-MONTH('BD Asesor'!D803), 3)=0),
    AND('BD Asesor'!H803="Semestral", MOD(MATCH($B$2, {"Enero", "Febrero", "Marzo", "Abril", "Mayo", "Junio", "Julio", "Agosto", "Septiembre", "Octubre", "Noviembre"}, 0)-MONTH('BD Asesor'!D803), 6)=0),
    AND('BD Asesor'!H803="Anual", MONTH('BD Asesor'!D803)=MATCH($B$2, {"Enero", "Febrero", "Marzo", "Abril", "Mayo", "Junio", "Julio", "Agosto", "Septiembre", "Octubre", "Noviembre"}, 0))
), 'BD Asesor'!L803, "")
</f>
        <v/>
      </c>
    </row>
    <row r="804">
      <c r="C804" s="84" t="str">
        <f t="array" ref="C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Asesor'!A804, "")
</f>
        <v/>
      </c>
      <c r="D804" s="84" t="str">
        <f t="array" ref="D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Asesor'!B804, "")
</f>
        <v/>
      </c>
      <c r="E804" s="212" t="str">
        <f t="array" ref="E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Asesor'!C804, "")
</f>
        <v/>
      </c>
      <c r="F804" s="212" t="str">
        <f t="array" ref="F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Asesor'!D804, "")
</f>
        <v/>
      </c>
      <c r="G804" s="212" t="str">
        <f t="array" ref="G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Asesor'!E804, "")
</f>
        <v/>
      </c>
      <c r="H804" s="84" t="str">
        <f t="array" ref="H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Asesor'!F804, "")
</f>
        <v/>
      </c>
      <c r="I804" s="84" t="str">
        <f t="array" ref="I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Asesor'!G804, "")
</f>
        <v/>
      </c>
      <c r="J804" s="84" t="str">
        <f t="array" ref="J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Asesor'!H804, "")
</f>
        <v/>
      </c>
      <c r="K804" s="84" t="str">
        <f t="array" ref="K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Asesor'!K804, "")
</f>
        <v/>
      </c>
      <c r="L804" s="84" t="str">
        <f t="array" ref="L804">IF(OR(
    AND('BD Asesor'!H804="Mensual", MATCH($B$2, {"Enero", "Febrero", "Marzo", "Abril", "Mayo", "Junio", "Julio", "Agosto", "Septiembre", "Octubre", "Noviembre", "Diciembre"}, 0)&gt;=1),
    AND('BD Asesor'!H804="Trimestral", MOD(MATCH($B$2, {"Enero", "Febrero", "Marzo", "Abril", "Mayo", "Junio", "Julio", "Agosto", "Septiembre", "Octubre", "Noviembre"}, 0)-MONTH('BD Asesor'!D804), 3)=0),
    AND('BD Asesor'!H804="Semestral", MOD(MATCH($B$2, {"Enero", "Febrero", "Marzo", "Abril", "Mayo", "Junio", "Julio", "Agosto", "Septiembre", "Octubre", "Noviembre"}, 0)-MONTH('BD Asesor'!D804), 6)=0),
    AND('BD Asesor'!H804="Anual", MONTH('BD Asesor'!D804)=MATCH($B$2, {"Enero", "Febrero", "Marzo", "Abril", "Mayo", "Junio", "Julio", "Agosto", "Septiembre", "Octubre", "Noviembre"}, 0))
), 'BD Asesor'!L804, "")
</f>
        <v/>
      </c>
    </row>
    <row r="805">
      <c r="C805" s="84" t="str">
        <f t="array" ref="C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Asesor'!A805, "")
</f>
        <v/>
      </c>
      <c r="D805" s="84" t="str">
        <f t="array" ref="D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Asesor'!B805, "")
</f>
        <v/>
      </c>
      <c r="E805" s="212" t="str">
        <f t="array" ref="E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Asesor'!C805, "")
</f>
        <v/>
      </c>
      <c r="F805" s="212" t="str">
        <f t="array" ref="F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Asesor'!D805, "")
</f>
        <v/>
      </c>
      <c r="G805" s="212" t="str">
        <f t="array" ref="G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Asesor'!E805, "")
</f>
        <v/>
      </c>
      <c r="H805" s="84" t="str">
        <f t="array" ref="H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Asesor'!F805, "")
</f>
        <v/>
      </c>
      <c r="I805" s="84" t="str">
        <f t="array" ref="I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Asesor'!G805, "")
</f>
        <v/>
      </c>
      <c r="J805" s="84" t="str">
        <f t="array" ref="J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Asesor'!H805, "")
</f>
        <v/>
      </c>
      <c r="K805" s="84" t="str">
        <f t="array" ref="K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Asesor'!K805, "")
</f>
        <v/>
      </c>
      <c r="L805" s="84" t="str">
        <f t="array" ref="L805">IF(OR(
    AND('BD Asesor'!H805="Mensual", MATCH($B$2, {"Enero", "Febrero", "Marzo", "Abril", "Mayo", "Junio", "Julio", "Agosto", "Septiembre", "Octubre", "Noviembre", "Diciembre"}, 0)&gt;=1),
    AND('BD Asesor'!H805="Trimestral", MOD(MATCH($B$2, {"Enero", "Febrero", "Marzo", "Abril", "Mayo", "Junio", "Julio", "Agosto", "Septiembre", "Octubre", "Noviembre"}, 0)-MONTH('BD Asesor'!D805), 3)=0),
    AND('BD Asesor'!H805="Semestral", MOD(MATCH($B$2, {"Enero", "Febrero", "Marzo", "Abril", "Mayo", "Junio", "Julio", "Agosto", "Septiembre", "Octubre", "Noviembre"}, 0)-MONTH('BD Asesor'!D805), 6)=0),
    AND('BD Asesor'!H805="Anual", MONTH('BD Asesor'!D805)=MATCH($B$2, {"Enero", "Febrero", "Marzo", "Abril", "Mayo", "Junio", "Julio", "Agosto", "Septiembre", "Octubre", "Noviembre"}, 0))
), 'BD Asesor'!L805, "")
</f>
        <v/>
      </c>
    </row>
    <row r="806">
      <c r="C806" s="84" t="str">
        <f t="array" ref="C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Asesor'!A806, "")
</f>
        <v/>
      </c>
      <c r="D806" s="84" t="str">
        <f t="array" ref="D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Asesor'!B806, "")
</f>
        <v/>
      </c>
      <c r="E806" s="212" t="str">
        <f t="array" ref="E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Asesor'!C806, "")
</f>
        <v/>
      </c>
      <c r="F806" s="212" t="str">
        <f t="array" ref="F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Asesor'!D806, "")
</f>
        <v/>
      </c>
      <c r="G806" s="212" t="str">
        <f t="array" ref="G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Asesor'!E806, "")
</f>
        <v/>
      </c>
      <c r="H806" s="84" t="str">
        <f t="array" ref="H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Asesor'!F806, "")
</f>
        <v/>
      </c>
      <c r="I806" s="84" t="str">
        <f t="array" ref="I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Asesor'!G806, "")
</f>
        <v/>
      </c>
      <c r="J806" s="84" t="str">
        <f t="array" ref="J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Asesor'!H806, "")
</f>
        <v/>
      </c>
      <c r="K806" s="84" t="str">
        <f t="array" ref="K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Asesor'!K806, "")
</f>
        <v/>
      </c>
      <c r="L806" s="84" t="str">
        <f t="array" ref="L806">IF(OR(
    AND('BD Asesor'!H806="Mensual", MATCH($B$2, {"Enero", "Febrero", "Marzo", "Abril", "Mayo", "Junio", "Julio", "Agosto", "Septiembre", "Octubre", "Noviembre", "Diciembre"}, 0)&gt;=1),
    AND('BD Asesor'!H806="Trimestral", MOD(MATCH($B$2, {"Enero", "Febrero", "Marzo", "Abril", "Mayo", "Junio", "Julio", "Agosto", "Septiembre", "Octubre", "Noviembre"}, 0)-MONTH('BD Asesor'!D806), 3)=0),
    AND('BD Asesor'!H806="Semestral", MOD(MATCH($B$2, {"Enero", "Febrero", "Marzo", "Abril", "Mayo", "Junio", "Julio", "Agosto", "Septiembre", "Octubre", "Noviembre"}, 0)-MONTH('BD Asesor'!D806), 6)=0),
    AND('BD Asesor'!H806="Anual", MONTH('BD Asesor'!D806)=MATCH($B$2, {"Enero", "Febrero", "Marzo", "Abril", "Mayo", "Junio", "Julio", "Agosto", "Septiembre", "Octubre", "Noviembre"}, 0))
), 'BD Asesor'!L806, "")
</f>
        <v/>
      </c>
    </row>
    <row r="807">
      <c r="C807" s="84" t="str">
        <f t="array" ref="C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Asesor'!A807, "")
</f>
        <v/>
      </c>
      <c r="D807" s="84" t="str">
        <f t="array" ref="D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Asesor'!B807, "")
</f>
        <v/>
      </c>
      <c r="E807" s="212" t="str">
        <f t="array" ref="E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Asesor'!C807, "")
</f>
        <v/>
      </c>
      <c r="F807" s="212" t="str">
        <f t="array" ref="F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Asesor'!D807, "")
</f>
        <v/>
      </c>
      <c r="G807" s="212" t="str">
        <f t="array" ref="G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Asesor'!E807, "")
</f>
        <v/>
      </c>
      <c r="H807" s="84" t="str">
        <f t="array" ref="H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Asesor'!F807, "")
</f>
        <v/>
      </c>
      <c r="I807" s="84" t="str">
        <f t="array" ref="I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Asesor'!G807, "")
</f>
        <v/>
      </c>
      <c r="J807" s="84" t="str">
        <f t="array" ref="J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Asesor'!H807, "")
</f>
        <v/>
      </c>
      <c r="K807" s="84" t="str">
        <f t="array" ref="K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Asesor'!K807, "")
</f>
        <v/>
      </c>
      <c r="L807" s="84" t="str">
        <f t="array" ref="L807">IF(OR(
    AND('BD Asesor'!H807="Mensual", MATCH($B$2, {"Enero", "Febrero", "Marzo", "Abril", "Mayo", "Junio", "Julio", "Agosto", "Septiembre", "Octubre", "Noviembre", "Diciembre"}, 0)&gt;=1),
    AND('BD Asesor'!H807="Trimestral", MOD(MATCH($B$2, {"Enero", "Febrero", "Marzo", "Abril", "Mayo", "Junio", "Julio", "Agosto", "Septiembre", "Octubre", "Noviembre"}, 0)-MONTH('BD Asesor'!D807), 3)=0),
    AND('BD Asesor'!H807="Semestral", MOD(MATCH($B$2, {"Enero", "Febrero", "Marzo", "Abril", "Mayo", "Junio", "Julio", "Agosto", "Septiembre", "Octubre", "Noviembre"}, 0)-MONTH('BD Asesor'!D807), 6)=0),
    AND('BD Asesor'!H807="Anual", MONTH('BD Asesor'!D807)=MATCH($B$2, {"Enero", "Febrero", "Marzo", "Abril", "Mayo", "Junio", "Julio", "Agosto", "Septiembre", "Octubre", "Noviembre"}, 0))
), 'BD Asesor'!L807, "")
</f>
        <v/>
      </c>
    </row>
    <row r="808">
      <c r="C808" s="84" t="str">
        <f t="array" ref="C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Asesor'!A808, "")
</f>
        <v/>
      </c>
      <c r="D808" s="84" t="str">
        <f t="array" ref="D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Asesor'!B808, "")
</f>
        <v/>
      </c>
      <c r="E808" s="212" t="str">
        <f t="array" ref="E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Asesor'!C808, "")
</f>
        <v/>
      </c>
      <c r="F808" s="212" t="str">
        <f t="array" ref="F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Asesor'!D808, "")
</f>
        <v/>
      </c>
      <c r="G808" s="212" t="str">
        <f t="array" ref="G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Asesor'!E808, "")
</f>
        <v/>
      </c>
      <c r="H808" s="84" t="str">
        <f t="array" ref="H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Asesor'!F808, "")
</f>
        <v/>
      </c>
      <c r="I808" s="84" t="str">
        <f t="array" ref="I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Asesor'!G808, "")
</f>
        <v/>
      </c>
      <c r="J808" s="84" t="str">
        <f t="array" ref="J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Asesor'!H808, "")
</f>
        <v/>
      </c>
      <c r="K808" s="84" t="str">
        <f t="array" ref="K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Asesor'!K808, "")
</f>
        <v/>
      </c>
      <c r="L808" s="84" t="str">
        <f t="array" ref="L808">IF(OR(
    AND('BD Asesor'!H808="Mensual", MATCH($B$2, {"Enero", "Febrero", "Marzo", "Abril", "Mayo", "Junio", "Julio", "Agosto", "Septiembre", "Octubre", "Noviembre", "Diciembre"}, 0)&gt;=1),
    AND('BD Asesor'!H808="Trimestral", MOD(MATCH($B$2, {"Enero", "Febrero", "Marzo", "Abril", "Mayo", "Junio", "Julio", "Agosto", "Septiembre", "Octubre", "Noviembre"}, 0)-MONTH('BD Asesor'!D808), 3)=0),
    AND('BD Asesor'!H808="Semestral", MOD(MATCH($B$2, {"Enero", "Febrero", "Marzo", "Abril", "Mayo", "Junio", "Julio", "Agosto", "Septiembre", "Octubre", "Noviembre"}, 0)-MONTH('BD Asesor'!D808), 6)=0),
    AND('BD Asesor'!H808="Anual", MONTH('BD Asesor'!D808)=MATCH($B$2, {"Enero", "Febrero", "Marzo", "Abril", "Mayo", "Junio", "Julio", "Agosto", "Septiembre", "Octubre", "Noviembre"}, 0))
), 'BD Asesor'!L808, "")
</f>
        <v/>
      </c>
    </row>
    <row r="809">
      <c r="C809" s="84" t="str">
        <f t="array" ref="C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Asesor'!A809, "")
</f>
        <v/>
      </c>
      <c r="D809" s="84" t="str">
        <f t="array" ref="D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Asesor'!B809, "")
</f>
        <v/>
      </c>
      <c r="E809" s="212" t="str">
        <f t="array" ref="E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Asesor'!C809, "")
</f>
        <v/>
      </c>
      <c r="F809" s="212" t="str">
        <f t="array" ref="F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Asesor'!D809, "")
</f>
        <v/>
      </c>
      <c r="G809" s="212" t="str">
        <f t="array" ref="G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Asesor'!E809, "")
</f>
        <v/>
      </c>
      <c r="H809" s="84" t="str">
        <f t="array" ref="H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Asesor'!F809, "")
</f>
        <v/>
      </c>
      <c r="I809" s="84" t="str">
        <f t="array" ref="I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Asesor'!G809, "")
</f>
        <v/>
      </c>
      <c r="J809" s="84" t="str">
        <f t="array" ref="J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Asesor'!H809, "")
</f>
        <v/>
      </c>
      <c r="K809" s="84" t="str">
        <f t="array" ref="K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Asesor'!K809, "")
</f>
        <v/>
      </c>
      <c r="L809" s="84" t="str">
        <f t="array" ref="L809">IF(OR(
    AND('BD Asesor'!H809="Mensual", MATCH($B$2, {"Enero", "Febrero", "Marzo", "Abril", "Mayo", "Junio", "Julio", "Agosto", "Septiembre", "Octubre", "Noviembre", "Diciembre"}, 0)&gt;=1),
    AND('BD Asesor'!H809="Trimestral", MOD(MATCH($B$2, {"Enero", "Febrero", "Marzo", "Abril", "Mayo", "Junio", "Julio", "Agosto", "Septiembre", "Octubre", "Noviembre"}, 0)-MONTH('BD Asesor'!D809), 3)=0),
    AND('BD Asesor'!H809="Semestral", MOD(MATCH($B$2, {"Enero", "Febrero", "Marzo", "Abril", "Mayo", "Junio", "Julio", "Agosto", "Septiembre", "Octubre", "Noviembre"}, 0)-MONTH('BD Asesor'!D809), 6)=0),
    AND('BD Asesor'!H809="Anual", MONTH('BD Asesor'!D809)=MATCH($B$2, {"Enero", "Febrero", "Marzo", "Abril", "Mayo", "Junio", "Julio", "Agosto", "Septiembre", "Octubre", "Noviembre"}, 0))
), 'BD Asesor'!L809, "")
</f>
        <v/>
      </c>
    </row>
    <row r="810">
      <c r="C810" s="84" t="str">
        <f t="array" ref="C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Asesor'!A810, "")
</f>
        <v/>
      </c>
      <c r="D810" s="84" t="str">
        <f t="array" ref="D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Asesor'!B810, "")
</f>
        <v/>
      </c>
      <c r="E810" s="212" t="str">
        <f t="array" ref="E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Asesor'!C810, "")
</f>
        <v/>
      </c>
      <c r="F810" s="212" t="str">
        <f t="array" ref="F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Asesor'!D810, "")
</f>
        <v/>
      </c>
      <c r="G810" s="212" t="str">
        <f t="array" ref="G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Asesor'!E810, "")
</f>
        <v/>
      </c>
      <c r="H810" s="84" t="str">
        <f t="array" ref="H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Asesor'!F810, "")
</f>
        <v/>
      </c>
      <c r="I810" s="84" t="str">
        <f t="array" ref="I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Asesor'!G810, "")
</f>
        <v/>
      </c>
      <c r="J810" s="84" t="str">
        <f t="array" ref="J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Asesor'!H810, "")
</f>
        <v/>
      </c>
      <c r="K810" s="84" t="str">
        <f t="array" ref="K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Asesor'!K810, "")
</f>
        <v/>
      </c>
      <c r="L810" s="84" t="str">
        <f t="array" ref="L810">IF(OR(
    AND('BD Asesor'!H810="Mensual", MATCH($B$2, {"Enero", "Febrero", "Marzo", "Abril", "Mayo", "Junio", "Julio", "Agosto", "Septiembre", "Octubre", "Noviembre", "Diciembre"}, 0)&gt;=1),
    AND('BD Asesor'!H810="Trimestral", MOD(MATCH($B$2, {"Enero", "Febrero", "Marzo", "Abril", "Mayo", "Junio", "Julio", "Agosto", "Septiembre", "Octubre", "Noviembre"}, 0)-MONTH('BD Asesor'!D810), 3)=0),
    AND('BD Asesor'!H810="Semestral", MOD(MATCH($B$2, {"Enero", "Febrero", "Marzo", "Abril", "Mayo", "Junio", "Julio", "Agosto", "Septiembre", "Octubre", "Noviembre"}, 0)-MONTH('BD Asesor'!D810), 6)=0),
    AND('BD Asesor'!H810="Anual", MONTH('BD Asesor'!D810)=MATCH($B$2, {"Enero", "Febrero", "Marzo", "Abril", "Mayo", "Junio", "Julio", "Agosto", "Septiembre", "Octubre", "Noviembre"}, 0))
), 'BD Asesor'!L810, "")
</f>
        <v/>
      </c>
    </row>
    <row r="811">
      <c r="C811" s="84" t="str">
        <f t="array" ref="C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Asesor'!A811, "")
</f>
        <v/>
      </c>
      <c r="D811" s="84" t="str">
        <f t="array" ref="D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Asesor'!B811, "")
</f>
        <v/>
      </c>
      <c r="E811" s="212" t="str">
        <f t="array" ref="E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Asesor'!C811, "")
</f>
        <v/>
      </c>
      <c r="F811" s="212" t="str">
        <f t="array" ref="F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Asesor'!D811, "")
</f>
        <v/>
      </c>
      <c r="G811" s="212" t="str">
        <f t="array" ref="G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Asesor'!E811, "")
</f>
        <v/>
      </c>
      <c r="H811" s="84" t="str">
        <f t="array" ref="H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Asesor'!F811, "")
</f>
        <v/>
      </c>
      <c r="I811" s="84" t="str">
        <f t="array" ref="I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Asesor'!G811, "")
</f>
        <v/>
      </c>
      <c r="J811" s="84" t="str">
        <f t="array" ref="J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Asesor'!H811, "")
</f>
        <v/>
      </c>
      <c r="K811" s="84" t="str">
        <f t="array" ref="K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Asesor'!K811, "")
</f>
        <v/>
      </c>
      <c r="L811" s="84" t="str">
        <f t="array" ref="L811">IF(OR(
    AND('BD Asesor'!H811="Mensual", MATCH($B$2, {"Enero", "Febrero", "Marzo", "Abril", "Mayo", "Junio", "Julio", "Agosto", "Septiembre", "Octubre", "Noviembre", "Diciembre"}, 0)&gt;=1),
    AND('BD Asesor'!H811="Trimestral", MOD(MATCH($B$2, {"Enero", "Febrero", "Marzo", "Abril", "Mayo", "Junio", "Julio", "Agosto", "Septiembre", "Octubre", "Noviembre"}, 0)-MONTH('BD Asesor'!D811), 3)=0),
    AND('BD Asesor'!H811="Semestral", MOD(MATCH($B$2, {"Enero", "Febrero", "Marzo", "Abril", "Mayo", "Junio", "Julio", "Agosto", "Septiembre", "Octubre", "Noviembre"}, 0)-MONTH('BD Asesor'!D811), 6)=0),
    AND('BD Asesor'!H811="Anual", MONTH('BD Asesor'!D811)=MATCH($B$2, {"Enero", "Febrero", "Marzo", "Abril", "Mayo", "Junio", "Julio", "Agosto", "Septiembre", "Octubre", "Noviembre"}, 0))
), 'BD Asesor'!L811, "")
</f>
        <v/>
      </c>
    </row>
    <row r="812">
      <c r="C812" s="84" t="str">
        <f t="array" ref="C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Asesor'!A812, "")
</f>
        <v/>
      </c>
      <c r="D812" s="84" t="str">
        <f t="array" ref="D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Asesor'!B812, "")
</f>
        <v/>
      </c>
      <c r="E812" s="212" t="str">
        <f t="array" ref="E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Asesor'!C812, "")
</f>
        <v/>
      </c>
      <c r="F812" s="212" t="str">
        <f t="array" ref="F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Asesor'!D812, "")
</f>
        <v/>
      </c>
      <c r="G812" s="212" t="str">
        <f t="array" ref="G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Asesor'!E812, "")
</f>
        <v/>
      </c>
      <c r="H812" s="84" t="str">
        <f t="array" ref="H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Asesor'!F812, "")
</f>
        <v/>
      </c>
      <c r="I812" s="84" t="str">
        <f t="array" ref="I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Asesor'!G812, "")
</f>
        <v/>
      </c>
      <c r="J812" s="84" t="str">
        <f t="array" ref="J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Asesor'!H812, "")
</f>
        <v/>
      </c>
      <c r="K812" s="84" t="str">
        <f t="array" ref="K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Asesor'!K812, "")
</f>
        <v/>
      </c>
      <c r="L812" s="84" t="str">
        <f t="array" ref="L812">IF(OR(
    AND('BD Asesor'!H812="Mensual", MATCH($B$2, {"Enero", "Febrero", "Marzo", "Abril", "Mayo", "Junio", "Julio", "Agosto", "Septiembre", "Octubre", "Noviembre", "Diciembre"}, 0)&gt;=1),
    AND('BD Asesor'!H812="Trimestral", MOD(MATCH($B$2, {"Enero", "Febrero", "Marzo", "Abril", "Mayo", "Junio", "Julio", "Agosto", "Septiembre", "Octubre", "Noviembre"}, 0)-MONTH('BD Asesor'!D812), 3)=0),
    AND('BD Asesor'!H812="Semestral", MOD(MATCH($B$2, {"Enero", "Febrero", "Marzo", "Abril", "Mayo", "Junio", "Julio", "Agosto", "Septiembre", "Octubre", "Noviembre"}, 0)-MONTH('BD Asesor'!D812), 6)=0),
    AND('BD Asesor'!H812="Anual", MONTH('BD Asesor'!D812)=MATCH($B$2, {"Enero", "Febrero", "Marzo", "Abril", "Mayo", "Junio", "Julio", "Agosto", "Septiembre", "Octubre", "Noviembre"}, 0))
), 'BD Asesor'!L812, "")
</f>
        <v/>
      </c>
    </row>
    <row r="813">
      <c r="C813" s="84" t="str">
        <f t="array" ref="C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Asesor'!A813, "")
</f>
        <v/>
      </c>
      <c r="D813" s="84" t="str">
        <f t="array" ref="D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Asesor'!B813, "")
</f>
        <v/>
      </c>
      <c r="E813" s="212" t="str">
        <f t="array" ref="E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Asesor'!C813, "")
</f>
        <v/>
      </c>
      <c r="F813" s="212" t="str">
        <f t="array" ref="F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Asesor'!D813, "")
</f>
        <v/>
      </c>
      <c r="G813" s="212" t="str">
        <f t="array" ref="G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Asesor'!E813, "")
</f>
        <v/>
      </c>
      <c r="H813" s="84" t="str">
        <f t="array" ref="H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Asesor'!F813, "")
</f>
        <v/>
      </c>
      <c r="I813" s="84" t="str">
        <f t="array" ref="I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Asesor'!G813, "")
</f>
        <v/>
      </c>
      <c r="J813" s="84" t="str">
        <f t="array" ref="J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Asesor'!H813, "")
</f>
        <v/>
      </c>
      <c r="K813" s="84" t="str">
        <f t="array" ref="K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Asesor'!K813, "")
</f>
        <v/>
      </c>
      <c r="L813" s="84" t="str">
        <f t="array" ref="L813">IF(OR(
    AND('BD Asesor'!H813="Mensual", MATCH($B$2, {"Enero", "Febrero", "Marzo", "Abril", "Mayo", "Junio", "Julio", "Agosto", "Septiembre", "Octubre", "Noviembre", "Diciembre"}, 0)&gt;=1),
    AND('BD Asesor'!H813="Trimestral", MOD(MATCH($B$2, {"Enero", "Febrero", "Marzo", "Abril", "Mayo", "Junio", "Julio", "Agosto", "Septiembre", "Octubre", "Noviembre"}, 0)-MONTH('BD Asesor'!D813), 3)=0),
    AND('BD Asesor'!H813="Semestral", MOD(MATCH($B$2, {"Enero", "Febrero", "Marzo", "Abril", "Mayo", "Junio", "Julio", "Agosto", "Septiembre", "Octubre", "Noviembre"}, 0)-MONTH('BD Asesor'!D813), 6)=0),
    AND('BD Asesor'!H813="Anual", MONTH('BD Asesor'!D813)=MATCH($B$2, {"Enero", "Febrero", "Marzo", "Abril", "Mayo", "Junio", "Julio", "Agosto", "Septiembre", "Octubre", "Noviembre"}, 0))
), 'BD Asesor'!L813, "")
</f>
        <v/>
      </c>
    </row>
    <row r="814">
      <c r="C814" s="84" t="str">
        <f t="array" ref="C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Asesor'!A814, "")
</f>
        <v/>
      </c>
      <c r="D814" s="84" t="str">
        <f t="array" ref="D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Asesor'!B814, "")
</f>
        <v/>
      </c>
      <c r="E814" s="212" t="str">
        <f t="array" ref="E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Asesor'!C814, "")
</f>
        <v/>
      </c>
      <c r="F814" s="212" t="str">
        <f t="array" ref="F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Asesor'!D814, "")
</f>
        <v/>
      </c>
      <c r="G814" s="212" t="str">
        <f t="array" ref="G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Asesor'!E814, "")
</f>
        <v/>
      </c>
      <c r="H814" s="84" t="str">
        <f t="array" ref="H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Asesor'!F814, "")
</f>
        <v/>
      </c>
      <c r="I814" s="84" t="str">
        <f t="array" ref="I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Asesor'!G814, "")
</f>
        <v/>
      </c>
      <c r="J814" s="84" t="str">
        <f t="array" ref="J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Asesor'!H814, "")
</f>
        <v/>
      </c>
      <c r="K814" s="84" t="str">
        <f t="array" ref="K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Asesor'!K814, "")
</f>
        <v/>
      </c>
      <c r="L814" s="84" t="str">
        <f t="array" ref="L814">IF(OR(
    AND('BD Asesor'!H814="Mensual", MATCH($B$2, {"Enero", "Febrero", "Marzo", "Abril", "Mayo", "Junio", "Julio", "Agosto", "Septiembre", "Octubre", "Noviembre", "Diciembre"}, 0)&gt;=1),
    AND('BD Asesor'!H814="Trimestral", MOD(MATCH($B$2, {"Enero", "Febrero", "Marzo", "Abril", "Mayo", "Junio", "Julio", "Agosto", "Septiembre", "Octubre", "Noviembre"}, 0)-MONTH('BD Asesor'!D814), 3)=0),
    AND('BD Asesor'!H814="Semestral", MOD(MATCH($B$2, {"Enero", "Febrero", "Marzo", "Abril", "Mayo", "Junio", "Julio", "Agosto", "Septiembre", "Octubre", "Noviembre"}, 0)-MONTH('BD Asesor'!D814), 6)=0),
    AND('BD Asesor'!H814="Anual", MONTH('BD Asesor'!D814)=MATCH($B$2, {"Enero", "Febrero", "Marzo", "Abril", "Mayo", "Junio", "Julio", "Agosto", "Septiembre", "Octubre", "Noviembre"}, 0))
), 'BD Asesor'!L814, "")
</f>
        <v/>
      </c>
    </row>
    <row r="815">
      <c r="C815" s="84" t="str">
        <f t="array" ref="C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Asesor'!A815, "")
</f>
        <v/>
      </c>
      <c r="D815" s="84" t="str">
        <f t="array" ref="D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Asesor'!B815, "")
</f>
        <v/>
      </c>
      <c r="E815" s="212" t="str">
        <f t="array" ref="E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Asesor'!C815, "")
</f>
        <v/>
      </c>
      <c r="F815" s="212" t="str">
        <f t="array" ref="F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Asesor'!D815, "")
</f>
        <v/>
      </c>
      <c r="G815" s="212" t="str">
        <f t="array" ref="G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Asesor'!E815, "")
</f>
        <v/>
      </c>
      <c r="H815" s="84" t="str">
        <f t="array" ref="H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Asesor'!F815, "")
</f>
        <v/>
      </c>
      <c r="I815" s="84" t="str">
        <f t="array" ref="I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Asesor'!G815, "")
</f>
        <v/>
      </c>
      <c r="J815" s="84" t="str">
        <f t="array" ref="J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Asesor'!H815, "")
</f>
        <v/>
      </c>
      <c r="K815" s="84" t="str">
        <f t="array" ref="K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Asesor'!K815, "")
</f>
        <v/>
      </c>
      <c r="L815" s="84" t="str">
        <f t="array" ref="L815">IF(OR(
    AND('BD Asesor'!H815="Mensual", MATCH($B$2, {"Enero", "Febrero", "Marzo", "Abril", "Mayo", "Junio", "Julio", "Agosto", "Septiembre", "Octubre", "Noviembre", "Diciembre"}, 0)&gt;=1),
    AND('BD Asesor'!H815="Trimestral", MOD(MATCH($B$2, {"Enero", "Febrero", "Marzo", "Abril", "Mayo", "Junio", "Julio", "Agosto", "Septiembre", "Octubre", "Noviembre"}, 0)-MONTH('BD Asesor'!D815), 3)=0),
    AND('BD Asesor'!H815="Semestral", MOD(MATCH($B$2, {"Enero", "Febrero", "Marzo", "Abril", "Mayo", "Junio", "Julio", "Agosto", "Septiembre", "Octubre", "Noviembre"}, 0)-MONTH('BD Asesor'!D815), 6)=0),
    AND('BD Asesor'!H815="Anual", MONTH('BD Asesor'!D815)=MATCH($B$2, {"Enero", "Febrero", "Marzo", "Abril", "Mayo", "Junio", "Julio", "Agosto", "Septiembre", "Octubre", "Noviembre"}, 0))
), 'BD Asesor'!L815, "")
</f>
        <v/>
      </c>
    </row>
    <row r="816">
      <c r="C816" s="84" t="str">
        <f t="array" ref="C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Asesor'!A816, "")
</f>
        <v/>
      </c>
      <c r="D816" s="84" t="str">
        <f t="array" ref="D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Asesor'!B816, "")
</f>
        <v/>
      </c>
      <c r="E816" s="212" t="str">
        <f t="array" ref="E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Asesor'!C816, "")
</f>
        <v/>
      </c>
      <c r="F816" s="212" t="str">
        <f t="array" ref="F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Asesor'!D816, "")
</f>
        <v/>
      </c>
      <c r="G816" s="212" t="str">
        <f t="array" ref="G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Asesor'!E816, "")
</f>
        <v/>
      </c>
      <c r="H816" s="84" t="str">
        <f t="array" ref="H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Asesor'!F816, "")
</f>
        <v/>
      </c>
      <c r="I816" s="84" t="str">
        <f t="array" ref="I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Asesor'!G816, "")
</f>
        <v/>
      </c>
      <c r="J816" s="84" t="str">
        <f t="array" ref="J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Asesor'!H816, "")
</f>
        <v/>
      </c>
      <c r="K816" s="84" t="str">
        <f t="array" ref="K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Asesor'!K816, "")
</f>
        <v/>
      </c>
      <c r="L816" s="84" t="str">
        <f t="array" ref="L816">IF(OR(
    AND('BD Asesor'!H816="Mensual", MATCH($B$2, {"Enero", "Febrero", "Marzo", "Abril", "Mayo", "Junio", "Julio", "Agosto", "Septiembre", "Octubre", "Noviembre", "Diciembre"}, 0)&gt;=1),
    AND('BD Asesor'!H816="Trimestral", MOD(MATCH($B$2, {"Enero", "Febrero", "Marzo", "Abril", "Mayo", "Junio", "Julio", "Agosto", "Septiembre", "Octubre", "Noviembre"}, 0)-MONTH('BD Asesor'!D816), 3)=0),
    AND('BD Asesor'!H816="Semestral", MOD(MATCH($B$2, {"Enero", "Febrero", "Marzo", "Abril", "Mayo", "Junio", "Julio", "Agosto", "Septiembre", "Octubre", "Noviembre"}, 0)-MONTH('BD Asesor'!D816), 6)=0),
    AND('BD Asesor'!H816="Anual", MONTH('BD Asesor'!D816)=MATCH($B$2, {"Enero", "Febrero", "Marzo", "Abril", "Mayo", "Junio", "Julio", "Agosto", "Septiembre", "Octubre", "Noviembre"}, 0))
), 'BD Asesor'!L816, "")
</f>
        <v/>
      </c>
    </row>
    <row r="817">
      <c r="C817" s="84" t="str">
        <f t="array" ref="C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Asesor'!A817, "")
</f>
        <v/>
      </c>
      <c r="D817" s="84" t="str">
        <f t="array" ref="D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Asesor'!B817, "")
</f>
        <v/>
      </c>
      <c r="E817" s="212" t="str">
        <f t="array" ref="E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Asesor'!C817, "")
</f>
        <v/>
      </c>
      <c r="F817" s="212" t="str">
        <f t="array" ref="F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Asesor'!D817, "")
</f>
        <v/>
      </c>
      <c r="G817" s="212" t="str">
        <f t="array" ref="G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Asesor'!E817, "")
</f>
        <v/>
      </c>
      <c r="H817" s="84" t="str">
        <f t="array" ref="H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Asesor'!F817, "")
</f>
        <v/>
      </c>
      <c r="I817" s="84" t="str">
        <f t="array" ref="I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Asesor'!G817, "")
</f>
        <v/>
      </c>
      <c r="J817" s="84" t="str">
        <f t="array" ref="J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Asesor'!H817, "")
</f>
        <v/>
      </c>
      <c r="K817" s="84" t="str">
        <f t="array" ref="K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Asesor'!K817, "")
</f>
        <v/>
      </c>
      <c r="L817" s="84" t="str">
        <f t="array" ref="L817">IF(OR(
    AND('BD Asesor'!H817="Mensual", MATCH($B$2, {"Enero", "Febrero", "Marzo", "Abril", "Mayo", "Junio", "Julio", "Agosto", "Septiembre", "Octubre", "Noviembre", "Diciembre"}, 0)&gt;=1),
    AND('BD Asesor'!H817="Trimestral", MOD(MATCH($B$2, {"Enero", "Febrero", "Marzo", "Abril", "Mayo", "Junio", "Julio", "Agosto", "Septiembre", "Octubre", "Noviembre"}, 0)-MONTH('BD Asesor'!D817), 3)=0),
    AND('BD Asesor'!H817="Semestral", MOD(MATCH($B$2, {"Enero", "Febrero", "Marzo", "Abril", "Mayo", "Junio", "Julio", "Agosto", "Septiembre", "Octubre", "Noviembre"}, 0)-MONTH('BD Asesor'!D817), 6)=0),
    AND('BD Asesor'!H817="Anual", MONTH('BD Asesor'!D817)=MATCH($B$2, {"Enero", "Febrero", "Marzo", "Abril", "Mayo", "Junio", "Julio", "Agosto", "Septiembre", "Octubre", "Noviembre"}, 0))
), 'BD Asesor'!L817, "")
</f>
        <v/>
      </c>
    </row>
    <row r="818">
      <c r="C818" s="84" t="str">
        <f t="array" ref="C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Asesor'!A818, "")
</f>
        <v/>
      </c>
      <c r="D818" s="84" t="str">
        <f t="array" ref="D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Asesor'!B818, "")
</f>
        <v/>
      </c>
      <c r="E818" s="212" t="str">
        <f t="array" ref="E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Asesor'!C818, "")
</f>
        <v/>
      </c>
      <c r="F818" s="212" t="str">
        <f t="array" ref="F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Asesor'!D818, "")
</f>
        <v/>
      </c>
      <c r="G818" s="212" t="str">
        <f t="array" ref="G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Asesor'!E818, "")
</f>
        <v/>
      </c>
      <c r="H818" s="84" t="str">
        <f t="array" ref="H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Asesor'!F818, "")
</f>
        <v/>
      </c>
      <c r="I818" s="84" t="str">
        <f t="array" ref="I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Asesor'!G818, "")
</f>
        <v/>
      </c>
      <c r="J818" s="84" t="str">
        <f t="array" ref="J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Asesor'!H818, "")
</f>
        <v/>
      </c>
      <c r="K818" s="84" t="str">
        <f t="array" ref="K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Asesor'!K818, "")
</f>
        <v/>
      </c>
      <c r="L818" s="84" t="str">
        <f t="array" ref="L818">IF(OR(
    AND('BD Asesor'!H818="Mensual", MATCH($B$2, {"Enero", "Febrero", "Marzo", "Abril", "Mayo", "Junio", "Julio", "Agosto", "Septiembre", "Octubre", "Noviembre", "Diciembre"}, 0)&gt;=1),
    AND('BD Asesor'!H818="Trimestral", MOD(MATCH($B$2, {"Enero", "Febrero", "Marzo", "Abril", "Mayo", "Junio", "Julio", "Agosto", "Septiembre", "Octubre", "Noviembre"}, 0)-MONTH('BD Asesor'!D818), 3)=0),
    AND('BD Asesor'!H818="Semestral", MOD(MATCH($B$2, {"Enero", "Febrero", "Marzo", "Abril", "Mayo", "Junio", "Julio", "Agosto", "Septiembre", "Octubre", "Noviembre"}, 0)-MONTH('BD Asesor'!D818), 6)=0),
    AND('BD Asesor'!H818="Anual", MONTH('BD Asesor'!D818)=MATCH($B$2, {"Enero", "Febrero", "Marzo", "Abril", "Mayo", "Junio", "Julio", "Agosto", "Septiembre", "Octubre", "Noviembre"}, 0))
), 'BD Asesor'!L818, "")
</f>
        <v/>
      </c>
    </row>
    <row r="819">
      <c r="C819" s="84" t="str">
        <f t="array" ref="C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Asesor'!A819, "")
</f>
        <v/>
      </c>
      <c r="D819" s="84" t="str">
        <f t="array" ref="D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Asesor'!B819, "")
</f>
        <v/>
      </c>
      <c r="E819" s="212" t="str">
        <f t="array" ref="E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Asesor'!C819, "")
</f>
        <v/>
      </c>
      <c r="F819" s="212" t="str">
        <f t="array" ref="F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Asesor'!D819, "")
</f>
        <v/>
      </c>
      <c r="G819" s="212" t="str">
        <f t="array" ref="G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Asesor'!E819, "")
</f>
        <v/>
      </c>
      <c r="H819" s="84" t="str">
        <f t="array" ref="H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Asesor'!F819, "")
</f>
        <v/>
      </c>
      <c r="I819" s="84" t="str">
        <f t="array" ref="I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Asesor'!G819, "")
</f>
        <v/>
      </c>
      <c r="J819" s="84" t="str">
        <f t="array" ref="J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Asesor'!H819, "")
</f>
        <v/>
      </c>
      <c r="K819" s="84" t="str">
        <f t="array" ref="K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Asesor'!K819, "")
</f>
        <v/>
      </c>
      <c r="L819" s="84" t="str">
        <f t="array" ref="L819">IF(OR(
    AND('BD Asesor'!H819="Mensual", MATCH($B$2, {"Enero", "Febrero", "Marzo", "Abril", "Mayo", "Junio", "Julio", "Agosto", "Septiembre", "Octubre", "Noviembre", "Diciembre"}, 0)&gt;=1),
    AND('BD Asesor'!H819="Trimestral", MOD(MATCH($B$2, {"Enero", "Febrero", "Marzo", "Abril", "Mayo", "Junio", "Julio", "Agosto", "Septiembre", "Octubre", "Noviembre"}, 0)-MONTH('BD Asesor'!D819), 3)=0),
    AND('BD Asesor'!H819="Semestral", MOD(MATCH($B$2, {"Enero", "Febrero", "Marzo", "Abril", "Mayo", "Junio", "Julio", "Agosto", "Septiembre", "Octubre", "Noviembre"}, 0)-MONTH('BD Asesor'!D819), 6)=0),
    AND('BD Asesor'!H819="Anual", MONTH('BD Asesor'!D819)=MATCH($B$2, {"Enero", "Febrero", "Marzo", "Abril", "Mayo", "Junio", "Julio", "Agosto", "Septiembre", "Octubre", "Noviembre"}, 0))
), 'BD Asesor'!L819, "")
</f>
        <v/>
      </c>
    </row>
    <row r="820">
      <c r="C820" s="84" t="str">
        <f t="array" ref="C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Asesor'!A820, "")
</f>
        <v/>
      </c>
      <c r="D820" s="84" t="str">
        <f t="array" ref="D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Asesor'!B820, "")
</f>
        <v/>
      </c>
      <c r="E820" s="212" t="str">
        <f t="array" ref="E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Asesor'!C820, "")
</f>
        <v/>
      </c>
      <c r="F820" s="212" t="str">
        <f t="array" ref="F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Asesor'!D820, "")
</f>
        <v/>
      </c>
      <c r="G820" s="212" t="str">
        <f t="array" ref="G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Asesor'!E820, "")
</f>
        <v/>
      </c>
      <c r="H820" s="84" t="str">
        <f t="array" ref="H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Asesor'!F820, "")
</f>
        <v/>
      </c>
      <c r="I820" s="84" t="str">
        <f t="array" ref="I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Asesor'!G820, "")
</f>
        <v/>
      </c>
      <c r="J820" s="84" t="str">
        <f t="array" ref="J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Asesor'!H820, "")
</f>
        <v/>
      </c>
      <c r="K820" s="84" t="str">
        <f t="array" ref="K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Asesor'!K820, "")
</f>
        <v/>
      </c>
      <c r="L820" s="84" t="str">
        <f t="array" ref="L820">IF(OR(
    AND('BD Asesor'!H820="Mensual", MATCH($B$2, {"Enero", "Febrero", "Marzo", "Abril", "Mayo", "Junio", "Julio", "Agosto", "Septiembre", "Octubre", "Noviembre", "Diciembre"}, 0)&gt;=1),
    AND('BD Asesor'!H820="Trimestral", MOD(MATCH($B$2, {"Enero", "Febrero", "Marzo", "Abril", "Mayo", "Junio", "Julio", "Agosto", "Septiembre", "Octubre", "Noviembre"}, 0)-MONTH('BD Asesor'!D820), 3)=0),
    AND('BD Asesor'!H820="Semestral", MOD(MATCH($B$2, {"Enero", "Febrero", "Marzo", "Abril", "Mayo", "Junio", "Julio", "Agosto", "Septiembre", "Octubre", "Noviembre"}, 0)-MONTH('BD Asesor'!D820), 6)=0),
    AND('BD Asesor'!H820="Anual", MONTH('BD Asesor'!D820)=MATCH($B$2, {"Enero", "Febrero", "Marzo", "Abril", "Mayo", "Junio", "Julio", "Agosto", "Septiembre", "Octubre", "Noviembre"}, 0))
), 'BD Asesor'!L820, "")
</f>
        <v/>
      </c>
    </row>
    <row r="821">
      <c r="C821" s="84" t="str">
        <f t="array" ref="C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Asesor'!A821, "")
</f>
        <v/>
      </c>
      <c r="D821" s="84" t="str">
        <f t="array" ref="D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Asesor'!B821, "")
</f>
        <v/>
      </c>
      <c r="E821" s="212" t="str">
        <f t="array" ref="E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Asesor'!C821, "")
</f>
        <v/>
      </c>
      <c r="F821" s="212" t="str">
        <f t="array" ref="F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Asesor'!D821, "")
</f>
        <v/>
      </c>
      <c r="G821" s="212" t="str">
        <f t="array" ref="G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Asesor'!E821, "")
</f>
        <v/>
      </c>
      <c r="H821" s="84" t="str">
        <f t="array" ref="H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Asesor'!F821, "")
</f>
        <v/>
      </c>
      <c r="I821" s="84" t="str">
        <f t="array" ref="I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Asesor'!G821, "")
</f>
        <v/>
      </c>
      <c r="J821" s="84" t="str">
        <f t="array" ref="J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Asesor'!H821, "")
</f>
        <v/>
      </c>
      <c r="K821" s="84" t="str">
        <f t="array" ref="K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Asesor'!K821, "")
</f>
        <v/>
      </c>
      <c r="L821" s="84" t="str">
        <f t="array" ref="L821">IF(OR(
    AND('BD Asesor'!H821="Mensual", MATCH($B$2, {"Enero", "Febrero", "Marzo", "Abril", "Mayo", "Junio", "Julio", "Agosto", "Septiembre", "Octubre", "Noviembre", "Diciembre"}, 0)&gt;=1),
    AND('BD Asesor'!H821="Trimestral", MOD(MATCH($B$2, {"Enero", "Febrero", "Marzo", "Abril", "Mayo", "Junio", "Julio", "Agosto", "Septiembre", "Octubre", "Noviembre"}, 0)-MONTH('BD Asesor'!D821), 3)=0),
    AND('BD Asesor'!H821="Semestral", MOD(MATCH($B$2, {"Enero", "Febrero", "Marzo", "Abril", "Mayo", "Junio", "Julio", "Agosto", "Septiembre", "Octubre", "Noviembre"}, 0)-MONTH('BD Asesor'!D821), 6)=0),
    AND('BD Asesor'!H821="Anual", MONTH('BD Asesor'!D821)=MATCH($B$2, {"Enero", "Febrero", "Marzo", "Abril", "Mayo", "Junio", "Julio", "Agosto", "Septiembre", "Octubre", "Noviembre"}, 0))
), 'BD Asesor'!L821, "")
</f>
        <v/>
      </c>
    </row>
    <row r="822">
      <c r="C822" s="84" t="str">
        <f t="array" ref="C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Asesor'!A822, "")
</f>
        <v/>
      </c>
      <c r="D822" s="84" t="str">
        <f t="array" ref="D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Asesor'!B822, "")
</f>
        <v/>
      </c>
      <c r="E822" s="212" t="str">
        <f t="array" ref="E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Asesor'!C822, "")
</f>
        <v/>
      </c>
      <c r="F822" s="212" t="str">
        <f t="array" ref="F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Asesor'!D822, "")
</f>
        <v/>
      </c>
      <c r="G822" s="212" t="str">
        <f t="array" ref="G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Asesor'!E822, "")
</f>
        <v/>
      </c>
      <c r="H822" s="84" t="str">
        <f t="array" ref="H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Asesor'!F822, "")
</f>
        <v/>
      </c>
      <c r="I822" s="84" t="str">
        <f t="array" ref="I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Asesor'!G822, "")
</f>
        <v/>
      </c>
      <c r="J822" s="84" t="str">
        <f t="array" ref="J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Asesor'!H822, "")
</f>
        <v/>
      </c>
      <c r="K822" s="84" t="str">
        <f t="array" ref="K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Asesor'!K822, "")
</f>
        <v/>
      </c>
      <c r="L822" s="84" t="str">
        <f t="array" ref="L822">IF(OR(
    AND('BD Asesor'!H822="Mensual", MATCH($B$2, {"Enero", "Febrero", "Marzo", "Abril", "Mayo", "Junio", "Julio", "Agosto", "Septiembre", "Octubre", "Noviembre", "Diciembre"}, 0)&gt;=1),
    AND('BD Asesor'!H822="Trimestral", MOD(MATCH($B$2, {"Enero", "Febrero", "Marzo", "Abril", "Mayo", "Junio", "Julio", "Agosto", "Septiembre", "Octubre", "Noviembre"}, 0)-MONTH('BD Asesor'!D822), 3)=0),
    AND('BD Asesor'!H822="Semestral", MOD(MATCH($B$2, {"Enero", "Febrero", "Marzo", "Abril", "Mayo", "Junio", "Julio", "Agosto", "Septiembre", "Octubre", "Noviembre"}, 0)-MONTH('BD Asesor'!D822), 6)=0),
    AND('BD Asesor'!H822="Anual", MONTH('BD Asesor'!D822)=MATCH($B$2, {"Enero", "Febrero", "Marzo", "Abril", "Mayo", "Junio", "Julio", "Agosto", "Septiembre", "Octubre", "Noviembre"}, 0))
), 'BD Asesor'!L822, "")
</f>
        <v/>
      </c>
    </row>
    <row r="823">
      <c r="C823" s="84" t="str">
        <f t="array" ref="C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Asesor'!A823, "")
</f>
        <v/>
      </c>
      <c r="D823" s="84" t="str">
        <f t="array" ref="D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Asesor'!B823, "")
</f>
        <v/>
      </c>
      <c r="E823" s="212" t="str">
        <f t="array" ref="E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Asesor'!C823, "")
</f>
        <v/>
      </c>
      <c r="F823" s="212" t="str">
        <f t="array" ref="F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Asesor'!D823, "")
</f>
        <v/>
      </c>
      <c r="G823" s="212" t="str">
        <f t="array" ref="G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Asesor'!E823, "")
</f>
        <v/>
      </c>
      <c r="H823" s="84" t="str">
        <f t="array" ref="H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Asesor'!F823, "")
</f>
        <v/>
      </c>
      <c r="I823" s="84" t="str">
        <f t="array" ref="I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Asesor'!G823, "")
</f>
        <v/>
      </c>
      <c r="J823" s="84" t="str">
        <f t="array" ref="J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Asesor'!H823, "")
</f>
        <v/>
      </c>
      <c r="K823" s="84" t="str">
        <f t="array" ref="K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Asesor'!K823, "")
</f>
        <v/>
      </c>
      <c r="L823" s="84" t="str">
        <f t="array" ref="L823">IF(OR(
    AND('BD Asesor'!H823="Mensual", MATCH($B$2, {"Enero", "Febrero", "Marzo", "Abril", "Mayo", "Junio", "Julio", "Agosto", "Septiembre", "Octubre", "Noviembre", "Diciembre"}, 0)&gt;=1),
    AND('BD Asesor'!H823="Trimestral", MOD(MATCH($B$2, {"Enero", "Febrero", "Marzo", "Abril", "Mayo", "Junio", "Julio", "Agosto", "Septiembre", "Octubre", "Noviembre"}, 0)-MONTH('BD Asesor'!D823), 3)=0),
    AND('BD Asesor'!H823="Semestral", MOD(MATCH($B$2, {"Enero", "Febrero", "Marzo", "Abril", "Mayo", "Junio", "Julio", "Agosto", "Septiembre", "Octubre", "Noviembre"}, 0)-MONTH('BD Asesor'!D823), 6)=0),
    AND('BD Asesor'!H823="Anual", MONTH('BD Asesor'!D823)=MATCH($B$2, {"Enero", "Febrero", "Marzo", "Abril", "Mayo", "Junio", "Julio", "Agosto", "Septiembre", "Octubre", "Noviembre"}, 0))
), 'BD Asesor'!L823, "")
</f>
        <v/>
      </c>
    </row>
    <row r="824">
      <c r="C824" s="84" t="str">
        <f t="array" ref="C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Asesor'!A824, "")
</f>
        <v/>
      </c>
      <c r="D824" s="84" t="str">
        <f t="array" ref="D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Asesor'!B824, "")
</f>
        <v/>
      </c>
      <c r="E824" s="212" t="str">
        <f t="array" ref="E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Asesor'!C824, "")
</f>
        <v/>
      </c>
      <c r="F824" s="212" t="str">
        <f t="array" ref="F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Asesor'!D824, "")
</f>
        <v/>
      </c>
      <c r="G824" s="212" t="str">
        <f t="array" ref="G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Asesor'!E824, "")
</f>
        <v/>
      </c>
      <c r="H824" s="84" t="str">
        <f t="array" ref="H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Asesor'!F824, "")
</f>
        <v/>
      </c>
      <c r="I824" s="84" t="str">
        <f t="array" ref="I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Asesor'!G824, "")
</f>
        <v/>
      </c>
      <c r="J824" s="84" t="str">
        <f t="array" ref="J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Asesor'!H824, "")
</f>
        <v/>
      </c>
      <c r="K824" s="84" t="str">
        <f t="array" ref="K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Asesor'!K824, "")
</f>
        <v/>
      </c>
      <c r="L824" s="84" t="str">
        <f t="array" ref="L824">IF(OR(
    AND('BD Asesor'!H824="Mensual", MATCH($B$2, {"Enero", "Febrero", "Marzo", "Abril", "Mayo", "Junio", "Julio", "Agosto", "Septiembre", "Octubre", "Noviembre", "Diciembre"}, 0)&gt;=1),
    AND('BD Asesor'!H824="Trimestral", MOD(MATCH($B$2, {"Enero", "Febrero", "Marzo", "Abril", "Mayo", "Junio", "Julio", "Agosto", "Septiembre", "Octubre", "Noviembre"}, 0)-MONTH('BD Asesor'!D824), 3)=0),
    AND('BD Asesor'!H824="Semestral", MOD(MATCH($B$2, {"Enero", "Febrero", "Marzo", "Abril", "Mayo", "Junio", "Julio", "Agosto", "Septiembre", "Octubre", "Noviembre"}, 0)-MONTH('BD Asesor'!D824), 6)=0),
    AND('BD Asesor'!H824="Anual", MONTH('BD Asesor'!D824)=MATCH($B$2, {"Enero", "Febrero", "Marzo", "Abril", "Mayo", "Junio", "Julio", "Agosto", "Septiembre", "Octubre", "Noviembre"}, 0))
), 'BD Asesor'!L824, "")
</f>
        <v/>
      </c>
    </row>
    <row r="825">
      <c r="C825" s="84" t="str">
        <f t="array" ref="C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Asesor'!A825, "")
</f>
        <v/>
      </c>
      <c r="D825" s="84" t="str">
        <f t="array" ref="D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Asesor'!B825, "")
</f>
        <v/>
      </c>
      <c r="E825" s="212" t="str">
        <f t="array" ref="E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Asesor'!C825, "")
</f>
        <v/>
      </c>
      <c r="F825" s="212" t="str">
        <f t="array" ref="F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Asesor'!D825, "")
</f>
        <v/>
      </c>
      <c r="G825" s="212" t="str">
        <f t="array" ref="G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Asesor'!E825, "")
</f>
        <v/>
      </c>
      <c r="H825" s="84" t="str">
        <f t="array" ref="H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Asesor'!F825, "")
</f>
        <v/>
      </c>
      <c r="I825" s="84" t="str">
        <f t="array" ref="I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Asesor'!G825, "")
</f>
        <v/>
      </c>
      <c r="J825" s="84" t="str">
        <f t="array" ref="J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Asesor'!H825, "")
</f>
        <v/>
      </c>
      <c r="K825" s="84" t="str">
        <f t="array" ref="K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Asesor'!K825, "")
</f>
        <v/>
      </c>
      <c r="L825" s="84" t="str">
        <f t="array" ref="L825">IF(OR(
    AND('BD Asesor'!H825="Mensual", MATCH($B$2, {"Enero", "Febrero", "Marzo", "Abril", "Mayo", "Junio", "Julio", "Agosto", "Septiembre", "Octubre", "Noviembre", "Diciembre"}, 0)&gt;=1),
    AND('BD Asesor'!H825="Trimestral", MOD(MATCH($B$2, {"Enero", "Febrero", "Marzo", "Abril", "Mayo", "Junio", "Julio", "Agosto", "Septiembre", "Octubre", "Noviembre"}, 0)-MONTH('BD Asesor'!D825), 3)=0),
    AND('BD Asesor'!H825="Semestral", MOD(MATCH($B$2, {"Enero", "Febrero", "Marzo", "Abril", "Mayo", "Junio", "Julio", "Agosto", "Septiembre", "Octubre", "Noviembre"}, 0)-MONTH('BD Asesor'!D825), 6)=0),
    AND('BD Asesor'!H825="Anual", MONTH('BD Asesor'!D825)=MATCH($B$2, {"Enero", "Febrero", "Marzo", "Abril", "Mayo", "Junio", "Julio", "Agosto", "Septiembre", "Octubre", "Noviembre"}, 0))
), 'BD Asesor'!L825, "")
</f>
        <v/>
      </c>
    </row>
    <row r="826">
      <c r="C826" s="84" t="str">
        <f t="array" ref="C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Asesor'!A826, "")
</f>
        <v/>
      </c>
      <c r="D826" s="84" t="str">
        <f t="array" ref="D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Asesor'!B826, "")
</f>
        <v/>
      </c>
      <c r="E826" s="212" t="str">
        <f t="array" ref="E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Asesor'!C826, "")
</f>
        <v/>
      </c>
      <c r="F826" s="212" t="str">
        <f t="array" ref="F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Asesor'!D826, "")
</f>
        <v/>
      </c>
      <c r="G826" s="212" t="str">
        <f t="array" ref="G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Asesor'!E826, "")
</f>
        <v/>
      </c>
      <c r="H826" s="84" t="str">
        <f t="array" ref="H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Asesor'!F826, "")
</f>
        <v/>
      </c>
      <c r="I826" s="84" t="str">
        <f t="array" ref="I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Asesor'!G826, "")
</f>
        <v/>
      </c>
      <c r="J826" s="84" t="str">
        <f t="array" ref="J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Asesor'!H826, "")
</f>
        <v/>
      </c>
      <c r="K826" s="84" t="str">
        <f t="array" ref="K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Asesor'!K826, "")
</f>
        <v/>
      </c>
      <c r="L826" s="84" t="str">
        <f t="array" ref="L826">IF(OR(
    AND('BD Asesor'!H826="Mensual", MATCH($B$2, {"Enero", "Febrero", "Marzo", "Abril", "Mayo", "Junio", "Julio", "Agosto", "Septiembre", "Octubre", "Noviembre", "Diciembre"}, 0)&gt;=1),
    AND('BD Asesor'!H826="Trimestral", MOD(MATCH($B$2, {"Enero", "Febrero", "Marzo", "Abril", "Mayo", "Junio", "Julio", "Agosto", "Septiembre", "Octubre", "Noviembre"}, 0)-MONTH('BD Asesor'!D826), 3)=0),
    AND('BD Asesor'!H826="Semestral", MOD(MATCH($B$2, {"Enero", "Febrero", "Marzo", "Abril", "Mayo", "Junio", "Julio", "Agosto", "Septiembre", "Octubre", "Noviembre"}, 0)-MONTH('BD Asesor'!D826), 6)=0),
    AND('BD Asesor'!H826="Anual", MONTH('BD Asesor'!D826)=MATCH($B$2, {"Enero", "Febrero", "Marzo", "Abril", "Mayo", "Junio", "Julio", "Agosto", "Septiembre", "Octubre", "Noviembre"}, 0))
), 'BD Asesor'!L826, "")
</f>
        <v/>
      </c>
    </row>
    <row r="827">
      <c r="C827" s="84" t="str">
        <f t="array" ref="C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Asesor'!A827, "")
</f>
        <v/>
      </c>
      <c r="D827" s="84" t="str">
        <f t="array" ref="D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Asesor'!B827, "")
</f>
        <v/>
      </c>
      <c r="E827" s="212" t="str">
        <f t="array" ref="E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Asesor'!C827, "")
</f>
        <v/>
      </c>
      <c r="F827" s="212" t="str">
        <f t="array" ref="F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Asesor'!D827, "")
</f>
        <v/>
      </c>
      <c r="G827" s="212" t="str">
        <f t="array" ref="G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Asesor'!E827, "")
</f>
        <v/>
      </c>
      <c r="H827" s="84" t="str">
        <f t="array" ref="H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Asesor'!F827, "")
</f>
        <v/>
      </c>
      <c r="I827" s="84" t="str">
        <f t="array" ref="I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Asesor'!G827, "")
</f>
        <v/>
      </c>
      <c r="J827" s="84" t="str">
        <f t="array" ref="J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Asesor'!H827, "")
</f>
        <v/>
      </c>
      <c r="K827" s="84" t="str">
        <f t="array" ref="K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Asesor'!K827, "")
</f>
        <v/>
      </c>
      <c r="L827" s="84" t="str">
        <f t="array" ref="L827">IF(OR(
    AND('BD Asesor'!H827="Mensual", MATCH($B$2, {"Enero", "Febrero", "Marzo", "Abril", "Mayo", "Junio", "Julio", "Agosto", "Septiembre", "Octubre", "Noviembre", "Diciembre"}, 0)&gt;=1),
    AND('BD Asesor'!H827="Trimestral", MOD(MATCH($B$2, {"Enero", "Febrero", "Marzo", "Abril", "Mayo", "Junio", "Julio", "Agosto", "Septiembre", "Octubre", "Noviembre"}, 0)-MONTH('BD Asesor'!D827), 3)=0),
    AND('BD Asesor'!H827="Semestral", MOD(MATCH($B$2, {"Enero", "Febrero", "Marzo", "Abril", "Mayo", "Junio", "Julio", "Agosto", "Septiembre", "Octubre", "Noviembre"}, 0)-MONTH('BD Asesor'!D827), 6)=0),
    AND('BD Asesor'!H827="Anual", MONTH('BD Asesor'!D827)=MATCH($B$2, {"Enero", "Febrero", "Marzo", "Abril", "Mayo", "Junio", "Julio", "Agosto", "Septiembre", "Octubre", "Noviembre"}, 0))
), 'BD Asesor'!L827, "")
</f>
        <v/>
      </c>
    </row>
    <row r="828">
      <c r="C828" s="84" t="str">
        <f t="array" ref="C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Asesor'!A828, "")
</f>
        <v/>
      </c>
      <c r="D828" s="84" t="str">
        <f t="array" ref="D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Asesor'!B828, "")
</f>
        <v/>
      </c>
      <c r="E828" s="212" t="str">
        <f t="array" ref="E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Asesor'!C828, "")
</f>
        <v/>
      </c>
      <c r="F828" s="212" t="str">
        <f t="array" ref="F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Asesor'!D828, "")
</f>
        <v/>
      </c>
      <c r="G828" s="212" t="str">
        <f t="array" ref="G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Asesor'!E828, "")
</f>
        <v/>
      </c>
      <c r="H828" s="84" t="str">
        <f t="array" ref="H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Asesor'!F828, "")
</f>
        <v/>
      </c>
      <c r="I828" s="84" t="str">
        <f t="array" ref="I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Asesor'!G828, "")
</f>
        <v/>
      </c>
      <c r="J828" s="84" t="str">
        <f t="array" ref="J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Asesor'!H828, "")
</f>
        <v/>
      </c>
      <c r="K828" s="84" t="str">
        <f t="array" ref="K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Asesor'!K828, "")
</f>
        <v/>
      </c>
      <c r="L828" s="84" t="str">
        <f t="array" ref="L828">IF(OR(
    AND('BD Asesor'!H828="Mensual", MATCH($B$2, {"Enero", "Febrero", "Marzo", "Abril", "Mayo", "Junio", "Julio", "Agosto", "Septiembre", "Octubre", "Noviembre", "Diciembre"}, 0)&gt;=1),
    AND('BD Asesor'!H828="Trimestral", MOD(MATCH($B$2, {"Enero", "Febrero", "Marzo", "Abril", "Mayo", "Junio", "Julio", "Agosto", "Septiembre", "Octubre", "Noviembre"}, 0)-MONTH('BD Asesor'!D828), 3)=0),
    AND('BD Asesor'!H828="Semestral", MOD(MATCH($B$2, {"Enero", "Febrero", "Marzo", "Abril", "Mayo", "Junio", "Julio", "Agosto", "Septiembre", "Octubre", "Noviembre"}, 0)-MONTH('BD Asesor'!D828), 6)=0),
    AND('BD Asesor'!H828="Anual", MONTH('BD Asesor'!D828)=MATCH($B$2, {"Enero", "Febrero", "Marzo", "Abril", "Mayo", "Junio", "Julio", "Agosto", "Septiembre", "Octubre", "Noviembre"}, 0))
), 'BD Asesor'!L828, "")
</f>
        <v/>
      </c>
    </row>
    <row r="829">
      <c r="C829" s="84" t="str">
        <f t="array" ref="C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Asesor'!A829, "")
</f>
        <v/>
      </c>
      <c r="D829" s="84" t="str">
        <f t="array" ref="D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Asesor'!B829, "")
</f>
        <v/>
      </c>
      <c r="E829" s="212" t="str">
        <f t="array" ref="E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Asesor'!C829, "")
</f>
        <v/>
      </c>
      <c r="F829" s="212" t="str">
        <f t="array" ref="F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Asesor'!D829, "")
</f>
        <v/>
      </c>
      <c r="G829" s="212" t="str">
        <f t="array" ref="G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Asesor'!E829, "")
</f>
        <v/>
      </c>
      <c r="H829" s="84" t="str">
        <f t="array" ref="H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Asesor'!F829, "")
</f>
        <v/>
      </c>
      <c r="I829" s="84" t="str">
        <f t="array" ref="I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Asesor'!G829, "")
</f>
        <v/>
      </c>
      <c r="J829" s="84" t="str">
        <f t="array" ref="J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Asesor'!H829, "")
</f>
        <v/>
      </c>
      <c r="K829" s="84" t="str">
        <f t="array" ref="K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Asesor'!K829, "")
</f>
        <v/>
      </c>
      <c r="L829" s="84" t="str">
        <f t="array" ref="L829">IF(OR(
    AND('BD Asesor'!H829="Mensual", MATCH($B$2, {"Enero", "Febrero", "Marzo", "Abril", "Mayo", "Junio", "Julio", "Agosto", "Septiembre", "Octubre", "Noviembre", "Diciembre"}, 0)&gt;=1),
    AND('BD Asesor'!H829="Trimestral", MOD(MATCH($B$2, {"Enero", "Febrero", "Marzo", "Abril", "Mayo", "Junio", "Julio", "Agosto", "Septiembre", "Octubre", "Noviembre"}, 0)-MONTH('BD Asesor'!D829), 3)=0),
    AND('BD Asesor'!H829="Semestral", MOD(MATCH($B$2, {"Enero", "Febrero", "Marzo", "Abril", "Mayo", "Junio", "Julio", "Agosto", "Septiembre", "Octubre", "Noviembre"}, 0)-MONTH('BD Asesor'!D829), 6)=0),
    AND('BD Asesor'!H829="Anual", MONTH('BD Asesor'!D829)=MATCH($B$2, {"Enero", "Febrero", "Marzo", "Abril", "Mayo", "Junio", "Julio", "Agosto", "Septiembre", "Octubre", "Noviembre"}, 0))
), 'BD Asesor'!L829, "")
</f>
        <v/>
      </c>
    </row>
    <row r="830">
      <c r="C830" s="84" t="str">
        <f t="array" ref="C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Asesor'!A830, "")
</f>
        <v/>
      </c>
      <c r="D830" s="84" t="str">
        <f t="array" ref="D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Asesor'!B830, "")
</f>
        <v/>
      </c>
      <c r="E830" s="212" t="str">
        <f t="array" ref="E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Asesor'!C830, "")
</f>
        <v/>
      </c>
      <c r="F830" s="212" t="str">
        <f t="array" ref="F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Asesor'!D830, "")
</f>
        <v/>
      </c>
      <c r="G830" s="212" t="str">
        <f t="array" ref="G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Asesor'!E830, "")
</f>
        <v/>
      </c>
      <c r="H830" s="84" t="str">
        <f t="array" ref="H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Asesor'!F830, "")
</f>
        <v/>
      </c>
      <c r="I830" s="84" t="str">
        <f t="array" ref="I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Asesor'!G830, "")
</f>
        <v/>
      </c>
      <c r="J830" s="84" t="str">
        <f t="array" ref="J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Asesor'!H830, "")
</f>
        <v/>
      </c>
      <c r="K830" s="84" t="str">
        <f t="array" ref="K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Asesor'!K830, "")
</f>
        <v/>
      </c>
      <c r="L830" s="84" t="str">
        <f t="array" ref="L830">IF(OR(
    AND('BD Asesor'!H830="Mensual", MATCH($B$2, {"Enero", "Febrero", "Marzo", "Abril", "Mayo", "Junio", "Julio", "Agosto", "Septiembre", "Octubre", "Noviembre", "Diciembre"}, 0)&gt;=1),
    AND('BD Asesor'!H830="Trimestral", MOD(MATCH($B$2, {"Enero", "Febrero", "Marzo", "Abril", "Mayo", "Junio", "Julio", "Agosto", "Septiembre", "Octubre", "Noviembre"}, 0)-MONTH('BD Asesor'!D830), 3)=0),
    AND('BD Asesor'!H830="Semestral", MOD(MATCH($B$2, {"Enero", "Febrero", "Marzo", "Abril", "Mayo", "Junio", "Julio", "Agosto", "Septiembre", "Octubre", "Noviembre"}, 0)-MONTH('BD Asesor'!D830), 6)=0),
    AND('BD Asesor'!H830="Anual", MONTH('BD Asesor'!D830)=MATCH($B$2, {"Enero", "Febrero", "Marzo", "Abril", "Mayo", "Junio", "Julio", "Agosto", "Septiembre", "Octubre", "Noviembre"}, 0))
), 'BD Asesor'!L830, "")
</f>
        <v/>
      </c>
    </row>
    <row r="831">
      <c r="C831" s="84" t="str">
        <f t="array" ref="C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Asesor'!A831, "")
</f>
        <v/>
      </c>
      <c r="D831" s="84" t="str">
        <f t="array" ref="D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Asesor'!B831, "")
</f>
        <v/>
      </c>
      <c r="E831" s="212" t="str">
        <f t="array" ref="E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Asesor'!C831, "")
</f>
        <v/>
      </c>
      <c r="F831" s="212" t="str">
        <f t="array" ref="F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Asesor'!D831, "")
</f>
        <v/>
      </c>
      <c r="G831" s="212" t="str">
        <f t="array" ref="G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Asesor'!E831, "")
</f>
        <v/>
      </c>
      <c r="H831" s="84" t="str">
        <f t="array" ref="H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Asesor'!F831, "")
</f>
        <v/>
      </c>
      <c r="I831" s="84" t="str">
        <f t="array" ref="I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Asesor'!G831, "")
</f>
        <v/>
      </c>
      <c r="J831" s="84" t="str">
        <f t="array" ref="J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Asesor'!H831, "")
</f>
        <v/>
      </c>
      <c r="K831" s="84" t="str">
        <f t="array" ref="K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Asesor'!K831, "")
</f>
        <v/>
      </c>
      <c r="L831" s="84" t="str">
        <f t="array" ref="L831">IF(OR(
    AND('BD Asesor'!H831="Mensual", MATCH($B$2, {"Enero", "Febrero", "Marzo", "Abril", "Mayo", "Junio", "Julio", "Agosto", "Septiembre", "Octubre", "Noviembre", "Diciembre"}, 0)&gt;=1),
    AND('BD Asesor'!H831="Trimestral", MOD(MATCH($B$2, {"Enero", "Febrero", "Marzo", "Abril", "Mayo", "Junio", "Julio", "Agosto", "Septiembre", "Octubre", "Noviembre"}, 0)-MONTH('BD Asesor'!D831), 3)=0),
    AND('BD Asesor'!H831="Semestral", MOD(MATCH($B$2, {"Enero", "Febrero", "Marzo", "Abril", "Mayo", "Junio", "Julio", "Agosto", "Septiembre", "Octubre", "Noviembre"}, 0)-MONTH('BD Asesor'!D831), 6)=0),
    AND('BD Asesor'!H831="Anual", MONTH('BD Asesor'!D831)=MATCH($B$2, {"Enero", "Febrero", "Marzo", "Abril", "Mayo", "Junio", "Julio", "Agosto", "Septiembre", "Octubre", "Noviembre"}, 0))
), 'BD Asesor'!L831, "")
</f>
        <v/>
      </c>
    </row>
    <row r="832">
      <c r="C832" s="84" t="str">
        <f t="array" ref="C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Asesor'!A832, "")
</f>
        <v/>
      </c>
      <c r="D832" s="84" t="str">
        <f t="array" ref="D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Asesor'!B832, "")
</f>
        <v/>
      </c>
      <c r="E832" s="212" t="str">
        <f t="array" ref="E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Asesor'!C832, "")
</f>
        <v/>
      </c>
      <c r="F832" s="212" t="str">
        <f t="array" ref="F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Asesor'!D832, "")
</f>
        <v/>
      </c>
      <c r="G832" s="212" t="str">
        <f t="array" ref="G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Asesor'!E832, "")
</f>
        <v/>
      </c>
      <c r="H832" s="84" t="str">
        <f t="array" ref="H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Asesor'!F832, "")
</f>
        <v/>
      </c>
      <c r="I832" s="84" t="str">
        <f t="array" ref="I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Asesor'!G832, "")
</f>
        <v/>
      </c>
      <c r="J832" s="84" t="str">
        <f t="array" ref="J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Asesor'!H832, "")
</f>
        <v/>
      </c>
      <c r="K832" s="84" t="str">
        <f t="array" ref="K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Asesor'!K832, "")
</f>
        <v/>
      </c>
      <c r="L832" s="84" t="str">
        <f t="array" ref="L832">IF(OR(
    AND('BD Asesor'!H832="Mensual", MATCH($B$2, {"Enero", "Febrero", "Marzo", "Abril", "Mayo", "Junio", "Julio", "Agosto", "Septiembre", "Octubre", "Noviembre", "Diciembre"}, 0)&gt;=1),
    AND('BD Asesor'!H832="Trimestral", MOD(MATCH($B$2, {"Enero", "Febrero", "Marzo", "Abril", "Mayo", "Junio", "Julio", "Agosto", "Septiembre", "Octubre", "Noviembre"}, 0)-MONTH('BD Asesor'!D832), 3)=0),
    AND('BD Asesor'!H832="Semestral", MOD(MATCH($B$2, {"Enero", "Febrero", "Marzo", "Abril", "Mayo", "Junio", "Julio", "Agosto", "Septiembre", "Octubre", "Noviembre"}, 0)-MONTH('BD Asesor'!D832), 6)=0),
    AND('BD Asesor'!H832="Anual", MONTH('BD Asesor'!D832)=MATCH($B$2, {"Enero", "Febrero", "Marzo", "Abril", "Mayo", "Junio", "Julio", "Agosto", "Septiembre", "Octubre", "Noviembre"}, 0))
), 'BD Asesor'!L832, "")
</f>
        <v/>
      </c>
    </row>
    <row r="833">
      <c r="C833" s="84" t="str">
        <f t="array" ref="C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Asesor'!A833, "")
</f>
        <v/>
      </c>
      <c r="D833" s="84" t="str">
        <f t="array" ref="D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Asesor'!B833, "")
</f>
        <v/>
      </c>
      <c r="E833" s="212" t="str">
        <f t="array" ref="E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Asesor'!C833, "")
</f>
        <v/>
      </c>
      <c r="F833" s="212" t="str">
        <f t="array" ref="F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Asesor'!D833, "")
</f>
        <v/>
      </c>
      <c r="G833" s="212" t="str">
        <f t="array" ref="G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Asesor'!E833, "")
</f>
        <v/>
      </c>
      <c r="H833" s="84" t="str">
        <f t="array" ref="H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Asesor'!F833, "")
</f>
        <v/>
      </c>
      <c r="I833" s="84" t="str">
        <f t="array" ref="I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Asesor'!G833, "")
</f>
        <v/>
      </c>
      <c r="J833" s="84" t="str">
        <f t="array" ref="J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Asesor'!H833, "")
</f>
        <v/>
      </c>
      <c r="K833" s="84" t="str">
        <f t="array" ref="K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Asesor'!K833, "")
</f>
        <v/>
      </c>
      <c r="L833" s="84" t="str">
        <f t="array" ref="L833">IF(OR(
    AND('BD Asesor'!H833="Mensual", MATCH($B$2, {"Enero", "Febrero", "Marzo", "Abril", "Mayo", "Junio", "Julio", "Agosto", "Septiembre", "Octubre", "Noviembre", "Diciembre"}, 0)&gt;=1),
    AND('BD Asesor'!H833="Trimestral", MOD(MATCH($B$2, {"Enero", "Febrero", "Marzo", "Abril", "Mayo", "Junio", "Julio", "Agosto", "Septiembre", "Octubre", "Noviembre"}, 0)-MONTH('BD Asesor'!D833), 3)=0),
    AND('BD Asesor'!H833="Semestral", MOD(MATCH($B$2, {"Enero", "Febrero", "Marzo", "Abril", "Mayo", "Junio", "Julio", "Agosto", "Septiembre", "Octubre", "Noviembre"}, 0)-MONTH('BD Asesor'!D833), 6)=0),
    AND('BD Asesor'!H833="Anual", MONTH('BD Asesor'!D833)=MATCH($B$2, {"Enero", "Febrero", "Marzo", "Abril", "Mayo", "Junio", "Julio", "Agosto", "Septiembre", "Octubre", "Noviembre"}, 0))
), 'BD Asesor'!L833, "")
</f>
        <v/>
      </c>
    </row>
    <row r="834">
      <c r="C834" s="84" t="str">
        <f t="array" ref="C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Asesor'!A834, "")
</f>
        <v/>
      </c>
      <c r="D834" s="84" t="str">
        <f t="array" ref="D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Asesor'!B834, "")
</f>
        <v/>
      </c>
      <c r="E834" s="212" t="str">
        <f t="array" ref="E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Asesor'!C834, "")
</f>
        <v/>
      </c>
      <c r="F834" s="212" t="str">
        <f t="array" ref="F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Asesor'!D834, "")
</f>
        <v/>
      </c>
      <c r="G834" s="212" t="str">
        <f t="array" ref="G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Asesor'!E834, "")
</f>
        <v/>
      </c>
      <c r="H834" s="84" t="str">
        <f t="array" ref="H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Asesor'!F834, "")
</f>
        <v/>
      </c>
      <c r="I834" s="84" t="str">
        <f t="array" ref="I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Asesor'!G834, "")
</f>
        <v/>
      </c>
      <c r="J834" s="84" t="str">
        <f t="array" ref="J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Asesor'!H834, "")
</f>
        <v/>
      </c>
      <c r="K834" s="84" t="str">
        <f t="array" ref="K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Asesor'!K834, "")
</f>
        <v/>
      </c>
      <c r="L834" s="84" t="str">
        <f t="array" ref="L834">IF(OR(
    AND('BD Asesor'!H834="Mensual", MATCH($B$2, {"Enero", "Febrero", "Marzo", "Abril", "Mayo", "Junio", "Julio", "Agosto", "Septiembre", "Octubre", "Noviembre", "Diciembre"}, 0)&gt;=1),
    AND('BD Asesor'!H834="Trimestral", MOD(MATCH($B$2, {"Enero", "Febrero", "Marzo", "Abril", "Mayo", "Junio", "Julio", "Agosto", "Septiembre", "Octubre", "Noviembre"}, 0)-MONTH('BD Asesor'!D834), 3)=0),
    AND('BD Asesor'!H834="Semestral", MOD(MATCH($B$2, {"Enero", "Febrero", "Marzo", "Abril", "Mayo", "Junio", "Julio", "Agosto", "Septiembre", "Octubre", "Noviembre"}, 0)-MONTH('BD Asesor'!D834), 6)=0),
    AND('BD Asesor'!H834="Anual", MONTH('BD Asesor'!D834)=MATCH($B$2, {"Enero", "Febrero", "Marzo", "Abril", "Mayo", "Junio", "Julio", "Agosto", "Septiembre", "Octubre", "Noviembre"}, 0))
), 'BD Asesor'!L834, "")
</f>
        <v/>
      </c>
    </row>
    <row r="835">
      <c r="C835" s="84" t="str">
        <f t="array" ref="C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Asesor'!A835, "")
</f>
        <v/>
      </c>
      <c r="D835" s="84" t="str">
        <f t="array" ref="D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Asesor'!B835, "")
</f>
        <v/>
      </c>
      <c r="E835" s="212" t="str">
        <f t="array" ref="E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Asesor'!C835, "")
</f>
        <v/>
      </c>
      <c r="F835" s="212" t="str">
        <f t="array" ref="F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Asesor'!D835, "")
</f>
        <v/>
      </c>
      <c r="G835" s="212" t="str">
        <f t="array" ref="G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Asesor'!E835, "")
</f>
        <v/>
      </c>
      <c r="H835" s="84" t="str">
        <f t="array" ref="H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Asesor'!F835, "")
</f>
        <v/>
      </c>
      <c r="I835" s="84" t="str">
        <f t="array" ref="I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Asesor'!G835, "")
</f>
        <v/>
      </c>
      <c r="J835" s="84" t="str">
        <f t="array" ref="J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Asesor'!H835, "")
</f>
        <v/>
      </c>
      <c r="K835" s="84" t="str">
        <f t="array" ref="K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Asesor'!K835, "")
</f>
        <v/>
      </c>
      <c r="L835" s="84" t="str">
        <f t="array" ref="L835">IF(OR(
    AND('BD Asesor'!H835="Mensual", MATCH($B$2, {"Enero", "Febrero", "Marzo", "Abril", "Mayo", "Junio", "Julio", "Agosto", "Septiembre", "Octubre", "Noviembre", "Diciembre"}, 0)&gt;=1),
    AND('BD Asesor'!H835="Trimestral", MOD(MATCH($B$2, {"Enero", "Febrero", "Marzo", "Abril", "Mayo", "Junio", "Julio", "Agosto", "Septiembre", "Octubre", "Noviembre"}, 0)-MONTH('BD Asesor'!D835), 3)=0),
    AND('BD Asesor'!H835="Semestral", MOD(MATCH($B$2, {"Enero", "Febrero", "Marzo", "Abril", "Mayo", "Junio", "Julio", "Agosto", "Septiembre", "Octubre", "Noviembre"}, 0)-MONTH('BD Asesor'!D835), 6)=0),
    AND('BD Asesor'!H835="Anual", MONTH('BD Asesor'!D835)=MATCH($B$2, {"Enero", "Febrero", "Marzo", "Abril", "Mayo", "Junio", "Julio", "Agosto", "Septiembre", "Octubre", "Noviembre"}, 0))
), 'BD Asesor'!L835, "")
</f>
        <v/>
      </c>
    </row>
    <row r="836">
      <c r="C836" s="84" t="str">
        <f t="array" ref="C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Asesor'!A836, "")
</f>
        <v/>
      </c>
      <c r="D836" s="84" t="str">
        <f t="array" ref="D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Asesor'!B836, "")
</f>
        <v/>
      </c>
      <c r="E836" s="212" t="str">
        <f t="array" ref="E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Asesor'!C836, "")
</f>
        <v/>
      </c>
      <c r="F836" s="212" t="str">
        <f t="array" ref="F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Asesor'!D836, "")
</f>
        <v/>
      </c>
      <c r="G836" s="212" t="str">
        <f t="array" ref="G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Asesor'!E836, "")
</f>
        <v/>
      </c>
      <c r="H836" s="84" t="str">
        <f t="array" ref="H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Asesor'!F836, "")
</f>
        <v/>
      </c>
      <c r="I836" s="84" t="str">
        <f t="array" ref="I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Asesor'!G836, "")
</f>
        <v/>
      </c>
      <c r="J836" s="84" t="str">
        <f t="array" ref="J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Asesor'!H836, "")
</f>
        <v/>
      </c>
      <c r="K836" s="84" t="str">
        <f t="array" ref="K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Asesor'!K836, "")
</f>
        <v/>
      </c>
      <c r="L836" s="84" t="str">
        <f t="array" ref="L836">IF(OR(
    AND('BD Asesor'!H836="Mensual", MATCH($B$2, {"Enero", "Febrero", "Marzo", "Abril", "Mayo", "Junio", "Julio", "Agosto", "Septiembre", "Octubre", "Noviembre", "Diciembre"}, 0)&gt;=1),
    AND('BD Asesor'!H836="Trimestral", MOD(MATCH($B$2, {"Enero", "Febrero", "Marzo", "Abril", "Mayo", "Junio", "Julio", "Agosto", "Septiembre", "Octubre", "Noviembre"}, 0)-MONTH('BD Asesor'!D836), 3)=0),
    AND('BD Asesor'!H836="Semestral", MOD(MATCH($B$2, {"Enero", "Febrero", "Marzo", "Abril", "Mayo", "Junio", "Julio", "Agosto", "Septiembre", "Octubre", "Noviembre"}, 0)-MONTH('BD Asesor'!D836), 6)=0),
    AND('BD Asesor'!H836="Anual", MONTH('BD Asesor'!D836)=MATCH($B$2, {"Enero", "Febrero", "Marzo", "Abril", "Mayo", "Junio", "Julio", "Agosto", "Septiembre", "Octubre", "Noviembre"}, 0))
), 'BD Asesor'!L836, "")
</f>
        <v/>
      </c>
    </row>
    <row r="837">
      <c r="C837" s="84" t="str">
        <f t="array" ref="C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Asesor'!A837, "")
</f>
        <v/>
      </c>
      <c r="D837" s="84" t="str">
        <f t="array" ref="D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Asesor'!B837, "")
</f>
        <v/>
      </c>
      <c r="E837" s="212" t="str">
        <f t="array" ref="E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Asesor'!C837, "")
</f>
        <v/>
      </c>
      <c r="F837" s="212" t="str">
        <f t="array" ref="F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Asesor'!D837, "")
</f>
        <v/>
      </c>
      <c r="G837" s="212" t="str">
        <f t="array" ref="G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Asesor'!E837, "")
</f>
        <v/>
      </c>
      <c r="H837" s="84" t="str">
        <f t="array" ref="H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Asesor'!F837, "")
</f>
        <v/>
      </c>
      <c r="I837" s="84" t="str">
        <f t="array" ref="I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Asesor'!G837, "")
</f>
        <v/>
      </c>
      <c r="J837" s="84" t="str">
        <f t="array" ref="J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Asesor'!H837, "")
</f>
        <v/>
      </c>
      <c r="K837" s="84" t="str">
        <f t="array" ref="K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Asesor'!K837, "")
</f>
        <v/>
      </c>
      <c r="L837" s="84" t="str">
        <f t="array" ref="L837">IF(OR(
    AND('BD Asesor'!H837="Mensual", MATCH($B$2, {"Enero", "Febrero", "Marzo", "Abril", "Mayo", "Junio", "Julio", "Agosto", "Septiembre", "Octubre", "Noviembre", "Diciembre"}, 0)&gt;=1),
    AND('BD Asesor'!H837="Trimestral", MOD(MATCH($B$2, {"Enero", "Febrero", "Marzo", "Abril", "Mayo", "Junio", "Julio", "Agosto", "Septiembre", "Octubre", "Noviembre"}, 0)-MONTH('BD Asesor'!D837), 3)=0),
    AND('BD Asesor'!H837="Semestral", MOD(MATCH($B$2, {"Enero", "Febrero", "Marzo", "Abril", "Mayo", "Junio", "Julio", "Agosto", "Septiembre", "Octubre", "Noviembre"}, 0)-MONTH('BD Asesor'!D837), 6)=0),
    AND('BD Asesor'!H837="Anual", MONTH('BD Asesor'!D837)=MATCH($B$2, {"Enero", "Febrero", "Marzo", "Abril", "Mayo", "Junio", "Julio", "Agosto", "Septiembre", "Octubre", "Noviembre"}, 0))
), 'BD Asesor'!L837, "")
</f>
        <v/>
      </c>
    </row>
    <row r="838">
      <c r="C838" s="84" t="str">
        <f t="array" ref="C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Asesor'!A838, "")
</f>
        <v/>
      </c>
      <c r="D838" s="84" t="str">
        <f t="array" ref="D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Asesor'!B838, "")
</f>
        <v/>
      </c>
      <c r="E838" s="212" t="str">
        <f t="array" ref="E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Asesor'!C838, "")
</f>
        <v/>
      </c>
      <c r="F838" s="212" t="str">
        <f t="array" ref="F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Asesor'!D838, "")
</f>
        <v/>
      </c>
      <c r="G838" s="212" t="str">
        <f t="array" ref="G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Asesor'!E838, "")
</f>
        <v/>
      </c>
      <c r="H838" s="84" t="str">
        <f t="array" ref="H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Asesor'!F838, "")
</f>
        <v/>
      </c>
      <c r="I838" s="84" t="str">
        <f t="array" ref="I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Asesor'!G838, "")
</f>
        <v/>
      </c>
      <c r="J838" s="84" t="str">
        <f t="array" ref="J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Asesor'!H838, "")
</f>
        <v/>
      </c>
      <c r="K838" s="84" t="str">
        <f t="array" ref="K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Asesor'!K838, "")
</f>
        <v/>
      </c>
      <c r="L838" s="84" t="str">
        <f t="array" ref="L838">IF(OR(
    AND('BD Asesor'!H838="Mensual", MATCH($B$2, {"Enero", "Febrero", "Marzo", "Abril", "Mayo", "Junio", "Julio", "Agosto", "Septiembre", "Octubre", "Noviembre", "Diciembre"}, 0)&gt;=1),
    AND('BD Asesor'!H838="Trimestral", MOD(MATCH($B$2, {"Enero", "Febrero", "Marzo", "Abril", "Mayo", "Junio", "Julio", "Agosto", "Septiembre", "Octubre", "Noviembre"}, 0)-MONTH('BD Asesor'!D838), 3)=0),
    AND('BD Asesor'!H838="Semestral", MOD(MATCH($B$2, {"Enero", "Febrero", "Marzo", "Abril", "Mayo", "Junio", "Julio", "Agosto", "Septiembre", "Octubre", "Noviembre"}, 0)-MONTH('BD Asesor'!D838), 6)=0),
    AND('BD Asesor'!H838="Anual", MONTH('BD Asesor'!D838)=MATCH($B$2, {"Enero", "Febrero", "Marzo", "Abril", "Mayo", "Junio", "Julio", "Agosto", "Septiembre", "Octubre", "Noviembre"}, 0))
), 'BD Asesor'!L838, "")
</f>
        <v/>
      </c>
    </row>
    <row r="839">
      <c r="C839" s="84" t="str">
        <f t="array" ref="C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Asesor'!A839, "")
</f>
        <v/>
      </c>
      <c r="D839" s="84" t="str">
        <f t="array" ref="D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Asesor'!B839, "")
</f>
        <v/>
      </c>
      <c r="E839" s="212" t="str">
        <f t="array" ref="E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Asesor'!C839, "")
</f>
        <v/>
      </c>
      <c r="F839" s="212" t="str">
        <f t="array" ref="F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Asesor'!D839, "")
</f>
        <v/>
      </c>
      <c r="G839" s="212" t="str">
        <f t="array" ref="G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Asesor'!E839, "")
</f>
        <v/>
      </c>
      <c r="H839" s="84" t="str">
        <f t="array" ref="H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Asesor'!F839, "")
</f>
        <v/>
      </c>
      <c r="I839" s="84" t="str">
        <f t="array" ref="I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Asesor'!G839, "")
</f>
        <v/>
      </c>
      <c r="J839" s="84" t="str">
        <f t="array" ref="J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Asesor'!H839, "")
</f>
        <v/>
      </c>
      <c r="K839" s="84" t="str">
        <f t="array" ref="K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Asesor'!K839, "")
</f>
        <v/>
      </c>
      <c r="L839" s="84" t="str">
        <f t="array" ref="L839">IF(OR(
    AND('BD Asesor'!H839="Mensual", MATCH($B$2, {"Enero", "Febrero", "Marzo", "Abril", "Mayo", "Junio", "Julio", "Agosto", "Septiembre", "Octubre", "Noviembre", "Diciembre"}, 0)&gt;=1),
    AND('BD Asesor'!H839="Trimestral", MOD(MATCH($B$2, {"Enero", "Febrero", "Marzo", "Abril", "Mayo", "Junio", "Julio", "Agosto", "Septiembre", "Octubre", "Noviembre"}, 0)-MONTH('BD Asesor'!D839), 3)=0),
    AND('BD Asesor'!H839="Semestral", MOD(MATCH($B$2, {"Enero", "Febrero", "Marzo", "Abril", "Mayo", "Junio", "Julio", "Agosto", "Septiembre", "Octubre", "Noviembre"}, 0)-MONTH('BD Asesor'!D839), 6)=0),
    AND('BD Asesor'!H839="Anual", MONTH('BD Asesor'!D839)=MATCH($B$2, {"Enero", "Febrero", "Marzo", "Abril", "Mayo", "Junio", "Julio", "Agosto", "Septiembre", "Octubre", "Noviembre"}, 0))
), 'BD Asesor'!L839, "")
</f>
        <v/>
      </c>
    </row>
    <row r="840">
      <c r="C840" s="84" t="str">
        <f t="array" ref="C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Asesor'!A840, "")
</f>
        <v/>
      </c>
      <c r="D840" s="84" t="str">
        <f t="array" ref="D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Asesor'!B840, "")
</f>
        <v/>
      </c>
      <c r="E840" s="212" t="str">
        <f t="array" ref="E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Asesor'!C840, "")
</f>
        <v/>
      </c>
      <c r="F840" s="212" t="str">
        <f t="array" ref="F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Asesor'!D840, "")
</f>
        <v/>
      </c>
      <c r="G840" s="212" t="str">
        <f t="array" ref="G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Asesor'!E840, "")
</f>
        <v/>
      </c>
      <c r="H840" s="84" t="str">
        <f t="array" ref="H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Asesor'!F840, "")
</f>
        <v/>
      </c>
      <c r="I840" s="84" t="str">
        <f t="array" ref="I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Asesor'!G840, "")
</f>
        <v/>
      </c>
      <c r="J840" s="84" t="str">
        <f t="array" ref="J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Asesor'!H840, "")
</f>
        <v/>
      </c>
      <c r="K840" s="84" t="str">
        <f t="array" ref="K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Asesor'!K840, "")
</f>
        <v/>
      </c>
      <c r="L840" s="84" t="str">
        <f t="array" ref="L840">IF(OR(
    AND('BD Asesor'!H840="Mensual", MATCH($B$2, {"Enero", "Febrero", "Marzo", "Abril", "Mayo", "Junio", "Julio", "Agosto", "Septiembre", "Octubre", "Noviembre", "Diciembre"}, 0)&gt;=1),
    AND('BD Asesor'!H840="Trimestral", MOD(MATCH($B$2, {"Enero", "Febrero", "Marzo", "Abril", "Mayo", "Junio", "Julio", "Agosto", "Septiembre", "Octubre", "Noviembre"}, 0)-MONTH('BD Asesor'!D840), 3)=0),
    AND('BD Asesor'!H840="Semestral", MOD(MATCH($B$2, {"Enero", "Febrero", "Marzo", "Abril", "Mayo", "Junio", "Julio", "Agosto", "Septiembre", "Octubre", "Noviembre"}, 0)-MONTH('BD Asesor'!D840), 6)=0),
    AND('BD Asesor'!H840="Anual", MONTH('BD Asesor'!D840)=MATCH($B$2, {"Enero", "Febrero", "Marzo", "Abril", "Mayo", "Junio", "Julio", "Agosto", "Septiembre", "Octubre", "Noviembre"}, 0))
), 'BD Asesor'!L840, "")
</f>
        <v/>
      </c>
    </row>
    <row r="841">
      <c r="C841" s="84" t="str">
        <f t="array" ref="C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Asesor'!A841, "")
</f>
        <v/>
      </c>
      <c r="D841" s="84" t="str">
        <f t="array" ref="D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Asesor'!B841, "")
</f>
        <v/>
      </c>
      <c r="E841" s="212" t="str">
        <f t="array" ref="E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Asesor'!C841, "")
</f>
        <v/>
      </c>
      <c r="F841" s="212" t="str">
        <f t="array" ref="F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Asesor'!D841, "")
</f>
        <v/>
      </c>
      <c r="G841" s="212" t="str">
        <f t="array" ref="G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Asesor'!E841, "")
</f>
        <v/>
      </c>
      <c r="H841" s="84" t="str">
        <f t="array" ref="H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Asesor'!F841, "")
</f>
        <v/>
      </c>
      <c r="I841" s="84" t="str">
        <f t="array" ref="I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Asesor'!G841, "")
</f>
        <v/>
      </c>
      <c r="J841" s="84" t="str">
        <f t="array" ref="J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Asesor'!H841, "")
</f>
        <v/>
      </c>
      <c r="K841" s="84" t="str">
        <f t="array" ref="K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Asesor'!K841, "")
</f>
        <v/>
      </c>
      <c r="L841" s="84" t="str">
        <f t="array" ref="L841">IF(OR(
    AND('BD Asesor'!H841="Mensual", MATCH($B$2, {"Enero", "Febrero", "Marzo", "Abril", "Mayo", "Junio", "Julio", "Agosto", "Septiembre", "Octubre", "Noviembre", "Diciembre"}, 0)&gt;=1),
    AND('BD Asesor'!H841="Trimestral", MOD(MATCH($B$2, {"Enero", "Febrero", "Marzo", "Abril", "Mayo", "Junio", "Julio", "Agosto", "Septiembre", "Octubre", "Noviembre"}, 0)-MONTH('BD Asesor'!D841), 3)=0),
    AND('BD Asesor'!H841="Semestral", MOD(MATCH($B$2, {"Enero", "Febrero", "Marzo", "Abril", "Mayo", "Junio", "Julio", "Agosto", "Septiembre", "Octubre", "Noviembre"}, 0)-MONTH('BD Asesor'!D841), 6)=0),
    AND('BD Asesor'!H841="Anual", MONTH('BD Asesor'!D841)=MATCH($B$2, {"Enero", "Febrero", "Marzo", "Abril", "Mayo", "Junio", "Julio", "Agosto", "Septiembre", "Octubre", "Noviembre"}, 0))
), 'BD Asesor'!L841, "")
</f>
        <v/>
      </c>
    </row>
    <row r="842">
      <c r="C842" s="84" t="str">
        <f t="array" ref="C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Asesor'!A842, "")
</f>
        <v/>
      </c>
      <c r="D842" s="84" t="str">
        <f t="array" ref="D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Asesor'!B842, "")
</f>
        <v/>
      </c>
      <c r="E842" s="212" t="str">
        <f t="array" ref="E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Asesor'!C842, "")
</f>
        <v/>
      </c>
      <c r="F842" s="212" t="str">
        <f t="array" ref="F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Asesor'!D842, "")
</f>
        <v/>
      </c>
      <c r="G842" s="212" t="str">
        <f t="array" ref="G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Asesor'!E842, "")
</f>
        <v/>
      </c>
      <c r="H842" s="84" t="str">
        <f t="array" ref="H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Asesor'!F842, "")
</f>
        <v/>
      </c>
      <c r="I842" s="84" t="str">
        <f t="array" ref="I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Asesor'!G842, "")
</f>
        <v/>
      </c>
      <c r="J842" s="84" t="str">
        <f t="array" ref="J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Asesor'!H842, "")
</f>
        <v/>
      </c>
      <c r="K842" s="84" t="str">
        <f t="array" ref="K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Asesor'!K842, "")
</f>
        <v/>
      </c>
      <c r="L842" s="84" t="str">
        <f t="array" ref="L842">IF(OR(
    AND('BD Asesor'!H842="Mensual", MATCH($B$2, {"Enero", "Febrero", "Marzo", "Abril", "Mayo", "Junio", "Julio", "Agosto", "Septiembre", "Octubre", "Noviembre", "Diciembre"}, 0)&gt;=1),
    AND('BD Asesor'!H842="Trimestral", MOD(MATCH($B$2, {"Enero", "Febrero", "Marzo", "Abril", "Mayo", "Junio", "Julio", "Agosto", "Septiembre", "Octubre", "Noviembre"}, 0)-MONTH('BD Asesor'!D842), 3)=0),
    AND('BD Asesor'!H842="Semestral", MOD(MATCH($B$2, {"Enero", "Febrero", "Marzo", "Abril", "Mayo", "Junio", "Julio", "Agosto", "Septiembre", "Octubre", "Noviembre"}, 0)-MONTH('BD Asesor'!D842), 6)=0),
    AND('BD Asesor'!H842="Anual", MONTH('BD Asesor'!D842)=MATCH($B$2, {"Enero", "Febrero", "Marzo", "Abril", "Mayo", "Junio", "Julio", "Agosto", "Septiembre", "Octubre", "Noviembre"}, 0))
), 'BD Asesor'!L842, "")
</f>
        <v/>
      </c>
    </row>
    <row r="843">
      <c r="C843" s="84" t="str">
        <f t="array" ref="C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Asesor'!A843, "")
</f>
        <v/>
      </c>
      <c r="D843" s="84" t="str">
        <f t="array" ref="D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Asesor'!B843, "")
</f>
        <v/>
      </c>
      <c r="E843" s="212" t="str">
        <f t="array" ref="E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Asesor'!C843, "")
</f>
        <v/>
      </c>
      <c r="F843" s="212" t="str">
        <f t="array" ref="F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Asesor'!D843, "")
</f>
        <v/>
      </c>
      <c r="G843" s="212" t="str">
        <f t="array" ref="G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Asesor'!E843, "")
</f>
        <v/>
      </c>
      <c r="H843" s="84" t="str">
        <f t="array" ref="H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Asesor'!F843, "")
</f>
        <v/>
      </c>
      <c r="I843" s="84" t="str">
        <f t="array" ref="I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Asesor'!G843, "")
</f>
        <v/>
      </c>
      <c r="J843" s="84" t="str">
        <f t="array" ref="J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Asesor'!H843, "")
</f>
        <v/>
      </c>
      <c r="K843" s="84" t="str">
        <f t="array" ref="K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Asesor'!K843, "")
</f>
        <v/>
      </c>
      <c r="L843" s="84" t="str">
        <f t="array" ref="L843">IF(OR(
    AND('BD Asesor'!H843="Mensual", MATCH($B$2, {"Enero", "Febrero", "Marzo", "Abril", "Mayo", "Junio", "Julio", "Agosto", "Septiembre", "Octubre", "Noviembre", "Diciembre"}, 0)&gt;=1),
    AND('BD Asesor'!H843="Trimestral", MOD(MATCH($B$2, {"Enero", "Febrero", "Marzo", "Abril", "Mayo", "Junio", "Julio", "Agosto", "Septiembre", "Octubre", "Noviembre"}, 0)-MONTH('BD Asesor'!D843), 3)=0),
    AND('BD Asesor'!H843="Semestral", MOD(MATCH($B$2, {"Enero", "Febrero", "Marzo", "Abril", "Mayo", "Junio", "Julio", "Agosto", "Septiembre", "Octubre", "Noviembre"}, 0)-MONTH('BD Asesor'!D843), 6)=0),
    AND('BD Asesor'!H843="Anual", MONTH('BD Asesor'!D843)=MATCH($B$2, {"Enero", "Febrero", "Marzo", "Abril", "Mayo", "Junio", "Julio", "Agosto", "Septiembre", "Octubre", "Noviembre"}, 0))
), 'BD Asesor'!L843, "")
</f>
        <v/>
      </c>
    </row>
    <row r="844">
      <c r="C844" s="84" t="str">
        <f t="array" ref="C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Asesor'!A844, "")
</f>
        <v/>
      </c>
      <c r="D844" s="84" t="str">
        <f t="array" ref="D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Asesor'!B844, "")
</f>
        <v/>
      </c>
      <c r="E844" s="212" t="str">
        <f t="array" ref="E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Asesor'!C844, "")
</f>
        <v/>
      </c>
      <c r="F844" s="212" t="str">
        <f t="array" ref="F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Asesor'!D844, "")
</f>
        <v/>
      </c>
      <c r="G844" s="212" t="str">
        <f t="array" ref="G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Asesor'!E844, "")
</f>
        <v/>
      </c>
      <c r="H844" s="84" t="str">
        <f t="array" ref="H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Asesor'!F844, "")
</f>
        <v/>
      </c>
      <c r="I844" s="84" t="str">
        <f t="array" ref="I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Asesor'!G844, "")
</f>
        <v/>
      </c>
      <c r="J844" s="84" t="str">
        <f t="array" ref="J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Asesor'!H844, "")
</f>
        <v/>
      </c>
      <c r="K844" s="84" t="str">
        <f t="array" ref="K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Asesor'!K844, "")
</f>
        <v/>
      </c>
      <c r="L844" s="84" t="str">
        <f t="array" ref="L844">IF(OR(
    AND('BD Asesor'!H844="Mensual", MATCH($B$2, {"Enero", "Febrero", "Marzo", "Abril", "Mayo", "Junio", "Julio", "Agosto", "Septiembre", "Octubre", "Noviembre", "Diciembre"}, 0)&gt;=1),
    AND('BD Asesor'!H844="Trimestral", MOD(MATCH($B$2, {"Enero", "Febrero", "Marzo", "Abril", "Mayo", "Junio", "Julio", "Agosto", "Septiembre", "Octubre", "Noviembre"}, 0)-MONTH('BD Asesor'!D844), 3)=0),
    AND('BD Asesor'!H844="Semestral", MOD(MATCH($B$2, {"Enero", "Febrero", "Marzo", "Abril", "Mayo", "Junio", "Julio", "Agosto", "Septiembre", "Octubre", "Noviembre"}, 0)-MONTH('BD Asesor'!D844), 6)=0),
    AND('BD Asesor'!H844="Anual", MONTH('BD Asesor'!D844)=MATCH($B$2, {"Enero", "Febrero", "Marzo", "Abril", "Mayo", "Junio", "Julio", "Agosto", "Septiembre", "Octubre", "Noviembre"}, 0))
), 'BD Asesor'!L844, "")
</f>
        <v/>
      </c>
    </row>
    <row r="845">
      <c r="C845" s="84" t="str">
        <f t="array" ref="C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Asesor'!A845, "")
</f>
        <v/>
      </c>
      <c r="D845" s="84" t="str">
        <f t="array" ref="D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Asesor'!B845, "")
</f>
        <v/>
      </c>
      <c r="E845" s="212" t="str">
        <f t="array" ref="E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Asesor'!C845, "")
</f>
        <v/>
      </c>
      <c r="F845" s="212" t="str">
        <f t="array" ref="F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Asesor'!D845, "")
</f>
        <v/>
      </c>
      <c r="G845" s="212" t="str">
        <f t="array" ref="G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Asesor'!E845, "")
</f>
        <v/>
      </c>
      <c r="H845" s="84" t="str">
        <f t="array" ref="H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Asesor'!F845, "")
</f>
        <v/>
      </c>
      <c r="I845" s="84" t="str">
        <f t="array" ref="I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Asesor'!G845, "")
</f>
        <v/>
      </c>
      <c r="J845" s="84" t="str">
        <f t="array" ref="J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Asesor'!H845, "")
</f>
        <v/>
      </c>
      <c r="K845" s="84" t="str">
        <f t="array" ref="K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Asesor'!K845, "")
</f>
        <v/>
      </c>
      <c r="L845" s="84" t="str">
        <f t="array" ref="L845">IF(OR(
    AND('BD Asesor'!H845="Mensual", MATCH($B$2, {"Enero", "Febrero", "Marzo", "Abril", "Mayo", "Junio", "Julio", "Agosto", "Septiembre", "Octubre", "Noviembre", "Diciembre"}, 0)&gt;=1),
    AND('BD Asesor'!H845="Trimestral", MOD(MATCH($B$2, {"Enero", "Febrero", "Marzo", "Abril", "Mayo", "Junio", "Julio", "Agosto", "Septiembre", "Octubre", "Noviembre"}, 0)-MONTH('BD Asesor'!D845), 3)=0),
    AND('BD Asesor'!H845="Semestral", MOD(MATCH($B$2, {"Enero", "Febrero", "Marzo", "Abril", "Mayo", "Junio", "Julio", "Agosto", "Septiembre", "Octubre", "Noviembre"}, 0)-MONTH('BD Asesor'!D845), 6)=0),
    AND('BD Asesor'!H845="Anual", MONTH('BD Asesor'!D845)=MATCH($B$2, {"Enero", "Febrero", "Marzo", "Abril", "Mayo", "Junio", "Julio", "Agosto", "Septiembre", "Octubre", "Noviembre"}, 0))
), 'BD Asesor'!L845, "")
</f>
        <v/>
      </c>
    </row>
    <row r="846">
      <c r="C846" s="84" t="str">
        <f t="array" ref="C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Asesor'!A846, "")
</f>
        <v/>
      </c>
      <c r="D846" s="84" t="str">
        <f t="array" ref="D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Asesor'!B846, "")
</f>
        <v/>
      </c>
      <c r="E846" s="212" t="str">
        <f t="array" ref="E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Asesor'!C846, "")
</f>
        <v/>
      </c>
      <c r="F846" s="212" t="str">
        <f t="array" ref="F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Asesor'!D846, "")
</f>
        <v/>
      </c>
      <c r="G846" s="212" t="str">
        <f t="array" ref="G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Asesor'!E846, "")
</f>
        <v/>
      </c>
      <c r="H846" s="84" t="str">
        <f t="array" ref="H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Asesor'!F846, "")
</f>
        <v/>
      </c>
      <c r="I846" s="84" t="str">
        <f t="array" ref="I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Asesor'!G846, "")
</f>
        <v/>
      </c>
      <c r="J846" s="84" t="str">
        <f t="array" ref="J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Asesor'!H846, "")
</f>
        <v/>
      </c>
      <c r="K846" s="84" t="str">
        <f t="array" ref="K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Asesor'!K846, "")
</f>
        <v/>
      </c>
      <c r="L846" s="84" t="str">
        <f t="array" ref="L846">IF(OR(
    AND('BD Asesor'!H846="Mensual", MATCH($B$2, {"Enero", "Febrero", "Marzo", "Abril", "Mayo", "Junio", "Julio", "Agosto", "Septiembre", "Octubre", "Noviembre", "Diciembre"}, 0)&gt;=1),
    AND('BD Asesor'!H846="Trimestral", MOD(MATCH($B$2, {"Enero", "Febrero", "Marzo", "Abril", "Mayo", "Junio", "Julio", "Agosto", "Septiembre", "Octubre", "Noviembre"}, 0)-MONTH('BD Asesor'!D846), 3)=0),
    AND('BD Asesor'!H846="Semestral", MOD(MATCH($B$2, {"Enero", "Febrero", "Marzo", "Abril", "Mayo", "Junio", "Julio", "Agosto", "Septiembre", "Octubre", "Noviembre"}, 0)-MONTH('BD Asesor'!D846), 6)=0),
    AND('BD Asesor'!H846="Anual", MONTH('BD Asesor'!D846)=MATCH($B$2, {"Enero", "Febrero", "Marzo", "Abril", "Mayo", "Junio", "Julio", "Agosto", "Septiembre", "Octubre", "Noviembre"}, 0))
), 'BD Asesor'!L846, "")
</f>
        <v/>
      </c>
    </row>
    <row r="847">
      <c r="C847" s="84" t="str">
        <f t="array" ref="C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Asesor'!A847, "")
</f>
        <v/>
      </c>
      <c r="D847" s="84" t="str">
        <f t="array" ref="D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Asesor'!B847, "")
</f>
        <v/>
      </c>
      <c r="E847" s="212" t="str">
        <f t="array" ref="E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Asesor'!C847, "")
</f>
        <v/>
      </c>
      <c r="F847" s="212" t="str">
        <f t="array" ref="F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Asesor'!D847, "")
</f>
        <v/>
      </c>
      <c r="G847" s="212" t="str">
        <f t="array" ref="G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Asesor'!E847, "")
</f>
        <v/>
      </c>
      <c r="H847" s="84" t="str">
        <f t="array" ref="H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Asesor'!F847, "")
</f>
        <v/>
      </c>
      <c r="I847" s="84" t="str">
        <f t="array" ref="I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Asesor'!G847, "")
</f>
        <v/>
      </c>
      <c r="J847" s="84" t="str">
        <f t="array" ref="J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Asesor'!H847, "")
</f>
        <v/>
      </c>
      <c r="K847" s="84" t="str">
        <f t="array" ref="K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Asesor'!K847, "")
</f>
        <v/>
      </c>
      <c r="L847" s="84" t="str">
        <f t="array" ref="L847">IF(OR(
    AND('BD Asesor'!H847="Mensual", MATCH($B$2, {"Enero", "Febrero", "Marzo", "Abril", "Mayo", "Junio", "Julio", "Agosto", "Septiembre", "Octubre", "Noviembre", "Diciembre"}, 0)&gt;=1),
    AND('BD Asesor'!H847="Trimestral", MOD(MATCH($B$2, {"Enero", "Febrero", "Marzo", "Abril", "Mayo", "Junio", "Julio", "Agosto", "Septiembre", "Octubre", "Noviembre"}, 0)-MONTH('BD Asesor'!D847), 3)=0),
    AND('BD Asesor'!H847="Semestral", MOD(MATCH($B$2, {"Enero", "Febrero", "Marzo", "Abril", "Mayo", "Junio", "Julio", "Agosto", "Septiembre", "Octubre", "Noviembre"}, 0)-MONTH('BD Asesor'!D847), 6)=0),
    AND('BD Asesor'!H847="Anual", MONTH('BD Asesor'!D847)=MATCH($B$2, {"Enero", "Febrero", "Marzo", "Abril", "Mayo", "Junio", "Julio", "Agosto", "Septiembre", "Octubre", "Noviembre"}, 0))
), 'BD Asesor'!L847, "")
</f>
        <v/>
      </c>
    </row>
    <row r="848">
      <c r="C848" s="84" t="str">
        <f t="array" ref="C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Asesor'!A848, "")
</f>
        <v/>
      </c>
      <c r="D848" s="84" t="str">
        <f t="array" ref="D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Asesor'!B848, "")
</f>
        <v/>
      </c>
      <c r="E848" s="212" t="str">
        <f t="array" ref="E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Asesor'!C848, "")
</f>
        <v/>
      </c>
      <c r="F848" s="212" t="str">
        <f t="array" ref="F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Asesor'!D848, "")
</f>
        <v/>
      </c>
      <c r="G848" s="212" t="str">
        <f t="array" ref="G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Asesor'!E848, "")
</f>
        <v/>
      </c>
      <c r="H848" s="84" t="str">
        <f t="array" ref="H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Asesor'!F848, "")
</f>
        <v/>
      </c>
      <c r="I848" s="84" t="str">
        <f t="array" ref="I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Asesor'!G848, "")
</f>
        <v/>
      </c>
      <c r="J848" s="84" t="str">
        <f t="array" ref="J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Asesor'!H848, "")
</f>
        <v/>
      </c>
      <c r="K848" s="84" t="str">
        <f t="array" ref="K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Asesor'!K848, "")
</f>
        <v/>
      </c>
      <c r="L848" s="84" t="str">
        <f t="array" ref="L848">IF(OR(
    AND('BD Asesor'!H848="Mensual", MATCH($B$2, {"Enero", "Febrero", "Marzo", "Abril", "Mayo", "Junio", "Julio", "Agosto", "Septiembre", "Octubre", "Noviembre", "Diciembre"}, 0)&gt;=1),
    AND('BD Asesor'!H848="Trimestral", MOD(MATCH($B$2, {"Enero", "Febrero", "Marzo", "Abril", "Mayo", "Junio", "Julio", "Agosto", "Septiembre", "Octubre", "Noviembre"}, 0)-MONTH('BD Asesor'!D848), 3)=0),
    AND('BD Asesor'!H848="Semestral", MOD(MATCH($B$2, {"Enero", "Febrero", "Marzo", "Abril", "Mayo", "Junio", "Julio", "Agosto", "Septiembre", "Octubre", "Noviembre"}, 0)-MONTH('BD Asesor'!D848), 6)=0),
    AND('BD Asesor'!H848="Anual", MONTH('BD Asesor'!D848)=MATCH($B$2, {"Enero", "Febrero", "Marzo", "Abril", "Mayo", "Junio", "Julio", "Agosto", "Septiembre", "Octubre", "Noviembre"}, 0))
), 'BD Asesor'!L848, "")
</f>
        <v/>
      </c>
    </row>
    <row r="849">
      <c r="C849" s="84" t="str">
        <f t="array" ref="C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Asesor'!A849, "")
</f>
        <v/>
      </c>
      <c r="D849" s="84" t="str">
        <f t="array" ref="D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Asesor'!B849, "")
</f>
        <v/>
      </c>
      <c r="E849" s="212" t="str">
        <f t="array" ref="E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Asesor'!C849, "")
</f>
        <v/>
      </c>
      <c r="F849" s="212" t="str">
        <f t="array" ref="F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Asesor'!D849, "")
</f>
        <v/>
      </c>
      <c r="G849" s="212" t="str">
        <f t="array" ref="G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Asesor'!E849, "")
</f>
        <v/>
      </c>
      <c r="H849" s="84" t="str">
        <f t="array" ref="H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Asesor'!F849, "")
</f>
        <v/>
      </c>
      <c r="I849" s="84" t="str">
        <f t="array" ref="I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Asesor'!G849, "")
</f>
        <v/>
      </c>
      <c r="J849" s="84" t="str">
        <f t="array" ref="J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Asesor'!H849, "")
</f>
        <v/>
      </c>
      <c r="K849" s="84" t="str">
        <f t="array" ref="K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Asesor'!K849, "")
</f>
        <v/>
      </c>
      <c r="L849" s="84" t="str">
        <f t="array" ref="L849">IF(OR(
    AND('BD Asesor'!H849="Mensual", MATCH($B$2, {"Enero", "Febrero", "Marzo", "Abril", "Mayo", "Junio", "Julio", "Agosto", "Septiembre", "Octubre", "Noviembre", "Diciembre"}, 0)&gt;=1),
    AND('BD Asesor'!H849="Trimestral", MOD(MATCH($B$2, {"Enero", "Febrero", "Marzo", "Abril", "Mayo", "Junio", "Julio", "Agosto", "Septiembre", "Octubre", "Noviembre"}, 0)-MONTH('BD Asesor'!D849), 3)=0),
    AND('BD Asesor'!H849="Semestral", MOD(MATCH($B$2, {"Enero", "Febrero", "Marzo", "Abril", "Mayo", "Junio", "Julio", "Agosto", "Septiembre", "Octubre", "Noviembre"}, 0)-MONTH('BD Asesor'!D849), 6)=0),
    AND('BD Asesor'!H849="Anual", MONTH('BD Asesor'!D849)=MATCH($B$2, {"Enero", "Febrero", "Marzo", "Abril", "Mayo", "Junio", "Julio", "Agosto", "Septiembre", "Octubre", "Noviembre"}, 0))
), 'BD Asesor'!L849, "")
</f>
        <v/>
      </c>
    </row>
    <row r="850">
      <c r="C850" s="84" t="str">
        <f t="array" ref="C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Asesor'!A850, "")
</f>
        <v/>
      </c>
      <c r="D850" s="84" t="str">
        <f t="array" ref="D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Asesor'!B850, "")
</f>
        <v/>
      </c>
      <c r="E850" s="212" t="str">
        <f t="array" ref="E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Asesor'!C850, "")
</f>
        <v/>
      </c>
      <c r="F850" s="212" t="str">
        <f t="array" ref="F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Asesor'!D850, "")
</f>
        <v/>
      </c>
      <c r="G850" s="212" t="str">
        <f t="array" ref="G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Asesor'!E850, "")
</f>
        <v/>
      </c>
      <c r="H850" s="84" t="str">
        <f t="array" ref="H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Asesor'!F850, "")
</f>
        <v/>
      </c>
      <c r="I850" s="84" t="str">
        <f t="array" ref="I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Asesor'!G850, "")
</f>
        <v/>
      </c>
      <c r="J850" s="84" t="str">
        <f t="array" ref="J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Asesor'!H850, "")
</f>
        <v/>
      </c>
      <c r="K850" s="84" t="str">
        <f t="array" ref="K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Asesor'!K850, "")
</f>
        <v/>
      </c>
      <c r="L850" s="84" t="str">
        <f t="array" ref="L850">IF(OR(
    AND('BD Asesor'!H850="Mensual", MATCH($B$2, {"Enero", "Febrero", "Marzo", "Abril", "Mayo", "Junio", "Julio", "Agosto", "Septiembre", "Octubre", "Noviembre", "Diciembre"}, 0)&gt;=1),
    AND('BD Asesor'!H850="Trimestral", MOD(MATCH($B$2, {"Enero", "Febrero", "Marzo", "Abril", "Mayo", "Junio", "Julio", "Agosto", "Septiembre", "Octubre", "Noviembre"}, 0)-MONTH('BD Asesor'!D850), 3)=0),
    AND('BD Asesor'!H850="Semestral", MOD(MATCH($B$2, {"Enero", "Febrero", "Marzo", "Abril", "Mayo", "Junio", "Julio", "Agosto", "Septiembre", "Octubre", "Noviembre"}, 0)-MONTH('BD Asesor'!D850), 6)=0),
    AND('BD Asesor'!H850="Anual", MONTH('BD Asesor'!D850)=MATCH($B$2, {"Enero", "Febrero", "Marzo", "Abril", "Mayo", "Junio", "Julio", "Agosto", "Septiembre", "Octubre", "Noviembre"}, 0))
), 'BD Asesor'!L850, "")
</f>
        <v/>
      </c>
    </row>
    <row r="851">
      <c r="C851" s="84" t="str">
        <f t="array" ref="C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Asesor'!A851, "")
</f>
        <v/>
      </c>
      <c r="D851" s="84" t="str">
        <f t="array" ref="D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Asesor'!B851, "")
</f>
        <v/>
      </c>
      <c r="E851" s="212" t="str">
        <f t="array" ref="E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Asesor'!C851, "")
</f>
        <v/>
      </c>
      <c r="F851" s="212" t="str">
        <f t="array" ref="F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Asesor'!D851, "")
</f>
        <v/>
      </c>
      <c r="G851" s="212" t="str">
        <f t="array" ref="G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Asesor'!E851, "")
</f>
        <v/>
      </c>
      <c r="H851" s="84" t="str">
        <f t="array" ref="H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Asesor'!F851, "")
</f>
        <v/>
      </c>
      <c r="I851" s="84" t="str">
        <f t="array" ref="I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Asesor'!G851, "")
</f>
        <v/>
      </c>
      <c r="J851" s="84" t="str">
        <f t="array" ref="J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Asesor'!H851, "")
</f>
        <v/>
      </c>
      <c r="K851" s="84" t="str">
        <f t="array" ref="K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Asesor'!K851, "")
</f>
        <v/>
      </c>
      <c r="L851" s="84" t="str">
        <f t="array" ref="L851">IF(OR(
    AND('BD Asesor'!H851="Mensual", MATCH($B$2, {"Enero", "Febrero", "Marzo", "Abril", "Mayo", "Junio", "Julio", "Agosto", "Septiembre", "Octubre", "Noviembre", "Diciembre"}, 0)&gt;=1),
    AND('BD Asesor'!H851="Trimestral", MOD(MATCH($B$2, {"Enero", "Febrero", "Marzo", "Abril", "Mayo", "Junio", "Julio", "Agosto", "Septiembre", "Octubre", "Noviembre"}, 0)-MONTH('BD Asesor'!D851), 3)=0),
    AND('BD Asesor'!H851="Semestral", MOD(MATCH($B$2, {"Enero", "Febrero", "Marzo", "Abril", "Mayo", "Junio", "Julio", "Agosto", "Septiembre", "Octubre", "Noviembre"}, 0)-MONTH('BD Asesor'!D851), 6)=0),
    AND('BD Asesor'!H851="Anual", MONTH('BD Asesor'!D851)=MATCH($B$2, {"Enero", "Febrero", "Marzo", "Abril", "Mayo", "Junio", "Julio", "Agosto", "Septiembre", "Octubre", "Noviembre"}, 0))
), 'BD Asesor'!L851, "")
</f>
        <v/>
      </c>
    </row>
    <row r="852">
      <c r="C852" s="84" t="str">
        <f t="array" ref="C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Asesor'!A852, "")
</f>
        <v/>
      </c>
      <c r="D852" s="84" t="str">
        <f t="array" ref="D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Asesor'!B852, "")
</f>
        <v/>
      </c>
      <c r="E852" s="212" t="str">
        <f t="array" ref="E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Asesor'!C852, "")
</f>
        <v/>
      </c>
      <c r="F852" s="212" t="str">
        <f t="array" ref="F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Asesor'!D852, "")
</f>
        <v/>
      </c>
      <c r="G852" s="212" t="str">
        <f t="array" ref="G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Asesor'!E852, "")
</f>
        <v/>
      </c>
      <c r="H852" s="84" t="str">
        <f t="array" ref="H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Asesor'!F852, "")
</f>
        <v/>
      </c>
      <c r="I852" s="84" t="str">
        <f t="array" ref="I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Asesor'!G852, "")
</f>
        <v/>
      </c>
      <c r="J852" s="84" t="str">
        <f t="array" ref="J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Asesor'!H852, "")
</f>
        <v/>
      </c>
      <c r="K852" s="84" t="str">
        <f t="array" ref="K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Asesor'!K852, "")
</f>
        <v/>
      </c>
      <c r="L852" s="84" t="str">
        <f t="array" ref="L852">IF(OR(
    AND('BD Asesor'!H852="Mensual", MATCH($B$2, {"Enero", "Febrero", "Marzo", "Abril", "Mayo", "Junio", "Julio", "Agosto", "Septiembre", "Octubre", "Noviembre", "Diciembre"}, 0)&gt;=1),
    AND('BD Asesor'!H852="Trimestral", MOD(MATCH($B$2, {"Enero", "Febrero", "Marzo", "Abril", "Mayo", "Junio", "Julio", "Agosto", "Septiembre", "Octubre", "Noviembre"}, 0)-MONTH('BD Asesor'!D852), 3)=0),
    AND('BD Asesor'!H852="Semestral", MOD(MATCH($B$2, {"Enero", "Febrero", "Marzo", "Abril", "Mayo", "Junio", "Julio", "Agosto", "Septiembre", "Octubre", "Noviembre"}, 0)-MONTH('BD Asesor'!D852), 6)=0),
    AND('BD Asesor'!H852="Anual", MONTH('BD Asesor'!D852)=MATCH($B$2, {"Enero", "Febrero", "Marzo", "Abril", "Mayo", "Junio", "Julio", "Agosto", "Septiembre", "Octubre", "Noviembre"}, 0))
), 'BD Asesor'!L852, "")
</f>
        <v/>
      </c>
    </row>
    <row r="853">
      <c r="C853" s="84" t="str">
        <f t="array" ref="C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Asesor'!A853, "")
</f>
        <v/>
      </c>
      <c r="D853" s="84" t="str">
        <f t="array" ref="D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Asesor'!B853, "")
</f>
        <v/>
      </c>
      <c r="E853" s="212" t="str">
        <f t="array" ref="E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Asesor'!C853, "")
</f>
        <v/>
      </c>
      <c r="F853" s="212" t="str">
        <f t="array" ref="F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Asesor'!D853, "")
</f>
        <v/>
      </c>
      <c r="G853" s="212" t="str">
        <f t="array" ref="G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Asesor'!E853, "")
</f>
        <v/>
      </c>
      <c r="H853" s="84" t="str">
        <f t="array" ref="H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Asesor'!F853, "")
</f>
        <v/>
      </c>
      <c r="I853" s="84" t="str">
        <f t="array" ref="I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Asesor'!G853, "")
</f>
        <v/>
      </c>
      <c r="J853" s="84" t="str">
        <f t="array" ref="J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Asesor'!H853, "")
</f>
        <v/>
      </c>
      <c r="K853" s="84" t="str">
        <f t="array" ref="K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Asesor'!K853, "")
</f>
        <v/>
      </c>
      <c r="L853" s="84" t="str">
        <f t="array" ref="L853">IF(OR(
    AND('BD Asesor'!H853="Mensual", MATCH($B$2, {"Enero", "Febrero", "Marzo", "Abril", "Mayo", "Junio", "Julio", "Agosto", "Septiembre", "Octubre", "Noviembre", "Diciembre"}, 0)&gt;=1),
    AND('BD Asesor'!H853="Trimestral", MOD(MATCH($B$2, {"Enero", "Febrero", "Marzo", "Abril", "Mayo", "Junio", "Julio", "Agosto", "Septiembre", "Octubre", "Noviembre"}, 0)-MONTH('BD Asesor'!D853), 3)=0),
    AND('BD Asesor'!H853="Semestral", MOD(MATCH($B$2, {"Enero", "Febrero", "Marzo", "Abril", "Mayo", "Junio", "Julio", "Agosto", "Septiembre", "Octubre", "Noviembre"}, 0)-MONTH('BD Asesor'!D853), 6)=0),
    AND('BD Asesor'!H853="Anual", MONTH('BD Asesor'!D853)=MATCH($B$2, {"Enero", "Febrero", "Marzo", "Abril", "Mayo", "Junio", "Julio", "Agosto", "Septiembre", "Octubre", "Noviembre"}, 0))
), 'BD Asesor'!L853, "")
</f>
        <v/>
      </c>
    </row>
    <row r="854">
      <c r="C854" s="84" t="str">
        <f t="array" ref="C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Asesor'!A854, "")
</f>
        <v/>
      </c>
      <c r="D854" s="84" t="str">
        <f t="array" ref="D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Asesor'!B854, "")
</f>
        <v/>
      </c>
      <c r="E854" s="212" t="str">
        <f t="array" ref="E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Asesor'!C854, "")
</f>
        <v/>
      </c>
      <c r="F854" s="212" t="str">
        <f t="array" ref="F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Asesor'!D854, "")
</f>
        <v/>
      </c>
      <c r="G854" s="212" t="str">
        <f t="array" ref="G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Asesor'!E854, "")
</f>
        <v/>
      </c>
      <c r="H854" s="84" t="str">
        <f t="array" ref="H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Asesor'!F854, "")
</f>
        <v/>
      </c>
      <c r="I854" s="84" t="str">
        <f t="array" ref="I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Asesor'!G854, "")
</f>
        <v/>
      </c>
      <c r="J854" s="84" t="str">
        <f t="array" ref="J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Asesor'!H854, "")
</f>
        <v/>
      </c>
      <c r="K854" s="84" t="str">
        <f t="array" ref="K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Asesor'!K854, "")
</f>
        <v/>
      </c>
      <c r="L854" s="84" t="str">
        <f t="array" ref="L854">IF(OR(
    AND('BD Asesor'!H854="Mensual", MATCH($B$2, {"Enero", "Febrero", "Marzo", "Abril", "Mayo", "Junio", "Julio", "Agosto", "Septiembre", "Octubre", "Noviembre", "Diciembre"}, 0)&gt;=1),
    AND('BD Asesor'!H854="Trimestral", MOD(MATCH($B$2, {"Enero", "Febrero", "Marzo", "Abril", "Mayo", "Junio", "Julio", "Agosto", "Septiembre", "Octubre", "Noviembre"}, 0)-MONTH('BD Asesor'!D854), 3)=0),
    AND('BD Asesor'!H854="Semestral", MOD(MATCH($B$2, {"Enero", "Febrero", "Marzo", "Abril", "Mayo", "Junio", "Julio", "Agosto", "Septiembre", "Octubre", "Noviembre"}, 0)-MONTH('BD Asesor'!D854), 6)=0),
    AND('BD Asesor'!H854="Anual", MONTH('BD Asesor'!D854)=MATCH($B$2, {"Enero", "Febrero", "Marzo", "Abril", "Mayo", "Junio", "Julio", "Agosto", "Septiembre", "Octubre", "Noviembre"}, 0))
), 'BD Asesor'!L854, "")
</f>
        <v/>
      </c>
    </row>
    <row r="855">
      <c r="C855" s="84" t="str">
        <f t="array" ref="C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Asesor'!A855, "")
</f>
        <v/>
      </c>
      <c r="D855" s="84" t="str">
        <f t="array" ref="D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Asesor'!B855, "")
</f>
        <v/>
      </c>
      <c r="E855" s="212" t="str">
        <f t="array" ref="E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Asesor'!C855, "")
</f>
        <v/>
      </c>
      <c r="F855" s="212" t="str">
        <f t="array" ref="F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Asesor'!D855, "")
</f>
        <v/>
      </c>
      <c r="G855" s="212" t="str">
        <f t="array" ref="G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Asesor'!E855, "")
</f>
        <v/>
      </c>
      <c r="H855" s="84" t="str">
        <f t="array" ref="H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Asesor'!F855, "")
</f>
        <v/>
      </c>
      <c r="I855" s="84" t="str">
        <f t="array" ref="I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Asesor'!G855, "")
</f>
        <v/>
      </c>
      <c r="J855" s="84" t="str">
        <f t="array" ref="J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Asesor'!H855, "")
</f>
        <v/>
      </c>
      <c r="K855" s="84" t="str">
        <f t="array" ref="K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Asesor'!K855, "")
</f>
        <v/>
      </c>
      <c r="L855" s="84" t="str">
        <f t="array" ref="L855">IF(OR(
    AND('BD Asesor'!H855="Mensual", MATCH($B$2, {"Enero", "Febrero", "Marzo", "Abril", "Mayo", "Junio", "Julio", "Agosto", "Septiembre", "Octubre", "Noviembre", "Diciembre"}, 0)&gt;=1),
    AND('BD Asesor'!H855="Trimestral", MOD(MATCH($B$2, {"Enero", "Febrero", "Marzo", "Abril", "Mayo", "Junio", "Julio", "Agosto", "Septiembre", "Octubre", "Noviembre"}, 0)-MONTH('BD Asesor'!D855), 3)=0),
    AND('BD Asesor'!H855="Semestral", MOD(MATCH($B$2, {"Enero", "Febrero", "Marzo", "Abril", "Mayo", "Junio", "Julio", "Agosto", "Septiembre", "Octubre", "Noviembre"}, 0)-MONTH('BD Asesor'!D855), 6)=0),
    AND('BD Asesor'!H855="Anual", MONTH('BD Asesor'!D855)=MATCH($B$2, {"Enero", "Febrero", "Marzo", "Abril", "Mayo", "Junio", "Julio", "Agosto", "Septiembre", "Octubre", "Noviembre"}, 0))
), 'BD Asesor'!L855, "")
</f>
        <v/>
      </c>
    </row>
    <row r="856">
      <c r="C856" s="84" t="str">
        <f t="array" ref="C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Asesor'!A856, "")
</f>
        <v/>
      </c>
      <c r="D856" s="84" t="str">
        <f t="array" ref="D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Asesor'!B856, "")
</f>
        <v/>
      </c>
      <c r="E856" s="212" t="str">
        <f t="array" ref="E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Asesor'!C856, "")
</f>
        <v/>
      </c>
      <c r="F856" s="212" t="str">
        <f t="array" ref="F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Asesor'!D856, "")
</f>
        <v/>
      </c>
      <c r="G856" s="212" t="str">
        <f t="array" ref="G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Asesor'!E856, "")
</f>
        <v/>
      </c>
      <c r="H856" s="84" t="str">
        <f t="array" ref="H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Asesor'!F856, "")
</f>
        <v/>
      </c>
      <c r="I856" s="84" t="str">
        <f t="array" ref="I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Asesor'!G856, "")
</f>
        <v/>
      </c>
      <c r="J856" s="84" t="str">
        <f t="array" ref="J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Asesor'!H856, "")
</f>
        <v/>
      </c>
      <c r="K856" s="84" t="str">
        <f t="array" ref="K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Asesor'!K856, "")
</f>
        <v/>
      </c>
      <c r="L856" s="84" t="str">
        <f t="array" ref="L856">IF(OR(
    AND('BD Asesor'!H856="Mensual", MATCH($B$2, {"Enero", "Febrero", "Marzo", "Abril", "Mayo", "Junio", "Julio", "Agosto", "Septiembre", "Octubre", "Noviembre", "Diciembre"}, 0)&gt;=1),
    AND('BD Asesor'!H856="Trimestral", MOD(MATCH($B$2, {"Enero", "Febrero", "Marzo", "Abril", "Mayo", "Junio", "Julio", "Agosto", "Septiembre", "Octubre", "Noviembre"}, 0)-MONTH('BD Asesor'!D856), 3)=0),
    AND('BD Asesor'!H856="Semestral", MOD(MATCH($B$2, {"Enero", "Febrero", "Marzo", "Abril", "Mayo", "Junio", "Julio", "Agosto", "Septiembre", "Octubre", "Noviembre"}, 0)-MONTH('BD Asesor'!D856), 6)=0),
    AND('BD Asesor'!H856="Anual", MONTH('BD Asesor'!D856)=MATCH($B$2, {"Enero", "Febrero", "Marzo", "Abril", "Mayo", "Junio", "Julio", "Agosto", "Septiembre", "Octubre", "Noviembre"}, 0))
), 'BD Asesor'!L856, "")
</f>
        <v/>
      </c>
    </row>
    <row r="857">
      <c r="C857" s="84" t="str">
        <f t="array" ref="C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Asesor'!A857, "")
</f>
        <v/>
      </c>
      <c r="D857" s="84" t="str">
        <f t="array" ref="D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Asesor'!B857, "")
</f>
        <v/>
      </c>
      <c r="E857" s="212" t="str">
        <f t="array" ref="E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Asesor'!C857, "")
</f>
        <v/>
      </c>
      <c r="F857" s="212" t="str">
        <f t="array" ref="F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Asesor'!D857, "")
</f>
        <v/>
      </c>
      <c r="G857" s="212" t="str">
        <f t="array" ref="G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Asesor'!E857, "")
</f>
        <v/>
      </c>
      <c r="H857" s="84" t="str">
        <f t="array" ref="H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Asesor'!F857, "")
</f>
        <v/>
      </c>
      <c r="I857" s="84" t="str">
        <f t="array" ref="I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Asesor'!G857, "")
</f>
        <v/>
      </c>
      <c r="J857" s="84" t="str">
        <f t="array" ref="J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Asesor'!H857, "")
</f>
        <v/>
      </c>
      <c r="K857" s="84" t="str">
        <f t="array" ref="K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Asesor'!K857, "")
</f>
        <v/>
      </c>
      <c r="L857" s="84" t="str">
        <f t="array" ref="L857">IF(OR(
    AND('BD Asesor'!H857="Mensual", MATCH($B$2, {"Enero", "Febrero", "Marzo", "Abril", "Mayo", "Junio", "Julio", "Agosto", "Septiembre", "Octubre", "Noviembre", "Diciembre"}, 0)&gt;=1),
    AND('BD Asesor'!H857="Trimestral", MOD(MATCH($B$2, {"Enero", "Febrero", "Marzo", "Abril", "Mayo", "Junio", "Julio", "Agosto", "Septiembre", "Octubre", "Noviembre"}, 0)-MONTH('BD Asesor'!D857), 3)=0),
    AND('BD Asesor'!H857="Semestral", MOD(MATCH($B$2, {"Enero", "Febrero", "Marzo", "Abril", "Mayo", "Junio", "Julio", "Agosto", "Septiembre", "Octubre", "Noviembre"}, 0)-MONTH('BD Asesor'!D857), 6)=0),
    AND('BD Asesor'!H857="Anual", MONTH('BD Asesor'!D857)=MATCH($B$2, {"Enero", "Febrero", "Marzo", "Abril", "Mayo", "Junio", "Julio", "Agosto", "Septiembre", "Octubre", "Noviembre"}, 0))
), 'BD Asesor'!L857, "")
</f>
        <v/>
      </c>
    </row>
    <row r="858">
      <c r="C858" s="84" t="str">
        <f t="array" ref="C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Asesor'!A858, "")
</f>
        <v/>
      </c>
      <c r="D858" s="84" t="str">
        <f t="array" ref="D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Asesor'!B858, "")
</f>
        <v/>
      </c>
      <c r="E858" s="212" t="str">
        <f t="array" ref="E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Asesor'!C858, "")
</f>
        <v/>
      </c>
      <c r="F858" s="212" t="str">
        <f t="array" ref="F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Asesor'!D858, "")
</f>
        <v/>
      </c>
      <c r="G858" s="212" t="str">
        <f t="array" ref="G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Asesor'!E858, "")
</f>
        <v/>
      </c>
      <c r="H858" s="84" t="str">
        <f t="array" ref="H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Asesor'!F858, "")
</f>
        <v/>
      </c>
      <c r="I858" s="84" t="str">
        <f t="array" ref="I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Asesor'!G858, "")
</f>
        <v/>
      </c>
      <c r="J858" s="84" t="str">
        <f t="array" ref="J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Asesor'!H858, "")
</f>
        <v/>
      </c>
      <c r="K858" s="84" t="str">
        <f t="array" ref="K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Asesor'!K858, "")
</f>
        <v/>
      </c>
      <c r="L858" s="84" t="str">
        <f t="array" ref="L858">IF(OR(
    AND('BD Asesor'!H858="Mensual", MATCH($B$2, {"Enero", "Febrero", "Marzo", "Abril", "Mayo", "Junio", "Julio", "Agosto", "Septiembre", "Octubre", "Noviembre", "Diciembre"}, 0)&gt;=1),
    AND('BD Asesor'!H858="Trimestral", MOD(MATCH($B$2, {"Enero", "Febrero", "Marzo", "Abril", "Mayo", "Junio", "Julio", "Agosto", "Septiembre", "Octubre", "Noviembre"}, 0)-MONTH('BD Asesor'!D858), 3)=0),
    AND('BD Asesor'!H858="Semestral", MOD(MATCH($B$2, {"Enero", "Febrero", "Marzo", "Abril", "Mayo", "Junio", "Julio", "Agosto", "Septiembre", "Octubre", "Noviembre"}, 0)-MONTH('BD Asesor'!D858), 6)=0),
    AND('BD Asesor'!H858="Anual", MONTH('BD Asesor'!D858)=MATCH($B$2, {"Enero", "Febrero", "Marzo", "Abril", "Mayo", "Junio", "Julio", "Agosto", "Septiembre", "Octubre", "Noviembre"}, 0))
), 'BD Asesor'!L858, "")
</f>
        <v/>
      </c>
    </row>
    <row r="859">
      <c r="C859" s="84" t="str">
        <f t="array" ref="C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Asesor'!A859, "")
</f>
        <v/>
      </c>
      <c r="D859" s="84" t="str">
        <f t="array" ref="D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Asesor'!B859, "")
</f>
        <v/>
      </c>
      <c r="E859" s="212" t="str">
        <f t="array" ref="E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Asesor'!C859, "")
</f>
        <v/>
      </c>
      <c r="F859" s="212" t="str">
        <f t="array" ref="F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Asesor'!D859, "")
</f>
        <v/>
      </c>
      <c r="G859" s="212" t="str">
        <f t="array" ref="G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Asesor'!E859, "")
</f>
        <v/>
      </c>
      <c r="H859" s="84" t="str">
        <f t="array" ref="H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Asesor'!F859, "")
</f>
        <v/>
      </c>
      <c r="I859" s="84" t="str">
        <f t="array" ref="I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Asesor'!G859, "")
</f>
        <v/>
      </c>
      <c r="J859" s="84" t="str">
        <f t="array" ref="J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Asesor'!H859, "")
</f>
        <v/>
      </c>
      <c r="K859" s="84" t="str">
        <f t="array" ref="K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Asesor'!K859, "")
</f>
        <v/>
      </c>
      <c r="L859" s="84" t="str">
        <f t="array" ref="L859">IF(OR(
    AND('BD Asesor'!H859="Mensual", MATCH($B$2, {"Enero", "Febrero", "Marzo", "Abril", "Mayo", "Junio", "Julio", "Agosto", "Septiembre", "Octubre", "Noviembre", "Diciembre"}, 0)&gt;=1),
    AND('BD Asesor'!H859="Trimestral", MOD(MATCH($B$2, {"Enero", "Febrero", "Marzo", "Abril", "Mayo", "Junio", "Julio", "Agosto", "Septiembre", "Octubre", "Noviembre"}, 0)-MONTH('BD Asesor'!D859), 3)=0),
    AND('BD Asesor'!H859="Semestral", MOD(MATCH($B$2, {"Enero", "Febrero", "Marzo", "Abril", "Mayo", "Junio", "Julio", "Agosto", "Septiembre", "Octubre", "Noviembre"}, 0)-MONTH('BD Asesor'!D859), 6)=0),
    AND('BD Asesor'!H859="Anual", MONTH('BD Asesor'!D859)=MATCH($B$2, {"Enero", "Febrero", "Marzo", "Abril", "Mayo", "Junio", "Julio", "Agosto", "Septiembre", "Octubre", "Noviembre"}, 0))
), 'BD Asesor'!L859, "")
</f>
        <v/>
      </c>
    </row>
    <row r="860">
      <c r="C860" s="84" t="str">
        <f t="array" ref="C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Asesor'!A860, "")
</f>
        <v/>
      </c>
      <c r="D860" s="84" t="str">
        <f t="array" ref="D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Asesor'!B860, "")
</f>
        <v/>
      </c>
      <c r="E860" s="212" t="str">
        <f t="array" ref="E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Asesor'!C860, "")
</f>
        <v/>
      </c>
      <c r="F860" s="212" t="str">
        <f t="array" ref="F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Asesor'!D860, "")
</f>
        <v/>
      </c>
      <c r="G860" s="212" t="str">
        <f t="array" ref="G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Asesor'!E860, "")
</f>
        <v/>
      </c>
      <c r="H860" s="84" t="str">
        <f t="array" ref="H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Asesor'!F860, "")
</f>
        <v/>
      </c>
      <c r="I860" s="84" t="str">
        <f t="array" ref="I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Asesor'!G860, "")
</f>
        <v/>
      </c>
      <c r="J860" s="84" t="str">
        <f t="array" ref="J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Asesor'!H860, "")
</f>
        <v/>
      </c>
      <c r="K860" s="84" t="str">
        <f t="array" ref="K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Asesor'!K860, "")
</f>
        <v/>
      </c>
      <c r="L860" s="84" t="str">
        <f t="array" ref="L860">IF(OR(
    AND('BD Asesor'!H860="Mensual", MATCH($B$2, {"Enero", "Febrero", "Marzo", "Abril", "Mayo", "Junio", "Julio", "Agosto", "Septiembre", "Octubre", "Noviembre", "Diciembre"}, 0)&gt;=1),
    AND('BD Asesor'!H860="Trimestral", MOD(MATCH($B$2, {"Enero", "Febrero", "Marzo", "Abril", "Mayo", "Junio", "Julio", "Agosto", "Septiembre", "Octubre", "Noviembre"}, 0)-MONTH('BD Asesor'!D860), 3)=0),
    AND('BD Asesor'!H860="Semestral", MOD(MATCH($B$2, {"Enero", "Febrero", "Marzo", "Abril", "Mayo", "Junio", "Julio", "Agosto", "Septiembre", "Octubre", "Noviembre"}, 0)-MONTH('BD Asesor'!D860), 6)=0),
    AND('BD Asesor'!H860="Anual", MONTH('BD Asesor'!D860)=MATCH($B$2, {"Enero", "Febrero", "Marzo", "Abril", "Mayo", "Junio", "Julio", "Agosto", "Septiembre", "Octubre", "Noviembre"}, 0))
), 'BD Asesor'!L860, "")
</f>
        <v/>
      </c>
    </row>
    <row r="861">
      <c r="C861" s="84" t="str">
        <f t="array" ref="C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Asesor'!A861, "")
</f>
        <v/>
      </c>
      <c r="D861" s="84" t="str">
        <f t="array" ref="D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Asesor'!B861, "")
</f>
        <v/>
      </c>
      <c r="E861" s="212" t="str">
        <f t="array" ref="E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Asesor'!C861, "")
</f>
        <v/>
      </c>
      <c r="F861" s="212" t="str">
        <f t="array" ref="F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Asesor'!D861, "")
</f>
        <v/>
      </c>
      <c r="G861" s="212" t="str">
        <f t="array" ref="G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Asesor'!E861, "")
</f>
        <v/>
      </c>
      <c r="H861" s="84" t="str">
        <f t="array" ref="H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Asesor'!F861, "")
</f>
        <v/>
      </c>
      <c r="I861" s="84" t="str">
        <f t="array" ref="I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Asesor'!G861, "")
</f>
        <v/>
      </c>
      <c r="J861" s="84" t="str">
        <f t="array" ref="J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Asesor'!H861, "")
</f>
        <v/>
      </c>
      <c r="K861" s="84" t="str">
        <f t="array" ref="K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Asesor'!K861, "")
</f>
        <v/>
      </c>
      <c r="L861" s="84" t="str">
        <f t="array" ref="L861">IF(OR(
    AND('BD Asesor'!H861="Mensual", MATCH($B$2, {"Enero", "Febrero", "Marzo", "Abril", "Mayo", "Junio", "Julio", "Agosto", "Septiembre", "Octubre", "Noviembre", "Diciembre"}, 0)&gt;=1),
    AND('BD Asesor'!H861="Trimestral", MOD(MATCH($B$2, {"Enero", "Febrero", "Marzo", "Abril", "Mayo", "Junio", "Julio", "Agosto", "Septiembre", "Octubre", "Noviembre"}, 0)-MONTH('BD Asesor'!D861), 3)=0),
    AND('BD Asesor'!H861="Semestral", MOD(MATCH($B$2, {"Enero", "Febrero", "Marzo", "Abril", "Mayo", "Junio", "Julio", "Agosto", "Septiembre", "Octubre", "Noviembre"}, 0)-MONTH('BD Asesor'!D861), 6)=0),
    AND('BD Asesor'!H861="Anual", MONTH('BD Asesor'!D861)=MATCH($B$2, {"Enero", "Febrero", "Marzo", "Abril", "Mayo", "Junio", "Julio", "Agosto", "Septiembre", "Octubre", "Noviembre"}, 0))
), 'BD Asesor'!L861, "")
</f>
        <v/>
      </c>
    </row>
    <row r="862">
      <c r="C862" s="84" t="str">
        <f t="array" ref="C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Asesor'!A862, "")
</f>
        <v/>
      </c>
      <c r="D862" s="84" t="str">
        <f t="array" ref="D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Asesor'!B862, "")
</f>
        <v/>
      </c>
      <c r="E862" s="212" t="str">
        <f t="array" ref="E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Asesor'!C862, "")
</f>
        <v/>
      </c>
      <c r="F862" s="212" t="str">
        <f t="array" ref="F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Asesor'!D862, "")
</f>
        <v/>
      </c>
      <c r="G862" s="212" t="str">
        <f t="array" ref="G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Asesor'!E862, "")
</f>
        <v/>
      </c>
      <c r="H862" s="84" t="str">
        <f t="array" ref="H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Asesor'!F862, "")
</f>
        <v/>
      </c>
      <c r="I862" s="84" t="str">
        <f t="array" ref="I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Asesor'!G862, "")
</f>
        <v/>
      </c>
      <c r="J862" s="84" t="str">
        <f t="array" ref="J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Asesor'!H862, "")
</f>
        <v/>
      </c>
      <c r="K862" s="84" t="str">
        <f t="array" ref="K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Asesor'!K862, "")
</f>
        <v/>
      </c>
      <c r="L862" s="84" t="str">
        <f t="array" ref="L862">IF(OR(
    AND('BD Asesor'!H862="Mensual", MATCH($B$2, {"Enero", "Febrero", "Marzo", "Abril", "Mayo", "Junio", "Julio", "Agosto", "Septiembre", "Octubre", "Noviembre", "Diciembre"}, 0)&gt;=1),
    AND('BD Asesor'!H862="Trimestral", MOD(MATCH($B$2, {"Enero", "Febrero", "Marzo", "Abril", "Mayo", "Junio", "Julio", "Agosto", "Septiembre", "Octubre", "Noviembre"}, 0)-MONTH('BD Asesor'!D862), 3)=0),
    AND('BD Asesor'!H862="Semestral", MOD(MATCH($B$2, {"Enero", "Febrero", "Marzo", "Abril", "Mayo", "Junio", "Julio", "Agosto", "Septiembre", "Octubre", "Noviembre"}, 0)-MONTH('BD Asesor'!D862), 6)=0),
    AND('BD Asesor'!H862="Anual", MONTH('BD Asesor'!D862)=MATCH($B$2, {"Enero", "Febrero", "Marzo", "Abril", "Mayo", "Junio", "Julio", "Agosto", "Septiembre", "Octubre", "Noviembre"}, 0))
), 'BD Asesor'!L862, "")
</f>
        <v/>
      </c>
    </row>
    <row r="863">
      <c r="C863" s="84" t="str">
        <f t="array" ref="C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Asesor'!A863, "")
</f>
        <v/>
      </c>
      <c r="D863" s="84" t="str">
        <f t="array" ref="D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Asesor'!B863, "")
</f>
        <v/>
      </c>
      <c r="E863" s="212" t="str">
        <f t="array" ref="E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Asesor'!C863, "")
</f>
        <v/>
      </c>
      <c r="F863" s="212" t="str">
        <f t="array" ref="F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Asesor'!D863, "")
</f>
        <v/>
      </c>
      <c r="G863" s="212" t="str">
        <f t="array" ref="G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Asesor'!E863, "")
</f>
        <v/>
      </c>
      <c r="H863" s="84" t="str">
        <f t="array" ref="H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Asesor'!F863, "")
</f>
        <v/>
      </c>
      <c r="I863" s="84" t="str">
        <f t="array" ref="I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Asesor'!G863, "")
</f>
        <v/>
      </c>
      <c r="J863" s="84" t="str">
        <f t="array" ref="J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Asesor'!H863, "")
</f>
        <v/>
      </c>
      <c r="K863" s="84" t="str">
        <f t="array" ref="K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Asesor'!K863, "")
</f>
        <v/>
      </c>
      <c r="L863" s="84" t="str">
        <f t="array" ref="L863">IF(OR(
    AND('BD Asesor'!H863="Mensual", MATCH($B$2, {"Enero", "Febrero", "Marzo", "Abril", "Mayo", "Junio", "Julio", "Agosto", "Septiembre", "Octubre", "Noviembre", "Diciembre"}, 0)&gt;=1),
    AND('BD Asesor'!H863="Trimestral", MOD(MATCH($B$2, {"Enero", "Febrero", "Marzo", "Abril", "Mayo", "Junio", "Julio", "Agosto", "Septiembre", "Octubre", "Noviembre"}, 0)-MONTH('BD Asesor'!D863), 3)=0),
    AND('BD Asesor'!H863="Semestral", MOD(MATCH($B$2, {"Enero", "Febrero", "Marzo", "Abril", "Mayo", "Junio", "Julio", "Agosto", "Septiembre", "Octubre", "Noviembre"}, 0)-MONTH('BD Asesor'!D863), 6)=0),
    AND('BD Asesor'!H863="Anual", MONTH('BD Asesor'!D863)=MATCH($B$2, {"Enero", "Febrero", "Marzo", "Abril", "Mayo", "Junio", "Julio", "Agosto", "Septiembre", "Octubre", "Noviembre"}, 0))
), 'BD Asesor'!L863, "")
</f>
        <v/>
      </c>
    </row>
    <row r="864">
      <c r="C864" s="84" t="str">
        <f t="array" ref="C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Asesor'!A864, "")
</f>
        <v/>
      </c>
      <c r="D864" s="84" t="str">
        <f t="array" ref="D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Asesor'!B864, "")
</f>
        <v/>
      </c>
      <c r="E864" s="212" t="str">
        <f t="array" ref="E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Asesor'!C864, "")
</f>
        <v/>
      </c>
      <c r="F864" s="212" t="str">
        <f t="array" ref="F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Asesor'!D864, "")
</f>
        <v/>
      </c>
      <c r="G864" s="212" t="str">
        <f t="array" ref="G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Asesor'!E864, "")
</f>
        <v/>
      </c>
      <c r="H864" s="84" t="str">
        <f t="array" ref="H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Asesor'!F864, "")
</f>
        <v/>
      </c>
      <c r="I864" s="84" t="str">
        <f t="array" ref="I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Asesor'!G864, "")
</f>
        <v/>
      </c>
      <c r="J864" s="84" t="str">
        <f t="array" ref="J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Asesor'!H864, "")
</f>
        <v/>
      </c>
      <c r="K864" s="84" t="str">
        <f t="array" ref="K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Asesor'!K864, "")
</f>
        <v/>
      </c>
      <c r="L864" s="84" t="str">
        <f t="array" ref="L864">IF(OR(
    AND('BD Asesor'!H864="Mensual", MATCH($B$2, {"Enero", "Febrero", "Marzo", "Abril", "Mayo", "Junio", "Julio", "Agosto", "Septiembre", "Octubre", "Noviembre", "Diciembre"}, 0)&gt;=1),
    AND('BD Asesor'!H864="Trimestral", MOD(MATCH($B$2, {"Enero", "Febrero", "Marzo", "Abril", "Mayo", "Junio", "Julio", "Agosto", "Septiembre", "Octubre", "Noviembre"}, 0)-MONTH('BD Asesor'!D864), 3)=0),
    AND('BD Asesor'!H864="Semestral", MOD(MATCH($B$2, {"Enero", "Febrero", "Marzo", "Abril", "Mayo", "Junio", "Julio", "Agosto", "Septiembre", "Octubre", "Noviembre"}, 0)-MONTH('BD Asesor'!D864), 6)=0),
    AND('BD Asesor'!H864="Anual", MONTH('BD Asesor'!D864)=MATCH($B$2, {"Enero", "Febrero", "Marzo", "Abril", "Mayo", "Junio", "Julio", "Agosto", "Septiembre", "Octubre", "Noviembre"}, 0))
), 'BD Asesor'!L864, "")
</f>
        <v/>
      </c>
    </row>
    <row r="865">
      <c r="C865" s="84" t="str">
        <f t="array" ref="C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Asesor'!A865, "")
</f>
        <v/>
      </c>
      <c r="D865" s="84" t="str">
        <f t="array" ref="D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Asesor'!B865, "")
</f>
        <v/>
      </c>
      <c r="E865" s="212" t="str">
        <f t="array" ref="E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Asesor'!C865, "")
</f>
        <v/>
      </c>
      <c r="F865" s="212" t="str">
        <f t="array" ref="F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Asesor'!D865, "")
</f>
        <v/>
      </c>
      <c r="G865" s="212" t="str">
        <f t="array" ref="G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Asesor'!E865, "")
</f>
        <v/>
      </c>
      <c r="H865" s="84" t="str">
        <f t="array" ref="H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Asesor'!F865, "")
</f>
        <v/>
      </c>
      <c r="I865" s="84" t="str">
        <f t="array" ref="I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Asesor'!G865, "")
</f>
        <v/>
      </c>
      <c r="J865" s="84" t="str">
        <f t="array" ref="J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Asesor'!H865, "")
</f>
        <v/>
      </c>
      <c r="K865" s="84" t="str">
        <f t="array" ref="K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Asesor'!K865, "")
</f>
        <v/>
      </c>
      <c r="L865" s="84" t="str">
        <f t="array" ref="L865">IF(OR(
    AND('BD Asesor'!H865="Mensual", MATCH($B$2, {"Enero", "Febrero", "Marzo", "Abril", "Mayo", "Junio", "Julio", "Agosto", "Septiembre", "Octubre", "Noviembre", "Diciembre"}, 0)&gt;=1),
    AND('BD Asesor'!H865="Trimestral", MOD(MATCH($B$2, {"Enero", "Febrero", "Marzo", "Abril", "Mayo", "Junio", "Julio", "Agosto", "Septiembre", "Octubre", "Noviembre"}, 0)-MONTH('BD Asesor'!D865), 3)=0),
    AND('BD Asesor'!H865="Semestral", MOD(MATCH($B$2, {"Enero", "Febrero", "Marzo", "Abril", "Mayo", "Junio", "Julio", "Agosto", "Septiembre", "Octubre", "Noviembre"}, 0)-MONTH('BD Asesor'!D865), 6)=0),
    AND('BD Asesor'!H865="Anual", MONTH('BD Asesor'!D865)=MATCH($B$2, {"Enero", "Febrero", "Marzo", "Abril", "Mayo", "Junio", "Julio", "Agosto", "Septiembre", "Octubre", "Noviembre"}, 0))
), 'BD Asesor'!L865, "")
</f>
        <v/>
      </c>
    </row>
    <row r="866">
      <c r="C866" s="84" t="str">
        <f t="array" ref="C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Asesor'!A866, "")
</f>
        <v/>
      </c>
      <c r="D866" s="84" t="str">
        <f t="array" ref="D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Asesor'!B866, "")
</f>
        <v/>
      </c>
      <c r="E866" s="212" t="str">
        <f t="array" ref="E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Asesor'!C866, "")
</f>
        <v/>
      </c>
      <c r="F866" s="212" t="str">
        <f t="array" ref="F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Asesor'!D866, "")
</f>
        <v/>
      </c>
      <c r="G866" s="212" t="str">
        <f t="array" ref="G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Asesor'!E866, "")
</f>
        <v/>
      </c>
      <c r="H866" s="84" t="str">
        <f t="array" ref="H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Asesor'!F866, "")
</f>
        <v/>
      </c>
      <c r="I866" s="84" t="str">
        <f t="array" ref="I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Asesor'!G866, "")
</f>
        <v/>
      </c>
      <c r="J866" s="84" t="str">
        <f t="array" ref="J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Asesor'!H866, "")
</f>
        <v/>
      </c>
      <c r="K866" s="84" t="str">
        <f t="array" ref="K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Asesor'!K866, "")
</f>
        <v/>
      </c>
      <c r="L866" s="84" t="str">
        <f t="array" ref="L866">IF(OR(
    AND('BD Asesor'!H866="Mensual", MATCH($B$2, {"Enero", "Febrero", "Marzo", "Abril", "Mayo", "Junio", "Julio", "Agosto", "Septiembre", "Octubre", "Noviembre", "Diciembre"}, 0)&gt;=1),
    AND('BD Asesor'!H866="Trimestral", MOD(MATCH($B$2, {"Enero", "Febrero", "Marzo", "Abril", "Mayo", "Junio", "Julio", "Agosto", "Septiembre", "Octubre", "Noviembre"}, 0)-MONTH('BD Asesor'!D866), 3)=0),
    AND('BD Asesor'!H866="Semestral", MOD(MATCH($B$2, {"Enero", "Febrero", "Marzo", "Abril", "Mayo", "Junio", "Julio", "Agosto", "Septiembre", "Octubre", "Noviembre"}, 0)-MONTH('BD Asesor'!D866), 6)=0),
    AND('BD Asesor'!H866="Anual", MONTH('BD Asesor'!D866)=MATCH($B$2, {"Enero", "Febrero", "Marzo", "Abril", "Mayo", "Junio", "Julio", "Agosto", "Septiembre", "Octubre", "Noviembre"}, 0))
), 'BD Asesor'!L866, "")
</f>
        <v/>
      </c>
    </row>
    <row r="867">
      <c r="C867" s="84" t="str">
        <f t="array" ref="C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Asesor'!A867, "")
</f>
        <v/>
      </c>
      <c r="D867" s="84" t="str">
        <f t="array" ref="D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Asesor'!B867, "")
</f>
        <v/>
      </c>
      <c r="E867" s="212" t="str">
        <f t="array" ref="E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Asesor'!C867, "")
</f>
        <v/>
      </c>
      <c r="F867" s="212" t="str">
        <f t="array" ref="F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Asesor'!D867, "")
</f>
        <v/>
      </c>
      <c r="G867" s="212" t="str">
        <f t="array" ref="G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Asesor'!E867, "")
</f>
        <v/>
      </c>
      <c r="H867" s="84" t="str">
        <f t="array" ref="H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Asesor'!F867, "")
</f>
        <v/>
      </c>
      <c r="I867" s="84" t="str">
        <f t="array" ref="I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Asesor'!G867, "")
</f>
        <v/>
      </c>
      <c r="J867" s="84" t="str">
        <f t="array" ref="J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Asesor'!H867, "")
</f>
        <v/>
      </c>
      <c r="K867" s="84" t="str">
        <f t="array" ref="K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Asesor'!K867, "")
</f>
        <v/>
      </c>
      <c r="L867" s="84" t="str">
        <f t="array" ref="L867">IF(OR(
    AND('BD Asesor'!H867="Mensual", MATCH($B$2, {"Enero", "Febrero", "Marzo", "Abril", "Mayo", "Junio", "Julio", "Agosto", "Septiembre", "Octubre", "Noviembre", "Diciembre"}, 0)&gt;=1),
    AND('BD Asesor'!H867="Trimestral", MOD(MATCH($B$2, {"Enero", "Febrero", "Marzo", "Abril", "Mayo", "Junio", "Julio", "Agosto", "Septiembre", "Octubre", "Noviembre"}, 0)-MONTH('BD Asesor'!D867), 3)=0),
    AND('BD Asesor'!H867="Semestral", MOD(MATCH($B$2, {"Enero", "Febrero", "Marzo", "Abril", "Mayo", "Junio", "Julio", "Agosto", "Septiembre", "Octubre", "Noviembre"}, 0)-MONTH('BD Asesor'!D867), 6)=0),
    AND('BD Asesor'!H867="Anual", MONTH('BD Asesor'!D867)=MATCH($B$2, {"Enero", "Febrero", "Marzo", "Abril", "Mayo", "Junio", "Julio", "Agosto", "Septiembre", "Octubre", "Noviembre"}, 0))
), 'BD Asesor'!L867, "")
</f>
        <v/>
      </c>
    </row>
    <row r="868">
      <c r="C868" s="84" t="str">
        <f t="array" ref="C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Asesor'!A868, "")
</f>
        <v/>
      </c>
      <c r="D868" s="84" t="str">
        <f t="array" ref="D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Asesor'!B868, "")
</f>
        <v/>
      </c>
      <c r="E868" s="212" t="str">
        <f t="array" ref="E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Asesor'!C868, "")
</f>
        <v/>
      </c>
      <c r="F868" s="212" t="str">
        <f t="array" ref="F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Asesor'!D868, "")
</f>
        <v/>
      </c>
      <c r="G868" s="212" t="str">
        <f t="array" ref="G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Asesor'!E868, "")
</f>
        <v/>
      </c>
      <c r="H868" s="84" t="str">
        <f t="array" ref="H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Asesor'!F868, "")
</f>
        <v/>
      </c>
      <c r="I868" s="84" t="str">
        <f t="array" ref="I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Asesor'!G868, "")
</f>
        <v/>
      </c>
      <c r="J868" s="84" t="str">
        <f t="array" ref="J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Asesor'!H868, "")
</f>
        <v/>
      </c>
      <c r="K868" s="84" t="str">
        <f t="array" ref="K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Asesor'!K868, "")
</f>
        <v/>
      </c>
      <c r="L868" s="84" t="str">
        <f t="array" ref="L868">IF(OR(
    AND('BD Asesor'!H868="Mensual", MATCH($B$2, {"Enero", "Febrero", "Marzo", "Abril", "Mayo", "Junio", "Julio", "Agosto", "Septiembre", "Octubre", "Noviembre", "Diciembre"}, 0)&gt;=1),
    AND('BD Asesor'!H868="Trimestral", MOD(MATCH($B$2, {"Enero", "Febrero", "Marzo", "Abril", "Mayo", "Junio", "Julio", "Agosto", "Septiembre", "Octubre", "Noviembre"}, 0)-MONTH('BD Asesor'!D868), 3)=0),
    AND('BD Asesor'!H868="Semestral", MOD(MATCH($B$2, {"Enero", "Febrero", "Marzo", "Abril", "Mayo", "Junio", "Julio", "Agosto", "Septiembre", "Octubre", "Noviembre"}, 0)-MONTH('BD Asesor'!D868), 6)=0),
    AND('BD Asesor'!H868="Anual", MONTH('BD Asesor'!D868)=MATCH($B$2, {"Enero", "Febrero", "Marzo", "Abril", "Mayo", "Junio", "Julio", "Agosto", "Septiembre", "Octubre", "Noviembre"}, 0))
), 'BD Asesor'!L868, "")
</f>
        <v/>
      </c>
    </row>
    <row r="869">
      <c r="C869" s="84" t="str">
        <f t="array" ref="C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Asesor'!A869, "")
</f>
        <v/>
      </c>
      <c r="D869" s="84" t="str">
        <f t="array" ref="D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Asesor'!B869, "")
</f>
        <v/>
      </c>
      <c r="E869" s="212" t="str">
        <f t="array" ref="E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Asesor'!C869, "")
</f>
        <v/>
      </c>
      <c r="F869" s="212" t="str">
        <f t="array" ref="F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Asesor'!D869, "")
</f>
        <v/>
      </c>
      <c r="G869" s="212" t="str">
        <f t="array" ref="G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Asesor'!E869, "")
</f>
        <v/>
      </c>
      <c r="H869" s="84" t="str">
        <f t="array" ref="H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Asesor'!F869, "")
</f>
        <v/>
      </c>
      <c r="I869" s="84" t="str">
        <f t="array" ref="I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Asesor'!G869, "")
</f>
        <v/>
      </c>
      <c r="J869" s="84" t="str">
        <f t="array" ref="J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Asesor'!H869, "")
</f>
        <v/>
      </c>
      <c r="K869" s="84" t="str">
        <f t="array" ref="K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Asesor'!K869, "")
</f>
        <v/>
      </c>
      <c r="L869" s="84" t="str">
        <f t="array" ref="L869">IF(OR(
    AND('BD Asesor'!H869="Mensual", MATCH($B$2, {"Enero", "Febrero", "Marzo", "Abril", "Mayo", "Junio", "Julio", "Agosto", "Septiembre", "Octubre", "Noviembre", "Diciembre"}, 0)&gt;=1),
    AND('BD Asesor'!H869="Trimestral", MOD(MATCH($B$2, {"Enero", "Febrero", "Marzo", "Abril", "Mayo", "Junio", "Julio", "Agosto", "Septiembre", "Octubre", "Noviembre"}, 0)-MONTH('BD Asesor'!D869), 3)=0),
    AND('BD Asesor'!H869="Semestral", MOD(MATCH($B$2, {"Enero", "Febrero", "Marzo", "Abril", "Mayo", "Junio", "Julio", "Agosto", "Septiembre", "Octubre", "Noviembre"}, 0)-MONTH('BD Asesor'!D869), 6)=0),
    AND('BD Asesor'!H869="Anual", MONTH('BD Asesor'!D869)=MATCH($B$2, {"Enero", "Febrero", "Marzo", "Abril", "Mayo", "Junio", "Julio", "Agosto", "Septiembre", "Octubre", "Noviembre"}, 0))
), 'BD Asesor'!L869, "")
</f>
        <v/>
      </c>
    </row>
    <row r="870">
      <c r="C870" s="84" t="str">
        <f t="array" ref="C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Asesor'!A870, "")
</f>
        <v/>
      </c>
      <c r="D870" s="84" t="str">
        <f t="array" ref="D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Asesor'!B870, "")
</f>
        <v/>
      </c>
      <c r="E870" s="212" t="str">
        <f t="array" ref="E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Asesor'!C870, "")
</f>
        <v/>
      </c>
      <c r="F870" s="212" t="str">
        <f t="array" ref="F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Asesor'!D870, "")
</f>
        <v/>
      </c>
      <c r="G870" s="212" t="str">
        <f t="array" ref="G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Asesor'!E870, "")
</f>
        <v/>
      </c>
      <c r="H870" s="84" t="str">
        <f t="array" ref="H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Asesor'!F870, "")
</f>
        <v/>
      </c>
      <c r="I870" s="84" t="str">
        <f t="array" ref="I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Asesor'!G870, "")
</f>
        <v/>
      </c>
      <c r="J870" s="84" t="str">
        <f t="array" ref="J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Asesor'!H870, "")
</f>
        <v/>
      </c>
      <c r="K870" s="84" t="str">
        <f t="array" ref="K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Asesor'!K870, "")
</f>
        <v/>
      </c>
      <c r="L870" s="84" t="str">
        <f t="array" ref="L870">IF(OR(
    AND('BD Asesor'!H870="Mensual", MATCH($B$2, {"Enero", "Febrero", "Marzo", "Abril", "Mayo", "Junio", "Julio", "Agosto", "Septiembre", "Octubre", "Noviembre", "Diciembre"}, 0)&gt;=1),
    AND('BD Asesor'!H870="Trimestral", MOD(MATCH($B$2, {"Enero", "Febrero", "Marzo", "Abril", "Mayo", "Junio", "Julio", "Agosto", "Septiembre", "Octubre", "Noviembre"}, 0)-MONTH('BD Asesor'!D870), 3)=0),
    AND('BD Asesor'!H870="Semestral", MOD(MATCH($B$2, {"Enero", "Febrero", "Marzo", "Abril", "Mayo", "Junio", "Julio", "Agosto", "Septiembre", "Octubre", "Noviembre"}, 0)-MONTH('BD Asesor'!D870), 6)=0),
    AND('BD Asesor'!H870="Anual", MONTH('BD Asesor'!D870)=MATCH($B$2, {"Enero", "Febrero", "Marzo", "Abril", "Mayo", "Junio", "Julio", "Agosto", "Septiembre", "Octubre", "Noviembre"}, 0))
), 'BD Asesor'!L870, "")
</f>
        <v/>
      </c>
    </row>
    <row r="871">
      <c r="C871" s="84" t="str">
        <f t="array" ref="C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Asesor'!A871, "")
</f>
        <v/>
      </c>
      <c r="D871" s="84" t="str">
        <f t="array" ref="D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Asesor'!B871, "")
</f>
        <v/>
      </c>
      <c r="E871" s="212" t="str">
        <f t="array" ref="E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Asesor'!C871, "")
</f>
        <v/>
      </c>
      <c r="F871" s="212" t="str">
        <f t="array" ref="F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Asesor'!D871, "")
</f>
        <v/>
      </c>
      <c r="G871" s="212" t="str">
        <f t="array" ref="G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Asesor'!E871, "")
</f>
        <v/>
      </c>
      <c r="H871" s="84" t="str">
        <f t="array" ref="H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Asesor'!F871, "")
</f>
        <v/>
      </c>
      <c r="I871" s="84" t="str">
        <f t="array" ref="I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Asesor'!G871, "")
</f>
        <v/>
      </c>
      <c r="J871" s="84" t="str">
        <f t="array" ref="J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Asesor'!H871, "")
</f>
        <v/>
      </c>
      <c r="K871" s="84" t="str">
        <f t="array" ref="K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Asesor'!K871, "")
</f>
        <v/>
      </c>
      <c r="L871" s="84" t="str">
        <f t="array" ref="L871">IF(OR(
    AND('BD Asesor'!H871="Mensual", MATCH($B$2, {"Enero", "Febrero", "Marzo", "Abril", "Mayo", "Junio", "Julio", "Agosto", "Septiembre", "Octubre", "Noviembre", "Diciembre"}, 0)&gt;=1),
    AND('BD Asesor'!H871="Trimestral", MOD(MATCH($B$2, {"Enero", "Febrero", "Marzo", "Abril", "Mayo", "Junio", "Julio", "Agosto", "Septiembre", "Octubre", "Noviembre"}, 0)-MONTH('BD Asesor'!D871), 3)=0),
    AND('BD Asesor'!H871="Semestral", MOD(MATCH($B$2, {"Enero", "Febrero", "Marzo", "Abril", "Mayo", "Junio", "Julio", "Agosto", "Septiembre", "Octubre", "Noviembre"}, 0)-MONTH('BD Asesor'!D871), 6)=0),
    AND('BD Asesor'!H871="Anual", MONTH('BD Asesor'!D871)=MATCH($B$2, {"Enero", "Febrero", "Marzo", "Abril", "Mayo", "Junio", "Julio", "Agosto", "Septiembre", "Octubre", "Noviembre"}, 0))
), 'BD Asesor'!L871, "")
</f>
        <v/>
      </c>
    </row>
    <row r="872">
      <c r="C872" s="84" t="str">
        <f t="array" ref="C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Asesor'!A872, "")
</f>
        <v/>
      </c>
      <c r="D872" s="84" t="str">
        <f t="array" ref="D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Asesor'!B872, "")
</f>
        <v/>
      </c>
      <c r="E872" s="212" t="str">
        <f t="array" ref="E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Asesor'!C872, "")
</f>
        <v/>
      </c>
      <c r="F872" s="212" t="str">
        <f t="array" ref="F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Asesor'!D872, "")
</f>
        <v/>
      </c>
      <c r="G872" s="212" t="str">
        <f t="array" ref="G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Asesor'!E872, "")
</f>
        <v/>
      </c>
      <c r="H872" s="84" t="str">
        <f t="array" ref="H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Asesor'!F872, "")
</f>
        <v/>
      </c>
      <c r="I872" s="84" t="str">
        <f t="array" ref="I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Asesor'!G872, "")
</f>
        <v/>
      </c>
      <c r="J872" s="84" t="str">
        <f t="array" ref="J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Asesor'!H872, "")
</f>
        <v/>
      </c>
      <c r="K872" s="84" t="str">
        <f t="array" ref="K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Asesor'!K872, "")
</f>
        <v/>
      </c>
      <c r="L872" s="84" t="str">
        <f t="array" ref="L872">IF(OR(
    AND('BD Asesor'!H872="Mensual", MATCH($B$2, {"Enero", "Febrero", "Marzo", "Abril", "Mayo", "Junio", "Julio", "Agosto", "Septiembre", "Octubre", "Noviembre", "Diciembre"}, 0)&gt;=1),
    AND('BD Asesor'!H872="Trimestral", MOD(MATCH($B$2, {"Enero", "Febrero", "Marzo", "Abril", "Mayo", "Junio", "Julio", "Agosto", "Septiembre", "Octubre", "Noviembre"}, 0)-MONTH('BD Asesor'!D872), 3)=0),
    AND('BD Asesor'!H872="Semestral", MOD(MATCH($B$2, {"Enero", "Febrero", "Marzo", "Abril", "Mayo", "Junio", "Julio", "Agosto", "Septiembre", "Octubre", "Noviembre"}, 0)-MONTH('BD Asesor'!D872), 6)=0),
    AND('BD Asesor'!H872="Anual", MONTH('BD Asesor'!D872)=MATCH($B$2, {"Enero", "Febrero", "Marzo", "Abril", "Mayo", "Junio", "Julio", "Agosto", "Septiembre", "Octubre", "Noviembre"}, 0))
), 'BD Asesor'!L872, "")
</f>
        <v/>
      </c>
    </row>
    <row r="873">
      <c r="C873" s="84" t="str">
        <f t="array" ref="C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Asesor'!A873, "")
</f>
        <v/>
      </c>
      <c r="D873" s="84" t="str">
        <f t="array" ref="D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Asesor'!B873, "")
</f>
        <v/>
      </c>
      <c r="E873" s="212" t="str">
        <f t="array" ref="E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Asesor'!C873, "")
</f>
        <v/>
      </c>
      <c r="F873" s="212" t="str">
        <f t="array" ref="F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Asesor'!D873, "")
</f>
        <v/>
      </c>
      <c r="G873" s="212" t="str">
        <f t="array" ref="G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Asesor'!E873, "")
</f>
        <v/>
      </c>
      <c r="H873" s="84" t="str">
        <f t="array" ref="H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Asesor'!F873, "")
</f>
        <v/>
      </c>
      <c r="I873" s="84" t="str">
        <f t="array" ref="I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Asesor'!G873, "")
</f>
        <v/>
      </c>
      <c r="J873" s="84" t="str">
        <f t="array" ref="J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Asesor'!H873, "")
</f>
        <v/>
      </c>
      <c r="K873" s="84" t="str">
        <f t="array" ref="K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Asesor'!K873, "")
</f>
        <v/>
      </c>
      <c r="L873" s="84" t="str">
        <f t="array" ref="L873">IF(OR(
    AND('BD Asesor'!H873="Mensual", MATCH($B$2, {"Enero", "Febrero", "Marzo", "Abril", "Mayo", "Junio", "Julio", "Agosto", "Septiembre", "Octubre", "Noviembre", "Diciembre"}, 0)&gt;=1),
    AND('BD Asesor'!H873="Trimestral", MOD(MATCH($B$2, {"Enero", "Febrero", "Marzo", "Abril", "Mayo", "Junio", "Julio", "Agosto", "Septiembre", "Octubre", "Noviembre"}, 0)-MONTH('BD Asesor'!D873), 3)=0),
    AND('BD Asesor'!H873="Semestral", MOD(MATCH($B$2, {"Enero", "Febrero", "Marzo", "Abril", "Mayo", "Junio", "Julio", "Agosto", "Septiembre", "Octubre", "Noviembre"}, 0)-MONTH('BD Asesor'!D873), 6)=0),
    AND('BD Asesor'!H873="Anual", MONTH('BD Asesor'!D873)=MATCH($B$2, {"Enero", "Febrero", "Marzo", "Abril", "Mayo", "Junio", "Julio", "Agosto", "Septiembre", "Octubre", "Noviembre"}, 0))
), 'BD Asesor'!L873, "")
</f>
        <v/>
      </c>
    </row>
    <row r="874">
      <c r="C874" s="84" t="str">
        <f t="array" ref="C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Asesor'!A874, "")
</f>
        <v/>
      </c>
      <c r="D874" s="84" t="str">
        <f t="array" ref="D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Asesor'!B874, "")
</f>
        <v/>
      </c>
      <c r="E874" s="212" t="str">
        <f t="array" ref="E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Asesor'!C874, "")
</f>
        <v/>
      </c>
      <c r="F874" s="212" t="str">
        <f t="array" ref="F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Asesor'!D874, "")
</f>
        <v/>
      </c>
      <c r="G874" s="212" t="str">
        <f t="array" ref="G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Asesor'!E874, "")
</f>
        <v/>
      </c>
      <c r="H874" s="84" t="str">
        <f t="array" ref="H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Asesor'!F874, "")
</f>
        <v/>
      </c>
      <c r="I874" s="84" t="str">
        <f t="array" ref="I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Asesor'!G874, "")
</f>
        <v/>
      </c>
      <c r="J874" s="84" t="str">
        <f t="array" ref="J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Asesor'!H874, "")
</f>
        <v/>
      </c>
      <c r="K874" s="84" t="str">
        <f t="array" ref="K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Asesor'!K874, "")
</f>
        <v/>
      </c>
      <c r="L874" s="84" t="str">
        <f t="array" ref="L874">IF(OR(
    AND('BD Asesor'!H874="Mensual", MATCH($B$2, {"Enero", "Febrero", "Marzo", "Abril", "Mayo", "Junio", "Julio", "Agosto", "Septiembre", "Octubre", "Noviembre", "Diciembre"}, 0)&gt;=1),
    AND('BD Asesor'!H874="Trimestral", MOD(MATCH($B$2, {"Enero", "Febrero", "Marzo", "Abril", "Mayo", "Junio", "Julio", "Agosto", "Septiembre", "Octubre", "Noviembre"}, 0)-MONTH('BD Asesor'!D874), 3)=0),
    AND('BD Asesor'!H874="Semestral", MOD(MATCH($B$2, {"Enero", "Febrero", "Marzo", "Abril", "Mayo", "Junio", "Julio", "Agosto", "Septiembre", "Octubre", "Noviembre"}, 0)-MONTH('BD Asesor'!D874), 6)=0),
    AND('BD Asesor'!H874="Anual", MONTH('BD Asesor'!D874)=MATCH($B$2, {"Enero", "Febrero", "Marzo", "Abril", "Mayo", "Junio", "Julio", "Agosto", "Septiembre", "Octubre", "Noviembre"}, 0))
), 'BD Asesor'!L874, "")
</f>
        <v/>
      </c>
    </row>
    <row r="875">
      <c r="C875" s="84" t="str">
        <f t="array" ref="C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Asesor'!A875, "")
</f>
        <v/>
      </c>
      <c r="D875" s="84" t="str">
        <f t="array" ref="D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Asesor'!B875, "")
</f>
        <v/>
      </c>
      <c r="E875" s="212" t="str">
        <f t="array" ref="E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Asesor'!C875, "")
</f>
        <v/>
      </c>
      <c r="F875" s="212" t="str">
        <f t="array" ref="F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Asesor'!D875, "")
</f>
        <v/>
      </c>
      <c r="G875" s="212" t="str">
        <f t="array" ref="G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Asesor'!E875, "")
</f>
        <v/>
      </c>
      <c r="H875" s="84" t="str">
        <f t="array" ref="H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Asesor'!F875, "")
</f>
        <v/>
      </c>
      <c r="I875" s="84" t="str">
        <f t="array" ref="I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Asesor'!G875, "")
</f>
        <v/>
      </c>
      <c r="J875" s="84" t="str">
        <f t="array" ref="J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Asesor'!H875, "")
</f>
        <v/>
      </c>
      <c r="K875" s="84" t="str">
        <f t="array" ref="K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Asesor'!K875, "")
</f>
        <v/>
      </c>
      <c r="L875" s="84" t="str">
        <f t="array" ref="L875">IF(OR(
    AND('BD Asesor'!H875="Mensual", MATCH($B$2, {"Enero", "Febrero", "Marzo", "Abril", "Mayo", "Junio", "Julio", "Agosto", "Septiembre", "Octubre", "Noviembre", "Diciembre"}, 0)&gt;=1),
    AND('BD Asesor'!H875="Trimestral", MOD(MATCH($B$2, {"Enero", "Febrero", "Marzo", "Abril", "Mayo", "Junio", "Julio", "Agosto", "Septiembre", "Octubre", "Noviembre"}, 0)-MONTH('BD Asesor'!D875), 3)=0),
    AND('BD Asesor'!H875="Semestral", MOD(MATCH($B$2, {"Enero", "Febrero", "Marzo", "Abril", "Mayo", "Junio", "Julio", "Agosto", "Septiembre", "Octubre", "Noviembre"}, 0)-MONTH('BD Asesor'!D875), 6)=0),
    AND('BD Asesor'!H875="Anual", MONTH('BD Asesor'!D875)=MATCH($B$2, {"Enero", "Febrero", "Marzo", "Abril", "Mayo", "Junio", "Julio", "Agosto", "Septiembre", "Octubre", "Noviembre"}, 0))
), 'BD Asesor'!L875, "")
</f>
        <v/>
      </c>
    </row>
    <row r="876">
      <c r="C876" s="84" t="str">
        <f t="array" ref="C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Asesor'!A876, "")
</f>
        <v/>
      </c>
      <c r="D876" s="84" t="str">
        <f t="array" ref="D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Asesor'!B876, "")
</f>
        <v/>
      </c>
      <c r="E876" s="212" t="str">
        <f t="array" ref="E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Asesor'!C876, "")
</f>
        <v/>
      </c>
      <c r="F876" s="212" t="str">
        <f t="array" ref="F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Asesor'!D876, "")
</f>
        <v/>
      </c>
      <c r="G876" s="212" t="str">
        <f t="array" ref="G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Asesor'!E876, "")
</f>
        <v/>
      </c>
      <c r="H876" s="84" t="str">
        <f t="array" ref="H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Asesor'!F876, "")
</f>
        <v/>
      </c>
      <c r="I876" s="84" t="str">
        <f t="array" ref="I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Asesor'!G876, "")
</f>
        <v/>
      </c>
      <c r="J876" s="84" t="str">
        <f t="array" ref="J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Asesor'!H876, "")
</f>
        <v/>
      </c>
      <c r="K876" s="84" t="str">
        <f t="array" ref="K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Asesor'!K876, "")
</f>
        <v/>
      </c>
      <c r="L876" s="84" t="str">
        <f t="array" ref="L876">IF(OR(
    AND('BD Asesor'!H876="Mensual", MATCH($B$2, {"Enero", "Febrero", "Marzo", "Abril", "Mayo", "Junio", "Julio", "Agosto", "Septiembre", "Octubre", "Noviembre", "Diciembre"}, 0)&gt;=1),
    AND('BD Asesor'!H876="Trimestral", MOD(MATCH($B$2, {"Enero", "Febrero", "Marzo", "Abril", "Mayo", "Junio", "Julio", "Agosto", "Septiembre", "Octubre", "Noviembre"}, 0)-MONTH('BD Asesor'!D876), 3)=0),
    AND('BD Asesor'!H876="Semestral", MOD(MATCH($B$2, {"Enero", "Febrero", "Marzo", "Abril", "Mayo", "Junio", "Julio", "Agosto", "Septiembre", "Octubre", "Noviembre"}, 0)-MONTH('BD Asesor'!D876), 6)=0),
    AND('BD Asesor'!H876="Anual", MONTH('BD Asesor'!D876)=MATCH($B$2, {"Enero", "Febrero", "Marzo", "Abril", "Mayo", "Junio", "Julio", "Agosto", "Septiembre", "Octubre", "Noviembre"}, 0))
), 'BD Asesor'!L876, "")
</f>
        <v/>
      </c>
    </row>
    <row r="877">
      <c r="C877" s="84" t="str">
        <f t="array" ref="C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Asesor'!A877, "")
</f>
        <v/>
      </c>
      <c r="D877" s="84" t="str">
        <f t="array" ref="D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Asesor'!B877, "")
</f>
        <v/>
      </c>
      <c r="E877" s="212" t="str">
        <f t="array" ref="E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Asesor'!C877, "")
</f>
        <v/>
      </c>
      <c r="F877" s="212" t="str">
        <f t="array" ref="F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Asesor'!D877, "")
</f>
        <v/>
      </c>
      <c r="G877" s="212" t="str">
        <f t="array" ref="G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Asesor'!E877, "")
</f>
        <v/>
      </c>
      <c r="H877" s="84" t="str">
        <f t="array" ref="H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Asesor'!F877, "")
</f>
        <v/>
      </c>
      <c r="I877" s="84" t="str">
        <f t="array" ref="I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Asesor'!G877, "")
</f>
        <v/>
      </c>
      <c r="J877" s="84" t="str">
        <f t="array" ref="J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Asesor'!H877, "")
</f>
        <v/>
      </c>
      <c r="K877" s="84" t="str">
        <f t="array" ref="K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Asesor'!K877, "")
</f>
        <v/>
      </c>
      <c r="L877" s="84" t="str">
        <f t="array" ref="L877">IF(OR(
    AND('BD Asesor'!H877="Mensual", MATCH($B$2, {"Enero", "Febrero", "Marzo", "Abril", "Mayo", "Junio", "Julio", "Agosto", "Septiembre", "Octubre", "Noviembre", "Diciembre"}, 0)&gt;=1),
    AND('BD Asesor'!H877="Trimestral", MOD(MATCH($B$2, {"Enero", "Febrero", "Marzo", "Abril", "Mayo", "Junio", "Julio", "Agosto", "Septiembre", "Octubre", "Noviembre"}, 0)-MONTH('BD Asesor'!D877), 3)=0),
    AND('BD Asesor'!H877="Semestral", MOD(MATCH($B$2, {"Enero", "Febrero", "Marzo", "Abril", "Mayo", "Junio", "Julio", "Agosto", "Septiembre", "Octubre", "Noviembre"}, 0)-MONTH('BD Asesor'!D877), 6)=0),
    AND('BD Asesor'!H877="Anual", MONTH('BD Asesor'!D877)=MATCH($B$2, {"Enero", "Febrero", "Marzo", "Abril", "Mayo", "Junio", "Julio", "Agosto", "Septiembre", "Octubre", "Noviembre"}, 0))
), 'BD Asesor'!L877, "")
</f>
        <v/>
      </c>
    </row>
    <row r="878">
      <c r="C878" s="84" t="str">
        <f t="array" ref="C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Asesor'!A878, "")
</f>
        <v/>
      </c>
      <c r="D878" s="84" t="str">
        <f t="array" ref="D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Asesor'!B878, "")
</f>
        <v/>
      </c>
      <c r="E878" s="212" t="str">
        <f t="array" ref="E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Asesor'!C878, "")
</f>
        <v/>
      </c>
      <c r="F878" s="212" t="str">
        <f t="array" ref="F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Asesor'!D878, "")
</f>
        <v/>
      </c>
      <c r="G878" s="212" t="str">
        <f t="array" ref="G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Asesor'!E878, "")
</f>
        <v/>
      </c>
      <c r="H878" s="84" t="str">
        <f t="array" ref="H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Asesor'!F878, "")
</f>
        <v/>
      </c>
      <c r="I878" s="84" t="str">
        <f t="array" ref="I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Asesor'!G878, "")
</f>
        <v/>
      </c>
      <c r="J878" s="84" t="str">
        <f t="array" ref="J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Asesor'!H878, "")
</f>
        <v/>
      </c>
      <c r="K878" s="84" t="str">
        <f t="array" ref="K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Asesor'!K878, "")
</f>
        <v/>
      </c>
      <c r="L878" s="84" t="str">
        <f t="array" ref="L878">IF(OR(
    AND('BD Asesor'!H878="Mensual", MATCH($B$2, {"Enero", "Febrero", "Marzo", "Abril", "Mayo", "Junio", "Julio", "Agosto", "Septiembre", "Octubre", "Noviembre", "Diciembre"}, 0)&gt;=1),
    AND('BD Asesor'!H878="Trimestral", MOD(MATCH($B$2, {"Enero", "Febrero", "Marzo", "Abril", "Mayo", "Junio", "Julio", "Agosto", "Septiembre", "Octubre", "Noviembre"}, 0)-MONTH('BD Asesor'!D878), 3)=0),
    AND('BD Asesor'!H878="Semestral", MOD(MATCH($B$2, {"Enero", "Febrero", "Marzo", "Abril", "Mayo", "Junio", "Julio", "Agosto", "Septiembre", "Octubre", "Noviembre"}, 0)-MONTH('BD Asesor'!D878), 6)=0),
    AND('BD Asesor'!H878="Anual", MONTH('BD Asesor'!D878)=MATCH($B$2, {"Enero", "Febrero", "Marzo", "Abril", "Mayo", "Junio", "Julio", "Agosto", "Septiembre", "Octubre", "Noviembre"}, 0))
), 'BD Asesor'!L878, "")
</f>
        <v/>
      </c>
    </row>
    <row r="879">
      <c r="C879" s="84" t="str">
        <f t="array" ref="C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Asesor'!A879, "")
</f>
        <v/>
      </c>
      <c r="D879" s="84" t="str">
        <f t="array" ref="D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Asesor'!B879, "")
</f>
        <v/>
      </c>
      <c r="E879" s="212" t="str">
        <f t="array" ref="E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Asesor'!C879, "")
</f>
        <v/>
      </c>
      <c r="F879" s="212" t="str">
        <f t="array" ref="F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Asesor'!D879, "")
</f>
        <v/>
      </c>
      <c r="G879" s="212" t="str">
        <f t="array" ref="G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Asesor'!E879, "")
</f>
        <v/>
      </c>
      <c r="H879" s="84" t="str">
        <f t="array" ref="H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Asesor'!F879, "")
</f>
        <v/>
      </c>
      <c r="I879" s="84" t="str">
        <f t="array" ref="I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Asesor'!G879, "")
</f>
        <v/>
      </c>
      <c r="J879" s="84" t="str">
        <f t="array" ref="J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Asesor'!H879, "")
</f>
        <v/>
      </c>
      <c r="K879" s="84" t="str">
        <f t="array" ref="K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Asesor'!K879, "")
</f>
        <v/>
      </c>
      <c r="L879" s="84" t="str">
        <f t="array" ref="L879">IF(OR(
    AND('BD Asesor'!H879="Mensual", MATCH($B$2, {"Enero", "Febrero", "Marzo", "Abril", "Mayo", "Junio", "Julio", "Agosto", "Septiembre", "Octubre", "Noviembre", "Diciembre"}, 0)&gt;=1),
    AND('BD Asesor'!H879="Trimestral", MOD(MATCH($B$2, {"Enero", "Febrero", "Marzo", "Abril", "Mayo", "Junio", "Julio", "Agosto", "Septiembre", "Octubre", "Noviembre"}, 0)-MONTH('BD Asesor'!D879), 3)=0),
    AND('BD Asesor'!H879="Semestral", MOD(MATCH($B$2, {"Enero", "Febrero", "Marzo", "Abril", "Mayo", "Junio", "Julio", "Agosto", "Septiembre", "Octubre", "Noviembre"}, 0)-MONTH('BD Asesor'!D879), 6)=0),
    AND('BD Asesor'!H879="Anual", MONTH('BD Asesor'!D879)=MATCH($B$2, {"Enero", "Febrero", "Marzo", "Abril", "Mayo", "Junio", "Julio", "Agosto", "Septiembre", "Octubre", "Noviembre"}, 0))
), 'BD Asesor'!L879, "")
</f>
        <v/>
      </c>
    </row>
    <row r="880">
      <c r="C880" s="84" t="str">
        <f t="array" ref="C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Asesor'!A880, "")
</f>
        <v/>
      </c>
      <c r="D880" s="84" t="str">
        <f t="array" ref="D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Asesor'!B880, "")
</f>
        <v/>
      </c>
      <c r="E880" s="212" t="str">
        <f t="array" ref="E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Asesor'!C880, "")
</f>
        <v/>
      </c>
      <c r="F880" s="212" t="str">
        <f t="array" ref="F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Asesor'!D880, "")
</f>
        <v/>
      </c>
      <c r="G880" s="212" t="str">
        <f t="array" ref="G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Asesor'!E880, "")
</f>
        <v/>
      </c>
      <c r="H880" s="84" t="str">
        <f t="array" ref="H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Asesor'!F880, "")
</f>
        <v/>
      </c>
      <c r="I880" s="84" t="str">
        <f t="array" ref="I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Asesor'!G880, "")
</f>
        <v/>
      </c>
      <c r="J880" s="84" t="str">
        <f t="array" ref="J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Asesor'!H880, "")
</f>
        <v/>
      </c>
      <c r="K880" s="84" t="str">
        <f t="array" ref="K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Asesor'!K880, "")
</f>
        <v/>
      </c>
      <c r="L880" s="84" t="str">
        <f t="array" ref="L880">IF(OR(
    AND('BD Asesor'!H880="Mensual", MATCH($B$2, {"Enero", "Febrero", "Marzo", "Abril", "Mayo", "Junio", "Julio", "Agosto", "Septiembre", "Octubre", "Noviembre", "Diciembre"}, 0)&gt;=1),
    AND('BD Asesor'!H880="Trimestral", MOD(MATCH($B$2, {"Enero", "Febrero", "Marzo", "Abril", "Mayo", "Junio", "Julio", "Agosto", "Septiembre", "Octubre", "Noviembre"}, 0)-MONTH('BD Asesor'!D880), 3)=0),
    AND('BD Asesor'!H880="Semestral", MOD(MATCH($B$2, {"Enero", "Febrero", "Marzo", "Abril", "Mayo", "Junio", "Julio", "Agosto", "Septiembre", "Octubre", "Noviembre"}, 0)-MONTH('BD Asesor'!D880), 6)=0),
    AND('BD Asesor'!H880="Anual", MONTH('BD Asesor'!D880)=MATCH($B$2, {"Enero", "Febrero", "Marzo", "Abril", "Mayo", "Junio", "Julio", "Agosto", "Septiembre", "Octubre", "Noviembre"}, 0))
), 'BD Asesor'!L880, "")
</f>
        <v/>
      </c>
    </row>
    <row r="881">
      <c r="C881" s="84" t="str">
        <f t="array" ref="C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Asesor'!A881, "")
</f>
        <v/>
      </c>
      <c r="D881" s="84" t="str">
        <f t="array" ref="D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Asesor'!B881, "")
</f>
        <v/>
      </c>
      <c r="E881" s="212" t="str">
        <f t="array" ref="E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Asesor'!C881, "")
</f>
        <v/>
      </c>
      <c r="F881" s="212" t="str">
        <f t="array" ref="F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Asesor'!D881, "")
</f>
        <v/>
      </c>
      <c r="G881" s="212" t="str">
        <f t="array" ref="G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Asesor'!E881, "")
</f>
        <v/>
      </c>
      <c r="H881" s="84" t="str">
        <f t="array" ref="H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Asesor'!F881, "")
</f>
        <v/>
      </c>
      <c r="I881" s="84" t="str">
        <f t="array" ref="I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Asesor'!G881, "")
</f>
        <v/>
      </c>
      <c r="J881" s="84" t="str">
        <f t="array" ref="J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Asesor'!H881, "")
</f>
        <v/>
      </c>
      <c r="K881" s="84" t="str">
        <f t="array" ref="K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Asesor'!K881, "")
</f>
        <v/>
      </c>
      <c r="L881" s="84" t="str">
        <f t="array" ref="L881">IF(OR(
    AND('BD Asesor'!H881="Mensual", MATCH($B$2, {"Enero", "Febrero", "Marzo", "Abril", "Mayo", "Junio", "Julio", "Agosto", "Septiembre", "Octubre", "Noviembre", "Diciembre"}, 0)&gt;=1),
    AND('BD Asesor'!H881="Trimestral", MOD(MATCH($B$2, {"Enero", "Febrero", "Marzo", "Abril", "Mayo", "Junio", "Julio", "Agosto", "Septiembre", "Octubre", "Noviembre"}, 0)-MONTH('BD Asesor'!D881), 3)=0),
    AND('BD Asesor'!H881="Semestral", MOD(MATCH($B$2, {"Enero", "Febrero", "Marzo", "Abril", "Mayo", "Junio", "Julio", "Agosto", "Septiembre", "Octubre", "Noviembre"}, 0)-MONTH('BD Asesor'!D881), 6)=0),
    AND('BD Asesor'!H881="Anual", MONTH('BD Asesor'!D881)=MATCH($B$2, {"Enero", "Febrero", "Marzo", "Abril", "Mayo", "Junio", "Julio", "Agosto", "Septiembre", "Octubre", "Noviembre"}, 0))
), 'BD Asesor'!L881, "")
</f>
        <v/>
      </c>
    </row>
    <row r="882">
      <c r="C882" s="84" t="str">
        <f t="array" ref="C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Asesor'!A882, "")
</f>
        <v/>
      </c>
      <c r="D882" s="84" t="str">
        <f t="array" ref="D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Asesor'!B882, "")
</f>
        <v/>
      </c>
      <c r="E882" s="212" t="str">
        <f t="array" ref="E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Asesor'!C882, "")
</f>
        <v/>
      </c>
      <c r="F882" s="212" t="str">
        <f t="array" ref="F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Asesor'!D882, "")
</f>
        <v/>
      </c>
      <c r="G882" s="212" t="str">
        <f t="array" ref="G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Asesor'!E882, "")
</f>
        <v/>
      </c>
      <c r="H882" s="84" t="str">
        <f t="array" ref="H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Asesor'!F882, "")
</f>
        <v/>
      </c>
      <c r="I882" s="84" t="str">
        <f t="array" ref="I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Asesor'!G882, "")
</f>
        <v/>
      </c>
      <c r="J882" s="84" t="str">
        <f t="array" ref="J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Asesor'!H882, "")
</f>
        <v/>
      </c>
      <c r="K882" s="84" t="str">
        <f t="array" ref="K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Asesor'!K882, "")
</f>
        <v/>
      </c>
      <c r="L882" s="84" t="str">
        <f t="array" ref="L882">IF(OR(
    AND('BD Asesor'!H882="Mensual", MATCH($B$2, {"Enero", "Febrero", "Marzo", "Abril", "Mayo", "Junio", "Julio", "Agosto", "Septiembre", "Octubre", "Noviembre", "Diciembre"}, 0)&gt;=1),
    AND('BD Asesor'!H882="Trimestral", MOD(MATCH($B$2, {"Enero", "Febrero", "Marzo", "Abril", "Mayo", "Junio", "Julio", "Agosto", "Septiembre", "Octubre", "Noviembre"}, 0)-MONTH('BD Asesor'!D882), 3)=0),
    AND('BD Asesor'!H882="Semestral", MOD(MATCH($B$2, {"Enero", "Febrero", "Marzo", "Abril", "Mayo", "Junio", "Julio", "Agosto", "Septiembre", "Octubre", "Noviembre"}, 0)-MONTH('BD Asesor'!D882), 6)=0),
    AND('BD Asesor'!H882="Anual", MONTH('BD Asesor'!D882)=MATCH($B$2, {"Enero", "Febrero", "Marzo", "Abril", "Mayo", "Junio", "Julio", "Agosto", "Septiembre", "Octubre", "Noviembre"}, 0))
), 'BD Asesor'!L882, "")
</f>
        <v/>
      </c>
    </row>
    <row r="883">
      <c r="C883" s="84" t="str">
        <f t="array" ref="C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Asesor'!A883, "")
</f>
        <v/>
      </c>
      <c r="D883" s="84" t="str">
        <f t="array" ref="D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Asesor'!B883, "")
</f>
        <v/>
      </c>
      <c r="E883" s="212" t="str">
        <f t="array" ref="E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Asesor'!C883, "")
</f>
        <v/>
      </c>
      <c r="F883" s="212" t="str">
        <f t="array" ref="F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Asesor'!D883, "")
</f>
        <v/>
      </c>
      <c r="G883" s="212" t="str">
        <f t="array" ref="G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Asesor'!E883, "")
</f>
        <v/>
      </c>
      <c r="H883" s="84" t="str">
        <f t="array" ref="H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Asesor'!F883, "")
</f>
        <v/>
      </c>
      <c r="I883" s="84" t="str">
        <f t="array" ref="I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Asesor'!G883, "")
</f>
        <v/>
      </c>
      <c r="J883" s="84" t="str">
        <f t="array" ref="J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Asesor'!H883, "")
</f>
        <v/>
      </c>
      <c r="K883" s="84" t="str">
        <f t="array" ref="K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Asesor'!K883, "")
</f>
        <v/>
      </c>
      <c r="L883" s="84" t="str">
        <f t="array" ref="L883">IF(OR(
    AND('BD Asesor'!H883="Mensual", MATCH($B$2, {"Enero", "Febrero", "Marzo", "Abril", "Mayo", "Junio", "Julio", "Agosto", "Septiembre", "Octubre", "Noviembre", "Diciembre"}, 0)&gt;=1),
    AND('BD Asesor'!H883="Trimestral", MOD(MATCH($B$2, {"Enero", "Febrero", "Marzo", "Abril", "Mayo", "Junio", "Julio", "Agosto", "Septiembre", "Octubre", "Noviembre"}, 0)-MONTH('BD Asesor'!D883), 3)=0),
    AND('BD Asesor'!H883="Semestral", MOD(MATCH($B$2, {"Enero", "Febrero", "Marzo", "Abril", "Mayo", "Junio", "Julio", "Agosto", "Septiembre", "Octubre", "Noviembre"}, 0)-MONTH('BD Asesor'!D883), 6)=0),
    AND('BD Asesor'!H883="Anual", MONTH('BD Asesor'!D883)=MATCH($B$2, {"Enero", "Febrero", "Marzo", "Abril", "Mayo", "Junio", "Julio", "Agosto", "Septiembre", "Octubre", "Noviembre"}, 0))
), 'BD Asesor'!L883, "")
</f>
        <v/>
      </c>
    </row>
    <row r="884">
      <c r="C884" s="84" t="str">
        <f t="array" ref="C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Asesor'!A884, "")
</f>
        <v/>
      </c>
      <c r="D884" s="84" t="str">
        <f t="array" ref="D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Asesor'!B884, "")
</f>
        <v/>
      </c>
      <c r="E884" s="212" t="str">
        <f t="array" ref="E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Asesor'!C884, "")
</f>
        <v/>
      </c>
      <c r="F884" s="212" t="str">
        <f t="array" ref="F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Asesor'!D884, "")
</f>
        <v/>
      </c>
      <c r="G884" s="212" t="str">
        <f t="array" ref="G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Asesor'!E884, "")
</f>
        <v/>
      </c>
      <c r="H884" s="84" t="str">
        <f t="array" ref="H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Asesor'!F884, "")
</f>
        <v/>
      </c>
      <c r="I884" s="84" t="str">
        <f t="array" ref="I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Asesor'!G884, "")
</f>
        <v/>
      </c>
      <c r="J884" s="84" t="str">
        <f t="array" ref="J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Asesor'!H884, "")
</f>
        <v/>
      </c>
      <c r="K884" s="84" t="str">
        <f t="array" ref="K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Asesor'!K884, "")
</f>
        <v/>
      </c>
      <c r="L884" s="84" t="str">
        <f t="array" ref="L884">IF(OR(
    AND('BD Asesor'!H884="Mensual", MATCH($B$2, {"Enero", "Febrero", "Marzo", "Abril", "Mayo", "Junio", "Julio", "Agosto", "Septiembre", "Octubre", "Noviembre", "Diciembre"}, 0)&gt;=1),
    AND('BD Asesor'!H884="Trimestral", MOD(MATCH($B$2, {"Enero", "Febrero", "Marzo", "Abril", "Mayo", "Junio", "Julio", "Agosto", "Septiembre", "Octubre", "Noviembre"}, 0)-MONTH('BD Asesor'!D884), 3)=0),
    AND('BD Asesor'!H884="Semestral", MOD(MATCH($B$2, {"Enero", "Febrero", "Marzo", "Abril", "Mayo", "Junio", "Julio", "Agosto", "Septiembre", "Octubre", "Noviembre"}, 0)-MONTH('BD Asesor'!D884), 6)=0),
    AND('BD Asesor'!H884="Anual", MONTH('BD Asesor'!D884)=MATCH($B$2, {"Enero", "Febrero", "Marzo", "Abril", "Mayo", "Junio", "Julio", "Agosto", "Septiembre", "Octubre", "Noviembre"}, 0))
), 'BD Asesor'!L884, "")
</f>
        <v/>
      </c>
    </row>
    <row r="885">
      <c r="C885" s="84" t="str">
        <f t="array" ref="C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Asesor'!A885, "")
</f>
        <v/>
      </c>
      <c r="D885" s="84" t="str">
        <f t="array" ref="D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Asesor'!B885, "")
</f>
        <v/>
      </c>
      <c r="E885" s="212" t="str">
        <f t="array" ref="E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Asesor'!C885, "")
</f>
        <v/>
      </c>
      <c r="F885" s="212" t="str">
        <f t="array" ref="F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Asesor'!D885, "")
</f>
        <v/>
      </c>
      <c r="G885" s="212" t="str">
        <f t="array" ref="G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Asesor'!E885, "")
</f>
        <v/>
      </c>
      <c r="H885" s="84" t="str">
        <f t="array" ref="H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Asesor'!F885, "")
</f>
        <v/>
      </c>
      <c r="I885" s="84" t="str">
        <f t="array" ref="I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Asesor'!G885, "")
</f>
        <v/>
      </c>
      <c r="J885" s="84" t="str">
        <f t="array" ref="J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Asesor'!H885, "")
</f>
        <v/>
      </c>
      <c r="K885" s="84" t="str">
        <f t="array" ref="K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Asesor'!K885, "")
</f>
        <v/>
      </c>
      <c r="L885" s="84" t="str">
        <f t="array" ref="L885">IF(OR(
    AND('BD Asesor'!H885="Mensual", MATCH($B$2, {"Enero", "Febrero", "Marzo", "Abril", "Mayo", "Junio", "Julio", "Agosto", "Septiembre", "Octubre", "Noviembre", "Diciembre"}, 0)&gt;=1),
    AND('BD Asesor'!H885="Trimestral", MOD(MATCH($B$2, {"Enero", "Febrero", "Marzo", "Abril", "Mayo", "Junio", "Julio", "Agosto", "Septiembre", "Octubre", "Noviembre"}, 0)-MONTH('BD Asesor'!D885), 3)=0),
    AND('BD Asesor'!H885="Semestral", MOD(MATCH($B$2, {"Enero", "Febrero", "Marzo", "Abril", "Mayo", "Junio", "Julio", "Agosto", "Septiembre", "Octubre", "Noviembre"}, 0)-MONTH('BD Asesor'!D885), 6)=0),
    AND('BD Asesor'!H885="Anual", MONTH('BD Asesor'!D885)=MATCH($B$2, {"Enero", "Febrero", "Marzo", "Abril", "Mayo", "Junio", "Julio", "Agosto", "Septiembre", "Octubre", "Noviembre"}, 0))
), 'BD Asesor'!L885, "")
</f>
        <v/>
      </c>
    </row>
    <row r="886">
      <c r="C886" s="84" t="str">
        <f t="array" ref="C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Asesor'!A886, "")
</f>
        <v/>
      </c>
      <c r="D886" s="84" t="str">
        <f t="array" ref="D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Asesor'!B886, "")
</f>
        <v/>
      </c>
      <c r="E886" s="212" t="str">
        <f t="array" ref="E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Asesor'!C886, "")
</f>
        <v/>
      </c>
      <c r="F886" s="212" t="str">
        <f t="array" ref="F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Asesor'!D886, "")
</f>
        <v/>
      </c>
      <c r="G886" s="212" t="str">
        <f t="array" ref="G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Asesor'!E886, "")
</f>
        <v/>
      </c>
      <c r="H886" s="84" t="str">
        <f t="array" ref="H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Asesor'!F886, "")
</f>
        <v/>
      </c>
      <c r="I886" s="84" t="str">
        <f t="array" ref="I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Asesor'!G886, "")
</f>
        <v/>
      </c>
      <c r="J886" s="84" t="str">
        <f t="array" ref="J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Asesor'!H886, "")
</f>
        <v/>
      </c>
      <c r="K886" s="84" t="str">
        <f t="array" ref="K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Asesor'!K886, "")
</f>
        <v/>
      </c>
      <c r="L886" s="84" t="str">
        <f t="array" ref="L886">IF(OR(
    AND('BD Asesor'!H886="Mensual", MATCH($B$2, {"Enero", "Febrero", "Marzo", "Abril", "Mayo", "Junio", "Julio", "Agosto", "Septiembre", "Octubre", "Noviembre", "Diciembre"}, 0)&gt;=1),
    AND('BD Asesor'!H886="Trimestral", MOD(MATCH($B$2, {"Enero", "Febrero", "Marzo", "Abril", "Mayo", "Junio", "Julio", "Agosto", "Septiembre", "Octubre", "Noviembre"}, 0)-MONTH('BD Asesor'!D886), 3)=0),
    AND('BD Asesor'!H886="Semestral", MOD(MATCH($B$2, {"Enero", "Febrero", "Marzo", "Abril", "Mayo", "Junio", "Julio", "Agosto", "Septiembre", "Octubre", "Noviembre"}, 0)-MONTH('BD Asesor'!D886), 6)=0),
    AND('BD Asesor'!H886="Anual", MONTH('BD Asesor'!D886)=MATCH($B$2, {"Enero", "Febrero", "Marzo", "Abril", "Mayo", "Junio", "Julio", "Agosto", "Septiembre", "Octubre", "Noviembre"}, 0))
), 'BD Asesor'!L886, "")
</f>
        <v/>
      </c>
    </row>
    <row r="887">
      <c r="C887" s="84" t="str">
        <f t="array" ref="C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Asesor'!A887, "")
</f>
        <v/>
      </c>
      <c r="D887" s="84" t="str">
        <f t="array" ref="D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Asesor'!B887, "")
</f>
        <v/>
      </c>
      <c r="E887" s="212" t="str">
        <f t="array" ref="E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Asesor'!C887, "")
</f>
        <v/>
      </c>
      <c r="F887" s="212" t="str">
        <f t="array" ref="F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Asesor'!D887, "")
</f>
        <v/>
      </c>
      <c r="G887" s="212" t="str">
        <f t="array" ref="G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Asesor'!E887, "")
</f>
        <v/>
      </c>
      <c r="H887" s="84" t="str">
        <f t="array" ref="H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Asesor'!F887, "")
</f>
        <v/>
      </c>
      <c r="I887" s="84" t="str">
        <f t="array" ref="I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Asesor'!G887, "")
</f>
        <v/>
      </c>
      <c r="J887" s="84" t="str">
        <f t="array" ref="J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Asesor'!H887, "")
</f>
        <v/>
      </c>
      <c r="K887" s="84" t="str">
        <f t="array" ref="K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Asesor'!K887, "")
</f>
        <v/>
      </c>
      <c r="L887" s="84" t="str">
        <f t="array" ref="L887">IF(OR(
    AND('BD Asesor'!H887="Mensual", MATCH($B$2, {"Enero", "Febrero", "Marzo", "Abril", "Mayo", "Junio", "Julio", "Agosto", "Septiembre", "Octubre", "Noviembre", "Diciembre"}, 0)&gt;=1),
    AND('BD Asesor'!H887="Trimestral", MOD(MATCH($B$2, {"Enero", "Febrero", "Marzo", "Abril", "Mayo", "Junio", "Julio", "Agosto", "Septiembre", "Octubre", "Noviembre"}, 0)-MONTH('BD Asesor'!D887), 3)=0),
    AND('BD Asesor'!H887="Semestral", MOD(MATCH($B$2, {"Enero", "Febrero", "Marzo", "Abril", "Mayo", "Junio", "Julio", "Agosto", "Septiembre", "Octubre", "Noviembre"}, 0)-MONTH('BD Asesor'!D887), 6)=0),
    AND('BD Asesor'!H887="Anual", MONTH('BD Asesor'!D887)=MATCH($B$2, {"Enero", "Febrero", "Marzo", "Abril", "Mayo", "Junio", "Julio", "Agosto", "Septiembre", "Octubre", "Noviembre"}, 0))
), 'BD Asesor'!L887, "")
</f>
        <v/>
      </c>
    </row>
    <row r="888">
      <c r="C888" s="84" t="str">
        <f t="array" ref="C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Asesor'!A888, "")
</f>
        <v/>
      </c>
      <c r="D888" s="84" t="str">
        <f t="array" ref="D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Asesor'!B888, "")
</f>
        <v/>
      </c>
      <c r="E888" s="212" t="str">
        <f t="array" ref="E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Asesor'!C888, "")
</f>
        <v/>
      </c>
      <c r="F888" s="212" t="str">
        <f t="array" ref="F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Asesor'!D888, "")
</f>
        <v/>
      </c>
      <c r="G888" s="212" t="str">
        <f t="array" ref="G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Asesor'!E888, "")
</f>
        <v/>
      </c>
      <c r="H888" s="84" t="str">
        <f t="array" ref="H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Asesor'!F888, "")
</f>
        <v/>
      </c>
      <c r="I888" s="84" t="str">
        <f t="array" ref="I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Asesor'!G888, "")
</f>
        <v/>
      </c>
      <c r="J888" s="84" t="str">
        <f t="array" ref="J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Asesor'!H888, "")
</f>
        <v/>
      </c>
      <c r="K888" s="84" t="str">
        <f t="array" ref="K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Asesor'!K888, "")
</f>
        <v/>
      </c>
      <c r="L888" s="84" t="str">
        <f t="array" ref="L888">IF(OR(
    AND('BD Asesor'!H888="Mensual", MATCH($B$2, {"Enero", "Febrero", "Marzo", "Abril", "Mayo", "Junio", "Julio", "Agosto", "Septiembre", "Octubre", "Noviembre", "Diciembre"}, 0)&gt;=1),
    AND('BD Asesor'!H888="Trimestral", MOD(MATCH($B$2, {"Enero", "Febrero", "Marzo", "Abril", "Mayo", "Junio", "Julio", "Agosto", "Septiembre", "Octubre", "Noviembre"}, 0)-MONTH('BD Asesor'!D888), 3)=0),
    AND('BD Asesor'!H888="Semestral", MOD(MATCH($B$2, {"Enero", "Febrero", "Marzo", "Abril", "Mayo", "Junio", "Julio", "Agosto", "Septiembre", "Octubre", "Noviembre"}, 0)-MONTH('BD Asesor'!D888), 6)=0),
    AND('BD Asesor'!H888="Anual", MONTH('BD Asesor'!D888)=MATCH($B$2, {"Enero", "Febrero", "Marzo", "Abril", "Mayo", "Junio", "Julio", "Agosto", "Septiembre", "Octubre", "Noviembre"}, 0))
), 'BD Asesor'!L888, "")
</f>
        <v/>
      </c>
    </row>
    <row r="889">
      <c r="C889" s="84" t="str">
        <f t="array" ref="C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Asesor'!A889, "")
</f>
        <v/>
      </c>
      <c r="D889" s="84" t="str">
        <f t="array" ref="D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Asesor'!B889, "")
</f>
        <v/>
      </c>
      <c r="E889" s="212" t="str">
        <f t="array" ref="E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Asesor'!C889, "")
</f>
        <v/>
      </c>
      <c r="F889" s="212" t="str">
        <f t="array" ref="F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Asesor'!D889, "")
</f>
        <v/>
      </c>
      <c r="G889" s="212" t="str">
        <f t="array" ref="G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Asesor'!E889, "")
</f>
        <v/>
      </c>
      <c r="H889" s="84" t="str">
        <f t="array" ref="H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Asesor'!F889, "")
</f>
        <v/>
      </c>
      <c r="I889" s="84" t="str">
        <f t="array" ref="I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Asesor'!G889, "")
</f>
        <v/>
      </c>
      <c r="J889" s="84" t="str">
        <f t="array" ref="J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Asesor'!H889, "")
</f>
        <v/>
      </c>
      <c r="K889" s="84" t="str">
        <f t="array" ref="K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Asesor'!K889, "")
</f>
        <v/>
      </c>
      <c r="L889" s="84" t="str">
        <f t="array" ref="L889">IF(OR(
    AND('BD Asesor'!H889="Mensual", MATCH($B$2, {"Enero", "Febrero", "Marzo", "Abril", "Mayo", "Junio", "Julio", "Agosto", "Septiembre", "Octubre", "Noviembre", "Diciembre"}, 0)&gt;=1),
    AND('BD Asesor'!H889="Trimestral", MOD(MATCH($B$2, {"Enero", "Febrero", "Marzo", "Abril", "Mayo", "Junio", "Julio", "Agosto", "Septiembre", "Octubre", "Noviembre"}, 0)-MONTH('BD Asesor'!D889), 3)=0),
    AND('BD Asesor'!H889="Semestral", MOD(MATCH($B$2, {"Enero", "Febrero", "Marzo", "Abril", "Mayo", "Junio", "Julio", "Agosto", "Septiembre", "Octubre", "Noviembre"}, 0)-MONTH('BD Asesor'!D889), 6)=0),
    AND('BD Asesor'!H889="Anual", MONTH('BD Asesor'!D889)=MATCH($B$2, {"Enero", "Febrero", "Marzo", "Abril", "Mayo", "Junio", "Julio", "Agosto", "Septiembre", "Octubre", "Noviembre"}, 0))
), 'BD Asesor'!L889, "")
</f>
        <v/>
      </c>
    </row>
    <row r="890">
      <c r="C890" s="84" t="str">
        <f t="array" ref="C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Asesor'!A890, "")
</f>
        <v/>
      </c>
      <c r="D890" s="84" t="str">
        <f t="array" ref="D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Asesor'!B890, "")
</f>
        <v/>
      </c>
      <c r="E890" s="212" t="str">
        <f t="array" ref="E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Asesor'!C890, "")
</f>
        <v/>
      </c>
      <c r="F890" s="212" t="str">
        <f t="array" ref="F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Asesor'!D890, "")
</f>
        <v/>
      </c>
      <c r="G890" s="212" t="str">
        <f t="array" ref="G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Asesor'!E890, "")
</f>
        <v/>
      </c>
      <c r="H890" s="84" t="str">
        <f t="array" ref="H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Asesor'!F890, "")
</f>
        <v/>
      </c>
      <c r="I890" s="84" t="str">
        <f t="array" ref="I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Asesor'!G890, "")
</f>
        <v/>
      </c>
      <c r="J890" s="84" t="str">
        <f t="array" ref="J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Asesor'!H890, "")
</f>
        <v/>
      </c>
      <c r="K890" s="84" t="str">
        <f t="array" ref="K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Asesor'!K890, "")
</f>
        <v/>
      </c>
      <c r="L890" s="84" t="str">
        <f t="array" ref="L890">IF(OR(
    AND('BD Asesor'!H890="Mensual", MATCH($B$2, {"Enero", "Febrero", "Marzo", "Abril", "Mayo", "Junio", "Julio", "Agosto", "Septiembre", "Octubre", "Noviembre", "Diciembre"}, 0)&gt;=1),
    AND('BD Asesor'!H890="Trimestral", MOD(MATCH($B$2, {"Enero", "Febrero", "Marzo", "Abril", "Mayo", "Junio", "Julio", "Agosto", "Septiembre", "Octubre", "Noviembre"}, 0)-MONTH('BD Asesor'!D890), 3)=0),
    AND('BD Asesor'!H890="Semestral", MOD(MATCH($B$2, {"Enero", "Febrero", "Marzo", "Abril", "Mayo", "Junio", "Julio", "Agosto", "Septiembre", "Octubre", "Noviembre"}, 0)-MONTH('BD Asesor'!D890), 6)=0),
    AND('BD Asesor'!H890="Anual", MONTH('BD Asesor'!D890)=MATCH($B$2, {"Enero", "Febrero", "Marzo", "Abril", "Mayo", "Junio", "Julio", "Agosto", "Septiembre", "Octubre", "Noviembre"}, 0))
), 'BD Asesor'!L890, "")
</f>
        <v/>
      </c>
    </row>
    <row r="891">
      <c r="C891" s="84" t="str">
        <f t="array" ref="C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Asesor'!A891, "")
</f>
        <v/>
      </c>
      <c r="D891" s="84" t="str">
        <f t="array" ref="D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Asesor'!B891, "")
</f>
        <v/>
      </c>
      <c r="E891" s="212" t="str">
        <f t="array" ref="E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Asesor'!C891, "")
</f>
        <v/>
      </c>
      <c r="F891" s="212" t="str">
        <f t="array" ref="F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Asesor'!D891, "")
</f>
        <v/>
      </c>
      <c r="G891" s="212" t="str">
        <f t="array" ref="G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Asesor'!E891, "")
</f>
        <v/>
      </c>
      <c r="H891" s="84" t="str">
        <f t="array" ref="H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Asesor'!F891, "")
</f>
        <v/>
      </c>
      <c r="I891" s="84" t="str">
        <f t="array" ref="I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Asesor'!G891, "")
</f>
        <v/>
      </c>
      <c r="J891" s="84" t="str">
        <f t="array" ref="J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Asesor'!H891, "")
</f>
        <v/>
      </c>
      <c r="K891" s="84" t="str">
        <f t="array" ref="K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Asesor'!K891, "")
</f>
        <v/>
      </c>
      <c r="L891" s="84" t="str">
        <f t="array" ref="L891">IF(OR(
    AND('BD Asesor'!H891="Mensual", MATCH($B$2, {"Enero", "Febrero", "Marzo", "Abril", "Mayo", "Junio", "Julio", "Agosto", "Septiembre", "Octubre", "Noviembre", "Diciembre"}, 0)&gt;=1),
    AND('BD Asesor'!H891="Trimestral", MOD(MATCH($B$2, {"Enero", "Febrero", "Marzo", "Abril", "Mayo", "Junio", "Julio", "Agosto", "Septiembre", "Octubre", "Noviembre"}, 0)-MONTH('BD Asesor'!D891), 3)=0),
    AND('BD Asesor'!H891="Semestral", MOD(MATCH($B$2, {"Enero", "Febrero", "Marzo", "Abril", "Mayo", "Junio", "Julio", "Agosto", "Septiembre", "Octubre", "Noviembre"}, 0)-MONTH('BD Asesor'!D891), 6)=0),
    AND('BD Asesor'!H891="Anual", MONTH('BD Asesor'!D891)=MATCH($B$2, {"Enero", "Febrero", "Marzo", "Abril", "Mayo", "Junio", "Julio", "Agosto", "Septiembre", "Octubre", "Noviembre"}, 0))
), 'BD Asesor'!L891, "")
</f>
        <v/>
      </c>
    </row>
    <row r="892">
      <c r="C892" s="84" t="str">
        <f t="array" ref="C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Asesor'!A892, "")
</f>
        <v/>
      </c>
      <c r="D892" s="84" t="str">
        <f t="array" ref="D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Asesor'!B892, "")
</f>
        <v/>
      </c>
      <c r="E892" s="212" t="str">
        <f t="array" ref="E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Asesor'!C892, "")
</f>
        <v/>
      </c>
      <c r="F892" s="212" t="str">
        <f t="array" ref="F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Asesor'!D892, "")
</f>
        <v/>
      </c>
      <c r="G892" s="212" t="str">
        <f t="array" ref="G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Asesor'!E892, "")
</f>
        <v/>
      </c>
      <c r="H892" s="84" t="str">
        <f t="array" ref="H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Asesor'!F892, "")
</f>
        <v/>
      </c>
      <c r="I892" s="84" t="str">
        <f t="array" ref="I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Asesor'!G892, "")
</f>
        <v/>
      </c>
      <c r="J892" s="84" t="str">
        <f t="array" ref="J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Asesor'!H892, "")
</f>
        <v/>
      </c>
      <c r="K892" s="84" t="str">
        <f t="array" ref="K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Asesor'!K892, "")
</f>
        <v/>
      </c>
      <c r="L892" s="84" t="str">
        <f t="array" ref="L892">IF(OR(
    AND('BD Asesor'!H892="Mensual", MATCH($B$2, {"Enero", "Febrero", "Marzo", "Abril", "Mayo", "Junio", "Julio", "Agosto", "Septiembre", "Octubre", "Noviembre", "Diciembre"}, 0)&gt;=1),
    AND('BD Asesor'!H892="Trimestral", MOD(MATCH($B$2, {"Enero", "Febrero", "Marzo", "Abril", "Mayo", "Junio", "Julio", "Agosto", "Septiembre", "Octubre", "Noviembre"}, 0)-MONTH('BD Asesor'!D892), 3)=0),
    AND('BD Asesor'!H892="Semestral", MOD(MATCH($B$2, {"Enero", "Febrero", "Marzo", "Abril", "Mayo", "Junio", "Julio", "Agosto", "Septiembre", "Octubre", "Noviembre"}, 0)-MONTH('BD Asesor'!D892), 6)=0),
    AND('BD Asesor'!H892="Anual", MONTH('BD Asesor'!D892)=MATCH($B$2, {"Enero", "Febrero", "Marzo", "Abril", "Mayo", "Junio", "Julio", "Agosto", "Septiembre", "Octubre", "Noviembre"}, 0))
), 'BD Asesor'!L892, "")
</f>
        <v/>
      </c>
    </row>
    <row r="893">
      <c r="C893" s="84" t="str">
        <f t="array" ref="C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Asesor'!A893, "")
</f>
        <v/>
      </c>
      <c r="D893" s="84" t="str">
        <f t="array" ref="D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Asesor'!B893, "")
</f>
        <v/>
      </c>
      <c r="E893" s="212" t="str">
        <f t="array" ref="E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Asesor'!C893, "")
</f>
        <v/>
      </c>
      <c r="F893" s="212" t="str">
        <f t="array" ref="F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Asesor'!D893, "")
</f>
        <v/>
      </c>
      <c r="G893" s="212" t="str">
        <f t="array" ref="G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Asesor'!E893, "")
</f>
        <v/>
      </c>
      <c r="H893" s="84" t="str">
        <f t="array" ref="H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Asesor'!F893, "")
</f>
        <v/>
      </c>
      <c r="I893" s="84" t="str">
        <f t="array" ref="I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Asesor'!G893, "")
</f>
        <v/>
      </c>
      <c r="J893" s="84" t="str">
        <f t="array" ref="J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Asesor'!H893, "")
</f>
        <v/>
      </c>
      <c r="K893" s="84" t="str">
        <f t="array" ref="K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Asesor'!K893, "")
</f>
        <v/>
      </c>
      <c r="L893" s="84" t="str">
        <f t="array" ref="L893">IF(OR(
    AND('BD Asesor'!H893="Mensual", MATCH($B$2, {"Enero", "Febrero", "Marzo", "Abril", "Mayo", "Junio", "Julio", "Agosto", "Septiembre", "Octubre", "Noviembre", "Diciembre"}, 0)&gt;=1),
    AND('BD Asesor'!H893="Trimestral", MOD(MATCH($B$2, {"Enero", "Febrero", "Marzo", "Abril", "Mayo", "Junio", "Julio", "Agosto", "Septiembre", "Octubre", "Noviembre"}, 0)-MONTH('BD Asesor'!D893), 3)=0),
    AND('BD Asesor'!H893="Semestral", MOD(MATCH($B$2, {"Enero", "Febrero", "Marzo", "Abril", "Mayo", "Junio", "Julio", "Agosto", "Septiembre", "Octubre", "Noviembre"}, 0)-MONTH('BD Asesor'!D893), 6)=0),
    AND('BD Asesor'!H893="Anual", MONTH('BD Asesor'!D893)=MATCH($B$2, {"Enero", "Febrero", "Marzo", "Abril", "Mayo", "Junio", "Julio", "Agosto", "Septiembre", "Octubre", "Noviembre"}, 0))
), 'BD Asesor'!L893, "")
</f>
        <v/>
      </c>
    </row>
    <row r="894">
      <c r="C894" s="84" t="str">
        <f t="array" ref="C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Asesor'!A894, "")
</f>
        <v/>
      </c>
      <c r="D894" s="84" t="str">
        <f t="array" ref="D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Asesor'!B894, "")
</f>
        <v/>
      </c>
      <c r="E894" s="212" t="str">
        <f t="array" ref="E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Asesor'!C894, "")
</f>
        <v/>
      </c>
      <c r="F894" s="212" t="str">
        <f t="array" ref="F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Asesor'!D894, "")
</f>
        <v/>
      </c>
      <c r="G894" s="212" t="str">
        <f t="array" ref="G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Asesor'!E894, "")
</f>
        <v/>
      </c>
      <c r="H894" s="84" t="str">
        <f t="array" ref="H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Asesor'!F894, "")
</f>
        <v/>
      </c>
      <c r="I894" s="84" t="str">
        <f t="array" ref="I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Asesor'!G894, "")
</f>
        <v/>
      </c>
      <c r="J894" s="84" t="str">
        <f t="array" ref="J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Asesor'!H894, "")
</f>
        <v/>
      </c>
      <c r="K894" s="84" t="str">
        <f t="array" ref="K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Asesor'!K894, "")
</f>
        <v/>
      </c>
      <c r="L894" s="84" t="str">
        <f t="array" ref="L894">IF(OR(
    AND('BD Asesor'!H894="Mensual", MATCH($B$2, {"Enero", "Febrero", "Marzo", "Abril", "Mayo", "Junio", "Julio", "Agosto", "Septiembre", "Octubre", "Noviembre", "Diciembre"}, 0)&gt;=1),
    AND('BD Asesor'!H894="Trimestral", MOD(MATCH($B$2, {"Enero", "Febrero", "Marzo", "Abril", "Mayo", "Junio", "Julio", "Agosto", "Septiembre", "Octubre", "Noviembre"}, 0)-MONTH('BD Asesor'!D894), 3)=0),
    AND('BD Asesor'!H894="Semestral", MOD(MATCH($B$2, {"Enero", "Febrero", "Marzo", "Abril", "Mayo", "Junio", "Julio", "Agosto", "Septiembre", "Octubre", "Noviembre"}, 0)-MONTH('BD Asesor'!D894), 6)=0),
    AND('BD Asesor'!H894="Anual", MONTH('BD Asesor'!D894)=MATCH($B$2, {"Enero", "Febrero", "Marzo", "Abril", "Mayo", "Junio", "Julio", "Agosto", "Septiembre", "Octubre", "Noviembre"}, 0))
), 'BD Asesor'!L894, "")
</f>
        <v/>
      </c>
    </row>
    <row r="895">
      <c r="C895" s="84" t="str">
        <f t="array" ref="C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Asesor'!A895, "")
</f>
        <v/>
      </c>
      <c r="D895" s="84" t="str">
        <f t="array" ref="D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Asesor'!B895, "")
</f>
        <v/>
      </c>
      <c r="E895" s="212" t="str">
        <f t="array" ref="E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Asesor'!C895, "")
</f>
        <v/>
      </c>
      <c r="F895" s="212" t="str">
        <f t="array" ref="F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Asesor'!D895, "")
</f>
        <v/>
      </c>
      <c r="G895" s="212" t="str">
        <f t="array" ref="G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Asesor'!E895, "")
</f>
        <v/>
      </c>
      <c r="H895" s="84" t="str">
        <f t="array" ref="H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Asesor'!F895, "")
</f>
        <v/>
      </c>
      <c r="I895" s="84" t="str">
        <f t="array" ref="I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Asesor'!G895, "")
</f>
        <v/>
      </c>
      <c r="J895" s="84" t="str">
        <f t="array" ref="J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Asesor'!H895, "")
</f>
        <v/>
      </c>
      <c r="K895" s="84" t="str">
        <f t="array" ref="K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Asesor'!K895, "")
</f>
        <v/>
      </c>
      <c r="L895" s="84" t="str">
        <f t="array" ref="L895">IF(OR(
    AND('BD Asesor'!H895="Mensual", MATCH($B$2, {"Enero", "Febrero", "Marzo", "Abril", "Mayo", "Junio", "Julio", "Agosto", "Septiembre", "Octubre", "Noviembre", "Diciembre"}, 0)&gt;=1),
    AND('BD Asesor'!H895="Trimestral", MOD(MATCH($B$2, {"Enero", "Febrero", "Marzo", "Abril", "Mayo", "Junio", "Julio", "Agosto", "Septiembre", "Octubre", "Noviembre"}, 0)-MONTH('BD Asesor'!D895), 3)=0),
    AND('BD Asesor'!H895="Semestral", MOD(MATCH($B$2, {"Enero", "Febrero", "Marzo", "Abril", "Mayo", "Junio", "Julio", "Agosto", "Septiembre", "Octubre", "Noviembre"}, 0)-MONTH('BD Asesor'!D895), 6)=0),
    AND('BD Asesor'!H895="Anual", MONTH('BD Asesor'!D895)=MATCH($B$2, {"Enero", "Febrero", "Marzo", "Abril", "Mayo", "Junio", "Julio", "Agosto", "Septiembre", "Octubre", "Noviembre"}, 0))
), 'BD Asesor'!L895, "")
</f>
        <v/>
      </c>
    </row>
    <row r="896">
      <c r="C896" s="84" t="str">
        <f t="array" ref="C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Asesor'!A896, "")
</f>
        <v/>
      </c>
      <c r="D896" s="84" t="str">
        <f t="array" ref="D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Asesor'!B896, "")
</f>
        <v/>
      </c>
      <c r="E896" s="212" t="str">
        <f t="array" ref="E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Asesor'!C896, "")
</f>
        <v/>
      </c>
      <c r="F896" s="212" t="str">
        <f t="array" ref="F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Asesor'!D896, "")
</f>
        <v/>
      </c>
      <c r="G896" s="212" t="str">
        <f t="array" ref="G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Asesor'!E896, "")
</f>
        <v/>
      </c>
      <c r="H896" s="84" t="str">
        <f t="array" ref="H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Asesor'!F896, "")
</f>
        <v/>
      </c>
      <c r="I896" s="84" t="str">
        <f t="array" ref="I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Asesor'!G896, "")
</f>
        <v/>
      </c>
      <c r="J896" s="84" t="str">
        <f t="array" ref="J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Asesor'!H896, "")
</f>
        <v/>
      </c>
      <c r="K896" s="84" t="str">
        <f t="array" ref="K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Asesor'!K896, "")
</f>
        <v/>
      </c>
      <c r="L896" s="84" t="str">
        <f t="array" ref="L896">IF(OR(
    AND('BD Asesor'!H896="Mensual", MATCH($B$2, {"Enero", "Febrero", "Marzo", "Abril", "Mayo", "Junio", "Julio", "Agosto", "Septiembre", "Octubre", "Noviembre", "Diciembre"}, 0)&gt;=1),
    AND('BD Asesor'!H896="Trimestral", MOD(MATCH($B$2, {"Enero", "Febrero", "Marzo", "Abril", "Mayo", "Junio", "Julio", "Agosto", "Septiembre", "Octubre", "Noviembre"}, 0)-MONTH('BD Asesor'!D896), 3)=0),
    AND('BD Asesor'!H896="Semestral", MOD(MATCH($B$2, {"Enero", "Febrero", "Marzo", "Abril", "Mayo", "Junio", "Julio", "Agosto", "Septiembre", "Octubre", "Noviembre"}, 0)-MONTH('BD Asesor'!D896), 6)=0),
    AND('BD Asesor'!H896="Anual", MONTH('BD Asesor'!D896)=MATCH($B$2, {"Enero", "Febrero", "Marzo", "Abril", "Mayo", "Junio", "Julio", "Agosto", "Septiembre", "Octubre", "Noviembre"}, 0))
), 'BD Asesor'!L896, "")
</f>
        <v/>
      </c>
    </row>
    <row r="897">
      <c r="C897" s="84" t="str">
        <f t="array" ref="C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Asesor'!A897, "")
</f>
        <v/>
      </c>
      <c r="D897" s="84" t="str">
        <f t="array" ref="D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Asesor'!B897, "")
</f>
        <v/>
      </c>
      <c r="E897" s="212" t="str">
        <f t="array" ref="E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Asesor'!C897, "")
</f>
        <v/>
      </c>
      <c r="F897" s="212" t="str">
        <f t="array" ref="F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Asesor'!D897, "")
</f>
        <v/>
      </c>
      <c r="G897" s="212" t="str">
        <f t="array" ref="G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Asesor'!E897, "")
</f>
        <v/>
      </c>
      <c r="H897" s="84" t="str">
        <f t="array" ref="H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Asesor'!F897, "")
</f>
        <v/>
      </c>
      <c r="I897" s="84" t="str">
        <f t="array" ref="I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Asesor'!G897, "")
</f>
        <v/>
      </c>
      <c r="J897" s="84" t="str">
        <f t="array" ref="J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Asesor'!H897, "")
</f>
        <v/>
      </c>
      <c r="K897" s="84" t="str">
        <f t="array" ref="K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Asesor'!K897, "")
</f>
        <v/>
      </c>
      <c r="L897" s="84" t="str">
        <f t="array" ref="L897">IF(OR(
    AND('BD Asesor'!H897="Mensual", MATCH($B$2, {"Enero", "Febrero", "Marzo", "Abril", "Mayo", "Junio", "Julio", "Agosto", "Septiembre", "Octubre", "Noviembre", "Diciembre"}, 0)&gt;=1),
    AND('BD Asesor'!H897="Trimestral", MOD(MATCH($B$2, {"Enero", "Febrero", "Marzo", "Abril", "Mayo", "Junio", "Julio", "Agosto", "Septiembre", "Octubre", "Noviembre"}, 0)-MONTH('BD Asesor'!D897), 3)=0),
    AND('BD Asesor'!H897="Semestral", MOD(MATCH($B$2, {"Enero", "Febrero", "Marzo", "Abril", "Mayo", "Junio", "Julio", "Agosto", "Septiembre", "Octubre", "Noviembre"}, 0)-MONTH('BD Asesor'!D897), 6)=0),
    AND('BD Asesor'!H897="Anual", MONTH('BD Asesor'!D897)=MATCH($B$2, {"Enero", "Febrero", "Marzo", "Abril", "Mayo", "Junio", "Julio", "Agosto", "Septiembre", "Octubre", "Noviembre"}, 0))
), 'BD Asesor'!L897, "")
</f>
        <v/>
      </c>
    </row>
    <row r="898">
      <c r="C898" s="84" t="str">
        <f t="array" ref="C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Asesor'!A898, "")
</f>
        <v/>
      </c>
      <c r="D898" s="84" t="str">
        <f t="array" ref="D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Asesor'!B898, "")
</f>
        <v/>
      </c>
      <c r="E898" s="212" t="str">
        <f t="array" ref="E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Asesor'!C898, "")
</f>
        <v/>
      </c>
      <c r="F898" s="212" t="str">
        <f t="array" ref="F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Asesor'!D898, "")
</f>
        <v/>
      </c>
      <c r="G898" s="212" t="str">
        <f t="array" ref="G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Asesor'!E898, "")
</f>
        <v/>
      </c>
      <c r="H898" s="84" t="str">
        <f t="array" ref="H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Asesor'!F898, "")
</f>
        <v/>
      </c>
      <c r="I898" s="84" t="str">
        <f t="array" ref="I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Asesor'!G898, "")
</f>
        <v/>
      </c>
      <c r="J898" s="84" t="str">
        <f t="array" ref="J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Asesor'!H898, "")
</f>
        <v/>
      </c>
      <c r="K898" s="84" t="str">
        <f t="array" ref="K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Asesor'!K898, "")
</f>
        <v/>
      </c>
      <c r="L898" s="84" t="str">
        <f t="array" ref="L898">IF(OR(
    AND('BD Asesor'!H898="Mensual", MATCH($B$2, {"Enero", "Febrero", "Marzo", "Abril", "Mayo", "Junio", "Julio", "Agosto", "Septiembre", "Octubre", "Noviembre", "Diciembre"}, 0)&gt;=1),
    AND('BD Asesor'!H898="Trimestral", MOD(MATCH($B$2, {"Enero", "Febrero", "Marzo", "Abril", "Mayo", "Junio", "Julio", "Agosto", "Septiembre", "Octubre", "Noviembre"}, 0)-MONTH('BD Asesor'!D898), 3)=0),
    AND('BD Asesor'!H898="Semestral", MOD(MATCH($B$2, {"Enero", "Febrero", "Marzo", "Abril", "Mayo", "Junio", "Julio", "Agosto", "Septiembre", "Octubre", "Noviembre"}, 0)-MONTH('BD Asesor'!D898), 6)=0),
    AND('BD Asesor'!H898="Anual", MONTH('BD Asesor'!D898)=MATCH($B$2, {"Enero", "Febrero", "Marzo", "Abril", "Mayo", "Junio", "Julio", "Agosto", "Septiembre", "Octubre", "Noviembre"}, 0))
), 'BD Asesor'!L898, "")
</f>
        <v/>
      </c>
    </row>
    <row r="899">
      <c r="C899" s="84" t="str">
        <f t="array" ref="C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Asesor'!A899, "")
</f>
        <v/>
      </c>
      <c r="D899" s="84" t="str">
        <f t="array" ref="D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Asesor'!B899, "")
</f>
        <v/>
      </c>
      <c r="E899" s="212" t="str">
        <f t="array" ref="E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Asesor'!C899, "")
</f>
        <v/>
      </c>
      <c r="F899" s="212" t="str">
        <f t="array" ref="F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Asesor'!D899, "")
</f>
        <v/>
      </c>
      <c r="G899" s="212" t="str">
        <f t="array" ref="G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Asesor'!E899, "")
</f>
        <v/>
      </c>
      <c r="H899" s="84" t="str">
        <f t="array" ref="H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Asesor'!F899, "")
</f>
        <v/>
      </c>
      <c r="I899" s="84" t="str">
        <f t="array" ref="I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Asesor'!G899, "")
</f>
        <v/>
      </c>
      <c r="J899" s="84" t="str">
        <f t="array" ref="J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Asesor'!H899, "")
</f>
        <v/>
      </c>
      <c r="K899" s="84" t="str">
        <f t="array" ref="K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Asesor'!K899, "")
</f>
        <v/>
      </c>
      <c r="L899" s="84" t="str">
        <f t="array" ref="L899">IF(OR(
    AND('BD Asesor'!H899="Mensual", MATCH($B$2, {"Enero", "Febrero", "Marzo", "Abril", "Mayo", "Junio", "Julio", "Agosto", "Septiembre", "Octubre", "Noviembre", "Diciembre"}, 0)&gt;=1),
    AND('BD Asesor'!H899="Trimestral", MOD(MATCH($B$2, {"Enero", "Febrero", "Marzo", "Abril", "Mayo", "Junio", "Julio", "Agosto", "Septiembre", "Octubre", "Noviembre"}, 0)-MONTH('BD Asesor'!D899), 3)=0),
    AND('BD Asesor'!H899="Semestral", MOD(MATCH($B$2, {"Enero", "Febrero", "Marzo", "Abril", "Mayo", "Junio", "Julio", "Agosto", "Septiembre", "Octubre", "Noviembre"}, 0)-MONTH('BD Asesor'!D899), 6)=0),
    AND('BD Asesor'!H899="Anual", MONTH('BD Asesor'!D899)=MATCH($B$2, {"Enero", "Febrero", "Marzo", "Abril", "Mayo", "Junio", "Julio", "Agosto", "Septiembre", "Octubre", "Noviembre"}, 0))
), 'BD Asesor'!L899, "")
</f>
        <v/>
      </c>
    </row>
    <row r="900">
      <c r="C900" s="84" t="str">
        <f t="array" ref="C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Asesor'!A900, "")
</f>
        <v/>
      </c>
      <c r="D900" s="84" t="str">
        <f t="array" ref="D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Asesor'!B900, "")
</f>
        <v/>
      </c>
      <c r="E900" s="212" t="str">
        <f t="array" ref="E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Asesor'!C900, "")
</f>
        <v/>
      </c>
      <c r="F900" s="212" t="str">
        <f t="array" ref="F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Asesor'!D900, "")
</f>
        <v/>
      </c>
      <c r="G900" s="212" t="str">
        <f t="array" ref="G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Asesor'!E900, "")
</f>
        <v/>
      </c>
      <c r="H900" s="84" t="str">
        <f t="array" ref="H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Asesor'!F900, "")
</f>
        <v/>
      </c>
      <c r="I900" s="84" t="str">
        <f t="array" ref="I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Asesor'!G900, "")
</f>
        <v/>
      </c>
      <c r="J900" s="84" t="str">
        <f t="array" ref="J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Asesor'!H900, "")
</f>
        <v/>
      </c>
      <c r="K900" s="84" t="str">
        <f t="array" ref="K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Asesor'!K900, "")
</f>
        <v/>
      </c>
      <c r="L900" s="84" t="str">
        <f t="array" ref="L900">IF(OR(
    AND('BD Asesor'!H900="Mensual", MATCH($B$2, {"Enero", "Febrero", "Marzo", "Abril", "Mayo", "Junio", "Julio", "Agosto", "Septiembre", "Octubre", "Noviembre", "Diciembre"}, 0)&gt;=1),
    AND('BD Asesor'!H900="Trimestral", MOD(MATCH($B$2, {"Enero", "Febrero", "Marzo", "Abril", "Mayo", "Junio", "Julio", "Agosto", "Septiembre", "Octubre", "Noviembre"}, 0)-MONTH('BD Asesor'!D900), 3)=0),
    AND('BD Asesor'!H900="Semestral", MOD(MATCH($B$2, {"Enero", "Febrero", "Marzo", "Abril", "Mayo", "Junio", "Julio", "Agosto", "Septiembre", "Octubre", "Noviembre"}, 0)-MONTH('BD Asesor'!D900), 6)=0),
    AND('BD Asesor'!H900="Anual", MONTH('BD Asesor'!D900)=MATCH($B$2, {"Enero", "Febrero", "Marzo", "Abril", "Mayo", "Junio", "Julio", "Agosto", "Septiembre", "Octubre", "Noviembre"}, 0))
), 'BD Asesor'!L900, "")
</f>
        <v/>
      </c>
    </row>
    <row r="901">
      <c r="C901" s="84" t="str">
        <f t="array" ref="C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Asesor'!A901, "")
</f>
        <v/>
      </c>
      <c r="D901" s="84" t="str">
        <f t="array" ref="D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Asesor'!B901, "")
</f>
        <v/>
      </c>
      <c r="E901" s="212" t="str">
        <f t="array" ref="E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Asesor'!C901, "")
</f>
        <v/>
      </c>
      <c r="F901" s="212" t="str">
        <f t="array" ref="F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Asesor'!D901, "")
</f>
        <v/>
      </c>
      <c r="G901" s="212" t="str">
        <f t="array" ref="G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Asesor'!E901, "")
</f>
        <v/>
      </c>
      <c r="H901" s="84" t="str">
        <f t="array" ref="H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Asesor'!F901, "")
</f>
        <v/>
      </c>
      <c r="I901" s="84" t="str">
        <f t="array" ref="I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Asesor'!G901, "")
</f>
        <v/>
      </c>
      <c r="J901" s="84" t="str">
        <f t="array" ref="J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Asesor'!H901, "")
</f>
        <v/>
      </c>
      <c r="K901" s="84" t="str">
        <f t="array" ref="K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Asesor'!K901, "")
</f>
        <v/>
      </c>
      <c r="L901" s="84" t="str">
        <f t="array" ref="L901">IF(OR(
    AND('BD Asesor'!H901="Mensual", MATCH($B$2, {"Enero", "Febrero", "Marzo", "Abril", "Mayo", "Junio", "Julio", "Agosto", "Septiembre", "Octubre", "Noviembre", "Diciembre"}, 0)&gt;=1),
    AND('BD Asesor'!H901="Trimestral", MOD(MATCH($B$2, {"Enero", "Febrero", "Marzo", "Abril", "Mayo", "Junio", "Julio", "Agosto", "Septiembre", "Octubre", "Noviembre"}, 0)-MONTH('BD Asesor'!D901), 3)=0),
    AND('BD Asesor'!H901="Semestral", MOD(MATCH($B$2, {"Enero", "Febrero", "Marzo", "Abril", "Mayo", "Junio", "Julio", "Agosto", "Septiembre", "Octubre", "Noviembre"}, 0)-MONTH('BD Asesor'!D901), 6)=0),
    AND('BD Asesor'!H901="Anual", MONTH('BD Asesor'!D901)=MATCH($B$2, {"Enero", "Febrero", "Marzo", "Abril", "Mayo", "Junio", "Julio", "Agosto", "Septiembre", "Octubre", "Noviembre"}, 0))
), 'BD Asesor'!L901, "")
</f>
        <v/>
      </c>
    </row>
    <row r="902">
      <c r="C902" s="84" t="str">
        <f t="array" ref="C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Asesor'!A902, "")
</f>
        <v/>
      </c>
      <c r="D902" s="84" t="str">
        <f t="array" ref="D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Asesor'!B902, "")
</f>
        <v/>
      </c>
      <c r="E902" s="212" t="str">
        <f t="array" ref="E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Asesor'!C902, "")
</f>
        <v/>
      </c>
      <c r="F902" s="212" t="str">
        <f t="array" ref="F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Asesor'!D902, "")
</f>
        <v/>
      </c>
      <c r="G902" s="212" t="str">
        <f t="array" ref="G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Asesor'!E902, "")
</f>
        <v/>
      </c>
      <c r="H902" s="84" t="str">
        <f t="array" ref="H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Asesor'!F902, "")
</f>
        <v/>
      </c>
      <c r="I902" s="84" t="str">
        <f t="array" ref="I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Asesor'!G902, "")
</f>
        <v/>
      </c>
      <c r="J902" s="84" t="str">
        <f t="array" ref="J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Asesor'!H902, "")
</f>
        <v/>
      </c>
      <c r="K902" s="84" t="str">
        <f t="array" ref="K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Asesor'!K902, "")
</f>
        <v/>
      </c>
      <c r="L902" s="84" t="str">
        <f t="array" ref="L902">IF(OR(
    AND('BD Asesor'!H902="Mensual", MATCH($B$2, {"Enero", "Febrero", "Marzo", "Abril", "Mayo", "Junio", "Julio", "Agosto", "Septiembre", "Octubre", "Noviembre", "Diciembre"}, 0)&gt;=1),
    AND('BD Asesor'!H902="Trimestral", MOD(MATCH($B$2, {"Enero", "Febrero", "Marzo", "Abril", "Mayo", "Junio", "Julio", "Agosto", "Septiembre", "Octubre", "Noviembre"}, 0)-MONTH('BD Asesor'!D902), 3)=0),
    AND('BD Asesor'!H902="Semestral", MOD(MATCH($B$2, {"Enero", "Febrero", "Marzo", "Abril", "Mayo", "Junio", "Julio", "Agosto", "Septiembre", "Octubre", "Noviembre"}, 0)-MONTH('BD Asesor'!D902), 6)=0),
    AND('BD Asesor'!H902="Anual", MONTH('BD Asesor'!D902)=MATCH($B$2, {"Enero", "Febrero", "Marzo", "Abril", "Mayo", "Junio", "Julio", "Agosto", "Septiembre", "Octubre", "Noviembre"}, 0))
), 'BD Asesor'!L902, "")
</f>
        <v/>
      </c>
    </row>
    <row r="903">
      <c r="C903" s="84" t="str">
        <f t="array" ref="C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Asesor'!A903, "")
</f>
        <v/>
      </c>
      <c r="D903" s="84" t="str">
        <f t="array" ref="D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Asesor'!B903, "")
</f>
        <v/>
      </c>
      <c r="E903" s="212" t="str">
        <f t="array" ref="E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Asesor'!C903, "")
</f>
        <v/>
      </c>
      <c r="F903" s="212" t="str">
        <f t="array" ref="F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Asesor'!D903, "")
</f>
        <v/>
      </c>
      <c r="G903" s="212" t="str">
        <f t="array" ref="G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Asesor'!E903, "")
</f>
        <v/>
      </c>
      <c r="H903" s="84" t="str">
        <f t="array" ref="H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Asesor'!F903, "")
</f>
        <v/>
      </c>
      <c r="I903" s="84" t="str">
        <f t="array" ref="I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Asesor'!G903, "")
</f>
        <v/>
      </c>
      <c r="J903" s="84" t="str">
        <f t="array" ref="J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Asesor'!H903, "")
</f>
        <v/>
      </c>
      <c r="K903" s="84" t="str">
        <f t="array" ref="K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Asesor'!K903, "")
</f>
        <v/>
      </c>
      <c r="L903" s="84" t="str">
        <f t="array" ref="L903">IF(OR(
    AND('BD Asesor'!H903="Mensual", MATCH($B$2, {"Enero", "Febrero", "Marzo", "Abril", "Mayo", "Junio", "Julio", "Agosto", "Septiembre", "Octubre", "Noviembre", "Diciembre"}, 0)&gt;=1),
    AND('BD Asesor'!H903="Trimestral", MOD(MATCH($B$2, {"Enero", "Febrero", "Marzo", "Abril", "Mayo", "Junio", "Julio", "Agosto", "Septiembre", "Octubre", "Noviembre"}, 0)-MONTH('BD Asesor'!D903), 3)=0),
    AND('BD Asesor'!H903="Semestral", MOD(MATCH($B$2, {"Enero", "Febrero", "Marzo", "Abril", "Mayo", "Junio", "Julio", "Agosto", "Septiembre", "Octubre", "Noviembre"}, 0)-MONTH('BD Asesor'!D903), 6)=0),
    AND('BD Asesor'!H903="Anual", MONTH('BD Asesor'!D903)=MATCH($B$2, {"Enero", "Febrero", "Marzo", "Abril", "Mayo", "Junio", "Julio", "Agosto", "Septiembre", "Octubre", "Noviembre"}, 0))
), 'BD Asesor'!L903, "")
</f>
        <v/>
      </c>
    </row>
    <row r="904">
      <c r="C904" s="84" t="str">
        <f t="array" ref="C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Asesor'!A904, "")
</f>
        <v/>
      </c>
      <c r="D904" s="84" t="str">
        <f t="array" ref="D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Asesor'!B904, "")
</f>
        <v/>
      </c>
      <c r="E904" s="212" t="str">
        <f t="array" ref="E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Asesor'!C904, "")
</f>
        <v/>
      </c>
      <c r="F904" s="212" t="str">
        <f t="array" ref="F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Asesor'!D904, "")
</f>
        <v/>
      </c>
      <c r="G904" s="212" t="str">
        <f t="array" ref="G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Asesor'!E904, "")
</f>
        <v/>
      </c>
      <c r="H904" s="84" t="str">
        <f t="array" ref="H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Asesor'!F904, "")
</f>
        <v/>
      </c>
      <c r="I904" s="84" t="str">
        <f t="array" ref="I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Asesor'!G904, "")
</f>
        <v/>
      </c>
      <c r="J904" s="84" t="str">
        <f t="array" ref="J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Asesor'!H904, "")
</f>
        <v/>
      </c>
      <c r="K904" s="84" t="str">
        <f t="array" ref="K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Asesor'!K904, "")
</f>
        <v/>
      </c>
      <c r="L904" s="84" t="str">
        <f t="array" ref="L904">IF(OR(
    AND('BD Asesor'!H904="Mensual", MATCH($B$2, {"Enero", "Febrero", "Marzo", "Abril", "Mayo", "Junio", "Julio", "Agosto", "Septiembre", "Octubre", "Noviembre", "Diciembre"}, 0)&gt;=1),
    AND('BD Asesor'!H904="Trimestral", MOD(MATCH($B$2, {"Enero", "Febrero", "Marzo", "Abril", "Mayo", "Junio", "Julio", "Agosto", "Septiembre", "Octubre", "Noviembre"}, 0)-MONTH('BD Asesor'!D904), 3)=0),
    AND('BD Asesor'!H904="Semestral", MOD(MATCH($B$2, {"Enero", "Febrero", "Marzo", "Abril", "Mayo", "Junio", "Julio", "Agosto", "Septiembre", "Octubre", "Noviembre"}, 0)-MONTH('BD Asesor'!D904), 6)=0),
    AND('BD Asesor'!H904="Anual", MONTH('BD Asesor'!D904)=MATCH($B$2, {"Enero", "Febrero", "Marzo", "Abril", "Mayo", "Junio", "Julio", "Agosto", "Septiembre", "Octubre", "Noviembre"}, 0))
), 'BD Asesor'!L904, "")
</f>
        <v/>
      </c>
    </row>
    <row r="905">
      <c r="C905" s="84" t="str">
        <f t="array" ref="C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Asesor'!A905, "")
</f>
        <v/>
      </c>
      <c r="D905" s="84" t="str">
        <f t="array" ref="D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Asesor'!B905, "")
</f>
        <v/>
      </c>
      <c r="E905" s="212" t="str">
        <f t="array" ref="E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Asesor'!C905, "")
</f>
        <v/>
      </c>
      <c r="F905" s="212" t="str">
        <f t="array" ref="F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Asesor'!D905, "")
</f>
        <v/>
      </c>
      <c r="G905" s="212" t="str">
        <f t="array" ref="G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Asesor'!E905, "")
</f>
        <v/>
      </c>
      <c r="H905" s="84" t="str">
        <f t="array" ref="H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Asesor'!F905, "")
</f>
        <v/>
      </c>
      <c r="I905" s="84" t="str">
        <f t="array" ref="I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Asesor'!G905, "")
</f>
        <v/>
      </c>
      <c r="J905" s="84" t="str">
        <f t="array" ref="J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Asesor'!H905, "")
</f>
        <v/>
      </c>
      <c r="K905" s="84" t="str">
        <f t="array" ref="K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Asesor'!K905, "")
</f>
        <v/>
      </c>
      <c r="L905" s="84" t="str">
        <f t="array" ref="L905">IF(OR(
    AND('BD Asesor'!H905="Mensual", MATCH($B$2, {"Enero", "Febrero", "Marzo", "Abril", "Mayo", "Junio", "Julio", "Agosto", "Septiembre", "Octubre", "Noviembre", "Diciembre"}, 0)&gt;=1),
    AND('BD Asesor'!H905="Trimestral", MOD(MATCH($B$2, {"Enero", "Febrero", "Marzo", "Abril", "Mayo", "Junio", "Julio", "Agosto", "Septiembre", "Octubre", "Noviembre"}, 0)-MONTH('BD Asesor'!D905), 3)=0),
    AND('BD Asesor'!H905="Semestral", MOD(MATCH($B$2, {"Enero", "Febrero", "Marzo", "Abril", "Mayo", "Junio", "Julio", "Agosto", "Septiembre", "Octubre", "Noviembre"}, 0)-MONTH('BD Asesor'!D905), 6)=0),
    AND('BD Asesor'!H905="Anual", MONTH('BD Asesor'!D905)=MATCH($B$2, {"Enero", "Febrero", "Marzo", "Abril", "Mayo", "Junio", "Julio", "Agosto", "Septiembre", "Octubre", "Noviembre"}, 0))
), 'BD Asesor'!L905, "")
</f>
        <v/>
      </c>
    </row>
    <row r="906">
      <c r="C906" s="84" t="str">
        <f t="array" ref="C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Asesor'!A906, "")
</f>
        <v/>
      </c>
      <c r="D906" s="84" t="str">
        <f t="array" ref="D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Asesor'!B906, "")
</f>
        <v/>
      </c>
      <c r="E906" s="212" t="str">
        <f t="array" ref="E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Asesor'!C906, "")
</f>
        <v/>
      </c>
      <c r="F906" s="212" t="str">
        <f t="array" ref="F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Asesor'!D906, "")
</f>
        <v/>
      </c>
      <c r="G906" s="212" t="str">
        <f t="array" ref="G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Asesor'!E906, "")
</f>
        <v/>
      </c>
      <c r="H906" s="84" t="str">
        <f t="array" ref="H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Asesor'!F906, "")
</f>
        <v/>
      </c>
      <c r="I906" s="84" t="str">
        <f t="array" ref="I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Asesor'!G906, "")
</f>
        <v/>
      </c>
      <c r="J906" s="84" t="str">
        <f t="array" ref="J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Asesor'!H906, "")
</f>
        <v/>
      </c>
      <c r="K906" s="84" t="str">
        <f t="array" ref="K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Asesor'!K906, "")
</f>
        <v/>
      </c>
      <c r="L906" s="84" t="str">
        <f t="array" ref="L906">IF(OR(
    AND('BD Asesor'!H906="Mensual", MATCH($B$2, {"Enero", "Febrero", "Marzo", "Abril", "Mayo", "Junio", "Julio", "Agosto", "Septiembre", "Octubre", "Noviembre", "Diciembre"}, 0)&gt;=1),
    AND('BD Asesor'!H906="Trimestral", MOD(MATCH($B$2, {"Enero", "Febrero", "Marzo", "Abril", "Mayo", "Junio", "Julio", "Agosto", "Septiembre", "Octubre", "Noviembre"}, 0)-MONTH('BD Asesor'!D906), 3)=0),
    AND('BD Asesor'!H906="Semestral", MOD(MATCH($B$2, {"Enero", "Febrero", "Marzo", "Abril", "Mayo", "Junio", "Julio", "Agosto", "Septiembre", "Octubre", "Noviembre"}, 0)-MONTH('BD Asesor'!D906), 6)=0),
    AND('BD Asesor'!H906="Anual", MONTH('BD Asesor'!D906)=MATCH($B$2, {"Enero", "Febrero", "Marzo", "Abril", "Mayo", "Junio", "Julio", "Agosto", "Septiembre", "Octubre", "Noviembre"}, 0))
), 'BD Asesor'!L906, "")
</f>
        <v/>
      </c>
    </row>
    <row r="907">
      <c r="C907" s="84" t="str">
        <f t="array" ref="C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Asesor'!A907, "")
</f>
        <v/>
      </c>
      <c r="D907" s="84" t="str">
        <f t="array" ref="D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Asesor'!B907, "")
</f>
        <v/>
      </c>
      <c r="E907" s="212" t="str">
        <f t="array" ref="E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Asesor'!C907, "")
</f>
        <v/>
      </c>
      <c r="F907" s="212" t="str">
        <f t="array" ref="F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Asesor'!D907, "")
</f>
        <v/>
      </c>
      <c r="G907" s="212" t="str">
        <f t="array" ref="G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Asesor'!E907, "")
</f>
        <v/>
      </c>
      <c r="H907" s="84" t="str">
        <f t="array" ref="H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Asesor'!F907, "")
</f>
        <v/>
      </c>
      <c r="I907" s="84" t="str">
        <f t="array" ref="I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Asesor'!G907, "")
</f>
        <v/>
      </c>
      <c r="J907" s="84" t="str">
        <f t="array" ref="J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Asesor'!H907, "")
</f>
        <v/>
      </c>
      <c r="K907" s="84" t="str">
        <f t="array" ref="K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Asesor'!K907, "")
</f>
        <v/>
      </c>
      <c r="L907" s="84" t="str">
        <f t="array" ref="L907">IF(OR(
    AND('BD Asesor'!H907="Mensual", MATCH($B$2, {"Enero", "Febrero", "Marzo", "Abril", "Mayo", "Junio", "Julio", "Agosto", "Septiembre", "Octubre", "Noviembre", "Diciembre"}, 0)&gt;=1),
    AND('BD Asesor'!H907="Trimestral", MOD(MATCH($B$2, {"Enero", "Febrero", "Marzo", "Abril", "Mayo", "Junio", "Julio", "Agosto", "Septiembre", "Octubre", "Noviembre"}, 0)-MONTH('BD Asesor'!D907), 3)=0),
    AND('BD Asesor'!H907="Semestral", MOD(MATCH($B$2, {"Enero", "Febrero", "Marzo", "Abril", "Mayo", "Junio", "Julio", "Agosto", "Septiembre", "Octubre", "Noviembre"}, 0)-MONTH('BD Asesor'!D907), 6)=0),
    AND('BD Asesor'!H907="Anual", MONTH('BD Asesor'!D907)=MATCH($B$2, {"Enero", "Febrero", "Marzo", "Abril", "Mayo", "Junio", "Julio", "Agosto", "Septiembre", "Octubre", "Noviembre"}, 0))
), 'BD Asesor'!L907, "")
</f>
        <v/>
      </c>
    </row>
    <row r="908">
      <c r="C908" s="84" t="str">
        <f t="array" ref="C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Asesor'!A908, "")
</f>
        <v/>
      </c>
      <c r="D908" s="84" t="str">
        <f t="array" ref="D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Asesor'!B908, "")
</f>
        <v/>
      </c>
      <c r="E908" s="212" t="str">
        <f t="array" ref="E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Asesor'!C908, "")
</f>
        <v/>
      </c>
      <c r="F908" s="212" t="str">
        <f t="array" ref="F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Asesor'!D908, "")
</f>
        <v/>
      </c>
      <c r="G908" s="212" t="str">
        <f t="array" ref="G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Asesor'!E908, "")
</f>
        <v/>
      </c>
      <c r="H908" s="84" t="str">
        <f t="array" ref="H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Asesor'!F908, "")
</f>
        <v/>
      </c>
      <c r="I908" s="84" t="str">
        <f t="array" ref="I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Asesor'!G908, "")
</f>
        <v/>
      </c>
      <c r="J908" s="84" t="str">
        <f t="array" ref="J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Asesor'!H908, "")
</f>
        <v/>
      </c>
      <c r="K908" s="84" t="str">
        <f t="array" ref="K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Asesor'!K908, "")
</f>
        <v/>
      </c>
      <c r="L908" s="84" t="str">
        <f t="array" ref="L908">IF(OR(
    AND('BD Asesor'!H908="Mensual", MATCH($B$2, {"Enero", "Febrero", "Marzo", "Abril", "Mayo", "Junio", "Julio", "Agosto", "Septiembre", "Octubre", "Noviembre", "Diciembre"}, 0)&gt;=1),
    AND('BD Asesor'!H908="Trimestral", MOD(MATCH($B$2, {"Enero", "Febrero", "Marzo", "Abril", "Mayo", "Junio", "Julio", "Agosto", "Septiembre", "Octubre", "Noviembre"}, 0)-MONTH('BD Asesor'!D908), 3)=0),
    AND('BD Asesor'!H908="Semestral", MOD(MATCH($B$2, {"Enero", "Febrero", "Marzo", "Abril", "Mayo", "Junio", "Julio", "Agosto", "Septiembre", "Octubre", "Noviembre"}, 0)-MONTH('BD Asesor'!D908), 6)=0),
    AND('BD Asesor'!H908="Anual", MONTH('BD Asesor'!D908)=MATCH($B$2, {"Enero", "Febrero", "Marzo", "Abril", "Mayo", "Junio", "Julio", "Agosto", "Septiembre", "Octubre", "Noviembre"}, 0))
), 'BD Asesor'!L908, "")
</f>
        <v/>
      </c>
    </row>
    <row r="909">
      <c r="C909" s="84" t="str">
        <f t="array" ref="C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Asesor'!A909, "")
</f>
        <v/>
      </c>
      <c r="D909" s="84" t="str">
        <f t="array" ref="D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Asesor'!B909, "")
</f>
        <v/>
      </c>
      <c r="E909" s="212" t="str">
        <f t="array" ref="E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Asesor'!C909, "")
</f>
        <v/>
      </c>
      <c r="F909" s="212" t="str">
        <f t="array" ref="F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Asesor'!D909, "")
</f>
        <v/>
      </c>
      <c r="G909" s="212" t="str">
        <f t="array" ref="G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Asesor'!E909, "")
</f>
        <v/>
      </c>
      <c r="H909" s="84" t="str">
        <f t="array" ref="H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Asesor'!F909, "")
</f>
        <v/>
      </c>
      <c r="I909" s="84" t="str">
        <f t="array" ref="I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Asesor'!G909, "")
</f>
        <v/>
      </c>
      <c r="J909" s="84" t="str">
        <f t="array" ref="J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Asesor'!H909, "")
</f>
        <v/>
      </c>
      <c r="K909" s="84" t="str">
        <f t="array" ref="K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Asesor'!K909, "")
</f>
        <v/>
      </c>
      <c r="L909" s="84" t="str">
        <f t="array" ref="L909">IF(OR(
    AND('BD Asesor'!H909="Mensual", MATCH($B$2, {"Enero", "Febrero", "Marzo", "Abril", "Mayo", "Junio", "Julio", "Agosto", "Septiembre", "Octubre", "Noviembre", "Diciembre"}, 0)&gt;=1),
    AND('BD Asesor'!H909="Trimestral", MOD(MATCH($B$2, {"Enero", "Febrero", "Marzo", "Abril", "Mayo", "Junio", "Julio", "Agosto", "Septiembre", "Octubre", "Noviembre"}, 0)-MONTH('BD Asesor'!D909), 3)=0),
    AND('BD Asesor'!H909="Semestral", MOD(MATCH($B$2, {"Enero", "Febrero", "Marzo", "Abril", "Mayo", "Junio", "Julio", "Agosto", "Septiembre", "Octubre", "Noviembre"}, 0)-MONTH('BD Asesor'!D909), 6)=0),
    AND('BD Asesor'!H909="Anual", MONTH('BD Asesor'!D909)=MATCH($B$2, {"Enero", "Febrero", "Marzo", "Abril", "Mayo", "Junio", "Julio", "Agosto", "Septiembre", "Octubre", "Noviembre"}, 0))
), 'BD Asesor'!L909, "")
</f>
        <v/>
      </c>
    </row>
    <row r="910">
      <c r="C910" s="84" t="str">
        <f t="array" ref="C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Asesor'!A910, "")
</f>
        <v/>
      </c>
      <c r="D910" s="84" t="str">
        <f t="array" ref="D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Asesor'!B910, "")
</f>
        <v/>
      </c>
      <c r="E910" s="212" t="str">
        <f t="array" ref="E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Asesor'!C910, "")
</f>
        <v/>
      </c>
      <c r="F910" s="212" t="str">
        <f t="array" ref="F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Asesor'!D910, "")
</f>
        <v/>
      </c>
      <c r="G910" s="212" t="str">
        <f t="array" ref="G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Asesor'!E910, "")
</f>
        <v/>
      </c>
      <c r="H910" s="84" t="str">
        <f t="array" ref="H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Asesor'!F910, "")
</f>
        <v/>
      </c>
      <c r="I910" s="84" t="str">
        <f t="array" ref="I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Asesor'!G910, "")
</f>
        <v/>
      </c>
      <c r="J910" s="84" t="str">
        <f t="array" ref="J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Asesor'!H910, "")
</f>
        <v/>
      </c>
      <c r="K910" s="84" t="str">
        <f t="array" ref="K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Asesor'!K910, "")
</f>
        <v/>
      </c>
      <c r="L910" s="84" t="str">
        <f t="array" ref="L910">IF(OR(
    AND('BD Asesor'!H910="Mensual", MATCH($B$2, {"Enero", "Febrero", "Marzo", "Abril", "Mayo", "Junio", "Julio", "Agosto", "Septiembre", "Octubre", "Noviembre", "Diciembre"}, 0)&gt;=1),
    AND('BD Asesor'!H910="Trimestral", MOD(MATCH($B$2, {"Enero", "Febrero", "Marzo", "Abril", "Mayo", "Junio", "Julio", "Agosto", "Septiembre", "Octubre", "Noviembre"}, 0)-MONTH('BD Asesor'!D910), 3)=0),
    AND('BD Asesor'!H910="Semestral", MOD(MATCH($B$2, {"Enero", "Febrero", "Marzo", "Abril", "Mayo", "Junio", "Julio", "Agosto", "Septiembre", "Octubre", "Noviembre"}, 0)-MONTH('BD Asesor'!D910), 6)=0),
    AND('BD Asesor'!H910="Anual", MONTH('BD Asesor'!D910)=MATCH($B$2, {"Enero", "Febrero", "Marzo", "Abril", "Mayo", "Junio", "Julio", "Agosto", "Septiembre", "Octubre", "Noviembre"}, 0))
), 'BD Asesor'!L910, "")
</f>
        <v/>
      </c>
    </row>
    <row r="911">
      <c r="C911" s="84" t="str">
        <f t="array" ref="C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Asesor'!A911, "")
</f>
        <v/>
      </c>
      <c r="D911" s="84" t="str">
        <f t="array" ref="D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Asesor'!B911, "")
</f>
        <v/>
      </c>
      <c r="E911" s="212" t="str">
        <f t="array" ref="E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Asesor'!C911, "")
</f>
        <v/>
      </c>
      <c r="F911" s="212" t="str">
        <f t="array" ref="F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Asesor'!D911, "")
</f>
        <v/>
      </c>
      <c r="G911" s="212" t="str">
        <f t="array" ref="G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Asesor'!E911, "")
</f>
        <v/>
      </c>
      <c r="H911" s="84" t="str">
        <f t="array" ref="H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Asesor'!F911, "")
</f>
        <v/>
      </c>
      <c r="I911" s="84" t="str">
        <f t="array" ref="I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Asesor'!G911, "")
</f>
        <v/>
      </c>
      <c r="J911" s="84" t="str">
        <f t="array" ref="J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Asesor'!H911, "")
</f>
        <v/>
      </c>
      <c r="K911" s="84" t="str">
        <f t="array" ref="K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Asesor'!K911, "")
</f>
        <v/>
      </c>
      <c r="L911" s="84" t="str">
        <f t="array" ref="L911">IF(OR(
    AND('BD Asesor'!H911="Mensual", MATCH($B$2, {"Enero", "Febrero", "Marzo", "Abril", "Mayo", "Junio", "Julio", "Agosto", "Septiembre", "Octubre", "Noviembre", "Diciembre"}, 0)&gt;=1),
    AND('BD Asesor'!H911="Trimestral", MOD(MATCH($B$2, {"Enero", "Febrero", "Marzo", "Abril", "Mayo", "Junio", "Julio", "Agosto", "Septiembre", "Octubre", "Noviembre"}, 0)-MONTH('BD Asesor'!D911), 3)=0),
    AND('BD Asesor'!H911="Semestral", MOD(MATCH($B$2, {"Enero", "Febrero", "Marzo", "Abril", "Mayo", "Junio", "Julio", "Agosto", "Septiembre", "Octubre", "Noviembre"}, 0)-MONTH('BD Asesor'!D911), 6)=0),
    AND('BD Asesor'!H911="Anual", MONTH('BD Asesor'!D911)=MATCH($B$2, {"Enero", "Febrero", "Marzo", "Abril", "Mayo", "Junio", "Julio", "Agosto", "Septiembre", "Octubre", "Noviembre"}, 0))
), 'BD Asesor'!L911, "")
</f>
        <v/>
      </c>
    </row>
    <row r="912">
      <c r="C912" s="84" t="str">
        <f t="array" ref="C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Asesor'!A912, "")
</f>
        <v/>
      </c>
      <c r="D912" s="84" t="str">
        <f t="array" ref="D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Asesor'!B912, "")
</f>
        <v/>
      </c>
      <c r="E912" s="212" t="str">
        <f t="array" ref="E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Asesor'!C912, "")
</f>
        <v/>
      </c>
      <c r="F912" s="212" t="str">
        <f t="array" ref="F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Asesor'!D912, "")
</f>
        <v/>
      </c>
      <c r="G912" s="212" t="str">
        <f t="array" ref="G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Asesor'!E912, "")
</f>
        <v/>
      </c>
      <c r="H912" s="84" t="str">
        <f t="array" ref="H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Asesor'!F912, "")
</f>
        <v/>
      </c>
      <c r="I912" s="84" t="str">
        <f t="array" ref="I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Asesor'!G912, "")
</f>
        <v/>
      </c>
      <c r="J912" s="84" t="str">
        <f t="array" ref="J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Asesor'!H912, "")
</f>
        <v/>
      </c>
      <c r="K912" s="84" t="str">
        <f t="array" ref="K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Asesor'!K912, "")
</f>
        <v/>
      </c>
      <c r="L912" s="84" t="str">
        <f t="array" ref="L912">IF(OR(
    AND('BD Asesor'!H912="Mensual", MATCH($B$2, {"Enero", "Febrero", "Marzo", "Abril", "Mayo", "Junio", "Julio", "Agosto", "Septiembre", "Octubre", "Noviembre", "Diciembre"}, 0)&gt;=1),
    AND('BD Asesor'!H912="Trimestral", MOD(MATCH($B$2, {"Enero", "Febrero", "Marzo", "Abril", "Mayo", "Junio", "Julio", "Agosto", "Septiembre", "Octubre", "Noviembre"}, 0)-MONTH('BD Asesor'!D912), 3)=0),
    AND('BD Asesor'!H912="Semestral", MOD(MATCH($B$2, {"Enero", "Febrero", "Marzo", "Abril", "Mayo", "Junio", "Julio", "Agosto", "Septiembre", "Octubre", "Noviembre"}, 0)-MONTH('BD Asesor'!D912), 6)=0),
    AND('BD Asesor'!H912="Anual", MONTH('BD Asesor'!D912)=MATCH($B$2, {"Enero", "Febrero", "Marzo", "Abril", "Mayo", "Junio", "Julio", "Agosto", "Septiembre", "Octubre", "Noviembre"}, 0))
), 'BD Asesor'!L912, "")
</f>
        <v/>
      </c>
    </row>
    <row r="913">
      <c r="C913" s="84" t="str">
        <f t="array" ref="C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Asesor'!A913, "")
</f>
        <v/>
      </c>
      <c r="D913" s="84" t="str">
        <f t="array" ref="D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Asesor'!B913, "")
</f>
        <v/>
      </c>
      <c r="E913" s="212" t="str">
        <f t="array" ref="E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Asesor'!C913, "")
</f>
        <v/>
      </c>
      <c r="F913" s="212" t="str">
        <f t="array" ref="F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Asesor'!D913, "")
</f>
        <v/>
      </c>
      <c r="G913" s="212" t="str">
        <f t="array" ref="G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Asesor'!E913, "")
</f>
        <v/>
      </c>
      <c r="H913" s="84" t="str">
        <f t="array" ref="H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Asesor'!F913, "")
</f>
        <v/>
      </c>
      <c r="I913" s="84" t="str">
        <f t="array" ref="I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Asesor'!G913, "")
</f>
        <v/>
      </c>
      <c r="J913" s="84" t="str">
        <f t="array" ref="J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Asesor'!H913, "")
</f>
        <v/>
      </c>
      <c r="K913" s="84" t="str">
        <f t="array" ref="K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Asesor'!K913, "")
</f>
        <v/>
      </c>
      <c r="L913" s="84" t="str">
        <f t="array" ref="L913">IF(OR(
    AND('BD Asesor'!H913="Mensual", MATCH($B$2, {"Enero", "Febrero", "Marzo", "Abril", "Mayo", "Junio", "Julio", "Agosto", "Septiembre", "Octubre", "Noviembre", "Diciembre"}, 0)&gt;=1),
    AND('BD Asesor'!H913="Trimestral", MOD(MATCH($B$2, {"Enero", "Febrero", "Marzo", "Abril", "Mayo", "Junio", "Julio", "Agosto", "Septiembre", "Octubre", "Noviembre"}, 0)-MONTH('BD Asesor'!D913), 3)=0),
    AND('BD Asesor'!H913="Semestral", MOD(MATCH($B$2, {"Enero", "Febrero", "Marzo", "Abril", "Mayo", "Junio", "Julio", "Agosto", "Septiembre", "Octubre", "Noviembre"}, 0)-MONTH('BD Asesor'!D913), 6)=0),
    AND('BD Asesor'!H913="Anual", MONTH('BD Asesor'!D913)=MATCH($B$2, {"Enero", "Febrero", "Marzo", "Abril", "Mayo", "Junio", "Julio", "Agosto", "Septiembre", "Octubre", "Noviembre"}, 0))
), 'BD Asesor'!L913, "")
</f>
        <v/>
      </c>
    </row>
    <row r="914">
      <c r="C914" s="84" t="str">
        <f t="array" ref="C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Asesor'!A914, "")
</f>
        <v/>
      </c>
      <c r="D914" s="84" t="str">
        <f t="array" ref="D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Asesor'!B914, "")
</f>
        <v/>
      </c>
      <c r="E914" s="212" t="str">
        <f t="array" ref="E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Asesor'!C914, "")
</f>
        <v/>
      </c>
      <c r="F914" s="212" t="str">
        <f t="array" ref="F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Asesor'!D914, "")
</f>
        <v/>
      </c>
      <c r="G914" s="212" t="str">
        <f t="array" ref="G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Asesor'!E914, "")
</f>
        <v/>
      </c>
      <c r="H914" s="84" t="str">
        <f t="array" ref="H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Asesor'!F914, "")
</f>
        <v/>
      </c>
      <c r="I914" s="84" t="str">
        <f t="array" ref="I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Asesor'!G914, "")
</f>
        <v/>
      </c>
      <c r="J914" s="84" t="str">
        <f t="array" ref="J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Asesor'!H914, "")
</f>
        <v/>
      </c>
      <c r="K914" s="84" t="str">
        <f t="array" ref="K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Asesor'!K914, "")
</f>
        <v/>
      </c>
      <c r="L914" s="84" t="str">
        <f t="array" ref="L914">IF(OR(
    AND('BD Asesor'!H914="Mensual", MATCH($B$2, {"Enero", "Febrero", "Marzo", "Abril", "Mayo", "Junio", "Julio", "Agosto", "Septiembre", "Octubre", "Noviembre", "Diciembre"}, 0)&gt;=1),
    AND('BD Asesor'!H914="Trimestral", MOD(MATCH($B$2, {"Enero", "Febrero", "Marzo", "Abril", "Mayo", "Junio", "Julio", "Agosto", "Septiembre", "Octubre", "Noviembre"}, 0)-MONTH('BD Asesor'!D914), 3)=0),
    AND('BD Asesor'!H914="Semestral", MOD(MATCH($B$2, {"Enero", "Febrero", "Marzo", "Abril", "Mayo", "Junio", "Julio", "Agosto", "Septiembre", "Octubre", "Noviembre"}, 0)-MONTH('BD Asesor'!D914), 6)=0),
    AND('BD Asesor'!H914="Anual", MONTH('BD Asesor'!D914)=MATCH($B$2, {"Enero", "Febrero", "Marzo", "Abril", "Mayo", "Junio", "Julio", "Agosto", "Septiembre", "Octubre", "Noviembre"}, 0))
), 'BD Asesor'!L914, "")
</f>
        <v/>
      </c>
    </row>
    <row r="915">
      <c r="C915" s="84" t="str">
        <f t="array" ref="C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Asesor'!A915, "")
</f>
        <v/>
      </c>
      <c r="D915" s="84" t="str">
        <f t="array" ref="D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Asesor'!B915, "")
</f>
        <v/>
      </c>
      <c r="E915" s="212" t="str">
        <f t="array" ref="E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Asesor'!C915, "")
</f>
        <v/>
      </c>
      <c r="F915" s="212" t="str">
        <f t="array" ref="F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Asesor'!D915, "")
</f>
        <v/>
      </c>
      <c r="G915" s="212" t="str">
        <f t="array" ref="G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Asesor'!E915, "")
</f>
        <v/>
      </c>
      <c r="H915" s="84" t="str">
        <f t="array" ref="H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Asesor'!F915, "")
</f>
        <v/>
      </c>
      <c r="I915" s="84" t="str">
        <f t="array" ref="I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Asesor'!G915, "")
</f>
        <v/>
      </c>
      <c r="J915" s="84" t="str">
        <f t="array" ref="J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Asesor'!H915, "")
</f>
        <v/>
      </c>
      <c r="K915" s="84" t="str">
        <f t="array" ref="K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Asesor'!K915, "")
</f>
        <v/>
      </c>
      <c r="L915" s="84" t="str">
        <f t="array" ref="L915">IF(OR(
    AND('BD Asesor'!H915="Mensual", MATCH($B$2, {"Enero", "Febrero", "Marzo", "Abril", "Mayo", "Junio", "Julio", "Agosto", "Septiembre", "Octubre", "Noviembre", "Diciembre"}, 0)&gt;=1),
    AND('BD Asesor'!H915="Trimestral", MOD(MATCH($B$2, {"Enero", "Febrero", "Marzo", "Abril", "Mayo", "Junio", "Julio", "Agosto", "Septiembre", "Octubre", "Noviembre"}, 0)-MONTH('BD Asesor'!D915), 3)=0),
    AND('BD Asesor'!H915="Semestral", MOD(MATCH($B$2, {"Enero", "Febrero", "Marzo", "Abril", "Mayo", "Junio", "Julio", "Agosto", "Septiembre", "Octubre", "Noviembre"}, 0)-MONTH('BD Asesor'!D915), 6)=0),
    AND('BD Asesor'!H915="Anual", MONTH('BD Asesor'!D915)=MATCH($B$2, {"Enero", "Febrero", "Marzo", "Abril", "Mayo", "Junio", "Julio", "Agosto", "Septiembre", "Octubre", "Noviembre"}, 0))
), 'BD Asesor'!L915, "")
</f>
        <v/>
      </c>
    </row>
    <row r="916">
      <c r="C916" s="84" t="str">
        <f t="array" ref="C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Asesor'!A916, "")
</f>
        <v/>
      </c>
      <c r="D916" s="84" t="str">
        <f t="array" ref="D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Asesor'!B916, "")
</f>
        <v/>
      </c>
      <c r="E916" s="212" t="str">
        <f t="array" ref="E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Asesor'!C916, "")
</f>
        <v/>
      </c>
      <c r="F916" s="212" t="str">
        <f t="array" ref="F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Asesor'!D916, "")
</f>
        <v/>
      </c>
      <c r="G916" s="212" t="str">
        <f t="array" ref="G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Asesor'!E916, "")
</f>
        <v/>
      </c>
      <c r="H916" s="84" t="str">
        <f t="array" ref="H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Asesor'!F916, "")
</f>
        <v/>
      </c>
      <c r="I916" s="84" t="str">
        <f t="array" ref="I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Asesor'!G916, "")
</f>
        <v/>
      </c>
      <c r="J916" s="84" t="str">
        <f t="array" ref="J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Asesor'!H916, "")
</f>
        <v/>
      </c>
      <c r="K916" s="84" t="str">
        <f t="array" ref="K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Asesor'!K916, "")
</f>
        <v/>
      </c>
      <c r="L916" s="84" t="str">
        <f t="array" ref="L916">IF(OR(
    AND('BD Asesor'!H916="Mensual", MATCH($B$2, {"Enero", "Febrero", "Marzo", "Abril", "Mayo", "Junio", "Julio", "Agosto", "Septiembre", "Octubre", "Noviembre", "Diciembre"}, 0)&gt;=1),
    AND('BD Asesor'!H916="Trimestral", MOD(MATCH($B$2, {"Enero", "Febrero", "Marzo", "Abril", "Mayo", "Junio", "Julio", "Agosto", "Septiembre", "Octubre", "Noviembre"}, 0)-MONTH('BD Asesor'!D916), 3)=0),
    AND('BD Asesor'!H916="Semestral", MOD(MATCH($B$2, {"Enero", "Febrero", "Marzo", "Abril", "Mayo", "Junio", "Julio", "Agosto", "Septiembre", "Octubre", "Noviembre"}, 0)-MONTH('BD Asesor'!D916), 6)=0),
    AND('BD Asesor'!H916="Anual", MONTH('BD Asesor'!D916)=MATCH($B$2, {"Enero", "Febrero", "Marzo", "Abril", "Mayo", "Junio", "Julio", "Agosto", "Septiembre", "Octubre", "Noviembre"}, 0))
), 'BD Asesor'!L916, "")
</f>
        <v/>
      </c>
    </row>
    <row r="917">
      <c r="C917" s="84" t="str">
        <f t="array" ref="C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Asesor'!A917, "")
</f>
        <v/>
      </c>
      <c r="D917" s="84" t="str">
        <f t="array" ref="D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Asesor'!B917, "")
</f>
        <v/>
      </c>
      <c r="E917" s="212" t="str">
        <f t="array" ref="E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Asesor'!C917, "")
</f>
        <v/>
      </c>
      <c r="F917" s="212" t="str">
        <f t="array" ref="F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Asesor'!D917, "")
</f>
        <v/>
      </c>
      <c r="G917" s="212" t="str">
        <f t="array" ref="G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Asesor'!E917, "")
</f>
        <v/>
      </c>
      <c r="H917" s="84" t="str">
        <f t="array" ref="H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Asesor'!F917, "")
</f>
        <v/>
      </c>
      <c r="I917" s="84" t="str">
        <f t="array" ref="I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Asesor'!G917, "")
</f>
        <v/>
      </c>
      <c r="J917" s="84" t="str">
        <f t="array" ref="J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Asesor'!H917, "")
</f>
        <v/>
      </c>
      <c r="K917" s="84" t="str">
        <f t="array" ref="K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Asesor'!K917, "")
</f>
        <v/>
      </c>
      <c r="L917" s="84" t="str">
        <f t="array" ref="L917">IF(OR(
    AND('BD Asesor'!H917="Mensual", MATCH($B$2, {"Enero", "Febrero", "Marzo", "Abril", "Mayo", "Junio", "Julio", "Agosto", "Septiembre", "Octubre", "Noviembre", "Diciembre"}, 0)&gt;=1),
    AND('BD Asesor'!H917="Trimestral", MOD(MATCH($B$2, {"Enero", "Febrero", "Marzo", "Abril", "Mayo", "Junio", "Julio", "Agosto", "Septiembre", "Octubre", "Noviembre"}, 0)-MONTH('BD Asesor'!D917), 3)=0),
    AND('BD Asesor'!H917="Semestral", MOD(MATCH($B$2, {"Enero", "Febrero", "Marzo", "Abril", "Mayo", "Junio", "Julio", "Agosto", "Septiembre", "Octubre", "Noviembre"}, 0)-MONTH('BD Asesor'!D917), 6)=0),
    AND('BD Asesor'!H917="Anual", MONTH('BD Asesor'!D917)=MATCH($B$2, {"Enero", "Febrero", "Marzo", "Abril", "Mayo", "Junio", "Julio", "Agosto", "Septiembre", "Octubre", "Noviembre"}, 0))
), 'BD Asesor'!L917, "")
</f>
        <v/>
      </c>
    </row>
    <row r="918">
      <c r="C918" s="84" t="str">
        <f t="array" ref="C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Asesor'!A918, "")
</f>
        <v/>
      </c>
      <c r="D918" s="84" t="str">
        <f t="array" ref="D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Asesor'!B918, "")
</f>
        <v/>
      </c>
      <c r="E918" s="212" t="str">
        <f t="array" ref="E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Asesor'!C918, "")
</f>
        <v/>
      </c>
      <c r="F918" s="212" t="str">
        <f t="array" ref="F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Asesor'!D918, "")
</f>
        <v/>
      </c>
      <c r="G918" s="212" t="str">
        <f t="array" ref="G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Asesor'!E918, "")
</f>
        <v/>
      </c>
      <c r="H918" s="84" t="str">
        <f t="array" ref="H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Asesor'!F918, "")
</f>
        <v/>
      </c>
      <c r="I918" s="84" t="str">
        <f t="array" ref="I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Asesor'!G918, "")
</f>
        <v/>
      </c>
      <c r="J918" s="84" t="str">
        <f t="array" ref="J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Asesor'!H918, "")
</f>
        <v/>
      </c>
      <c r="K918" s="84" t="str">
        <f t="array" ref="K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Asesor'!K918, "")
</f>
        <v/>
      </c>
      <c r="L918" s="84" t="str">
        <f t="array" ref="L918">IF(OR(
    AND('BD Asesor'!H918="Mensual", MATCH($B$2, {"Enero", "Febrero", "Marzo", "Abril", "Mayo", "Junio", "Julio", "Agosto", "Septiembre", "Octubre", "Noviembre", "Diciembre"}, 0)&gt;=1),
    AND('BD Asesor'!H918="Trimestral", MOD(MATCH($B$2, {"Enero", "Febrero", "Marzo", "Abril", "Mayo", "Junio", "Julio", "Agosto", "Septiembre", "Octubre", "Noviembre"}, 0)-MONTH('BD Asesor'!D918), 3)=0),
    AND('BD Asesor'!H918="Semestral", MOD(MATCH($B$2, {"Enero", "Febrero", "Marzo", "Abril", "Mayo", "Junio", "Julio", "Agosto", "Septiembre", "Octubre", "Noviembre"}, 0)-MONTH('BD Asesor'!D918), 6)=0),
    AND('BD Asesor'!H918="Anual", MONTH('BD Asesor'!D918)=MATCH($B$2, {"Enero", "Febrero", "Marzo", "Abril", "Mayo", "Junio", "Julio", "Agosto", "Septiembre", "Octubre", "Noviembre"}, 0))
), 'BD Asesor'!L918, "")
</f>
        <v/>
      </c>
    </row>
    <row r="919">
      <c r="C919" s="84" t="str">
        <f t="array" ref="C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Asesor'!A919, "")
</f>
        <v/>
      </c>
      <c r="D919" s="84" t="str">
        <f t="array" ref="D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Asesor'!B919, "")
</f>
        <v/>
      </c>
      <c r="E919" s="212" t="str">
        <f t="array" ref="E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Asesor'!C919, "")
</f>
        <v/>
      </c>
      <c r="F919" s="212" t="str">
        <f t="array" ref="F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Asesor'!D919, "")
</f>
        <v/>
      </c>
      <c r="G919" s="212" t="str">
        <f t="array" ref="G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Asesor'!E919, "")
</f>
        <v/>
      </c>
      <c r="H919" s="84" t="str">
        <f t="array" ref="H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Asesor'!F919, "")
</f>
        <v/>
      </c>
      <c r="I919" s="84" t="str">
        <f t="array" ref="I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Asesor'!G919, "")
</f>
        <v/>
      </c>
      <c r="J919" s="84" t="str">
        <f t="array" ref="J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Asesor'!H919, "")
</f>
        <v/>
      </c>
      <c r="K919" s="84" t="str">
        <f t="array" ref="K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Asesor'!K919, "")
</f>
        <v/>
      </c>
      <c r="L919" s="84" t="str">
        <f t="array" ref="L919">IF(OR(
    AND('BD Asesor'!H919="Mensual", MATCH($B$2, {"Enero", "Febrero", "Marzo", "Abril", "Mayo", "Junio", "Julio", "Agosto", "Septiembre", "Octubre", "Noviembre", "Diciembre"}, 0)&gt;=1),
    AND('BD Asesor'!H919="Trimestral", MOD(MATCH($B$2, {"Enero", "Febrero", "Marzo", "Abril", "Mayo", "Junio", "Julio", "Agosto", "Septiembre", "Octubre", "Noviembre"}, 0)-MONTH('BD Asesor'!D919), 3)=0),
    AND('BD Asesor'!H919="Semestral", MOD(MATCH($B$2, {"Enero", "Febrero", "Marzo", "Abril", "Mayo", "Junio", "Julio", "Agosto", "Septiembre", "Octubre", "Noviembre"}, 0)-MONTH('BD Asesor'!D919), 6)=0),
    AND('BD Asesor'!H919="Anual", MONTH('BD Asesor'!D919)=MATCH($B$2, {"Enero", "Febrero", "Marzo", "Abril", "Mayo", "Junio", "Julio", "Agosto", "Septiembre", "Octubre", "Noviembre"}, 0))
), 'BD Asesor'!L919, "")
</f>
        <v/>
      </c>
    </row>
    <row r="920">
      <c r="C920" s="84" t="str">
        <f t="array" ref="C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Asesor'!A920, "")
</f>
        <v/>
      </c>
      <c r="D920" s="84" t="str">
        <f t="array" ref="D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Asesor'!B920, "")
</f>
        <v/>
      </c>
      <c r="E920" s="212" t="str">
        <f t="array" ref="E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Asesor'!C920, "")
</f>
        <v/>
      </c>
      <c r="F920" s="212" t="str">
        <f t="array" ref="F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Asesor'!D920, "")
</f>
        <v/>
      </c>
      <c r="G920" s="212" t="str">
        <f t="array" ref="G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Asesor'!E920, "")
</f>
        <v/>
      </c>
      <c r="H920" s="84" t="str">
        <f t="array" ref="H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Asesor'!F920, "")
</f>
        <v/>
      </c>
      <c r="I920" s="84" t="str">
        <f t="array" ref="I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Asesor'!G920, "")
</f>
        <v/>
      </c>
      <c r="J920" s="84" t="str">
        <f t="array" ref="J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Asesor'!H920, "")
</f>
        <v/>
      </c>
      <c r="K920" s="84" t="str">
        <f t="array" ref="K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Asesor'!K920, "")
</f>
        <v/>
      </c>
      <c r="L920" s="84" t="str">
        <f t="array" ref="L920">IF(OR(
    AND('BD Asesor'!H920="Mensual", MATCH($B$2, {"Enero", "Febrero", "Marzo", "Abril", "Mayo", "Junio", "Julio", "Agosto", "Septiembre", "Octubre", "Noviembre", "Diciembre"}, 0)&gt;=1),
    AND('BD Asesor'!H920="Trimestral", MOD(MATCH($B$2, {"Enero", "Febrero", "Marzo", "Abril", "Mayo", "Junio", "Julio", "Agosto", "Septiembre", "Octubre", "Noviembre"}, 0)-MONTH('BD Asesor'!D920), 3)=0),
    AND('BD Asesor'!H920="Semestral", MOD(MATCH($B$2, {"Enero", "Febrero", "Marzo", "Abril", "Mayo", "Junio", "Julio", "Agosto", "Septiembre", "Octubre", "Noviembre"}, 0)-MONTH('BD Asesor'!D920), 6)=0),
    AND('BD Asesor'!H920="Anual", MONTH('BD Asesor'!D920)=MATCH($B$2, {"Enero", "Febrero", "Marzo", "Abril", "Mayo", "Junio", "Julio", "Agosto", "Septiembre", "Octubre", "Noviembre"}, 0))
), 'BD Asesor'!L920, "")
</f>
        <v/>
      </c>
    </row>
    <row r="921">
      <c r="C921" s="84" t="str">
        <f t="array" ref="C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Asesor'!A921, "")
</f>
        <v/>
      </c>
      <c r="D921" s="84" t="str">
        <f t="array" ref="D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Asesor'!B921, "")
</f>
        <v/>
      </c>
      <c r="E921" s="212" t="str">
        <f t="array" ref="E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Asesor'!C921, "")
</f>
        <v/>
      </c>
      <c r="F921" s="212" t="str">
        <f t="array" ref="F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Asesor'!D921, "")
</f>
        <v/>
      </c>
      <c r="G921" s="212" t="str">
        <f t="array" ref="G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Asesor'!E921, "")
</f>
        <v/>
      </c>
      <c r="H921" s="84" t="str">
        <f t="array" ref="H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Asesor'!F921, "")
</f>
        <v/>
      </c>
      <c r="I921" s="84" t="str">
        <f t="array" ref="I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Asesor'!G921, "")
</f>
        <v/>
      </c>
      <c r="J921" s="84" t="str">
        <f t="array" ref="J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Asesor'!H921, "")
</f>
        <v/>
      </c>
      <c r="K921" s="84" t="str">
        <f t="array" ref="K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Asesor'!K921, "")
</f>
        <v/>
      </c>
      <c r="L921" s="84" t="str">
        <f t="array" ref="L921">IF(OR(
    AND('BD Asesor'!H921="Mensual", MATCH($B$2, {"Enero", "Febrero", "Marzo", "Abril", "Mayo", "Junio", "Julio", "Agosto", "Septiembre", "Octubre", "Noviembre", "Diciembre"}, 0)&gt;=1),
    AND('BD Asesor'!H921="Trimestral", MOD(MATCH($B$2, {"Enero", "Febrero", "Marzo", "Abril", "Mayo", "Junio", "Julio", "Agosto", "Septiembre", "Octubre", "Noviembre"}, 0)-MONTH('BD Asesor'!D921), 3)=0),
    AND('BD Asesor'!H921="Semestral", MOD(MATCH($B$2, {"Enero", "Febrero", "Marzo", "Abril", "Mayo", "Junio", "Julio", "Agosto", "Septiembre", "Octubre", "Noviembre"}, 0)-MONTH('BD Asesor'!D921), 6)=0),
    AND('BD Asesor'!H921="Anual", MONTH('BD Asesor'!D921)=MATCH($B$2, {"Enero", "Febrero", "Marzo", "Abril", "Mayo", "Junio", "Julio", "Agosto", "Septiembre", "Octubre", "Noviembre"}, 0))
), 'BD Asesor'!L921, "")
</f>
        <v/>
      </c>
    </row>
    <row r="922">
      <c r="C922" s="84" t="str">
        <f t="array" ref="C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Asesor'!A922, "")
</f>
        <v/>
      </c>
      <c r="D922" s="84" t="str">
        <f t="array" ref="D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Asesor'!B922, "")
</f>
        <v/>
      </c>
      <c r="E922" s="212" t="str">
        <f t="array" ref="E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Asesor'!C922, "")
</f>
        <v/>
      </c>
      <c r="F922" s="212" t="str">
        <f t="array" ref="F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Asesor'!D922, "")
</f>
        <v/>
      </c>
      <c r="G922" s="212" t="str">
        <f t="array" ref="G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Asesor'!E922, "")
</f>
        <v/>
      </c>
      <c r="H922" s="84" t="str">
        <f t="array" ref="H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Asesor'!F922, "")
</f>
        <v/>
      </c>
      <c r="I922" s="84" t="str">
        <f t="array" ref="I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Asesor'!G922, "")
</f>
        <v/>
      </c>
      <c r="J922" s="84" t="str">
        <f t="array" ref="J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Asesor'!H922, "")
</f>
        <v/>
      </c>
      <c r="K922" s="84" t="str">
        <f t="array" ref="K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Asesor'!K922, "")
</f>
        <v/>
      </c>
      <c r="L922" s="84" t="str">
        <f t="array" ref="L922">IF(OR(
    AND('BD Asesor'!H922="Mensual", MATCH($B$2, {"Enero", "Febrero", "Marzo", "Abril", "Mayo", "Junio", "Julio", "Agosto", "Septiembre", "Octubre", "Noviembre", "Diciembre"}, 0)&gt;=1),
    AND('BD Asesor'!H922="Trimestral", MOD(MATCH($B$2, {"Enero", "Febrero", "Marzo", "Abril", "Mayo", "Junio", "Julio", "Agosto", "Septiembre", "Octubre", "Noviembre"}, 0)-MONTH('BD Asesor'!D922), 3)=0),
    AND('BD Asesor'!H922="Semestral", MOD(MATCH($B$2, {"Enero", "Febrero", "Marzo", "Abril", "Mayo", "Junio", "Julio", "Agosto", "Septiembre", "Octubre", "Noviembre"}, 0)-MONTH('BD Asesor'!D922), 6)=0),
    AND('BD Asesor'!H922="Anual", MONTH('BD Asesor'!D922)=MATCH($B$2, {"Enero", "Febrero", "Marzo", "Abril", "Mayo", "Junio", "Julio", "Agosto", "Septiembre", "Octubre", "Noviembre"}, 0))
), 'BD Asesor'!L922, "")
</f>
        <v/>
      </c>
    </row>
    <row r="923">
      <c r="C923" s="84" t="str">
        <f t="array" ref="C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Asesor'!A923, "")
</f>
        <v/>
      </c>
      <c r="D923" s="84" t="str">
        <f t="array" ref="D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Asesor'!B923, "")
</f>
        <v/>
      </c>
      <c r="E923" s="212" t="str">
        <f t="array" ref="E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Asesor'!C923, "")
</f>
        <v/>
      </c>
      <c r="F923" s="212" t="str">
        <f t="array" ref="F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Asesor'!D923, "")
</f>
        <v/>
      </c>
      <c r="G923" s="212" t="str">
        <f t="array" ref="G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Asesor'!E923, "")
</f>
        <v/>
      </c>
      <c r="H923" s="84" t="str">
        <f t="array" ref="H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Asesor'!F923, "")
</f>
        <v/>
      </c>
      <c r="I923" s="84" t="str">
        <f t="array" ref="I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Asesor'!G923, "")
</f>
        <v/>
      </c>
      <c r="J923" s="84" t="str">
        <f t="array" ref="J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Asesor'!H923, "")
</f>
        <v/>
      </c>
      <c r="K923" s="84" t="str">
        <f t="array" ref="K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Asesor'!K923, "")
</f>
        <v/>
      </c>
      <c r="L923" s="84" t="str">
        <f t="array" ref="L923">IF(OR(
    AND('BD Asesor'!H923="Mensual", MATCH($B$2, {"Enero", "Febrero", "Marzo", "Abril", "Mayo", "Junio", "Julio", "Agosto", "Septiembre", "Octubre", "Noviembre", "Diciembre"}, 0)&gt;=1),
    AND('BD Asesor'!H923="Trimestral", MOD(MATCH($B$2, {"Enero", "Febrero", "Marzo", "Abril", "Mayo", "Junio", "Julio", "Agosto", "Septiembre", "Octubre", "Noviembre"}, 0)-MONTH('BD Asesor'!D923), 3)=0),
    AND('BD Asesor'!H923="Semestral", MOD(MATCH($B$2, {"Enero", "Febrero", "Marzo", "Abril", "Mayo", "Junio", "Julio", "Agosto", "Septiembre", "Octubre", "Noviembre"}, 0)-MONTH('BD Asesor'!D923), 6)=0),
    AND('BD Asesor'!H923="Anual", MONTH('BD Asesor'!D923)=MATCH($B$2, {"Enero", "Febrero", "Marzo", "Abril", "Mayo", "Junio", "Julio", "Agosto", "Septiembre", "Octubre", "Noviembre"}, 0))
), 'BD Asesor'!L923, "")
</f>
        <v/>
      </c>
    </row>
    <row r="924">
      <c r="C924" s="84" t="str">
        <f t="array" ref="C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Asesor'!A924, "")
</f>
        <v/>
      </c>
      <c r="D924" s="84" t="str">
        <f t="array" ref="D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Asesor'!B924, "")
</f>
        <v/>
      </c>
      <c r="E924" s="212" t="str">
        <f t="array" ref="E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Asesor'!C924, "")
</f>
        <v/>
      </c>
      <c r="F924" s="212" t="str">
        <f t="array" ref="F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Asesor'!D924, "")
</f>
        <v/>
      </c>
      <c r="G924" s="212" t="str">
        <f t="array" ref="G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Asesor'!E924, "")
</f>
        <v/>
      </c>
      <c r="H924" s="84" t="str">
        <f t="array" ref="H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Asesor'!F924, "")
</f>
        <v/>
      </c>
      <c r="I924" s="84" t="str">
        <f t="array" ref="I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Asesor'!G924, "")
</f>
        <v/>
      </c>
      <c r="J924" s="84" t="str">
        <f t="array" ref="J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Asesor'!H924, "")
</f>
        <v/>
      </c>
      <c r="K924" s="84" t="str">
        <f t="array" ref="K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Asesor'!K924, "")
</f>
        <v/>
      </c>
      <c r="L924" s="84" t="str">
        <f t="array" ref="L924">IF(OR(
    AND('BD Asesor'!H924="Mensual", MATCH($B$2, {"Enero", "Febrero", "Marzo", "Abril", "Mayo", "Junio", "Julio", "Agosto", "Septiembre", "Octubre", "Noviembre", "Diciembre"}, 0)&gt;=1),
    AND('BD Asesor'!H924="Trimestral", MOD(MATCH($B$2, {"Enero", "Febrero", "Marzo", "Abril", "Mayo", "Junio", "Julio", "Agosto", "Septiembre", "Octubre", "Noviembre"}, 0)-MONTH('BD Asesor'!D924), 3)=0),
    AND('BD Asesor'!H924="Semestral", MOD(MATCH($B$2, {"Enero", "Febrero", "Marzo", "Abril", "Mayo", "Junio", "Julio", "Agosto", "Septiembre", "Octubre", "Noviembre"}, 0)-MONTH('BD Asesor'!D924), 6)=0),
    AND('BD Asesor'!H924="Anual", MONTH('BD Asesor'!D924)=MATCH($B$2, {"Enero", "Febrero", "Marzo", "Abril", "Mayo", "Junio", "Julio", "Agosto", "Septiembre", "Octubre", "Noviembre"}, 0))
), 'BD Asesor'!L924, "")
</f>
        <v/>
      </c>
    </row>
    <row r="925">
      <c r="C925" s="84" t="str">
        <f t="array" ref="C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Asesor'!A925, "")
</f>
        <v/>
      </c>
      <c r="D925" s="84" t="str">
        <f t="array" ref="D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Asesor'!B925, "")
</f>
        <v/>
      </c>
      <c r="E925" s="212" t="str">
        <f t="array" ref="E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Asesor'!C925, "")
</f>
        <v/>
      </c>
      <c r="F925" s="212" t="str">
        <f t="array" ref="F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Asesor'!D925, "")
</f>
        <v/>
      </c>
      <c r="G925" s="212" t="str">
        <f t="array" ref="G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Asesor'!E925, "")
</f>
        <v/>
      </c>
      <c r="H925" s="84" t="str">
        <f t="array" ref="H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Asesor'!F925, "")
</f>
        <v/>
      </c>
      <c r="I925" s="84" t="str">
        <f t="array" ref="I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Asesor'!G925, "")
</f>
        <v/>
      </c>
      <c r="J925" s="84" t="str">
        <f t="array" ref="J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Asesor'!H925, "")
</f>
        <v/>
      </c>
      <c r="K925" s="84" t="str">
        <f t="array" ref="K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Asesor'!K925, "")
</f>
        <v/>
      </c>
      <c r="L925" s="84" t="str">
        <f t="array" ref="L925">IF(OR(
    AND('BD Asesor'!H925="Mensual", MATCH($B$2, {"Enero", "Febrero", "Marzo", "Abril", "Mayo", "Junio", "Julio", "Agosto", "Septiembre", "Octubre", "Noviembre", "Diciembre"}, 0)&gt;=1),
    AND('BD Asesor'!H925="Trimestral", MOD(MATCH($B$2, {"Enero", "Febrero", "Marzo", "Abril", "Mayo", "Junio", "Julio", "Agosto", "Septiembre", "Octubre", "Noviembre"}, 0)-MONTH('BD Asesor'!D925), 3)=0),
    AND('BD Asesor'!H925="Semestral", MOD(MATCH($B$2, {"Enero", "Febrero", "Marzo", "Abril", "Mayo", "Junio", "Julio", "Agosto", "Septiembre", "Octubre", "Noviembre"}, 0)-MONTH('BD Asesor'!D925), 6)=0),
    AND('BD Asesor'!H925="Anual", MONTH('BD Asesor'!D925)=MATCH($B$2, {"Enero", "Febrero", "Marzo", "Abril", "Mayo", "Junio", "Julio", "Agosto", "Septiembre", "Octubre", "Noviembre"}, 0))
), 'BD Asesor'!L925, "")
</f>
        <v/>
      </c>
    </row>
    <row r="926">
      <c r="C926" s="84" t="str">
        <f t="array" ref="C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Asesor'!A926, "")
</f>
        <v/>
      </c>
      <c r="D926" s="84" t="str">
        <f t="array" ref="D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Asesor'!B926, "")
</f>
        <v/>
      </c>
      <c r="E926" s="212" t="str">
        <f t="array" ref="E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Asesor'!C926, "")
</f>
        <v/>
      </c>
      <c r="F926" s="212" t="str">
        <f t="array" ref="F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Asesor'!D926, "")
</f>
        <v/>
      </c>
      <c r="G926" s="212" t="str">
        <f t="array" ref="G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Asesor'!E926, "")
</f>
        <v/>
      </c>
      <c r="H926" s="84" t="str">
        <f t="array" ref="H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Asesor'!F926, "")
</f>
        <v/>
      </c>
      <c r="I926" s="84" t="str">
        <f t="array" ref="I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Asesor'!G926, "")
</f>
        <v/>
      </c>
      <c r="J926" s="84" t="str">
        <f t="array" ref="J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Asesor'!H926, "")
</f>
        <v/>
      </c>
      <c r="K926" s="84" t="str">
        <f t="array" ref="K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Asesor'!K926, "")
</f>
        <v/>
      </c>
      <c r="L926" s="84" t="str">
        <f t="array" ref="L926">IF(OR(
    AND('BD Asesor'!H926="Mensual", MATCH($B$2, {"Enero", "Febrero", "Marzo", "Abril", "Mayo", "Junio", "Julio", "Agosto", "Septiembre", "Octubre", "Noviembre", "Diciembre"}, 0)&gt;=1),
    AND('BD Asesor'!H926="Trimestral", MOD(MATCH($B$2, {"Enero", "Febrero", "Marzo", "Abril", "Mayo", "Junio", "Julio", "Agosto", "Septiembre", "Octubre", "Noviembre"}, 0)-MONTH('BD Asesor'!D926), 3)=0),
    AND('BD Asesor'!H926="Semestral", MOD(MATCH($B$2, {"Enero", "Febrero", "Marzo", "Abril", "Mayo", "Junio", "Julio", "Agosto", "Septiembre", "Octubre", "Noviembre"}, 0)-MONTH('BD Asesor'!D926), 6)=0),
    AND('BD Asesor'!H926="Anual", MONTH('BD Asesor'!D926)=MATCH($B$2, {"Enero", "Febrero", "Marzo", "Abril", "Mayo", "Junio", "Julio", "Agosto", "Septiembre", "Octubre", "Noviembre"}, 0))
), 'BD Asesor'!L926, "")
</f>
        <v/>
      </c>
    </row>
    <row r="927">
      <c r="C927" s="84" t="str">
        <f t="array" ref="C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Asesor'!A927, "")
</f>
        <v/>
      </c>
      <c r="D927" s="84" t="str">
        <f t="array" ref="D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Asesor'!B927, "")
</f>
        <v/>
      </c>
      <c r="E927" s="212" t="str">
        <f t="array" ref="E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Asesor'!C927, "")
</f>
        <v/>
      </c>
      <c r="F927" s="212" t="str">
        <f t="array" ref="F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Asesor'!D927, "")
</f>
        <v/>
      </c>
      <c r="G927" s="212" t="str">
        <f t="array" ref="G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Asesor'!E927, "")
</f>
        <v/>
      </c>
      <c r="H927" s="84" t="str">
        <f t="array" ref="H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Asesor'!F927, "")
</f>
        <v/>
      </c>
      <c r="I927" s="84" t="str">
        <f t="array" ref="I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Asesor'!G927, "")
</f>
        <v/>
      </c>
      <c r="J927" s="84" t="str">
        <f t="array" ref="J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Asesor'!H927, "")
</f>
        <v/>
      </c>
      <c r="K927" s="84" t="str">
        <f t="array" ref="K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Asesor'!K927, "")
</f>
        <v/>
      </c>
      <c r="L927" s="84" t="str">
        <f t="array" ref="L927">IF(OR(
    AND('BD Asesor'!H927="Mensual", MATCH($B$2, {"Enero", "Febrero", "Marzo", "Abril", "Mayo", "Junio", "Julio", "Agosto", "Septiembre", "Octubre", "Noviembre", "Diciembre"}, 0)&gt;=1),
    AND('BD Asesor'!H927="Trimestral", MOD(MATCH($B$2, {"Enero", "Febrero", "Marzo", "Abril", "Mayo", "Junio", "Julio", "Agosto", "Septiembre", "Octubre", "Noviembre"}, 0)-MONTH('BD Asesor'!D927), 3)=0),
    AND('BD Asesor'!H927="Semestral", MOD(MATCH($B$2, {"Enero", "Febrero", "Marzo", "Abril", "Mayo", "Junio", "Julio", "Agosto", "Septiembre", "Octubre", "Noviembre"}, 0)-MONTH('BD Asesor'!D927), 6)=0),
    AND('BD Asesor'!H927="Anual", MONTH('BD Asesor'!D927)=MATCH($B$2, {"Enero", "Febrero", "Marzo", "Abril", "Mayo", "Junio", "Julio", "Agosto", "Septiembre", "Octubre", "Noviembre"}, 0))
), 'BD Asesor'!L927, "")
</f>
        <v/>
      </c>
    </row>
    <row r="928">
      <c r="C928" s="84" t="str">
        <f t="array" ref="C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Asesor'!A928, "")
</f>
        <v/>
      </c>
      <c r="D928" s="84" t="str">
        <f t="array" ref="D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Asesor'!B928, "")
</f>
        <v/>
      </c>
      <c r="E928" s="212" t="str">
        <f t="array" ref="E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Asesor'!C928, "")
</f>
        <v/>
      </c>
      <c r="F928" s="212" t="str">
        <f t="array" ref="F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Asesor'!D928, "")
</f>
        <v/>
      </c>
      <c r="G928" s="212" t="str">
        <f t="array" ref="G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Asesor'!E928, "")
</f>
        <v/>
      </c>
      <c r="H928" s="84" t="str">
        <f t="array" ref="H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Asesor'!F928, "")
</f>
        <v/>
      </c>
      <c r="I928" s="84" t="str">
        <f t="array" ref="I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Asesor'!G928, "")
</f>
        <v/>
      </c>
      <c r="J928" s="84" t="str">
        <f t="array" ref="J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Asesor'!H928, "")
</f>
        <v/>
      </c>
      <c r="K928" s="84" t="str">
        <f t="array" ref="K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Asesor'!K928, "")
</f>
        <v/>
      </c>
      <c r="L928" s="84" t="str">
        <f t="array" ref="L928">IF(OR(
    AND('BD Asesor'!H928="Mensual", MATCH($B$2, {"Enero", "Febrero", "Marzo", "Abril", "Mayo", "Junio", "Julio", "Agosto", "Septiembre", "Octubre", "Noviembre", "Diciembre"}, 0)&gt;=1),
    AND('BD Asesor'!H928="Trimestral", MOD(MATCH($B$2, {"Enero", "Febrero", "Marzo", "Abril", "Mayo", "Junio", "Julio", "Agosto", "Septiembre", "Octubre", "Noviembre"}, 0)-MONTH('BD Asesor'!D928), 3)=0),
    AND('BD Asesor'!H928="Semestral", MOD(MATCH($B$2, {"Enero", "Febrero", "Marzo", "Abril", "Mayo", "Junio", "Julio", "Agosto", "Septiembre", "Octubre", "Noviembre"}, 0)-MONTH('BD Asesor'!D928), 6)=0),
    AND('BD Asesor'!H928="Anual", MONTH('BD Asesor'!D928)=MATCH($B$2, {"Enero", "Febrero", "Marzo", "Abril", "Mayo", "Junio", "Julio", "Agosto", "Septiembre", "Octubre", "Noviembre"}, 0))
), 'BD Asesor'!L928, "")
</f>
        <v/>
      </c>
    </row>
    <row r="929">
      <c r="C929" s="84" t="str">
        <f t="array" ref="C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Asesor'!A929, "")
</f>
        <v/>
      </c>
      <c r="D929" s="84" t="str">
        <f t="array" ref="D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Asesor'!B929, "")
</f>
        <v/>
      </c>
      <c r="E929" s="212" t="str">
        <f t="array" ref="E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Asesor'!C929, "")
</f>
        <v/>
      </c>
      <c r="F929" s="212" t="str">
        <f t="array" ref="F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Asesor'!D929, "")
</f>
        <v/>
      </c>
      <c r="G929" s="212" t="str">
        <f t="array" ref="G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Asesor'!E929, "")
</f>
        <v/>
      </c>
      <c r="H929" s="84" t="str">
        <f t="array" ref="H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Asesor'!F929, "")
</f>
        <v/>
      </c>
      <c r="I929" s="84" t="str">
        <f t="array" ref="I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Asesor'!G929, "")
</f>
        <v/>
      </c>
      <c r="J929" s="84" t="str">
        <f t="array" ref="J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Asesor'!H929, "")
</f>
        <v/>
      </c>
      <c r="K929" s="84" t="str">
        <f t="array" ref="K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Asesor'!K929, "")
</f>
        <v/>
      </c>
      <c r="L929" s="84" t="str">
        <f t="array" ref="L929">IF(OR(
    AND('BD Asesor'!H929="Mensual", MATCH($B$2, {"Enero", "Febrero", "Marzo", "Abril", "Mayo", "Junio", "Julio", "Agosto", "Septiembre", "Octubre", "Noviembre", "Diciembre"}, 0)&gt;=1),
    AND('BD Asesor'!H929="Trimestral", MOD(MATCH($B$2, {"Enero", "Febrero", "Marzo", "Abril", "Mayo", "Junio", "Julio", "Agosto", "Septiembre", "Octubre", "Noviembre"}, 0)-MONTH('BD Asesor'!D929), 3)=0),
    AND('BD Asesor'!H929="Semestral", MOD(MATCH($B$2, {"Enero", "Febrero", "Marzo", "Abril", "Mayo", "Junio", "Julio", "Agosto", "Septiembre", "Octubre", "Noviembre"}, 0)-MONTH('BD Asesor'!D929), 6)=0),
    AND('BD Asesor'!H929="Anual", MONTH('BD Asesor'!D929)=MATCH($B$2, {"Enero", "Febrero", "Marzo", "Abril", "Mayo", "Junio", "Julio", "Agosto", "Septiembre", "Octubre", "Noviembre"}, 0))
), 'BD Asesor'!L929, "")
</f>
        <v/>
      </c>
    </row>
    <row r="930">
      <c r="C930" s="84" t="str">
        <f t="array" ref="C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Asesor'!A930, "")
</f>
        <v/>
      </c>
      <c r="D930" s="84" t="str">
        <f t="array" ref="D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Asesor'!B930, "")
</f>
        <v/>
      </c>
      <c r="E930" s="212" t="str">
        <f t="array" ref="E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Asesor'!C930, "")
</f>
        <v/>
      </c>
      <c r="F930" s="212" t="str">
        <f t="array" ref="F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Asesor'!D930, "")
</f>
        <v/>
      </c>
      <c r="G930" s="212" t="str">
        <f t="array" ref="G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Asesor'!E930, "")
</f>
        <v/>
      </c>
      <c r="H930" s="84" t="str">
        <f t="array" ref="H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Asesor'!F930, "")
</f>
        <v/>
      </c>
      <c r="I930" s="84" t="str">
        <f t="array" ref="I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Asesor'!G930, "")
</f>
        <v/>
      </c>
      <c r="J930" s="84" t="str">
        <f t="array" ref="J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Asesor'!H930, "")
</f>
        <v/>
      </c>
      <c r="K930" s="84" t="str">
        <f t="array" ref="K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Asesor'!K930, "")
</f>
        <v/>
      </c>
      <c r="L930" s="84" t="str">
        <f t="array" ref="L930">IF(OR(
    AND('BD Asesor'!H930="Mensual", MATCH($B$2, {"Enero", "Febrero", "Marzo", "Abril", "Mayo", "Junio", "Julio", "Agosto", "Septiembre", "Octubre", "Noviembre", "Diciembre"}, 0)&gt;=1),
    AND('BD Asesor'!H930="Trimestral", MOD(MATCH($B$2, {"Enero", "Febrero", "Marzo", "Abril", "Mayo", "Junio", "Julio", "Agosto", "Septiembre", "Octubre", "Noviembre"}, 0)-MONTH('BD Asesor'!D930), 3)=0),
    AND('BD Asesor'!H930="Semestral", MOD(MATCH($B$2, {"Enero", "Febrero", "Marzo", "Abril", "Mayo", "Junio", "Julio", "Agosto", "Septiembre", "Octubre", "Noviembre"}, 0)-MONTH('BD Asesor'!D930), 6)=0),
    AND('BD Asesor'!H930="Anual", MONTH('BD Asesor'!D930)=MATCH($B$2, {"Enero", "Febrero", "Marzo", "Abril", "Mayo", "Junio", "Julio", "Agosto", "Septiembre", "Octubre", "Noviembre"}, 0))
), 'BD Asesor'!L930, "")
</f>
        <v/>
      </c>
    </row>
    <row r="931">
      <c r="C931" s="84" t="str">
        <f t="array" ref="C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Asesor'!A931, "")
</f>
        <v/>
      </c>
      <c r="D931" s="84" t="str">
        <f t="array" ref="D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Asesor'!B931, "")
</f>
        <v/>
      </c>
      <c r="E931" s="212" t="str">
        <f t="array" ref="E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Asesor'!C931, "")
</f>
        <v/>
      </c>
      <c r="F931" s="212" t="str">
        <f t="array" ref="F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Asesor'!D931, "")
</f>
        <v/>
      </c>
      <c r="G931" s="212" t="str">
        <f t="array" ref="G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Asesor'!E931, "")
</f>
        <v/>
      </c>
      <c r="H931" s="84" t="str">
        <f t="array" ref="H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Asesor'!F931, "")
</f>
        <v/>
      </c>
      <c r="I931" s="84" t="str">
        <f t="array" ref="I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Asesor'!G931, "")
</f>
        <v/>
      </c>
      <c r="J931" s="84" t="str">
        <f t="array" ref="J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Asesor'!H931, "")
</f>
        <v/>
      </c>
      <c r="K931" s="84" t="str">
        <f t="array" ref="K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Asesor'!K931, "")
</f>
        <v/>
      </c>
      <c r="L931" s="84" t="str">
        <f t="array" ref="L931">IF(OR(
    AND('BD Asesor'!H931="Mensual", MATCH($B$2, {"Enero", "Febrero", "Marzo", "Abril", "Mayo", "Junio", "Julio", "Agosto", "Septiembre", "Octubre", "Noviembre", "Diciembre"}, 0)&gt;=1),
    AND('BD Asesor'!H931="Trimestral", MOD(MATCH($B$2, {"Enero", "Febrero", "Marzo", "Abril", "Mayo", "Junio", "Julio", "Agosto", "Septiembre", "Octubre", "Noviembre"}, 0)-MONTH('BD Asesor'!D931), 3)=0),
    AND('BD Asesor'!H931="Semestral", MOD(MATCH($B$2, {"Enero", "Febrero", "Marzo", "Abril", "Mayo", "Junio", "Julio", "Agosto", "Septiembre", "Octubre", "Noviembre"}, 0)-MONTH('BD Asesor'!D931), 6)=0),
    AND('BD Asesor'!H931="Anual", MONTH('BD Asesor'!D931)=MATCH($B$2, {"Enero", "Febrero", "Marzo", "Abril", "Mayo", "Junio", "Julio", "Agosto", "Septiembre", "Octubre", "Noviembre"}, 0))
), 'BD Asesor'!L931, "")
</f>
        <v/>
      </c>
    </row>
    <row r="932">
      <c r="C932" s="84" t="str">
        <f t="array" ref="C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Asesor'!A932, "")
</f>
        <v/>
      </c>
      <c r="D932" s="84" t="str">
        <f t="array" ref="D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Asesor'!B932, "")
</f>
        <v/>
      </c>
      <c r="E932" s="212" t="str">
        <f t="array" ref="E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Asesor'!C932, "")
</f>
        <v/>
      </c>
      <c r="F932" s="212" t="str">
        <f t="array" ref="F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Asesor'!D932, "")
</f>
        <v/>
      </c>
      <c r="G932" s="212" t="str">
        <f t="array" ref="G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Asesor'!E932, "")
</f>
        <v/>
      </c>
      <c r="H932" s="84" t="str">
        <f t="array" ref="H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Asesor'!F932, "")
</f>
        <v/>
      </c>
      <c r="I932" s="84" t="str">
        <f t="array" ref="I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Asesor'!G932, "")
</f>
        <v/>
      </c>
      <c r="J932" s="84" t="str">
        <f t="array" ref="J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Asesor'!H932, "")
</f>
        <v/>
      </c>
      <c r="K932" s="84" t="str">
        <f t="array" ref="K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Asesor'!K932, "")
</f>
        <v/>
      </c>
      <c r="L932" s="84" t="str">
        <f t="array" ref="L932">IF(OR(
    AND('BD Asesor'!H932="Mensual", MATCH($B$2, {"Enero", "Febrero", "Marzo", "Abril", "Mayo", "Junio", "Julio", "Agosto", "Septiembre", "Octubre", "Noviembre", "Diciembre"}, 0)&gt;=1),
    AND('BD Asesor'!H932="Trimestral", MOD(MATCH($B$2, {"Enero", "Febrero", "Marzo", "Abril", "Mayo", "Junio", "Julio", "Agosto", "Septiembre", "Octubre", "Noviembre"}, 0)-MONTH('BD Asesor'!D932), 3)=0),
    AND('BD Asesor'!H932="Semestral", MOD(MATCH($B$2, {"Enero", "Febrero", "Marzo", "Abril", "Mayo", "Junio", "Julio", "Agosto", "Septiembre", "Octubre", "Noviembre"}, 0)-MONTH('BD Asesor'!D932), 6)=0),
    AND('BD Asesor'!H932="Anual", MONTH('BD Asesor'!D932)=MATCH($B$2, {"Enero", "Febrero", "Marzo", "Abril", "Mayo", "Junio", "Julio", "Agosto", "Septiembre", "Octubre", "Noviembre"}, 0))
), 'BD Asesor'!L932, "")
</f>
        <v/>
      </c>
    </row>
    <row r="933">
      <c r="C933" s="84" t="str">
        <f t="array" ref="C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Asesor'!A933, "")
</f>
        <v/>
      </c>
      <c r="D933" s="84" t="str">
        <f t="array" ref="D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Asesor'!B933, "")
</f>
        <v/>
      </c>
      <c r="E933" s="212" t="str">
        <f t="array" ref="E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Asesor'!C933, "")
</f>
        <v/>
      </c>
      <c r="F933" s="212" t="str">
        <f t="array" ref="F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Asesor'!D933, "")
</f>
        <v/>
      </c>
      <c r="G933" s="212" t="str">
        <f t="array" ref="G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Asesor'!E933, "")
</f>
        <v/>
      </c>
      <c r="H933" s="84" t="str">
        <f t="array" ref="H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Asesor'!F933, "")
</f>
        <v/>
      </c>
      <c r="I933" s="84" t="str">
        <f t="array" ref="I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Asesor'!G933, "")
</f>
        <v/>
      </c>
      <c r="J933" s="84" t="str">
        <f t="array" ref="J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Asesor'!H933, "")
</f>
        <v/>
      </c>
      <c r="K933" s="84" t="str">
        <f t="array" ref="K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Asesor'!K933, "")
</f>
        <v/>
      </c>
      <c r="L933" s="84" t="str">
        <f t="array" ref="L933">IF(OR(
    AND('BD Asesor'!H933="Mensual", MATCH($B$2, {"Enero", "Febrero", "Marzo", "Abril", "Mayo", "Junio", "Julio", "Agosto", "Septiembre", "Octubre", "Noviembre", "Diciembre"}, 0)&gt;=1),
    AND('BD Asesor'!H933="Trimestral", MOD(MATCH($B$2, {"Enero", "Febrero", "Marzo", "Abril", "Mayo", "Junio", "Julio", "Agosto", "Septiembre", "Octubre", "Noviembre"}, 0)-MONTH('BD Asesor'!D933), 3)=0),
    AND('BD Asesor'!H933="Semestral", MOD(MATCH($B$2, {"Enero", "Febrero", "Marzo", "Abril", "Mayo", "Junio", "Julio", "Agosto", "Septiembre", "Octubre", "Noviembre"}, 0)-MONTH('BD Asesor'!D933), 6)=0),
    AND('BD Asesor'!H933="Anual", MONTH('BD Asesor'!D933)=MATCH($B$2, {"Enero", "Febrero", "Marzo", "Abril", "Mayo", "Junio", "Julio", "Agosto", "Septiembre", "Octubre", "Noviembre"}, 0))
), 'BD Asesor'!L933, "")
</f>
        <v/>
      </c>
    </row>
    <row r="934">
      <c r="C934" s="84" t="str">
        <f t="array" ref="C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Asesor'!A934, "")
</f>
        <v/>
      </c>
      <c r="D934" s="84" t="str">
        <f t="array" ref="D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Asesor'!B934, "")
</f>
        <v/>
      </c>
      <c r="E934" s="212" t="str">
        <f t="array" ref="E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Asesor'!C934, "")
</f>
        <v/>
      </c>
      <c r="F934" s="212" t="str">
        <f t="array" ref="F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Asesor'!D934, "")
</f>
        <v/>
      </c>
      <c r="G934" s="212" t="str">
        <f t="array" ref="G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Asesor'!E934, "")
</f>
        <v/>
      </c>
      <c r="H934" s="84" t="str">
        <f t="array" ref="H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Asesor'!F934, "")
</f>
        <v/>
      </c>
      <c r="I934" s="84" t="str">
        <f t="array" ref="I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Asesor'!G934, "")
</f>
        <v/>
      </c>
      <c r="J934" s="84" t="str">
        <f t="array" ref="J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Asesor'!H934, "")
</f>
        <v/>
      </c>
      <c r="K934" s="84" t="str">
        <f t="array" ref="K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Asesor'!K934, "")
</f>
        <v/>
      </c>
      <c r="L934" s="84" t="str">
        <f t="array" ref="L934">IF(OR(
    AND('BD Asesor'!H934="Mensual", MATCH($B$2, {"Enero", "Febrero", "Marzo", "Abril", "Mayo", "Junio", "Julio", "Agosto", "Septiembre", "Octubre", "Noviembre", "Diciembre"}, 0)&gt;=1),
    AND('BD Asesor'!H934="Trimestral", MOD(MATCH($B$2, {"Enero", "Febrero", "Marzo", "Abril", "Mayo", "Junio", "Julio", "Agosto", "Septiembre", "Octubre", "Noviembre"}, 0)-MONTH('BD Asesor'!D934), 3)=0),
    AND('BD Asesor'!H934="Semestral", MOD(MATCH($B$2, {"Enero", "Febrero", "Marzo", "Abril", "Mayo", "Junio", "Julio", "Agosto", "Septiembre", "Octubre", "Noviembre"}, 0)-MONTH('BD Asesor'!D934), 6)=0),
    AND('BD Asesor'!H934="Anual", MONTH('BD Asesor'!D934)=MATCH($B$2, {"Enero", "Febrero", "Marzo", "Abril", "Mayo", "Junio", "Julio", "Agosto", "Septiembre", "Octubre", "Noviembre"}, 0))
), 'BD Asesor'!L934, "")
</f>
        <v/>
      </c>
    </row>
    <row r="935">
      <c r="C935" s="84" t="str">
        <f t="array" ref="C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Asesor'!A935, "")
</f>
        <v/>
      </c>
      <c r="D935" s="84" t="str">
        <f t="array" ref="D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Asesor'!B935, "")
</f>
        <v/>
      </c>
      <c r="E935" s="212" t="str">
        <f t="array" ref="E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Asesor'!C935, "")
</f>
        <v/>
      </c>
      <c r="F935" s="212" t="str">
        <f t="array" ref="F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Asesor'!D935, "")
</f>
        <v/>
      </c>
      <c r="G935" s="212" t="str">
        <f t="array" ref="G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Asesor'!E935, "")
</f>
        <v/>
      </c>
      <c r="H935" s="84" t="str">
        <f t="array" ref="H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Asesor'!F935, "")
</f>
        <v/>
      </c>
      <c r="I935" s="84" t="str">
        <f t="array" ref="I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Asesor'!G935, "")
</f>
        <v/>
      </c>
      <c r="J935" s="84" t="str">
        <f t="array" ref="J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Asesor'!H935, "")
</f>
        <v/>
      </c>
      <c r="K935" s="84" t="str">
        <f t="array" ref="K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Asesor'!K935, "")
</f>
        <v/>
      </c>
      <c r="L935" s="84" t="str">
        <f t="array" ref="L935">IF(OR(
    AND('BD Asesor'!H935="Mensual", MATCH($B$2, {"Enero", "Febrero", "Marzo", "Abril", "Mayo", "Junio", "Julio", "Agosto", "Septiembre", "Octubre", "Noviembre", "Diciembre"}, 0)&gt;=1),
    AND('BD Asesor'!H935="Trimestral", MOD(MATCH($B$2, {"Enero", "Febrero", "Marzo", "Abril", "Mayo", "Junio", "Julio", "Agosto", "Septiembre", "Octubre", "Noviembre"}, 0)-MONTH('BD Asesor'!D935), 3)=0),
    AND('BD Asesor'!H935="Semestral", MOD(MATCH($B$2, {"Enero", "Febrero", "Marzo", "Abril", "Mayo", "Junio", "Julio", "Agosto", "Septiembre", "Octubre", "Noviembre"}, 0)-MONTH('BD Asesor'!D935), 6)=0),
    AND('BD Asesor'!H935="Anual", MONTH('BD Asesor'!D935)=MATCH($B$2, {"Enero", "Febrero", "Marzo", "Abril", "Mayo", "Junio", "Julio", "Agosto", "Septiembre", "Octubre", "Noviembre"}, 0))
), 'BD Asesor'!L935, "")
</f>
        <v/>
      </c>
    </row>
    <row r="936">
      <c r="C936" s="84" t="str">
        <f t="array" ref="C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Asesor'!A936, "")
</f>
        <v/>
      </c>
      <c r="D936" s="84" t="str">
        <f t="array" ref="D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Asesor'!B936, "")
</f>
        <v/>
      </c>
      <c r="E936" s="212" t="str">
        <f t="array" ref="E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Asesor'!C936, "")
</f>
        <v/>
      </c>
      <c r="F936" s="212" t="str">
        <f t="array" ref="F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Asesor'!D936, "")
</f>
        <v/>
      </c>
      <c r="G936" s="212" t="str">
        <f t="array" ref="G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Asesor'!E936, "")
</f>
        <v/>
      </c>
      <c r="H936" s="84" t="str">
        <f t="array" ref="H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Asesor'!F936, "")
</f>
        <v/>
      </c>
      <c r="I936" s="84" t="str">
        <f t="array" ref="I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Asesor'!G936, "")
</f>
        <v/>
      </c>
      <c r="J936" s="84" t="str">
        <f t="array" ref="J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Asesor'!H936, "")
</f>
        <v/>
      </c>
      <c r="K936" s="84" t="str">
        <f t="array" ref="K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Asesor'!K936, "")
</f>
        <v/>
      </c>
      <c r="L936" s="84" t="str">
        <f t="array" ref="L936">IF(OR(
    AND('BD Asesor'!H936="Mensual", MATCH($B$2, {"Enero", "Febrero", "Marzo", "Abril", "Mayo", "Junio", "Julio", "Agosto", "Septiembre", "Octubre", "Noviembre", "Diciembre"}, 0)&gt;=1),
    AND('BD Asesor'!H936="Trimestral", MOD(MATCH($B$2, {"Enero", "Febrero", "Marzo", "Abril", "Mayo", "Junio", "Julio", "Agosto", "Septiembre", "Octubre", "Noviembre"}, 0)-MONTH('BD Asesor'!D936), 3)=0),
    AND('BD Asesor'!H936="Semestral", MOD(MATCH($B$2, {"Enero", "Febrero", "Marzo", "Abril", "Mayo", "Junio", "Julio", "Agosto", "Septiembre", "Octubre", "Noviembre"}, 0)-MONTH('BD Asesor'!D936), 6)=0),
    AND('BD Asesor'!H936="Anual", MONTH('BD Asesor'!D936)=MATCH($B$2, {"Enero", "Febrero", "Marzo", "Abril", "Mayo", "Junio", "Julio", "Agosto", "Septiembre", "Octubre", "Noviembre"}, 0))
), 'BD Asesor'!L936, "")
</f>
        <v/>
      </c>
    </row>
    <row r="937">
      <c r="C937" s="84" t="str">
        <f t="array" ref="C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Asesor'!A937, "")
</f>
        <v/>
      </c>
      <c r="D937" s="84" t="str">
        <f t="array" ref="D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Asesor'!B937, "")
</f>
        <v/>
      </c>
      <c r="E937" s="212" t="str">
        <f t="array" ref="E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Asesor'!C937, "")
</f>
        <v/>
      </c>
      <c r="F937" s="212" t="str">
        <f t="array" ref="F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Asesor'!D937, "")
</f>
        <v/>
      </c>
      <c r="G937" s="212" t="str">
        <f t="array" ref="G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Asesor'!E937, "")
</f>
        <v/>
      </c>
      <c r="H937" s="84" t="str">
        <f t="array" ref="H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Asesor'!F937, "")
</f>
        <v/>
      </c>
      <c r="I937" s="84" t="str">
        <f t="array" ref="I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Asesor'!G937, "")
</f>
        <v/>
      </c>
      <c r="J937" s="84" t="str">
        <f t="array" ref="J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Asesor'!H937, "")
</f>
        <v/>
      </c>
      <c r="K937" s="84" t="str">
        <f t="array" ref="K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Asesor'!K937, "")
</f>
        <v/>
      </c>
      <c r="L937" s="84" t="str">
        <f t="array" ref="L937">IF(OR(
    AND('BD Asesor'!H937="Mensual", MATCH($B$2, {"Enero", "Febrero", "Marzo", "Abril", "Mayo", "Junio", "Julio", "Agosto", "Septiembre", "Octubre", "Noviembre", "Diciembre"}, 0)&gt;=1),
    AND('BD Asesor'!H937="Trimestral", MOD(MATCH($B$2, {"Enero", "Febrero", "Marzo", "Abril", "Mayo", "Junio", "Julio", "Agosto", "Septiembre", "Octubre", "Noviembre"}, 0)-MONTH('BD Asesor'!D937), 3)=0),
    AND('BD Asesor'!H937="Semestral", MOD(MATCH($B$2, {"Enero", "Febrero", "Marzo", "Abril", "Mayo", "Junio", "Julio", "Agosto", "Septiembre", "Octubre", "Noviembre"}, 0)-MONTH('BD Asesor'!D937), 6)=0),
    AND('BD Asesor'!H937="Anual", MONTH('BD Asesor'!D937)=MATCH($B$2, {"Enero", "Febrero", "Marzo", "Abril", "Mayo", "Junio", "Julio", "Agosto", "Septiembre", "Octubre", "Noviembre"}, 0))
), 'BD Asesor'!L937, "")
</f>
        <v/>
      </c>
    </row>
    <row r="938">
      <c r="C938" s="84" t="str">
        <f t="array" ref="C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Asesor'!A938, "")
</f>
        <v/>
      </c>
      <c r="D938" s="84" t="str">
        <f t="array" ref="D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Asesor'!B938, "")
</f>
        <v/>
      </c>
      <c r="E938" s="212" t="str">
        <f t="array" ref="E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Asesor'!C938, "")
</f>
        <v/>
      </c>
      <c r="F938" s="212" t="str">
        <f t="array" ref="F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Asesor'!D938, "")
</f>
        <v/>
      </c>
      <c r="G938" s="212" t="str">
        <f t="array" ref="G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Asesor'!E938, "")
</f>
        <v/>
      </c>
      <c r="H938" s="84" t="str">
        <f t="array" ref="H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Asesor'!F938, "")
</f>
        <v/>
      </c>
      <c r="I938" s="84" t="str">
        <f t="array" ref="I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Asesor'!G938, "")
</f>
        <v/>
      </c>
      <c r="J938" s="84" t="str">
        <f t="array" ref="J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Asesor'!H938, "")
</f>
        <v/>
      </c>
      <c r="K938" s="84" t="str">
        <f t="array" ref="K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Asesor'!K938, "")
</f>
        <v/>
      </c>
      <c r="L938" s="84" t="str">
        <f t="array" ref="L938">IF(OR(
    AND('BD Asesor'!H938="Mensual", MATCH($B$2, {"Enero", "Febrero", "Marzo", "Abril", "Mayo", "Junio", "Julio", "Agosto", "Septiembre", "Octubre", "Noviembre", "Diciembre"}, 0)&gt;=1),
    AND('BD Asesor'!H938="Trimestral", MOD(MATCH($B$2, {"Enero", "Febrero", "Marzo", "Abril", "Mayo", "Junio", "Julio", "Agosto", "Septiembre", "Octubre", "Noviembre"}, 0)-MONTH('BD Asesor'!D938), 3)=0),
    AND('BD Asesor'!H938="Semestral", MOD(MATCH($B$2, {"Enero", "Febrero", "Marzo", "Abril", "Mayo", "Junio", "Julio", "Agosto", "Septiembre", "Octubre", "Noviembre"}, 0)-MONTH('BD Asesor'!D938), 6)=0),
    AND('BD Asesor'!H938="Anual", MONTH('BD Asesor'!D938)=MATCH($B$2, {"Enero", "Febrero", "Marzo", "Abril", "Mayo", "Junio", "Julio", "Agosto", "Septiembre", "Octubre", "Noviembre"}, 0))
), 'BD Asesor'!L938, "")
</f>
        <v/>
      </c>
    </row>
    <row r="939">
      <c r="C939" s="84" t="str">
        <f t="array" ref="C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Asesor'!A939, "")
</f>
        <v/>
      </c>
      <c r="D939" s="84" t="str">
        <f t="array" ref="D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Asesor'!B939, "")
</f>
        <v/>
      </c>
      <c r="E939" s="212" t="str">
        <f t="array" ref="E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Asesor'!C939, "")
</f>
        <v/>
      </c>
      <c r="F939" s="212" t="str">
        <f t="array" ref="F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Asesor'!D939, "")
</f>
        <v/>
      </c>
      <c r="G939" s="212" t="str">
        <f t="array" ref="G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Asesor'!E939, "")
</f>
        <v/>
      </c>
      <c r="H939" s="84" t="str">
        <f t="array" ref="H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Asesor'!F939, "")
</f>
        <v/>
      </c>
      <c r="I939" s="84" t="str">
        <f t="array" ref="I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Asesor'!G939, "")
</f>
        <v/>
      </c>
      <c r="J939" s="84" t="str">
        <f t="array" ref="J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Asesor'!H939, "")
</f>
        <v/>
      </c>
      <c r="K939" s="84" t="str">
        <f t="array" ref="K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Asesor'!K939, "")
</f>
        <v/>
      </c>
      <c r="L939" s="84" t="str">
        <f t="array" ref="L939">IF(OR(
    AND('BD Asesor'!H939="Mensual", MATCH($B$2, {"Enero", "Febrero", "Marzo", "Abril", "Mayo", "Junio", "Julio", "Agosto", "Septiembre", "Octubre", "Noviembre", "Diciembre"}, 0)&gt;=1),
    AND('BD Asesor'!H939="Trimestral", MOD(MATCH($B$2, {"Enero", "Febrero", "Marzo", "Abril", "Mayo", "Junio", "Julio", "Agosto", "Septiembre", "Octubre", "Noviembre"}, 0)-MONTH('BD Asesor'!D939), 3)=0),
    AND('BD Asesor'!H939="Semestral", MOD(MATCH($B$2, {"Enero", "Febrero", "Marzo", "Abril", "Mayo", "Junio", "Julio", "Agosto", "Septiembre", "Octubre", "Noviembre"}, 0)-MONTH('BD Asesor'!D939), 6)=0),
    AND('BD Asesor'!H939="Anual", MONTH('BD Asesor'!D939)=MATCH($B$2, {"Enero", "Febrero", "Marzo", "Abril", "Mayo", "Junio", "Julio", "Agosto", "Septiembre", "Octubre", "Noviembre"}, 0))
), 'BD Asesor'!L939, "")
</f>
        <v/>
      </c>
    </row>
    <row r="940">
      <c r="C940" s="84" t="str">
        <f t="array" ref="C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Asesor'!A940, "")
</f>
        <v/>
      </c>
      <c r="D940" s="84" t="str">
        <f t="array" ref="D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Asesor'!B940, "")
</f>
        <v/>
      </c>
      <c r="E940" s="212" t="str">
        <f t="array" ref="E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Asesor'!C940, "")
</f>
        <v/>
      </c>
      <c r="F940" s="212" t="str">
        <f t="array" ref="F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Asesor'!D940, "")
</f>
        <v/>
      </c>
      <c r="G940" s="212" t="str">
        <f t="array" ref="G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Asesor'!E940, "")
</f>
        <v/>
      </c>
      <c r="H940" s="84" t="str">
        <f t="array" ref="H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Asesor'!F940, "")
</f>
        <v/>
      </c>
      <c r="I940" s="84" t="str">
        <f t="array" ref="I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Asesor'!G940, "")
</f>
        <v/>
      </c>
      <c r="J940" s="84" t="str">
        <f t="array" ref="J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Asesor'!H940, "")
</f>
        <v/>
      </c>
      <c r="K940" s="84" t="str">
        <f t="array" ref="K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Asesor'!K940, "")
</f>
        <v/>
      </c>
      <c r="L940" s="84" t="str">
        <f t="array" ref="L940">IF(OR(
    AND('BD Asesor'!H940="Mensual", MATCH($B$2, {"Enero", "Febrero", "Marzo", "Abril", "Mayo", "Junio", "Julio", "Agosto", "Septiembre", "Octubre", "Noviembre", "Diciembre"}, 0)&gt;=1),
    AND('BD Asesor'!H940="Trimestral", MOD(MATCH($B$2, {"Enero", "Febrero", "Marzo", "Abril", "Mayo", "Junio", "Julio", "Agosto", "Septiembre", "Octubre", "Noviembre"}, 0)-MONTH('BD Asesor'!D940), 3)=0),
    AND('BD Asesor'!H940="Semestral", MOD(MATCH($B$2, {"Enero", "Febrero", "Marzo", "Abril", "Mayo", "Junio", "Julio", "Agosto", "Septiembre", "Octubre", "Noviembre"}, 0)-MONTH('BD Asesor'!D940), 6)=0),
    AND('BD Asesor'!H940="Anual", MONTH('BD Asesor'!D940)=MATCH($B$2, {"Enero", "Febrero", "Marzo", "Abril", "Mayo", "Junio", "Julio", "Agosto", "Septiembre", "Octubre", "Noviembre"}, 0))
), 'BD Asesor'!L940, "")
</f>
        <v/>
      </c>
    </row>
    <row r="941">
      <c r="C941" s="84" t="str">
        <f t="array" ref="C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Asesor'!A941, "")
</f>
        <v/>
      </c>
      <c r="D941" s="84" t="str">
        <f t="array" ref="D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Asesor'!B941, "")
</f>
        <v/>
      </c>
      <c r="E941" s="212" t="str">
        <f t="array" ref="E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Asesor'!C941, "")
</f>
        <v/>
      </c>
      <c r="F941" s="212" t="str">
        <f t="array" ref="F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Asesor'!D941, "")
</f>
        <v/>
      </c>
      <c r="G941" s="212" t="str">
        <f t="array" ref="G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Asesor'!E941, "")
</f>
        <v/>
      </c>
      <c r="H941" s="84" t="str">
        <f t="array" ref="H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Asesor'!F941, "")
</f>
        <v/>
      </c>
      <c r="I941" s="84" t="str">
        <f t="array" ref="I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Asesor'!G941, "")
</f>
        <v/>
      </c>
      <c r="J941" s="84" t="str">
        <f t="array" ref="J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Asesor'!H941, "")
</f>
        <v/>
      </c>
      <c r="K941" s="84" t="str">
        <f t="array" ref="K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Asesor'!K941, "")
</f>
        <v/>
      </c>
      <c r="L941" s="84" t="str">
        <f t="array" ref="L941">IF(OR(
    AND('BD Asesor'!H941="Mensual", MATCH($B$2, {"Enero", "Febrero", "Marzo", "Abril", "Mayo", "Junio", "Julio", "Agosto", "Septiembre", "Octubre", "Noviembre", "Diciembre"}, 0)&gt;=1),
    AND('BD Asesor'!H941="Trimestral", MOD(MATCH($B$2, {"Enero", "Febrero", "Marzo", "Abril", "Mayo", "Junio", "Julio", "Agosto", "Septiembre", "Octubre", "Noviembre"}, 0)-MONTH('BD Asesor'!D941), 3)=0),
    AND('BD Asesor'!H941="Semestral", MOD(MATCH($B$2, {"Enero", "Febrero", "Marzo", "Abril", "Mayo", "Junio", "Julio", "Agosto", "Septiembre", "Octubre", "Noviembre"}, 0)-MONTH('BD Asesor'!D941), 6)=0),
    AND('BD Asesor'!H941="Anual", MONTH('BD Asesor'!D941)=MATCH($B$2, {"Enero", "Febrero", "Marzo", "Abril", "Mayo", "Junio", "Julio", "Agosto", "Septiembre", "Octubre", "Noviembre"}, 0))
), 'BD Asesor'!L941, "")
</f>
        <v/>
      </c>
    </row>
    <row r="942">
      <c r="C942" s="84" t="str">
        <f t="array" ref="C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Asesor'!A942, "")
</f>
        <v/>
      </c>
      <c r="D942" s="84" t="str">
        <f t="array" ref="D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Asesor'!B942, "")
</f>
        <v/>
      </c>
      <c r="E942" s="212" t="str">
        <f t="array" ref="E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Asesor'!C942, "")
</f>
        <v/>
      </c>
      <c r="F942" s="212" t="str">
        <f t="array" ref="F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Asesor'!D942, "")
</f>
        <v/>
      </c>
      <c r="G942" s="212" t="str">
        <f t="array" ref="G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Asesor'!E942, "")
</f>
        <v/>
      </c>
      <c r="H942" s="84" t="str">
        <f t="array" ref="H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Asesor'!F942, "")
</f>
        <v/>
      </c>
      <c r="I942" s="84" t="str">
        <f t="array" ref="I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Asesor'!G942, "")
</f>
        <v/>
      </c>
      <c r="J942" s="84" t="str">
        <f t="array" ref="J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Asesor'!H942, "")
</f>
        <v/>
      </c>
      <c r="K942" s="84" t="str">
        <f t="array" ref="K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Asesor'!K942, "")
</f>
        <v/>
      </c>
      <c r="L942" s="84" t="str">
        <f t="array" ref="L942">IF(OR(
    AND('BD Asesor'!H942="Mensual", MATCH($B$2, {"Enero", "Febrero", "Marzo", "Abril", "Mayo", "Junio", "Julio", "Agosto", "Septiembre", "Octubre", "Noviembre", "Diciembre"}, 0)&gt;=1),
    AND('BD Asesor'!H942="Trimestral", MOD(MATCH($B$2, {"Enero", "Febrero", "Marzo", "Abril", "Mayo", "Junio", "Julio", "Agosto", "Septiembre", "Octubre", "Noviembre"}, 0)-MONTH('BD Asesor'!D942), 3)=0),
    AND('BD Asesor'!H942="Semestral", MOD(MATCH($B$2, {"Enero", "Febrero", "Marzo", "Abril", "Mayo", "Junio", "Julio", "Agosto", "Septiembre", "Octubre", "Noviembre"}, 0)-MONTH('BD Asesor'!D942), 6)=0),
    AND('BD Asesor'!H942="Anual", MONTH('BD Asesor'!D942)=MATCH($B$2, {"Enero", "Febrero", "Marzo", "Abril", "Mayo", "Junio", "Julio", "Agosto", "Septiembre", "Octubre", "Noviembre"}, 0))
), 'BD Asesor'!L942, "")
</f>
        <v/>
      </c>
    </row>
    <row r="943">
      <c r="C943" s="84" t="str">
        <f t="array" ref="C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Asesor'!A943, "")
</f>
        <v/>
      </c>
      <c r="D943" s="84" t="str">
        <f t="array" ref="D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Asesor'!B943, "")
</f>
        <v/>
      </c>
      <c r="E943" s="212" t="str">
        <f t="array" ref="E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Asesor'!C943, "")
</f>
        <v/>
      </c>
      <c r="F943" s="212" t="str">
        <f t="array" ref="F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Asesor'!D943, "")
</f>
        <v/>
      </c>
      <c r="G943" s="212" t="str">
        <f t="array" ref="G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Asesor'!E943, "")
</f>
        <v/>
      </c>
      <c r="H943" s="84" t="str">
        <f t="array" ref="H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Asesor'!F943, "")
</f>
        <v/>
      </c>
      <c r="I943" s="84" t="str">
        <f t="array" ref="I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Asesor'!G943, "")
</f>
        <v/>
      </c>
      <c r="J943" s="84" t="str">
        <f t="array" ref="J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Asesor'!H943, "")
</f>
        <v/>
      </c>
      <c r="K943" s="84" t="str">
        <f t="array" ref="K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Asesor'!K943, "")
</f>
        <v/>
      </c>
      <c r="L943" s="84" t="str">
        <f t="array" ref="L943">IF(OR(
    AND('BD Asesor'!H943="Mensual", MATCH($B$2, {"Enero", "Febrero", "Marzo", "Abril", "Mayo", "Junio", "Julio", "Agosto", "Septiembre", "Octubre", "Noviembre", "Diciembre"}, 0)&gt;=1),
    AND('BD Asesor'!H943="Trimestral", MOD(MATCH($B$2, {"Enero", "Febrero", "Marzo", "Abril", "Mayo", "Junio", "Julio", "Agosto", "Septiembre", "Octubre", "Noviembre"}, 0)-MONTH('BD Asesor'!D943), 3)=0),
    AND('BD Asesor'!H943="Semestral", MOD(MATCH($B$2, {"Enero", "Febrero", "Marzo", "Abril", "Mayo", "Junio", "Julio", "Agosto", "Septiembre", "Octubre", "Noviembre"}, 0)-MONTH('BD Asesor'!D943), 6)=0),
    AND('BD Asesor'!H943="Anual", MONTH('BD Asesor'!D943)=MATCH($B$2, {"Enero", "Febrero", "Marzo", "Abril", "Mayo", "Junio", "Julio", "Agosto", "Septiembre", "Octubre", "Noviembre"}, 0))
), 'BD Asesor'!L943, "")
</f>
        <v/>
      </c>
    </row>
    <row r="944">
      <c r="C944" s="84" t="str">
        <f t="array" ref="C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Asesor'!A944, "")
</f>
        <v/>
      </c>
      <c r="D944" s="84" t="str">
        <f t="array" ref="D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Asesor'!B944, "")
</f>
        <v/>
      </c>
      <c r="E944" s="212" t="str">
        <f t="array" ref="E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Asesor'!C944, "")
</f>
        <v/>
      </c>
      <c r="F944" s="212" t="str">
        <f t="array" ref="F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Asesor'!D944, "")
</f>
        <v/>
      </c>
      <c r="G944" s="212" t="str">
        <f t="array" ref="G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Asesor'!E944, "")
</f>
        <v/>
      </c>
      <c r="H944" s="84" t="str">
        <f t="array" ref="H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Asesor'!F944, "")
</f>
        <v/>
      </c>
      <c r="I944" s="84" t="str">
        <f t="array" ref="I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Asesor'!G944, "")
</f>
        <v/>
      </c>
      <c r="J944" s="84" t="str">
        <f t="array" ref="J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Asesor'!H944, "")
</f>
        <v/>
      </c>
      <c r="K944" s="84" t="str">
        <f t="array" ref="K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Asesor'!K944, "")
</f>
        <v/>
      </c>
      <c r="L944" s="84" t="str">
        <f t="array" ref="L944">IF(OR(
    AND('BD Asesor'!H944="Mensual", MATCH($B$2, {"Enero", "Febrero", "Marzo", "Abril", "Mayo", "Junio", "Julio", "Agosto", "Septiembre", "Octubre", "Noviembre", "Diciembre"}, 0)&gt;=1),
    AND('BD Asesor'!H944="Trimestral", MOD(MATCH($B$2, {"Enero", "Febrero", "Marzo", "Abril", "Mayo", "Junio", "Julio", "Agosto", "Septiembre", "Octubre", "Noviembre"}, 0)-MONTH('BD Asesor'!D944), 3)=0),
    AND('BD Asesor'!H944="Semestral", MOD(MATCH($B$2, {"Enero", "Febrero", "Marzo", "Abril", "Mayo", "Junio", "Julio", "Agosto", "Septiembre", "Octubre", "Noviembre"}, 0)-MONTH('BD Asesor'!D944), 6)=0),
    AND('BD Asesor'!H944="Anual", MONTH('BD Asesor'!D944)=MATCH($B$2, {"Enero", "Febrero", "Marzo", "Abril", "Mayo", "Junio", "Julio", "Agosto", "Septiembre", "Octubre", "Noviembre"}, 0))
), 'BD Asesor'!L944, "")
</f>
        <v/>
      </c>
    </row>
    <row r="945">
      <c r="C945" s="84" t="str">
        <f t="array" ref="C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Asesor'!A945, "")
</f>
        <v/>
      </c>
      <c r="D945" s="84" t="str">
        <f t="array" ref="D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Asesor'!B945, "")
</f>
        <v/>
      </c>
      <c r="E945" s="212" t="str">
        <f t="array" ref="E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Asesor'!C945, "")
</f>
        <v/>
      </c>
      <c r="F945" s="212" t="str">
        <f t="array" ref="F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Asesor'!D945, "")
</f>
        <v/>
      </c>
      <c r="G945" s="212" t="str">
        <f t="array" ref="G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Asesor'!E945, "")
</f>
        <v/>
      </c>
      <c r="H945" s="84" t="str">
        <f t="array" ref="H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Asesor'!F945, "")
</f>
        <v/>
      </c>
      <c r="I945" s="84" t="str">
        <f t="array" ref="I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Asesor'!G945, "")
</f>
        <v/>
      </c>
      <c r="J945" s="84" t="str">
        <f t="array" ref="J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Asesor'!H945, "")
</f>
        <v/>
      </c>
      <c r="K945" s="84" t="str">
        <f t="array" ref="K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Asesor'!K945, "")
</f>
        <v/>
      </c>
      <c r="L945" s="84" t="str">
        <f t="array" ref="L945">IF(OR(
    AND('BD Asesor'!H945="Mensual", MATCH($B$2, {"Enero", "Febrero", "Marzo", "Abril", "Mayo", "Junio", "Julio", "Agosto", "Septiembre", "Octubre", "Noviembre", "Diciembre"}, 0)&gt;=1),
    AND('BD Asesor'!H945="Trimestral", MOD(MATCH($B$2, {"Enero", "Febrero", "Marzo", "Abril", "Mayo", "Junio", "Julio", "Agosto", "Septiembre", "Octubre", "Noviembre"}, 0)-MONTH('BD Asesor'!D945), 3)=0),
    AND('BD Asesor'!H945="Semestral", MOD(MATCH($B$2, {"Enero", "Febrero", "Marzo", "Abril", "Mayo", "Junio", "Julio", "Agosto", "Septiembre", "Octubre", "Noviembre"}, 0)-MONTH('BD Asesor'!D945), 6)=0),
    AND('BD Asesor'!H945="Anual", MONTH('BD Asesor'!D945)=MATCH($B$2, {"Enero", "Febrero", "Marzo", "Abril", "Mayo", "Junio", "Julio", "Agosto", "Septiembre", "Octubre", "Noviembre"}, 0))
), 'BD Asesor'!L945, "")
</f>
        <v/>
      </c>
    </row>
    <row r="946">
      <c r="C946" s="84" t="str">
        <f t="array" ref="C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Asesor'!A946, "")
</f>
        <v/>
      </c>
      <c r="D946" s="84" t="str">
        <f t="array" ref="D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Asesor'!B946, "")
</f>
        <v/>
      </c>
      <c r="E946" s="212" t="str">
        <f t="array" ref="E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Asesor'!C946, "")
</f>
        <v/>
      </c>
      <c r="F946" s="212" t="str">
        <f t="array" ref="F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Asesor'!D946, "")
</f>
        <v/>
      </c>
      <c r="G946" s="212" t="str">
        <f t="array" ref="G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Asesor'!E946, "")
</f>
        <v/>
      </c>
      <c r="H946" s="84" t="str">
        <f t="array" ref="H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Asesor'!F946, "")
</f>
        <v/>
      </c>
      <c r="I946" s="84" t="str">
        <f t="array" ref="I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Asesor'!G946, "")
</f>
        <v/>
      </c>
      <c r="J946" s="84" t="str">
        <f t="array" ref="J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Asesor'!H946, "")
</f>
        <v/>
      </c>
      <c r="K946" s="84" t="str">
        <f t="array" ref="K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Asesor'!K946, "")
</f>
        <v/>
      </c>
      <c r="L946" s="84" t="str">
        <f t="array" ref="L946">IF(OR(
    AND('BD Asesor'!H946="Mensual", MATCH($B$2, {"Enero", "Febrero", "Marzo", "Abril", "Mayo", "Junio", "Julio", "Agosto", "Septiembre", "Octubre", "Noviembre", "Diciembre"}, 0)&gt;=1),
    AND('BD Asesor'!H946="Trimestral", MOD(MATCH($B$2, {"Enero", "Febrero", "Marzo", "Abril", "Mayo", "Junio", "Julio", "Agosto", "Septiembre", "Octubre", "Noviembre"}, 0)-MONTH('BD Asesor'!D946), 3)=0),
    AND('BD Asesor'!H946="Semestral", MOD(MATCH($B$2, {"Enero", "Febrero", "Marzo", "Abril", "Mayo", "Junio", "Julio", "Agosto", "Septiembre", "Octubre", "Noviembre"}, 0)-MONTH('BD Asesor'!D946), 6)=0),
    AND('BD Asesor'!H946="Anual", MONTH('BD Asesor'!D946)=MATCH($B$2, {"Enero", "Febrero", "Marzo", "Abril", "Mayo", "Junio", "Julio", "Agosto", "Septiembre", "Octubre", "Noviembre"}, 0))
), 'BD Asesor'!L946, "")
</f>
        <v/>
      </c>
    </row>
    <row r="947">
      <c r="C947" s="84" t="str">
        <f t="array" ref="C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Asesor'!A947, "")
</f>
        <v/>
      </c>
      <c r="D947" s="84" t="str">
        <f t="array" ref="D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Asesor'!B947, "")
</f>
        <v/>
      </c>
      <c r="E947" s="212" t="str">
        <f t="array" ref="E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Asesor'!C947, "")
</f>
        <v/>
      </c>
      <c r="F947" s="212" t="str">
        <f t="array" ref="F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Asesor'!D947, "")
</f>
        <v/>
      </c>
      <c r="G947" s="212" t="str">
        <f t="array" ref="G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Asesor'!E947, "")
</f>
        <v/>
      </c>
      <c r="H947" s="84" t="str">
        <f t="array" ref="H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Asesor'!F947, "")
</f>
        <v/>
      </c>
      <c r="I947" s="84" t="str">
        <f t="array" ref="I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Asesor'!G947, "")
</f>
        <v/>
      </c>
      <c r="J947" s="84" t="str">
        <f t="array" ref="J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Asesor'!H947, "")
</f>
        <v/>
      </c>
      <c r="K947" s="84" t="str">
        <f t="array" ref="K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Asesor'!K947, "")
</f>
        <v/>
      </c>
      <c r="L947" s="84" t="str">
        <f t="array" ref="L947">IF(OR(
    AND('BD Asesor'!H947="Mensual", MATCH($B$2, {"Enero", "Febrero", "Marzo", "Abril", "Mayo", "Junio", "Julio", "Agosto", "Septiembre", "Octubre", "Noviembre", "Diciembre"}, 0)&gt;=1),
    AND('BD Asesor'!H947="Trimestral", MOD(MATCH($B$2, {"Enero", "Febrero", "Marzo", "Abril", "Mayo", "Junio", "Julio", "Agosto", "Septiembre", "Octubre", "Noviembre"}, 0)-MONTH('BD Asesor'!D947), 3)=0),
    AND('BD Asesor'!H947="Semestral", MOD(MATCH($B$2, {"Enero", "Febrero", "Marzo", "Abril", "Mayo", "Junio", "Julio", "Agosto", "Septiembre", "Octubre", "Noviembre"}, 0)-MONTH('BD Asesor'!D947), 6)=0),
    AND('BD Asesor'!H947="Anual", MONTH('BD Asesor'!D947)=MATCH($B$2, {"Enero", "Febrero", "Marzo", "Abril", "Mayo", "Junio", "Julio", "Agosto", "Septiembre", "Octubre", "Noviembre"}, 0))
), 'BD Asesor'!L947, "")
</f>
        <v/>
      </c>
    </row>
    <row r="948">
      <c r="C948" s="84" t="str">
        <f t="array" ref="C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Asesor'!A948, "")
</f>
        <v/>
      </c>
      <c r="D948" s="84" t="str">
        <f t="array" ref="D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Asesor'!B948, "")
</f>
        <v/>
      </c>
      <c r="E948" s="212" t="str">
        <f t="array" ref="E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Asesor'!C948, "")
</f>
        <v/>
      </c>
      <c r="F948" s="212" t="str">
        <f t="array" ref="F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Asesor'!D948, "")
</f>
        <v/>
      </c>
      <c r="G948" s="212" t="str">
        <f t="array" ref="G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Asesor'!E948, "")
</f>
        <v/>
      </c>
      <c r="H948" s="84" t="str">
        <f t="array" ref="H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Asesor'!F948, "")
</f>
        <v/>
      </c>
      <c r="I948" s="84" t="str">
        <f t="array" ref="I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Asesor'!G948, "")
</f>
        <v/>
      </c>
      <c r="J948" s="84" t="str">
        <f t="array" ref="J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Asesor'!H948, "")
</f>
        <v/>
      </c>
      <c r="K948" s="84" t="str">
        <f t="array" ref="K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Asesor'!K948, "")
</f>
        <v/>
      </c>
      <c r="L948" s="84" t="str">
        <f t="array" ref="L948">IF(OR(
    AND('BD Asesor'!H948="Mensual", MATCH($B$2, {"Enero", "Febrero", "Marzo", "Abril", "Mayo", "Junio", "Julio", "Agosto", "Septiembre", "Octubre", "Noviembre", "Diciembre"}, 0)&gt;=1),
    AND('BD Asesor'!H948="Trimestral", MOD(MATCH($B$2, {"Enero", "Febrero", "Marzo", "Abril", "Mayo", "Junio", "Julio", "Agosto", "Septiembre", "Octubre", "Noviembre"}, 0)-MONTH('BD Asesor'!D948), 3)=0),
    AND('BD Asesor'!H948="Semestral", MOD(MATCH($B$2, {"Enero", "Febrero", "Marzo", "Abril", "Mayo", "Junio", "Julio", "Agosto", "Septiembre", "Octubre", "Noviembre"}, 0)-MONTH('BD Asesor'!D948), 6)=0),
    AND('BD Asesor'!H948="Anual", MONTH('BD Asesor'!D948)=MATCH($B$2, {"Enero", "Febrero", "Marzo", "Abril", "Mayo", "Junio", "Julio", "Agosto", "Septiembre", "Octubre", "Noviembre"}, 0))
), 'BD Asesor'!L948, "")
</f>
        <v/>
      </c>
    </row>
    <row r="949">
      <c r="C949" s="84" t="str">
        <f t="array" ref="C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Asesor'!A949, "")
</f>
        <v/>
      </c>
      <c r="D949" s="84" t="str">
        <f t="array" ref="D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Asesor'!B949, "")
</f>
        <v/>
      </c>
      <c r="E949" s="212" t="str">
        <f t="array" ref="E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Asesor'!C949, "")
</f>
        <v/>
      </c>
      <c r="F949" s="212" t="str">
        <f t="array" ref="F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Asesor'!D949, "")
</f>
        <v/>
      </c>
      <c r="G949" s="212" t="str">
        <f t="array" ref="G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Asesor'!E949, "")
</f>
        <v/>
      </c>
      <c r="H949" s="84" t="str">
        <f t="array" ref="H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Asesor'!F949, "")
</f>
        <v/>
      </c>
      <c r="I949" s="84" t="str">
        <f t="array" ref="I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Asesor'!G949, "")
</f>
        <v/>
      </c>
      <c r="J949" s="84" t="str">
        <f t="array" ref="J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Asesor'!H949, "")
</f>
        <v/>
      </c>
      <c r="K949" s="84" t="str">
        <f t="array" ref="K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Asesor'!K949, "")
</f>
        <v/>
      </c>
      <c r="L949" s="84" t="str">
        <f t="array" ref="L949">IF(OR(
    AND('BD Asesor'!H949="Mensual", MATCH($B$2, {"Enero", "Febrero", "Marzo", "Abril", "Mayo", "Junio", "Julio", "Agosto", "Septiembre", "Octubre", "Noviembre", "Diciembre"}, 0)&gt;=1),
    AND('BD Asesor'!H949="Trimestral", MOD(MATCH($B$2, {"Enero", "Febrero", "Marzo", "Abril", "Mayo", "Junio", "Julio", "Agosto", "Septiembre", "Octubre", "Noviembre"}, 0)-MONTH('BD Asesor'!D949), 3)=0),
    AND('BD Asesor'!H949="Semestral", MOD(MATCH($B$2, {"Enero", "Febrero", "Marzo", "Abril", "Mayo", "Junio", "Julio", "Agosto", "Septiembre", "Octubre", "Noviembre"}, 0)-MONTH('BD Asesor'!D949), 6)=0),
    AND('BD Asesor'!H949="Anual", MONTH('BD Asesor'!D949)=MATCH($B$2, {"Enero", "Febrero", "Marzo", "Abril", "Mayo", "Junio", "Julio", "Agosto", "Septiembre", "Octubre", "Noviembre"}, 0))
), 'BD Asesor'!L949, "")
</f>
        <v/>
      </c>
    </row>
    <row r="950">
      <c r="C950" s="84" t="str">
        <f t="array" ref="C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Asesor'!A950, "")
</f>
        <v/>
      </c>
      <c r="D950" s="84" t="str">
        <f t="array" ref="D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Asesor'!B950, "")
</f>
        <v/>
      </c>
      <c r="E950" s="212" t="str">
        <f t="array" ref="E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Asesor'!C950, "")
</f>
        <v/>
      </c>
      <c r="F950" s="212" t="str">
        <f t="array" ref="F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Asesor'!D950, "")
</f>
        <v/>
      </c>
      <c r="G950" s="212" t="str">
        <f t="array" ref="G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Asesor'!E950, "")
</f>
        <v/>
      </c>
      <c r="H950" s="84" t="str">
        <f t="array" ref="H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Asesor'!F950, "")
</f>
        <v/>
      </c>
      <c r="I950" s="84" t="str">
        <f t="array" ref="I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Asesor'!G950, "")
</f>
        <v/>
      </c>
      <c r="J950" s="84" t="str">
        <f t="array" ref="J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Asesor'!H950, "")
</f>
        <v/>
      </c>
      <c r="K950" s="84" t="str">
        <f t="array" ref="K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Asesor'!K950, "")
</f>
        <v/>
      </c>
      <c r="L950" s="84" t="str">
        <f t="array" ref="L950">IF(OR(
    AND('BD Asesor'!H950="Mensual", MATCH($B$2, {"Enero", "Febrero", "Marzo", "Abril", "Mayo", "Junio", "Julio", "Agosto", "Septiembre", "Octubre", "Noviembre", "Diciembre"}, 0)&gt;=1),
    AND('BD Asesor'!H950="Trimestral", MOD(MATCH($B$2, {"Enero", "Febrero", "Marzo", "Abril", "Mayo", "Junio", "Julio", "Agosto", "Septiembre", "Octubre", "Noviembre"}, 0)-MONTH('BD Asesor'!D950), 3)=0),
    AND('BD Asesor'!H950="Semestral", MOD(MATCH($B$2, {"Enero", "Febrero", "Marzo", "Abril", "Mayo", "Junio", "Julio", "Agosto", "Septiembre", "Octubre", "Noviembre"}, 0)-MONTH('BD Asesor'!D950), 6)=0),
    AND('BD Asesor'!H950="Anual", MONTH('BD Asesor'!D950)=MATCH($B$2, {"Enero", "Febrero", "Marzo", "Abril", "Mayo", "Junio", "Julio", "Agosto", "Septiembre", "Octubre", "Noviembre"}, 0))
), 'BD Asesor'!L950, "")
</f>
        <v/>
      </c>
    </row>
    <row r="951">
      <c r="C951" s="84" t="str">
        <f t="array" ref="C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Asesor'!A951, "")
</f>
        <v/>
      </c>
      <c r="D951" s="84" t="str">
        <f t="array" ref="D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Asesor'!B951, "")
</f>
        <v/>
      </c>
      <c r="E951" s="212" t="str">
        <f t="array" ref="E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Asesor'!C951, "")
</f>
        <v/>
      </c>
      <c r="F951" s="212" t="str">
        <f t="array" ref="F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Asesor'!D951, "")
</f>
        <v/>
      </c>
      <c r="G951" s="212" t="str">
        <f t="array" ref="G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Asesor'!E951, "")
</f>
        <v/>
      </c>
      <c r="H951" s="84" t="str">
        <f t="array" ref="H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Asesor'!F951, "")
</f>
        <v/>
      </c>
      <c r="I951" s="84" t="str">
        <f t="array" ref="I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Asesor'!G951, "")
</f>
        <v/>
      </c>
      <c r="J951" s="84" t="str">
        <f t="array" ref="J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Asesor'!H951, "")
</f>
        <v/>
      </c>
      <c r="K951" s="84" t="str">
        <f t="array" ref="K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Asesor'!K951, "")
</f>
        <v/>
      </c>
      <c r="L951" s="84" t="str">
        <f t="array" ref="L951">IF(OR(
    AND('BD Asesor'!H951="Mensual", MATCH($B$2, {"Enero", "Febrero", "Marzo", "Abril", "Mayo", "Junio", "Julio", "Agosto", "Septiembre", "Octubre", "Noviembre", "Diciembre"}, 0)&gt;=1),
    AND('BD Asesor'!H951="Trimestral", MOD(MATCH($B$2, {"Enero", "Febrero", "Marzo", "Abril", "Mayo", "Junio", "Julio", "Agosto", "Septiembre", "Octubre", "Noviembre"}, 0)-MONTH('BD Asesor'!D951), 3)=0),
    AND('BD Asesor'!H951="Semestral", MOD(MATCH($B$2, {"Enero", "Febrero", "Marzo", "Abril", "Mayo", "Junio", "Julio", "Agosto", "Septiembre", "Octubre", "Noviembre"}, 0)-MONTH('BD Asesor'!D951), 6)=0),
    AND('BD Asesor'!H951="Anual", MONTH('BD Asesor'!D951)=MATCH($B$2, {"Enero", "Febrero", "Marzo", "Abril", "Mayo", "Junio", "Julio", "Agosto", "Septiembre", "Octubre", "Noviembre"}, 0))
), 'BD Asesor'!L951, "")
</f>
        <v/>
      </c>
    </row>
    <row r="952">
      <c r="C952" s="84" t="str">
        <f t="array" ref="C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Asesor'!A952, "")
</f>
        <v/>
      </c>
      <c r="D952" s="84" t="str">
        <f t="array" ref="D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Asesor'!B952, "")
</f>
        <v/>
      </c>
      <c r="E952" s="212" t="str">
        <f t="array" ref="E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Asesor'!C952, "")
</f>
        <v/>
      </c>
      <c r="F952" s="212" t="str">
        <f t="array" ref="F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Asesor'!D952, "")
</f>
        <v/>
      </c>
      <c r="G952" s="212" t="str">
        <f t="array" ref="G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Asesor'!E952, "")
</f>
        <v/>
      </c>
      <c r="H952" s="84" t="str">
        <f t="array" ref="H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Asesor'!F952, "")
</f>
        <v/>
      </c>
      <c r="I952" s="84" t="str">
        <f t="array" ref="I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Asesor'!G952, "")
</f>
        <v/>
      </c>
      <c r="J952" s="84" t="str">
        <f t="array" ref="J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Asesor'!H952, "")
</f>
        <v/>
      </c>
      <c r="K952" s="84" t="str">
        <f t="array" ref="K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Asesor'!K952, "")
</f>
        <v/>
      </c>
      <c r="L952" s="84" t="str">
        <f t="array" ref="L952">IF(OR(
    AND('BD Asesor'!H952="Mensual", MATCH($B$2, {"Enero", "Febrero", "Marzo", "Abril", "Mayo", "Junio", "Julio", "Agosto", "Septiembre", "Octubre", "Noviembre", "Diciembre"}, 0)&gt;=1),
    AND('BD Asesor'!H952="Trimestral", MOD(MATCH($B$2, {"Enero", "Febrero", "Marzo", "Abril", "Mayo", "Junio", "Julio", "Agosto", "Septiembre", "Octubre", "Noviembre"}, 0)-MONTH('BD Asesor'!D952), 3)=0),
    AND('BD Asesor'!H952="Semestral", MOD(MATCH($B$2, {"Enero", "Febrero", "Marzo", "Abril", "Mayo", "Junio", "Julio", "Agosto", "Septiembre", "Octubre", "Noviembre"}, 0)-MONTH('BD Asesor'!D952), 6)=0),
    AND('BD Asesor'!H952="Anual", MONTH('BD Asesor'!D952)=MATCH($B$2, {"Enero", "Febrero", "Marzo", "Abril", "Mayo", "Junio", "Julio", "Agosto", "Septiembre", "Octubre", "Noviembre"}, 0))
), 'BD Asesor'!L952, "")
</f>
        <v/>
      </c>
    </row>
    <row r="953">
      <c r="C953" s="84" t="str">
        <f t="array" ref="C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Asesor'!A953, "")
</f>
        <v/>
      </c>
      <c r="D953" s="84" t="str">
        <f t="array" ref="D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Asesor'!B953, "")
</f>
        <v/>
      </c>
      <c r="E953" s="212" t="str">
        <f t="array" ref="E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Asesor'!C953, "")
</f>
        <v/>
      </c>
      <c r="F953" s="212" t="str">
        <f t="array" ref="F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Asesor'!D953, "")
</f>
        <v/>
      </c>
      <c r="G953" s="212" t="str">
        <f t="array" ref="G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Asesor'!E953, "")
</f>
        <v/>
      </c>
      <c r="H953" s="84" t="str">
        <f t="array" ref="H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Asesor'!F953, "")
</f>
        <v/>
      </c>
      <c r="I953" s="84" t="str">
        <f t="array" ref="I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Asesor'!G953, "")
</f>
        <v/>
      </c>
      <c r="J953" s="84" t="str">
        <f t="array" ref="J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Asesor'!H953, "")
</f>
        <v/>
      </c>
      <c r="K953" s="84" t="str">
        <f t="array" ref="K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Asesor'!K953, "")
</f>
        <v/>
      </c>
      <c r="L953" s="84" t="str">
        <f t="array" ref="L953">IF(OR(
    AND('BD Asesor'!H953="Mensual", MATCH($B$2, {"Enero", "Febrero", "Marzo", "Abril", "Mayo", "Junio", "Julio", "Agosto", "Septiembre", "Octubre", "Noviembre", "Diciembre"}, 0)&gt;=1),
    AND('BD Asesor'!H953="Trimestral", MOD(MATCH($B$2, {"Enero", "Febrero", "Marzo", "Abril", "Mayo", "Junio", "Julio", "Agosto", "Septiembre", "Octubre", "Noviembre"}, 0)-MONTH('BD Asesor'!D953), 3)=0),
    AND('BD Asesor'!H953="Semestral", MOD(MATCH($B$2, {"Enero", "Febrero", "Marzo", "Abril", "Mayo", "Junio", "Julio", "Agosto", "Septiembre", "Octubre", "Noviembre"}, 0)-MONTH('BD Asesor'!D953), 6)=0),
    AND('BD Asesor'!H953="Anual", MONTH('BD Asesor'!D953)=MATCH($B$2, {"Enero", "Febrero", "Marzo", "Abril", "Mayo", "Junio", "Julio", "Agosto", "Septiembre", "Octubre", "Noviembre"}, 0))
), 'BD Asesor'!L953, "")
</f>
        <v/>
      </c>
    </row>
    <row r="954">
      <c r="C954" s="84" t="str">
        <f t="array" ref="C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Asesor'!A954, "")
</f>
        <v/>
      </c>
      <c r="D954" s="84" t="str">
        <f t="array" ref="D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Asesor'!B954, "")
</f>
        <v/>
      </c>
      <c r="E954" s="212" t="str">
        <f t="array" ref="E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Asesor'!C954, "")
</f>
        <v/>
      </c>
      <c r="F954" s="212" t="str">
        <f t="array" ref="F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Asesor'!D954, "")
</f>
        <v/>
      </c>
      <c r="G954" s="212" t="str">
        <f t="array" ref="G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Asesor'!E954, "")
</f>
        <v/>
      </c>
      <c r="H954" s="84" t="str">
        <f t="array" ref="H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Asesor'!F954, "")
</f>
        <v/>
      </c>
      <c r="I954" s="84" t="str">
        <f t="array" ref="I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Asesor'!G954, "")
</f>
        <v/>
      </c>
      <c r="J954" s="84" t="str">
        <f t="array" ref="J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Asesor'!H954, "")
</f>
        <v/>
      </c>
      <c r="K954" s="84" t="str">
        <f t="array" ref="K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Asesor'!K954, "")
</f>
        <v/>
      </c>
      <c r="L954" s="84" t="str">
        <f t="array" ref="L954">IF(OR(
    AND('BD Asesor'!H954="Mensual", MATCH($B$2, {"Enero", "Febrero", "Marzo", "Abril", "Mayo", "Junio", "Julio", "Agosto", "Septiembre", "Octubre", "Noviembre", "Diciembre"}, 0)&gt;=1),
    AND('BD Asesor'!H954="Trimestral", MOD(MATCH($B$2, {"Enero", "Febrero", "Marzo", "Abril", "Mayo", "Junio", "Julio", "Agosto", "Septiembre", "Octubre", "Noviembre"}, 0)-MONTH('BD Asesor'!D954), 3)=0),
    AND('BD Asesor'!H954="Semestral", MOD(MATCH($B$2, {"Enero", "Febrero", "Marzo", "Abril", "Mayo", "Junio", "Julio", "Agosto", "Septiembre", "Octubre", "Noviembre"}, 0)-MONTH('BD Asesor'!D954), 6)=0),
    AND('BD Asesor'!H954="Anual", MONTH('BD Asesor'!D954)=MATCH($B$2, {"Enero", "Febrero", "Marzo", "Abril", "Mayo", "Junio", "Julio", "Agosto", "Septiembre", "Octubre", "Noviembre"}, 0))
), 'BD Asesor'!L954, "")
</f>
        <v/>
      </c>
    </row>
    <row r="955">
      <c r="C955" s="84" t="str">
        <f t="array" ref="C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Asesor'!A955, "")
</f>
        <v/>
      </c>
      <c r="D955" s="84" t="str">
        <f t="array" ref="D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Asesor'!B955, "")
</f>
        <v/>
      </c>
      <c r="E955" s="212" t="str">
        <f t="array" ref="E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Asesor'!C955, "")
</f>
        <v/>
      </c>
      <c r="F955" s="212" t="str">
        <f t="array" ref="F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Asesor'!D955, "")
</f>
        <v/>
      </c>
      <c r="G955" s="212" t="str">
        <f t="array" ref="G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Asesor'!E955, "")
</f>
        <v/>
      </c>
      <c r="H955" s="84" t="str">
        <f t="array" ref="H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Asesor'!F955, "")
</f>
        <v/>
      </c>
      <c r="I955" s="84" t="str">
        <f t="array" ref="I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Asesor'!G955, "")
</f>
        <v/>
      </c>
      <c r="J955" s="84" t="str">
        <f t="array" ref="J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Asesor'!H955, "")
</f>
        <v/>
      </c>
      <c r="K955" s="84" t="str">
        <f t="array" ref="K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Asesor'!K955, "")
</f>
        <v/>
      </c>
      <c r="L955" s="84" t="str">
        <f t="array" ref="L955">IF(OR(
    AND('BD Asesor'!H955="Mensual", MATCH($B$2, {"Enero", "Febrero", "Marzo", "Abril", "Mayo", "Junio", "Julio", "Agosto", "Septiembre", "Octubre", "Noviembre", "Diciembre"}, 0)&gt;=1),
    AND('BD Asesor'!H955="Trimestral", MOD(MATCH($B$2, {"Enero", "Febrero", "Marzo", "Abril", "Mayo", "Junio", "Julio", "Agosto", "Septiembre", "Octubre", "Noviembre"}, 0)-MONTH('BD Asesor'!D955), 3)=0),
    AND('BD Asesor'!H955="Semestral", MOD(MATCH($B$2, {"Enero", "Febrero", "Marzo", "Abril", "Mayo", "Junio", "Julio", "Agosto", "Septiembre", "Octubre", "Noviembre"}, 0)-MONTH('BD Asesor'!D955), 6)=0),
    AND('BD Asesor'!H955="Anual", MONTH('BD Asesor'!D955)=MATCH($B$2, {"Enero", "Febrero", "Marzo", "Abril", "Mayo", "Junio", "Julio", "Agosto", "Septiembre", "Octubre", "Noviembre"}, 0))
), 'BD Asesor'!L955, "")
</f>
        <v/>
      </c>
    </row>
    <row r="956">
      <c r="C956" s="84" t="str">
        <f t="array" ref="C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Asesor'!A956, "")
</f>
        <v/>
      </c>
      <c r="D956" s="84" t="str">
        <f t="array" ref="D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Asesor'!B956, "")
</f>
        <v/>
      </c>
      <c r="E956" s="212" t="str">
        <f t="array" ref="E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Asesor'!C956, "")
</f>
        <v/>
      </c>
      <c r="F956" s="212" t="str">
        <f t="array" ref="F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Asesor'!D956, "")
</f>
        <v/>
      </c>
      <c r="G956" s="212" t="str">
        <f t="array" ref="G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Asesor'!E956, "")
</f>
        <v/>
      </c>
      <c r="H956" s="84" t="str">
        <f t="array" ref="H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Asesor'!F956, "")
</f>
        <v/>
      </c>
      <c r="I956" s="84" t="str">
        <f t="array" ref="I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Asesor'!G956, "")
</f>
        <v/>
      </c>
      <c r="J956" s="84" t="str">
        <f t="array" ref="J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Asesor'!H956, "")
</f>
        <v/>
      </c>
      <c r="K956" s="84" t="str">
        <f t="array" ref="K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Asesor'!K956, "")
</f>
        <v/>
      </c>
      <c r="L956" s="84" t="str">
        <f t="array" ref="L956">IF(OR(
    AND('BD Asesor'!H956="Mensual", MATCH($B$2, {"Enero", "Febrero", "Marzo", "Abril", "Mayo", "Junio", "Julio", "Agosto", "Septiembre", "Octubre", "Noviembre", "Diciembre"}, 0)&gt;=1),
    AND('BD Asesor'!H956="Trimestral", MOD(MATCH($B$2, {"Enero", "Febrero", "Marzo", "Abril", "Mayo", "Junio", "Julio", "Agosto", "Septiembre", "Octubre", "Noviembre"}, 0)-MONTH('BD Asesor'!D956), 3)=0),
    AND('BD Asesor'!H956="Semestral", MOD(MATCH($B$2, {"Enero", "Febrero", "Marzo", "Abril", "Mayo", "Junio", "Julio", "Agosto", "Septiembre", "Octubre", "Noviembre"}, 0)-MONTH('BD Asesor'!D956), 6)=0),
    AND('BD Asesor'!H956="Anual", MONTH('BD Asesor'!D956)=MATCH($B$2, {"Enero", "Febrero", "Marzo", "Abril", "Mayo", "Junio", "Julio", "Agosto", "Septiembre", "Octubre", "Noviembre"}, 0))
), 'BD Asesor'!L956, "")
</f>
        <v/>
      </c>
    </row>
    <row r="957">
      <c r="C957" s="84" t="str">
        <f t="array" ref="C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Asesor'!A957, "")
</f>
        <v/>
      </c>
      <c r="D957" s="84" t="str">
        <f t="array" ref="D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Asesor'!B957, "")
</f>
        <v/>
      </c>
      <c r="E957" s="212" t="str">
        <f t="array" ref="E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Asesor'!C957, "")
</f>
        <v/>
      </c>
      <c r="F957" s="212" t="str">
        <f t="array" ref="F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Asesor'!D957, "")
</f>
        <v/>
      </c>
      <c r="G957" s="212" t="str">
        <f t="array" ref="G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Asesor'!E957, "")
</f>
        <v/>
      </c>
      <c r="H957" s="84" t="str">
        <f t="array" ref="H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Asesor'!F957, "")
</f>
        <v/>
      </c>
      <c r="I957" s="84" t="str">
        <f t="array" ref="I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Asesor'!G957, "")
</f>
        <v/>
      </c>
      <c r="J957" s="84" t="str">
        <f t="array" ref="J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Asesor'!H957, "")
</f>
        <v/>
      </c>
      <c r="K957" s="84" t="str">
        <f t="array" ref="K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Asesor'!K957, "")
</f>
        <v/>
      </c>
      <c r="L957" s="84" t="str">
        <f t="array" ref="L957">IF(OR(
    AND('BD Asesor'!H957="Mensual", MATCH($B$2, {"Enero", "Febrero", "Marzo", "Abril", "Mayo", "Junio", "Julio", "Agosto", "Septiembre", "Octubre", "Noviembre", "Diciembre"}, 0)&gt;=1),
    AND('BD Asesor'!H957="Trimestral", MOD(MATCH($B$2, {"Enero", "Febrero", "Marzo", "Abril", "Mayo", "Junio", "Julio", "Agosto", "Septiembre", "Octubre", "Noviembre"}, 0)-MONTH('BD Asesor'!D957), 3)=0),
    AND('BD Asesor'!H957="Semestral", MOD(MATCH($B$2, {"Enero", "Febrero", "Marzo", "Abril", "Mayo", "Junio", "Julio", "Agosto", "Septiembre", "Octubre", "Noviembre"}, 0)-MONTH('BD Asesor'!D957), 6)=0),
    AND('BD Asesor'!H957="Anual", MONTH('BD Asesor'!D957)=MATCH($B$2, {"Enero", "Febrero", "Marzo", "Abril", "Mayo", "Junio", "Julio", "Agosto", "Septiembre", "Octubre", "Noviembre"}, 0))
), 'BD Asesor'!L957, "")
</f>
        <v/>
      </c>
    </row>
    <row r="958">
      <c r="C958" s="84" t="str">
        <f t="array" ref="C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Asesor'!A958, "")
</f>
        <v/>
      </c>
      <c r="D958" s="84" t="str">
        <f t="array" ref="D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Asesor'!B958, "")
</f>
        <v/>
      </c>
      <c r="E958" s="212" t="str">
        <f t="array" ref="E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Asesor'!C958, "")
</f>
        <v/>
      </c>
      <c r="F958" s="212" t="str">
        <f t="array" ref="F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Asesor'!D958, "")
</f>
        <v/>
      </c>
      <c r="G958" s="212" t="str">
        <f t="array" ref="G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Asesor'!E958, "")
</f>
        <v/>
      </c>
      <c r="H958" s="84" t="str">
        <f t="array" ref="H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Asesor'!F958, "")
</f>
        <v/>
      </c>
      <c r="I958" s="84" t="str">
        <f t="array" ref="I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Asesor'!G958, "")
</f>
        <v/>
      </c>
      <c r="J958" s="84" t="str">
        <f t="array" ref="J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Asesor'!H958, "")
</f>
        <v/>
      </c>
      <c r="K958" s="84" t="str">
        <f t="array" ref="K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Asesor'!K958, "")
</f>
        <v/>
      </c>
      <c r="L958" s="84" t="str">
        <f t="array" ref="L958">IF(OR(
    AND('BD Asesor'!H958="Mensual", MATCH($B$2, {"Enero", "Febrero", "Marzo", "Abril", "Mayo", "Junio", "Julio", "Agosto", "Septiembre", "Octubre", "Noviembre", "Diciembre"}, 0)&gt;=1),
    AND('BD Asesor'!H958="Trimestral", MOD(MATCH($B$2, {"Enero", "Febrero", "Marzo", "Abril", "Mayo", "Junio", "Julio", "Agosto", "Septiembre", "Octubre", "Noviembre"}, 0)-MONTH('BD Asesor'!D958), 3)=0),
    AND('BD Asesor'!H958="Semestral", MOD(MATCH($B$2, {"Enero", "Febrero", "Marzo", "Abril", "Mayo", "Junio", "Julio", "Agosto", "Septiembre", "Octubre", "Noviembre"}, 0)-MONTH('BD Asesor'!D958), 6)=0),
    AND('BD Asesor'!H958="Anual", MONTH('BD Asesor'!D958)=MATCH($B$2, {"Enero", "Febrero", "Marzo", "Abril", "Mayo", "Junio", "Julio", "Agosto", "Septiembre", "Octubre", "Noviembre"}, 0))
), 'BD Asesor'!L958, "")
</f>
        <v/>
      </c>
    </row>
    <row r="959">
      <c r="C959" s="84" t="str">
        <f t="array" ref="C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Asesor'!A959, "")
</f>
        <v/>
      </c>
      <c r="D959" s="84" t="str">
        <f t="array" ref="D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Asesor'!B959, "")
</f>
        <v/>
      </c>
      <c r="E959" s="212" t="str">
        <f t="array" ref="E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Asesor'!C959, "")
</f>
        <v/>
      </c>
      <c r="F959" s="212" t="str">
        <f t="array" ref="F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Asesor'!D959, "")
</f>
        <v/>
      </c>
      <c r="G959" s="212" t="str">
        <f t="array" ref="G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Asesor'!E959, "")
</f>
        <v/>
      </c>
      <c r="H959" s="84" t="str">
        <f t="array" ref="H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Asesor'!F959, "")
</f>
        <v/>
      </c>
      <c r="I959" s="84" t="str">
        <f t="array" ref="I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Asesor'!G959, "")
</f>
        <v/>
      </c>
      <c r="J959" s="84" t="str">
        <f t="array" ref="J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Asesor'!H959, "")
</f>
        <v/>
      </c>
      <c r="K959" s="84" t="str">
        <f t="array" ref="K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Asesor'!K959, "")
</f>
        <v/>
      </c>
      <c r="L959" s="84" t="str">
        <f t="array" ref="L959">IF(OR(
    AND('BD Asesor'!H959="Mensual", MATCH($B$2, {"Enero", "Febrero", "Marzo", "Abril", "Mayo", "Junio", "Julio", "Agosto", "Septiembre", "Octubre", "Noviembre", "Diciembre"}, 0)&gt;=1),
    AND('BD Asesor'!H959="Trimestral", MOD(MATCH($B$2, {"Enero", "Febrero", "Marzo", "Abril", "Mayo", "Junio", "Julio", "Agosto", "Septiembre", "Octubre", "Noviembre"}, 0)-MONTH('BD Asesor'!D959), 3)=0),
    AND('BD Asesor'!H959="Semestral", MOD(MATCH($B$2, {"Enero", "Febrero", "Marzo", "Abril", "Mayo", "Junio", "Julio", "Agosto", "Septiembre", "Octubre", "Noviembre"}, 0)-MONTH('BD Asesor'!D959), 6)=0),
    AND('BD Asesor'!H959="Anual", MONTH('BD Asesor'!D959)=MATCH($B$2, {"Enero", "Febrero", "Marzo", "Abril", "Mayo", "Junio", "Julio", "Agosto", "Septiembre", "Octubre", "Noviembre"}, 0))
), 'BD Asesor'!L959, "")
</f>
        <v/>
      </c>
    </row>
    <row r="960">
      <c r="C960" s="84" t="str">
        <f t="array" ref="C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Asesor'!A960, "")
</f>
        <v/>
      </c>
      <c r="D960" s="84" t="str">
        <f t="array" ref="D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Asesor'!B960, "")
</f>
        <v/>
      </c>
      <c r="E960" s="212" t="str">
        <f t="array" ref="E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Asesor'!C960, "")
</f>
        <v/>
      </c>
      <c r="F960" s="212" t="str">
        <f t="array" ref="F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Asesor'!D960, "")
</f>
        <v/>
      </c>
      <c r="G960" s="212" t="str">
        <f t="array" ref="G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Asesor'!E960, "")
</f>
        <v/>
      </c>
      <c r="H960" s="84" t="str">
        <f t="array" ref="H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Asesor'!F960, "")
</f>
        <v/>
      </c>
      <c r="I960" s="84" t="str">
        <f t="array" ref="I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Asesor'!G960, "")
</f>
        <v/>
      </c>
      <c r="J960" s="84" t="str">
        <f t="array" ref="J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Asesor'!H960, "")
</f>
        <v/>
      </c>
      <c r="K960" s="84" t="str">
        <f t="array" ref="K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Asesor'!K960, "")
</f>
        <v/>
      </c>
      <c r="L960" s="84" t="str">
        <f t="array" ref="L960">IF(OR(
    AND('BD Asesor'!H960="Mensual", MATCH($B$2, {"Enero", "Febrero", "Marzo", "Abril", "Mayo", "Junio", "Julio", "Agosto", "Septiembre", "Octubre", "Noviembre", "Diciembre"}, 0)&gt;=1),
    AND('BD Asesor'!H960="Trimestral", MOD(MATCH($B$2, {"Enero", "Febrero", "Marzo", "Abril", "Mayo", "Junio", "Julio", "Agosto", "Septiembre", "Octubre", "Noviembre"}, 0)-MONTH('BD Asesor'!D960), 3)=0),
    AND('BD Asesor'!H960="Semestral", MOD(MATCH($B$2, {"Enero", "Febrero", "Marzo", "Abril", "Mayo", "Junio", "Julio", "Agosto", "Septiembre", "Octubre", "Noviembre"}, 0)-MONTH('BD Asesor'!D960), 6)=0),
    AND('BD Asesor'!H960="Anual", MONTH('BD Asesor'!D960)=MATCH($B$2, {"Enero", "Febrero", "Marzo", "Abril", "Mayo", "Junio", "Julio", "Agosto", "Septiembre", "Octubre", "Noviembre"}, 0))
), 'BD Asesor'!L960, "")
</f>
        <v/>
      </c>
    </row>
    <row r="961">
      <c r="C961" s="84" t="str">
        <f t="array" ref="C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Asesor'!A961, "")
</f>
        <v/>
      </c>
      <c r="D961" s="84" t="str">
        <f t="array" ref="D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Asesor'!B961, "")
</f>
        <v/>
      </c>
      <c r="E961" s="212" t="str">
        <f t="array" ref="E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Asesor'!C961, "")
</f>
        <v/>
      </c>
      <c r="F961" s="212" t="str">
        <f t="array" ref="F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Asesor'!D961, "")
</f>
        <v/>
      </c>
      <c r="G961" s="212" t="str">
        <f t="array" ref="G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Asesor'!E961, "")
</f>
        <v/>
      </c>
      <c r="H961" s="84" t="str">
        <f t="array" ref="H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Asesor'!F961, "")
</f>
        <v/>
      </c>
      <c r="I961" s="84" t="str">
        <f t="array" ref="I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Asesor'!G961, "")
</f>
        <v/>
      </c>
      <c r="J961" s="84" t="str">
        <f t="array" ref="J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Asesor'!H961, "")
</f>
        <v/>
      </c>
      <c r="K961" s="84" t="str">
        <f t="array" ref="K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Asesor'!K961, "")
</f>
        <v/>
      </c>
      <c r="L961" s="84" t="str">
        <f t="array" ref="L961">IF(OR(
    AND('BD Asesor'!H961="Mensual", MATCH($B$2, {"Enero", "Febrero", "Marzo", "Abril", "Mayo", "Junio", "Julio", "Agosto", "Septiembre", "Octubre", "Noviembre", "Diciembre"}, 0)&gt;=1),
    AND('BD Asesor'!H961="Trimestral", MOD(MATCH($B$2, {"Enero", "Febrero", "Marzo", "Abril", "Mayo", "Junio", "Julio", "Agosto", "Septiembre", "Octubre", "Noviembre"}, 0)-MONTH('BD Asesor'!D961), 3)=0),
    AND('BD Asesor'!H961="Semestral", MOD(MATCH($B$2, {"Enero", "Febrero", "Marzo", "Abril", "Mayo", "Junio", "Julio", "Agosto", "Septiembre", "Octubre", "Noviembre"}, 0)-MONTH('BD Asesor'!D961), 6)=0),
    AND('BD Asesor'!H961="Anual", MONTH('BD Asesor'!D961)=MATCH($B$2, {"Enero", "Febrero", "Marzo", "Abril", "Mayo", "Junio", "Julio", "Agosto", "Septiembre", "Octubre", "Noviembre"}, 0))
), 'BD Asesor'!L961, "")
</f>
        <v/>
      </c>
    </row>
    <row r="962">
      <c r="C962" s="84" t="str">
        <f t="array" ref="C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Asesor'!A962, "")
</f>
        <v/>
      </c>
      <c r="D962" s="84" t="str">
        <f t="array" ref="D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Asesor'!B962, "")
</f>
        <v/>
      </c>
      <c r="E962" s="212" t="str">
        <f t="array" ref="E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Asesor'!C962, "")
</f>
        <v/>
      </c>
      <c r="F962" s="212" t="str">
        <f t="array" ref="F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Asesor'!D962, "")
</f>
        <v/>
      </c>
      <c r="G962" s="212" t="str">
        <f t="array" ref="G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Asesor'!E962, "")
</f>
        <v/>
      </c>
      <c r="H962" s="84" t="str">
        <f t="array" ref="H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Asesor'!F962, "")
</f>
        <v/>
      </c>
      <c r="I962" s="84" t="str">
        <f t="array" ref="I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Asesor'!G962, "")
</f>
        <v/>
      </c>
      <c r="J962" s="84" t="str">
        <f t="array" ref="J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Asesor'!H962, "")
</f>
        <v/>
      </c>
      <c r="K962" s="84" t="str">
        <f t="array" ref="K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Asesor'!K962, "")
</f>
        <v/>
      </c>
      <c r="L962" s="84" t="str">
        <f t="array" ref="L962">IF(OR(
    AND('BD Asesor'!H962="Mensual", MATCH($B$2, {"Enero", "Febrero", "Marzo", "Abril", "Mayo", "Junio", "Julio", "Agosto", "Septiembre", "Octubre", "Noviembre", "Diciembre"}, 0)&gt;=1),
    AND('BD Asesor'!H962="Trimestral", MOD(MATCH($B$2, {"Enero", "Febrero", "Marzo", "Abril", "Mayo", "Junio", "Julio", "Agosto", "Septiembre", "Octubre", "Noviembre"}, 0)-MONTH('BD Asesor'!D962), 3)=0),
    AND('BD Asesor'!H962="Semestral", MOD(MATCH($B$2, {"Enero", "Febrero", "Marzo", "Abril", "Mayo", "Junio", "Julio", "Agosto", "Septiembre", "Octubre", "Noviembre"}, 0)-MONTH('BD Asesor'!D962), 6)=0),
    AND('BD Asesor'!H962="Anual", MONTH('BD Asesor'!D962)=MATCH($B$2, {"Enero", "Febrero", "Marzo", "Abril", "Mayo", "Junio", "Julio", "Agosto", "Septiembre", "Octubre", "Noviembre"}, 0))
), 'BD Asesor'!L962, "")
</f>
        <v/>
      </c>
    </row>
    <row r="963">
      <c r="C963" s="84" t="str">
        <f t="array" ref="C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Asesor'!A963, "")
</f>
        <v/>
      </c>
      <c r="D963" s="84" t="str">
        <f t="array" ref="D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Asesor'!B963, "")
</f>
        <v/>
      </c>
      <c r="E963" s="212" t="str">
        <f t="array" ref="E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Asesor'!C963, "")
</f>
        <v/>
      </c>
      <c r="F963" s="212" t="str">
        <f t="array" ref="F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Asesor'!D963, "")
</f>
        <v/>
      </c>
      <c r="G963" s="212" t="str">
        <f t="array" ref="G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Asesor'!E963, "")
</f>
        <v/>
      </c>
      <c r="H963" s="84" t="str">
        <f t="array" ref="H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Asesor'!F963, "")
</f>
        <v/>
      </c>
      <c r="I963" s="84" t="str">
        <f t="array" ref="I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Asesor'!G963, "")
</f>
        <v/>
      </c>
      <c r="J963" s="84" t="str">
        <f t="array" ref="J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Asesor'!H963, "")
</f>
        <v/>
      </c>
      <c r="K963" s="84" t="str">
        <f t="array" ref="K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Asesor'!K963, "")
</f>
        <v/>
      </c>
      <c r="L963" s="84" t="str">
        <f t="array" ref="L963">IF(OR(
    AND('BD Asesor'!H963="Mensual", MATCH($B$2, {"Enero", "Febrero", "Marzo", "Abril", "Mayo", "Junio", "Julio", "Agosto", "Septiembre", "Octubre", "Noviembre", "Diciembre"}, 0)&gt;=1),
    AND('BD Asesor'!H963="Trimestral", MOD(MATCH($B$2, {"Enero", "Febrero", "Marzo", "Abril", "Mayo", "Junio", "Julio", "Agosto", "Septiembre", "Octubre", "Noviembre"}, 0)-MONTH('BD Asesor'!D963), 3)=0),
    AND('BD Asesor'!H963="Semestral", MOD(MATCH($B$2, {"Enero", "Febrero", "Marzo", "Abril", "Mayo", "Junio", "Julio", "Agosto", "Septiembre", "Octubre", "Noviembre"}, 0)-MONTH('BD Asesor'!D963), 6)=0),
    AND('BD Asesor'!H963="Anual", MONTH('BD Asesor'!D963)=MATCH($B$2, {"Enero", "Febrero", "Marzo", "Abril", "Mayo", "Junio", "Julio", "Agosto", "Septiembre", "Octubre", "Noviembre"}, 0))
), 'BD Asesor'!L963, "")
</f>
        <v/>
      </c>
    </row>
    <row r="964">
      <c r="C964" s="84" t="str">
        <f t="array" ref="C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Asesor'!A964, "")
</f>
        <v/>
      </c>
      <c r="D964" s="84" t="str">
        <f t="array" ref="D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Asesor'!B964, "")
</f>
        <v/>
      </c>
      <c r="E964" s="212" t="str">
        <f t="array" ref="E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Asesor'!C964, "")
</f>
        <v/>
      </c>
      <c r="F964" s="212" t="str">
        <f t="array" ref="F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Asesor'!D964, "")
</f>
        <v/>
      </c>
      <c r="G964" s="212" t="str">
        <f t="array" ref="G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Asesor'!E964, "")
</f>
        <v/>
      </c>
      <c r="H964" s="84" t="str">
        <f t="array" ref="H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Asesor'!F964, "")
</f>
        <v/>
      </c>
      <c r="I964" s="84" t="str">
        <f t="array" ref="I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Asesor'!G964, "")
</f>
        <v/>
      </c>
      <c r="J964" s="84" t="str">
        <f t="array" ref="J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Asesor'!H964, "")
</f>
        <v/>
      </c>
      <c r="K964" s="84" t="str">
        <f t="array" ref="K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Asesor'!K964, "")
</f>
        <v/>
      </c>
      <c r="L964" s="84" t="str">
        <f t="array" ref="L964">IF(OR(
    AND('BD Asesor'!H964="Mensual", MATCH($B$2, {"Enero", "Febrero", "Marzo", "Abril", "Mayo", "Junio", "Julio", "Agosto", "Septiembre", "Octubre", "Noviembre", "Diciembre"}, 0)&gt;=1),
    AND('BD Asesor'!H964="Trimestral", MOD(MATCH($B$2, {"Enero", "Febrero", "Marzo", "Abril", "Mayo", "Junio", "Julio", "Agosto", "Septiembre", "Octubre", "Noviembre"}, 0)-MONTH('BD Asesor'!D964), 3)=0),
    AND('BD Asesor'!H964="Semestral", MOD(MATCH($B$2, {"Enero", "Febrero", "Marzo", "Abril", "Mayo", "Junio", "Julio", "Agosto", "Septiembre", "Octubre", "Noviembre"}, 0)-MONTH('BD Asesor'!D964), 6)=0),
    AND('BD Asesor'!H964="Anual", MONTH('BD Asesor'!D964)=MATCH($B$2, {"Enero", "Febrero", "Marzo", "Abril", "Mayo", "Junio", "Julio", "Agosto", "Septiembre", "Octubre", "Noviembre"}, 0))
), 'BD Asesor'!L964, "")
</f>
        <v/>
      </c>
    </row>
    <row r="965">
      <c r="C965" s="84" t="str">
        <f t="array" ref="C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Asesor'!A965, "")
</f>
        <v/>
      </c>
      <c r="D965" s="84" t="str">
        <f t="array" ref="D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Asesor'!B965, "")
</f>
        <v/>
      </c>
      <c r="E965" s="212" t="str">
        <f t="array" ref="E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Asesor'!C965, "")
</f>
        <v/>
      </c>
      <c r="F965" s="212" t="str">
        <f t="array" ref="F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Asesor'!D965, "")
</f>
        <v/>
      </c>
      <c r="G965" s="212" t="str">
        <f t="array" ref="G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Asesor'!E965, "")
</f>
        <v/>
      </c>
      <c r="H965" s="84" t="str">
        <f t="array" ref="H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Asesor'!F965, "")
</f>
        <v/>
      </c>
      <c r="I965" s="84" t="str">
        <f t="array" ref="I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Asesor'!G965, "")
</f>
        <v/>
      </c>
      <c r="J965" s="84" t="str">
        <f t="array" ref="J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Asesor'!H965, "")
</f>
        <v/>
      </c>
      <c r="K965" s="84" t="str">
        <f t="array" ref="K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Asesor'!K965, "")
</f>
        <v/>
      </c>
      <c r="L965" s="84" t="str">
        <f t="array" ref="L965">IF(OR(
    AND('BD Asesor'!H965="Mensual", MATCH($B$2, {"Enero", "Febrero", "Marzo", "Abril", "Mayo", "Junio", "Julio", "Agosto", "Septiembre", "Octubre", "Noviembre", "Diciembre"}, 0)&gt;=1),
    AND('BD Asesor'!H965="Trimestral", MOD(MATCH($B$2, {"Enero", "Febrero", "Marzo", "Abril", "Mayo", "Junio", "Julio", "Agosto", "Septiembre", "Octubre", "Noviembre"}, 0)-MONTH('BD Asesor'!D965), 3)=0),
    AND('BD Asesor'!H965="Semestral", MOD(MATCH($B$2, {"Enero", "Febrero", "Marzo", "Abril", "Mayo", "Junio", "Julio", "Agosto", "Septiembre", "Octubre", "Noviembre"}, 0)-MONTH('BD Asesor'!D965), 6)=0),
    AND('BD Asesor'!H965="Anual", MONTH('BD Asesor'!D965)=MATCH($B$2, {"Enero", "Febrero", "Marzo", "Abril", "Mayo", "Junio", "Julio", "Agosto", "Septiembre", "Octubre", "Noviembre"}, 0))
), 'BD Asesor'!L965, "")
</f>
        <v/>
      </c>
    </row>
    <row r="966">
      <c r="C966" s="84" t="str">
        <f t="array" ref="C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Asesor'!A966, "")
</f>
        <v/>
      </c>
      <c r="D966" s="84" t="str">
        <f t="array" ref="D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Asesor'!B966, "")
</f>
        <v/>
      </c>
      <c r="E966" s="212" t="str">
        <f t="array" ref="E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Asesor'!C966, "")
</f>
        <v/>
      </c>
      <c r="F966" s="212" t="str">
        <f t="array" ref="F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Asesor'!D966, "")
</f>
        <v/>
      </c>
      <c r="G966" s="212" t="str">
        <f t="array" ref="G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Asesor'!E966, "")
</f>
        <v/>
      </c>
      <c r="H966" s="84" t="str">
        <f t="array" ref="H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Asesor'!F966, "")
</f>
        <v/>
      </c>
      <c r="I966" s="84" t="str">
        <f t="array" ref="I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Asesor'!G966, "")
</f>
        <v/>
      </c>
      <c r="J966" s="84" t="str">
        <f t="array" ref="J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Asesor'!H966, "")
</f>
        <v/>
      </c>
      <c r="K966" s="84" t="str">
        <f t="array" ref="K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Asesor'!K966, "")
</f>
        <v/>
      </c>
      <c r="L966" s="84" t="str">
        <f t="array" ref="L966">IF(OR(
    AND('BD Asesor'!H966="Mensual", MATCH($B$2, {"Enero", "Febrero", "Marzo", "Abril", "Mayo", "Junio", "Julio", "Agosto", "Septiembre", "Octubre", "Noviembre", "Diciembre"}, 0)&gt;=1),
    AND('BD Asesor'!H966="Trimestral", MOD(MATCH($B$2, {"Enero", "Febrero", "Marzo", "Abril", "Mayo", "Junio", "Julio", "Agosto", "Septiembre", "Octubre", "Noviembre"}, 0)-MONTH('BD Asesor'!D966), 3)=0),
    AND('BD Asesor'!H966="Semestral", MOD(MATCH($B$2, {"Enero", "Febrero", "Marzo", "Abril", "Mayo", "Junio", "Julio", "Agosto", "Septiembre", "Octubre", "Noviembre"}, 0)-MONTH('BD Asesor'!D966), 6)=0),
    AND('BD Asesor'!H966="Anual", MONTH('BD Asesor'!D966)=MATCH($B$2, {"Enero", "Febrero", "Marzo", "Abril", "Mayo", "Junio", "Julio", "Agosto", "Septiembre", "Octubre", "Noviembre"}, 0))
), 'BD Asesor'!L966, "")
</f>
        <v/>
      </c>
    </row>
    <row r="967">
      <c r="C967" s="84" t="str">
        <f t="array" ref="C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Asesor'!A967, "")
</f>
        <v/>
      </c>
      <c r="D967" s="84" t="str">
        <f t="array" ref="D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Asesor'!B967, "")
</f>
        <v/>
      </c>
      <c r="E967" s="212" t="str">
        <f t="array" ref="E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Asesor'!C967, "")
</f>
        <v/>
      </c>
      <c r="F967" s="212" t="str">
        <f t="array" ref="F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Asesor'!D967, "")
</f>
        <v/>
      </c>
      <c r="G967" s="212" t="str">
        <f t="array" ref="G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Asesor'!E967, "")
</f>
        <v/>
      </c>
      <c r="H967" s="84" t="str">
        <f t="array" ref="H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Asesor'!F967, "")
</f>
        <v/>
      </c>
      <c r="I967" s="84" t="str">
        <f t="array" ref="I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Asesor'!G967, "")
</f>
        <v/>
      </c>
      <c r="J967" s="84" t="str">
        <f t="array" ref="J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Asesor'!H967, "")
</f>
        <v/>
      </c>
      <c r="K967" s="84" t="str">
        <f t="array" ref="K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Asesor'!K967, "")
</f>
        <v/>
      </c>
      <c r="L967" s="84" t="str">
        <f t="array" ref="L967">IF(OR(
    AND('BD Asesor'!H967="Mensual", MATCH($B$2, {"Enero", "Febrero", "Marzo", "Abril", "Mayo", "Junio", "Julio", "Agosto", "Septiembre", "Octubre", "Noviembre", "Diciembre"}, 0)&gt;=1),
    AND('BD Asesor'!H967="Trimestral", MOD(MATCH($B$2, {"Enero", "Febrero", "Marzo", "Abril", "Mayo", "Junio", "Julio", "Agosto", "Septiembre", "Octubre", "Noviembre"}, 0)-MONTH('BD Asesor'!D967), 3)=0),
    AND('BD Asesor'!H967="Semestral", MOD(MATCH($B$2, {"Enero", "Febrero", "Marzo", "Abril", "Mayo", "Junio", "Julio", "Agosto", "Septiembre", "Octubre", "Noviembre"}, 0)-MONTH('BD Asesor'!D967), 6)=0),
    AND('BD Asesor'!H967="Anual", MONTH('BD Asesor'!D967)=MATCH($B$2, {"Enero", "Febrero", "Marzo", "Abril", "Mayo", "Junio", "Julio", "Agosto", "Septiembre", "Octubre", "Noviembre"}, 0))
), 'BD Asesor'!L967, "")
</f>
        <v/>
      </c>
    </row>
    <row r="968">
      <c r="C968" s="84" t="str">
        <f t="array" ref="C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Asesor'!A968, "")
</f>
        <v/>
      </c>
      <c r="D968" s="84" t="str">
        <f t="array" ref="D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Asesor'!B968, "")
</f>
        <v/>
      </c>
      <c r="E968" s="212" t="str">
        <f t="array" ref="E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Asesor'!C968, "")
</f>
        <v/>
      </c>
      <c r="F968" s="212" t="str">
        <f t="array" ref="F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Asesor'!D968, "")
</f>
        <v/>
      </c>
      <c r="G968" s="212" t="str">
        <f t="array" ref="G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Asesor'!E968, "")
</f>
        <v/>
      </c>
      <c r="H968" s="84" t="str">
        <f t="array" ref="H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Asesor'!F968, "")
</f>
        <v/>
      </c>
      <c r="I968" s="84" t="str">
        <f t="array" ref="I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Asesor'!G968, "")
</f>
        <v/>
      </c>
      <c r="J968" s="84" t="str">
        <f t="array" ref="J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Asesor'!H968, "")
</f>
        <v/>
      </c>
      <c r="K968" s="84" t="str">
        <f t="array" ref="K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Asesor'!K968, "")
</f>
        <v/>
      </c>
      <c r="L968" s="84" t="str">
        <f t="array" ref="L968">IF(OR(
    AND('BD Asesor'!H968="Mensual", MATCH($B$2, {"Enero", "Febrero", "Marzo", "Abril", "Mayo", "Junio", "Julio", "Agosto", "Septiembre", "Octubre", "Noviembre", "Diciembre"}, 0)&gt;=1),
    AND('BD Asesor'!H968="Trimestral", MOD(MATCH($B$2, {"Enero", "Febrero", "Marzo", "Abril", "Mayo", "Junio", "Julio", "Agosto", "Septiembre", "Octubre", "Noviembre"}, 0)-MONTH('BD Asesor'!D968), 3)=0),
    AND('BD Asesor'!H968="Semestral", MOD(MATCH($B$2, {"Enero", "Febrero", "Marzo", "Abril", "Mayo", "Junio", "Julio", "Agosto", "Septiembre", "Octubre", "Noviembre"}, 0)-MONTH('BD Asesor'!D968), 6)=0),
    AND('BD Asesor'!H968="Anual", MONTH('BD Asesor'!D968)=MATCH($B$2, {"Enero", "Febrero", "Marzo", "Abril", "Mayo", "Junio", "Julio", "Agosto", "Septiembre", "Octubre", "Noviembre"}, 0))
), 'BD Asesor'!L968, "")
</f>
        <v/>
      </c>
    </row>
    <row r="969">
      <c r="C969" s="84" t="str">
        <f t="array" ref="C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Asesor'!A969, "")
</f>
        <v/>
      </c>
      <c r="D969" s="84" t="str">
        <f t="array" ref="D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Asesor'!B969, "")
</f>
        <v/>
      </c>
      <c r="E969" s="212" t="str">
        <f t="array" ref="E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Asesor'!C969, "")
</f>
        <v/>
      </c>
      <c r="F969" s="212" t="str">
        <f t="array" ref="F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Asesor'!D969, "")
</f>
        <v/>
      </c>
      <c r="G969" s="212" t="str">
        <f t="array" ref="G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Asesor'!E969, "")
</f>
        <v/>
      </c>
      <c r="H969" s="84" t="str">
        <f t="array" ref="H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Asesor'!F969, "")
</f>
        <v/>
      </c>
      <c r="I969" s="84" t="str">
        <f t="array" ref="I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Asesor'!G969, "")
</f>
        <v/>
      </c>
      <c r="J969" s="84" t="str">
        <f t="array" ref="J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Asesor'!H969, "")
</f>
        <v/>
      </c>
      <c r="K969" s="84" t="str">
        <f t="array" ref="K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Asesor'!K969, "")
</f>
        <v/>
      </c>
      <c r="L969" s="84" t="str">
        <f t="array" ref="L969">IF(OR(
    AND('BD Asesor'!H969="Mensual", MATCH($B$2, {"Enero", "Febrero", "Marzo", "Abril", "Mayo", "Junio", "Julio", "Agosto", "Septiembre", "Octubre", "Noviembre", "Diciembre"}, 0)&gt;=1),
    AND('BD Asesor'!H969="Trimestral", MOD(MATCH($B$2, {"Enero", "Febrero", "Marzo", "Abril", "Mayo", "Junio", "Julio", "Agosto", "Septiembre", "Octubre", "Noviembre"}, 0)-MONTH('BD Asesor'!D969), 3)=0),
    AND('BD Asesor'!H969="Semestral", MOD(MATCH($B$2, {"Enero", "Febrero", "Marzo", "Abril", "Mayo", "Junio", "Julio", "Agosto", "Septiembre", "Octubre", "Noviembre"}, 0)-MONTH('BD Asesor'!D969), 6)=0),
    AND('BD Asesor'!H969="Anual", MONTH('BD Asesor'!D969)=MATCH($B$2, {"Enero", "Febrero", "Marzo", "Abril", "Mayo", "Junio", "Julio", "Agosto", "Septiembre", "Octubre", "Noviembre"}, 0))
), 'BD Asesor'!L969, "")
</f>
        <v/>
      </c>
    </row>
    <row r="970">
      <c r="C970" s="84" t="str">
        <f t="array" ref="C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Asesor'!A970, "")
</f>
        <v/>
      </c>
      <c r="D970" s="84" t="str">
        <f t="array" ref="D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Asesor'!B970, "")
</f>
        <v/>
      </c>
      <c r="E970" s="212" t="str">
        <f t="array" ref="E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Asesor'!C970, "")
</f>
        <v/>
      </c>
      <c r="F970" s="212" t="str">
        <f t="array" ref="F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Asesor'!D970, "")
</f>
        <v/>
      </c>
      <c r="G970" s="212" t="str">
        <f t="array" ref="G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Asesor'!E970, "")
</f>
        <v/>
      </c>
      <c r="H970" s="84" t="str">
        <f t="array" ref="H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Asesor'!F970, "")
</f>
        <v/>
      </c>
      <c r="I970" s="84" t="str">
        <f t="array" ref="I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Asesor'!G970, "")
</f>
        <v/>
      </c>
      <c r="J970" s="84" t="str">
        <f t="array" ref="J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Asesor'!H970, "")
</f>
        <v/>
      </c>
      <c r="K970" s="84" t="str">
        <f t="array" ref="K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Asesor'!K970, "")
</f>
        <v/>
      </c>
      <c r="L970" s="84" t="str">
        <f t="array" ref="L970">IF(OR(
    AND('BD Asesor'!H970="Mensual", MATCH($B$2, {"Enero", "Febrero", "Marzo", "Abril", "Mayo", "Junio", "Julio", "Agosto", "Septiembre", "Octubre", "Noviembre", "Diciembre"}, 0)&gt;=1),
    AND('BD Asesor'!H970="Trimestral", MOD(MATCH($B$2, {"Enero", "Febrero", "Marzo", "Abril", "Mayo", "Junio", "Julio", "Agosto", "Septiembre", "Octubre", "Noviembre"}, 0)-MONTH('BD Asesor'!D970), 3)=0),
    AND('BD Asesor'!H970="Semestral", MOD(MATCH($B$2, {"Enero", "Febrero", "Marzo", "Abril", "Mayo", "Junio", "Julio", "Agosto", "Septiembre", "Octubre", "Noviembre"}, 0)-MONTH('BD Asesor'!D970), 6)=0),
    AND('BD Asesor'!H970="Anual", MONTH('BD Asesor'!D970)=MATCH($B$2, {"Enero", "Febrero", "Marzo", "Abril", "Mayo", "Junio", "Julio", "Agosto", "Septiembre", "Octubre", "Noviembre"}, 0))
), 'BD Asesor'!L970, "")
</f>
        <v/>
      </c>
    </row>
    <row r="971">
      <c r="C971" s="84" t="str">
        <f t="array" ref="C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Asesor'!A971, "")
</f>
        <v/>
      </c>
      <c r="D971" s="84" t="str">
        <f t="array" ref="D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Asesor'!B971, "")
</f>
        <v/>
      </c>
      <c r="E971" s="212" t="str">
        <f t="array" ref="E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Asesor'!C971, "")
</f>
        <v/>
      </c>
      <c r="F971" s="212" t="str">
        <f t="array" ref="F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Asesor'!D971, "")
</f>
        <v/>
      </c>
      <c r="G971" s="212" t="str">
        <f t="array" ref="G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Asesor'!E971, "")
</f>
        <v/>
      </c>
      <c r="H971" s="84" t="str">
        <f t="array" ref="H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Asesor'!F971, "")
</f>
        <v/>
      </c>
      <c r="I971" s="84" t="str">
        <f t="array" ref="I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Asesor'!G971, "")
</f>
        <v/>
      </c>
      <c r="J971" s="84" t="str">
        <f t="array" ref="J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Asesor'!H971, "")
</f>
        <v/>
      </c>
      <c r="K971" s="84" t="str">
        <f t="array" ref="K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Asesor'!K971, "")
</f>
        <v/>
      </c>
      <c r="L971" s="84" t="str">
        <f t="array" ref="L971">IF(OR(
    AND('BD Asesor'!H971="Mensual", MATCH($B$2, {"Enero", "Febrero", "Marzo", "Abril", "Mayo", "Junio", "Julio", "Agosto", "Septiembre", "Octubre", "Noviembre", "Diciembre"}, 0)&gt;=1),
    AND('BD Asesor'!H971="Trimestral", MOD(MATCH($B$2, {"Enero", "Febrero", "Marzo", "Abril", "Mayo", "Junio", "Julio", "Agosto", "Septiembre", "Octubre", "Noviembre"}, 0)-MONTH('BD Asesor'!D971), 3)=0),
    AND('BD Asesor'!H971="Semestral", MOD(MATCH($B$2, {"Enero", "Febrero", "Marzo", "Abril", "Mayo", "Junio", "Julio", "Agosto", "Septiembre", "Octubre", "Noviembre"}, 0)-MONTH('BD Asesor'!D971), 6)=0),
    AND('BD Asesor'!H971="Anual", MONTH('BD Asesor'!D971)=MATCH($B$2, {"Enero", "Febrero", "Marzo", "Abril", "Mayo", "Junio", "Julio", "Agosto", "Septiembre", "Octubre", "Noviembre"}, 0))
), 'BD Asesor'!L971, "")
</f>
        <v/>
      </c>
    </row>
    <row r="972">
      <c r="C972" s="84" t="str">
        <f t="array" ref="C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Asesor'!A972, "")
</f>
        <v/>
      </c>
      <c r="D972" s="84" t="str">
        <f t="array" ref="D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Asesor'!B972, "")
</f>
        <v/>
      </c>
      <c r="E972" s="212" t="str">
        <f t="array" ref="E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Asesor'!C972, "")
</f>
        <v/>
      </c>
      <c r="F972" s="212" t="str">
        <f t="array" ref="F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Asesor'!D972, "")
</f>
        <v/>
      </c>
      <c r="G972" s="212" t="str">
        <f t="array" ref="G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Asesor'!E972, "")
</f>
        <v/>
      </c>
      <c r="H972" s="84" t="str">
        <f t="array" ref="H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Asesor'!F972, "")
</f>
        <v/>
      </c>
      <c r="I972" s="84" t="str">
        <f t="array" ref="I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Asesor'!G972, "")
</f>
        <v/>
      </c>
      <c r="J972" s="84" t="str">
        <f t="array" ref="J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Asesor'!H972, "")
</f>
        <v/>
      </c>
      <c r="K972" s="84" t="str">
        <f t="array" ref="K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Asesor'!K972, "")
</f>
        <v/>
      </c>
      <c r="L972" s="84" t="str">
        <f t="array" ref="L972">IF(OR(
    AND('BD Asesor'!H972="Mensual", MATCH($B$2, {"Enero", "Febrero", "Marzo", "Abril", "Mayo", "Junio", "Julio", "Agosto", "Septiembre", "Octubre", "Noviembre", "Diciembre"}, 0)&gt;=1),
    AND('BD Asesor'!H972="Trimestral", MOD(MATCH($B$2, {"Enero", "Febrero", "Marzo", "Abril", "Mayo", "Junio", "Julio", "Agosto", "Septiembre", "Octubre", "Noviembre"}, 0)-MONTH('BD Asesor'!D972), 3)=0),
    AND('BD Asesor'!H972="Semestral", MOD(MATCH($B$2, {"Enero", "Febrero", "Marzo", "Abril", "Mayo", "Junio", "Julio", "Agosto", "Septiembre", "Octubre", "Noviembre"}, 0)-MONTH('BD Asesor'!D972), 6)=0),
    AND('BD Asesor'!H972="Anual", MONTH('BD Asesor'!D972)=MATCH($B$2, {"Enero", "Febrero", "Marzo", "Abril", "Mayo", "Junio", "Julio", "Agosto", "Septiembre", "Octubre", "Noviembre"}, 0))
), 'BD Asesor'!L972, "")
</f>
        <v/>
      </c>
    </row>
    <row r="973">
      <c r="C973" s="84" t="str">
        <f t="array" ref="C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Asesor'!A973, "")
</f>
        <v/>
      </c>
      <c r="D973" s="84" t="str">
        <f t="array" ref="D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Asesor'!B973, "")
</f>
        <v/>
      </c>
      <c r="E973" s="212" t="str">
        <f t="array" ref="E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Asesor'!C973, "")
</f>
        <v/>
      </c>
      <c r="F973" s="212" t="str">
        <f t="array" ref="F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Asesor'!D973, "")
</f>
        <v/>
      </c>
      <c r="G973" s="212" t="str">
        <f t="array" ref="G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Asesor'!E973, "")
</f>
        <v/>
      </c>
      <c r="H973" s="84" t="str">
        <f t="array" ref="H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Asesor'!F973, "")
</f>
        <v/>
      </c>
      <c r="I973" s="84" t="str">
        <f t="array" ref="I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Asesor'!G973, "")
</f>
        <v/>
      </c>
      <c r="J973" s="84" t="str">
        <f t="array" ref="J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Asesor'!H973, "")
</f>
        <v/>
      </c>
      <c r="K973" s="84" t="str">
        <f t="array" ref="K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Asesor'!K973, "")
</f>
        <v/>
      </c>
      <c r="L973" s="84" t="str">
        <f t="array" ref="L973">IF(OR(
    AND('BD Asesor'!H973="Mensual", MATCH($B$2, {"Enero", "Febrero", "Marzo", "Abril", "Mayo", "Junio", "Julio", "Agosto", "Septiembre", "Octubre", "Noviembre", "Diciembre"}, 0)&gt;=1),
    AND('BD Asesor'!H973="Trimestral", MOD(MATCH($B$2, {"Enero", "Febrero", "Marzo", "Abril", "Mayo", "Junio", "Julio", "Agosto", "Septiembre", "Octubre", "Noviembre"}, 0)-MONTH('BD Asesor'!D973), 3)=0),
    AND('BD Asesor'!H973="Semestral", MOD(MATCH($B$2, {"Enero", "Febrero", "Marzo", "Abril", "Mayo", "Junio", "Julio", "Agosto", "Septiembre", "Octubre", "Noviembre"}, 0)-MONTH('BD Asesor'!D973), 6)=0),
    AND('BD Asesor'!H973="Anual", MONTH('BD Asesor'!D973)=MATCH($B$2, {"Enero", "Febrero", "Marzo", "Abril", "Mayo", "Junio", "Julio", "Agosto", "Septiembre", "Octubre", "Noviembre"}, 0))
), 'BD Asesor'!L973, "")
</f>
        <v/>
      </c>
    </row>
    <row r="974">
      <c r="C974" s="84" t="str">
        <f t="array" ref="C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Asesor'!A974, "")
</f>
        <v/>
      </c>
      <c r="D974" s="84" t="str">
        <f t="array" ref="D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Asesor'!B974, "")
</f>
        <v/>
      </c>
      <c r="E974" s="212" t="str">
        <f t="array" ref="E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Asesor'!C974, "")
</f>
        <v/>
      </c>
      <c r="F974" s="212" t="str">
        <f t="array" ref="F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Asesor'!D974, "")
</f>
        <v/>
      </c>
      <c r="G974" s="212" t="str">
        <f t="array" ref="G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Asesor'!E974, "")
</f>
        <v/>
      </c>
      <c r="H974" s="84" t="str">
        <f t="array" ref="H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Asesor'!F974, "")
</f>
        <v/>
      </c>
      <c r="I974" s="84" t="str">
        <f t="array" ref="I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Asesor'!G974, "")
</f>
        <v/>
      </c>
      <c r="J974" s="84" t="str">
        <f t="array" ref="J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Asesor'!H974, "")
</f>
        <v/>
      </c>
      <c r="K974" s="84" t="str">
        <f t="array" ref="K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Asesor'!K974, "")
</f>
        <v/>
      </c>
      <c r="L974" s="84" t="str">
        <f t="array" ref="L974">IF(OR(
    AND('BD Asesor'!H974="Mensual", MATCH($B$2, {"Enero", "Febrero", "Marzo", "Abril", "Mayo", "Junio", "Julio", "Agosto", "Septiembre", "Octubre", "Noviembre", "Diciembre"}, 0)&gt;=1),
    AND('BD Asesor'!H974="Trimestral", MOD(MATCH($B$2, {"Enero", "Febrero", "Marzo", "Abril", "Mayo", "Junio", "Julio", "Agosto", "Septiembre", "Octubre", "Noviembre"}, 0)-MONTH('BD Asesor'!D974), 3)=0),
    AND('BD Asesor'!H974="Semestral", MOD(MATCH($B$2, {"Enero", "Febrero", "Marzo", "Abril", "Mayo", "Junio", "Julio", "Agosto", "Septiembre", "Octubre", "Noviembre"}, 0)-MONTH('BD Asesor'!D974), 6)=0),
    AND('BD Asesor'!H974="Anual", MONTH('BD Asesor'!D974)=MATCH($B$2, {"Enero", "Febrero", "Marzo", "Abril", "Mayo", "Junio", "Julio", "Agosto", "Septiembre", "Octubre", "Noviembre"}, 0))
), 'BD Asesor'!L974, "")
</f>
        <v/>
      </c>
    </row>
    <row r="975">
      <c r="C975" s="84" t="str">
        <f t="array" ref="C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Asesor'!A975, "")
</f>
        <v/>
      </c>
      <c r="D975" s="84" t="str">
        <f t="array" ref="D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Asesor'!B975, "")
</f>
        <v/>
      </c>
      <c r="E975" s="212" t="str">
        <f t="array" ref="E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Asesor'!C975, "")
</f>
        <v/>
      </c>
      <c r="F975" s="212" t="str">
        <f t="array" ref="F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Asesor'!D975, "")
</f>
        <v/>
      </c>
      <c r="G975" s="212" t="str">
        <f t="array" ref="G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Asesor'!E975, "")
</f>
        <v/>
      </c>
      <c r="H975" s="84" t="str">
        <f t="array" ref="H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Asesor'!F975, "")
</f>
        <v/>
      </c>
      <c r="I975" s="84" t="str">
        <f t="array" ref="I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Asesor'!G975, "")
</f>
        <v/>
      </c>
      <c r="J975" s="84" t="str">
        <f t="array" ref="J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Asesor'!H975, "")
</f>
        <v/>
      </c>
      <c r="K975" s="84" t="str">
        <f t="array" ref="K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Asesor'!K975, "")
</f>
        <v/>
      </c>
      <c r="L975" s="84" t="str">
        <f t="array" ref="L975">IF(OR(
    AND('BD Asesor'!H975="Mensual", MATCH($B$2, {"Enero", "Febrero", "Marzo", "Abril", "Mayo", "Junio", "Julio", "Agosto", "Septiembre", "Octubre", "Noviembre", "Diciembre"}, 0)&gt;=1),
    AND('BD Asesor'!H975="Trimestral", MOD(MATCH($B$2, {"Enero", "Febrero", "Marzo", "Abril", "Mayo", "Junio", "Julio", "Agosto", "Septiembre", "Octubre", "Noviembre"}, 0)-MONTH('BD Asesor'!D975), 3)=0),
    AND('BD Asesor'!H975="Semestral", MOD(MATCH($B$2, {"Enero", "Febrero", "Marzo", "Abril", "Mayo", "Junio", "Julio", "Agosto", "Septiembre", "Octubre", "Noviembre"}, 0)-MONTH('BD Asesor'!D975), 6)=0),
    AND('BD Asesor'!H975="Anual", MONTH('BD Asesor'!D975)=MATCH($B$2, {"Enero", "Febrero", "Marzo", "Abril", "Mayo", "Junio", "Julio", "Agosto", "Septiembre", "Octubre", "Noviembre"}, 0))
), 'BD Asesor'!L975, "")
</f>
        <v/>
      </c>
    </row>
    <row r="976">
      <c r="C976" s="84" t="str">
        <f t="array" ref="C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Asesor'!A976, "")
</f>
        <v/>
      </c>
      <c r="D976" s="84" t="str">
        <f t="array" ref="D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Asesor'!B976, "")
</f>
        <v/>
      </c>
      <c r="E976" s="212" t="str">
        <f t="array" ref="E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Asesor'!C976, "")
</f>
        <v/>
      </c>
      <c r="F976" s="212" t="str">
        <f t="array" ref="F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Asesor'!D976, "")
</f>
        <v/>
      </c>
      <c r="G976" s="212" t="str">
        <f t="array" ref="G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Asesor'!E976, "")
</f>
        <v/>
      </c>
      <c r="H976" s="84" t="str">
        <f t="array" ref="H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Asesor'!F976, "")
</f>
        <v/>
      </c>
      <c r="I976" s="84" t="str">
        <f t="array" ref="I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Asesor'!G976, "")
</f>
        <v/>
      </c>
      <c r="J976" s="84" t="str">
        <f t="array" ref="J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Asesor'!H976, "")
</f>
        <v/>
      </c>
      <c r="K976" s="84" t="str">
        <f t="array" ref="K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Asesor'!K976, "")
</f>
        <v/>
      </c>
      <c r="L976" s="84" t="str">
        <f t="array" ref="L976">IF(OR(
    AND('BD Asesor'!H976="Mensual", MATCH($B$2, {"Enero", "Febrero", "Marzo", "Abril", "Mayo", "Junio", "Julio", "Agosto", "Septiembre", "Octubre", "Noviembre", "Diciembre"}, 0)&gt;=1),
    AND('BD Asesor'!H976="Trimestral", MOD(MATCH($B$2, {"Enero", "Febrero", "Marzo", "Abril", "Mayo", "Junio", "Julio", "Agosto", "Septiembre", "Octubre", "Noviembre"}, 0)-MONTH('BD Asesor'!D976), 3)=0),
    AND('BD Asesor'!H976="Semestral", MOD(MATCH($B$2, {"Enero", "Febrero", "Marzo", "Abril", "Mayo", "Junio", "Julio", "Agosto", "Septiembre", "Octubre", "Noviembre"}, 0)-MONTH('BD Asesor'!D976), 6)=0),
    AND('BD Asesor'!H976="Anual", MONTH('BD Asesor'!D976)=MATCH($B$2, {"Enero", "Febrero", "Marzo", "Abril", "Mayo", "Junio", "Julio", "Agosto", "Septiembre", "Octubre", "Noviembre"}, 0))
), 'BD Asesor'!L976, "")
</f>
        <v/>
      </c>
    </row>
    <row r="977">
      <c r="C977" s="84" t="str">
        <f t="array" ref="C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Asesor'!A977, "")
</f>
        <v/>
      </c>
      <c r="D977" s="84" t="str">
        <f t="array" ref="D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Asesor'!B977, "")
</f>
        <v/>
      </c>
      <c r="E977" s="212" t="str">
        <f t="array" ref="E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Asesor'!C977, "")
</f>
        <v/>
      </c>
      <c r="F977" s="212" t="str">
        <f t="array" ref="F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Asesor'!D977, "")
</f>
        <v/>
      </c>
      <c r="G977" s="212" t="str">
        <f t="array" ref="G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Asesor'!E977, "")
</f>
        <v/>
      </c>
      <c r="H977" s="84" t="str">
        <f t="array" ref="H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Asesor'!F977, "")
</f>
        <v/>
      </c>
      <c r="I977" s="84" t="str">
        <f t="array" ref="I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Asesor'!G977, "")
</f>
        <v/>
      </c>
      <c r="J977" s="84" t="str">
        <f t="array" ref="J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Asesor'!H977, "")
</f>
        <v/>
      </c>
      <c r="K977" s="84" t="str">
        <f t="array" ref="K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Asesor'!K977, "")
</f>
        <v/>
      </c>
      <c r="L977" s="84" t="str">
        <f t="array" ref="L977">IF(OR(
    AND('BD Asesor'!H977="Mensual", MATCH($B$2, {"Enero", "Febrero", "Marzo", "Abril", "Mayo", "Junio", "Julio", "Agosto", "Septiembre", "Octubre", "Noviembre", "Diciembre"}, 0)&gt;=1),
    AND('BD Asesor'!H977="Trimestral", MOD(MATCH($B$2, {"Enero", "Febrero", "Marzo", "Abril", "Mayo", "Junio", "Julio", "Agosto", "Septiembre", "Octubre", "Noviembre"}, 0)-MONTH('BD Asesor'!D977), 3)=0),
    AND('BD Asesor'!H977="Semestral", MOD(MATCH($B$2, {"Enero", "Febrero", "Marzo", "Abril", "Mayo", "Junio", "Julio", "Agosto", "Septiembre", "Octubre", "Noviembre"}, 0)-MONTH('BD Asesor'!D977), 6)=0),
    AND('BD Asesor'!H977="Anual", MONTH('BD Asesor'!D977)=MATCH($B$2, {"Enero", "Febrero", "Marzo", "Abril", "Mayo", "Junio", "Julio", "Agosto", "Septiembre", "Octubre", "Noviembre"}, 0))
), 'BD Asesor'!L977, "")
</f>
        <v/>
      </c>
    </row>
    <row r="978">
      <c r="C978" s="84" t="str">
        <f t="array" ref="C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Asesor'!A978, "")
</f>
        <v/>
      </c>
      <c r="D978" s="84" t="str">
        <f t="array" ref="D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Asesor'!B978, "")
</f>
        <v/>
      </c>
      <c r="E978" s="212" t="str">
        <f t="array" ref="E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Asesor'!C978, "")
</f>
        <v/>
      </c>
      <c r="F978" s="212" t="str">
        <f t="array" ref="F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Asesor'!D978, "")
</f>
        <v/>
      </c>
      <c r="G978" s="212" t="str">
        <f t="array" ref="G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Asesor'!E978, "")
</f>
        <v/>
      </c>
      <c r="H978" s="84" t="str">
        <f t="array" ref="H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Asesor'!F978, "")
</f>
        <v/>
      </c>
      <c r="I978" s="84" t="str">
        <f t="array" ref="I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Asesor'!G978, "")
</f>
        <v/>
      </c>
      <c r="J978" s="84" t="str">
        <f t="array" ref="J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Asesor'!H978, "")
</f>
        <v/>
      </c>
      <c r="K978" s="84" t="str">
        <f t="array" ref="K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Asesor'!K978, "")
</f>
        <v/>
      </c>
      <c r="L978" s="84" t="str">
        <f t="array" ref="L978">IF(OR(
    AND('BD Asesor'!H978="Mensual", MATCH($B$2, {"Enero", "Febrero", "Marzo", "Abril", "Mayo", "Junio", "Julio", "Agosto", "Septiembre", "Octubre", "Noviembre", "Diciembre"}, 0)&gt;=1),
    AND('BD Asesor'!H978="Trimestral", MOD(MATCH($B$2, {"Enero", "Febrero", "Marzo", "Abril", "Mayo", "Junio", "Julio", "Agosto", "Septiembre", "Octubre", "Noviembre"}, 0)-MONTH('BD Asesor'!D978), 3)=0),
    AND('BD Asesor'!H978="Semestral", MOD(MATCH($B$2, {"Enero", "Febrero", "Marzo", "Abril", "Mayo", "Junio", "Julio", "Agosto", "Septiembre", "Octubre", "Noviembre"}, 0)-MONTH('BD Asesor'!D978), 6)=0),
    AND('BD Asesor'!H978="Anual", MONTH('BD Asesor'!D978)=MATCH($B$2, {"Enero", "Febrero", "Marzo", "Abril", "Mayo", "Junio", "Julio", "Agosto", "Septiembre", "Octubre", "Noviembre"}, 0))
), 'BD Asesor'!L978, "")
</f>
        <v/>
      </c>
    </row>
    <row r="979">
      <c r="C979" s="84" t="str">
        <f t="array" ref="C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Asesor'!A979, "")
</f>
        <v/>
      </c>
      <c r="D979" s="84" t="str">
        <f t="array" ref="D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Asesor'!B979, "")
</f>
        <v/>
      </c>
      <c r="E979" s="212" t="str">
        <f t="array" ref="E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Asesor'!C979, "")
</f>
        <v/>
      </c>
      <c r="F979" s="212" t="str">
        <f t="array" ref="F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Asesor'!D979, "")
</f>
        <v/>
      </c>
      <c r="G979" s="212" t="str">
        <f t="array" ref="G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Asesor'!E979, "")
</f>
        <v/>
      </c>
      <c r="H979" s="84" t="str">
        <f t="array" ref="H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Asesor'!F979, "")
</f>
        <v/>
      </c>
      <c r="I979" s="84" t="str">
        <f t="array" ref="I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Asesor'!G979, "")
</f>
        <v/>
      </c>
      <c r="J979" s="84" t="str">
        <f t="array" ref="J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Asesor'!H979, "")
</f>
        <v/>
      </c>
      <c r="K979" s="84" t="str">
        <f t="array" ref="K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Asesor'!K979, "")
</f>
        <v/>
      </c>
      <c r="L979" s="84" t="str">
        <f t="array" ref="L979">IF(OR(
    AND('BD Asesor'!H979="Mensual", MATCH($B$2, {"Enero", "Febrero", "Marzo", "Abril", "Mayo", "Junio", "Julio", "Agosto", "Septiembre", "Octubre", "Noviembre", "Diciembre"}, 0)&gt;=1),
    AND('BD Asesor'!H979="Trimestral", MOD(MATCH($B$2, {"Enero", "Febrero", "Marzo", "Abril", "Mayo", "Junio", "Julio", "Agosto", "Septiembre", "Octubre", "Noviembre"}, 0)-MONTH('BD Asesor'!D979), 3)=0),
    AND('BD Asesor'!H979="Semestral", MOD(MATCH($B$2, {"Enero", "Febrero", "Marzo", "Abril", "Mayo", "Junio", "Julio", "Agosto", "Septiembre", "Octubre", "Noviembre"}, 0)-MONTH('BD Asesor'!D979), 6)=0),
    AND('BD Asesor'!H979="Anual", MONTH('BD Asesor'!D979)=MATCH($B$2, {"Enero", "Febrero", "Marzo", "Abril", "Mayo", "Junio", "Julio", "Agosto", "Septiembre", "Octubre", "Noviembre"}, 0))
), 'BD Asesor'!L979, "")
</f>
        <v/>
      </c>
    </row>
    <row r="980">
      <c r="C980" s="84" t="str">
        <f t="array" ref="C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Asesor'!A980, "")
</f>
        <v/>
      </c>
      <c r="D980" s="84" t="str">
        <f t="array" ref="D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Asesor'!B980, "")
</f>
        <v/>
      </c>
      <c r="E980" s="212" t="str">
        <f t="array" ref="E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Asesor'!C980, "")
</f>
        <v/>
      </c>
      <c r="F980" s="212" t="str">
        <f t="array" ref="F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Asesor'!D980, "")
</f>
        <v/>
      </c>
      <c r="G980" s="212" t="str">
        <f t="array" ref="G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Asesor'!E980, "")
</f>
        <v/>
      </c>
      <c r="H980" s="84" t="str">
        <f t="array" ref="H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Asesor'!F980, "")
</f>
        <v/>
      </c>
      <c r="I980" s="84" t="str">
        <f t="array" ref="I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Asesor'!G980, "")
</f>
        <v/>
      </c>
      <c r="J980" s="84" t="str">
        <f t="array" ref="J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Asesor'!H980, "")
</f>
        <v/>
      </c>
      <c r="K980" s="84" t="str">
        <f t="array" ref="K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Asesor'!K980, "")
</f>
        <v/>
      </c>
      <c r="L980" s="84" t="str">
        <f t="array" ref="L980">IF(OR(
    AND('BD Asesor'!H980="Mensual", MATCH($B$2, {"Enero", "Febrero", "Marzo", "Abril", "Mayo", "Junio", "Julio", "Agosto", "Septiembre", "Octubre", "Noviembre", "Diciembre"}, 0)&gt;=1),
    AND('BD Asesor'!H980="Trimestral", MOD(MATCH($B$2, {"Enero", "Febrero", "Marzo", "Abril", "Mayo", "Junio", "Julio", "Agosto", "Septiembre", "Octubre", "Noviembre"}, 0)-MONTH('BD Asesor'!D980), 3)=0),
    AND('BD Asesor'!H980="Semestral", MOD(MATCH($B$2, {"Enero", "Febrero", "Marzo", "Abril", "Mayo", "Junio", "Julio", "Agosto", "Septiembre", "Octubre", "Noviembre"}, 0)-MONTH('BD Asesor'!D980), 6)=0),
    AND('BD Asesor'!H980="Anual", MONTH('BD Asesor'!D980)=MATCH($B$2, {"Enero", "Febrero", "Marzo", "Abril", "Mayo", "Junio", "Julio", "Agosto", "Septiembre", "Octubre", "Noviembre"}, 0))
), 'BD Asesor'!L980, "")
</f>
        <v/>
      </c>
    </row>
    <row r="981">
      <c r="C981" s="84" t="str">
        <f t="array" ref="C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Asesor'!A981, "")
</f>
        <v/>
      </c>
      <c r="D981" s="84" t="str">
        <f t="array" ref="D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Asesor'!B981, "")
</f>
        <v/>
      </c>
      <c r="E981" s="212" t="str">
        <f t="array" ref="E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Asesor'!C981, "")
</f>
        <v/>
      </c>
      <c r="F981" s="212" t="str">
        <f t="array" ref="F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Asesor'!D981, "")
</f>
        <v/>
      </c>
      <c r="G981" s="212" t="str">
        <f t="array" ref="G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Asesor'!E981, "")
</f>
        <v/>
      </c>
      <c r="H981" s="84" t="str">
        <f t="array" ref="H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Asesor'!F981, "")
</f>
        <v/>
      </c>
      <c r="I981" s="84" t="str">
        <f t="array" ref="I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Asesor'!G981, "")
</f>
        <v/>
      </c>
      <c r="J981" s="84" t="str">
        <f t="array" ref="J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Asesor'!H981, "")
</f>
        <v/>
      </c>
      <c r="K981" s="84" t="str">
        <f t="array" ref="K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Asesor'!K981, "")
</f>
        <v/>
      </c>
      <c r="L981" s="84" t="str">
        <f t="array" ref="L981">IF(OR(
    AND('BD Asesor'!H981="Mensual", MATCH($B$2, {"Enero", "Febrero", "Marzo", "Abril", "Mayo", "Junio", "Julio", "Agosto", "Septiembre", "Octubre", "Noviembre", "Diciembre"}, 0)&gt;=1),
    AND('BD Asesor'!H981="Trimestral", MOD(MATCH($B$2, {"Enero", "Febrero", "Marzo", "Abril", "Mayo", "Junio", "Julio", "Agosto", "Septiembre", "Octubre", "Noviembre"}, 0)-MONTH('BD Asesor'!D981), 3)=0),
    AND('BD Asesor'!H981="Semestral", MOD(MATCH($B$2, {"Enero", "Febrero", "Marzo", "Abril", "Mayo", "Junio", "Julio", "Agosto", "Septiembre", "Octubre", "Noviembre"}, 0)-MONTH('BD Asesor'!D981), 6)=0),
    AND('BD Asesor'!H981="Anual", MONTH('BD Asesor'!D981)=MATCH($B$2, {"Enero", "Febrero", "Marzo", "Abril", "Mayo", "Junio", "Julio", "Agosto", "Septiembre", "Octubre", "Noviembre"}, 0))
), 'BD Asesor'!L981, "")
</f>
        <v/>
      </c>
    </row>
    <row r="982">
      <c r="C982" s="84" t="str">
        <f t="array" ref="C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Asesor'!A982, "")
</f>
        <v/>
      </c>
      <c r="D982" s="84" t="str">
        <f t="array" ref="D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Asesor'!B982, "")
</f>
        <v/>
      </c>
      <c r="E982" s="212" t="str">
        <f t="array" ref="E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Asesor'!C982, "")
</f>
        <v/>
      </c>
      <c r="F982" s="212" t="str">
        <f t="array" ref="F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Asesor'!D982, "")
</f>
        <v/>
      </c>
      <c r="G982" s="212" t="str">
        <f t="array" ref="G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Asesor'!E982, "")
</f>
        <v/>
      </c>
      <c r="H982" s="84" t="str">
        <f t="array" ref="H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Asesor'!F982, "")
</f>
        <v/>
      </c>
      <c r="I982" s="84" t="str">
        <f t="array" ref="I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Asesor'!G982, "")
</f>
        <v/>
      </c>
      <c r="J982" s="84" t="str">
        <f t="array" ref="J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Asesor'!H982, "")
</f>
        <v/>
      </c>
      <c r="K982" s="84" t="str">
        <f t="array" ref="K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Asesor'!K982, "")
</f>
        <v/>
      </c>
      <c r="L982" s="84" t="str">
        <f t="array" ref="L982">IF(OR(
    AND('BD Asesor'!H982="Mensual", MATCH($B$2, {"Enero", "Febrero", "Marzo", "Abril", "Mayo", "Junio", "Julio", "Agosto", "Septiembre", "Octubre", "Noviembre", "Diciembre"}, 0)&gt;=1),
    AND('BD Asesor'!H982="Trimestral", MOD(MATCH($B$2, {"Enero", "Febrero", "Marzo", "Abril", "Mayo", "Junio", "Julio", "Agosto", "Septiembre", "Octubre", "Noviembre"}, 0)-MONTH('BD Asesor'!D982), 3)=0),
    AND('BD Asesor'!H982="Semestral", MOD(MATCH($B$2, {"Enero", "Febrero", "Marzo", "Abril", "Mayo", "Junio", "Julio", "Agosto", "Septiembre", "Octubre", "Noviembre"}, 0)-MONTH('BD Asesor'!D982), 6)=0),
    AND('BD Asesor'!H982="Anual", MONTH('BD Asesor'!D982)=MATCH($B$2, {"Enero", "Febrero", "Marzo", "Abril", "Mayo", "Junio", "Julio", "Agosto", "Septiembre", "Octubre", "Noviembre"}, 0))
), 'BD Asesor'!L982, "")
</f>
        <v/>
      </c>
    </row>
    <row r="983">
      <c r="C983" s="84" t="str">
        <f t="array" ref="C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Asesor'!A983, "")
</f>
        <v/>
      </c>
      <c r="D983" s="84" t="str">
        <f t="array" ref="D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Asesor'!B983, "")
</f>
        <v/>
      </c>
      <c r="E983" s="212" t="str">
        <f t="array" ref="E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Asesor'!C983, "")
</f>
        <v/>
      </c>
      <c r="F983" s="212" t="str">
        <f t="array" ref="F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Asesor'!D983, "")
</f>
        <v/>
      </c>
      <c r="G983" s="212" t="str">
        <f t="array" ref="G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Asesor'!E983, "")
</f>
        <v/>
      </c>
      <c r="H983" s="84" t="str">
        <f t="array" ref="H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Asesor'!F983, "")
</f>
        <v/>
      </c>
      <c r="I983" s="84" t="str">
        <f t="array" ref="I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Asesor'!G983, "")
</f>
        <v/>
      </c>
      <c r="J983" s="84" t="str">
        <f t="array" ref="J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Asesor'!H983, "")
</f>
        <v/>
      </c>
      <c r="K983" s="84" t="str">
        <f t="array" ref="K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Asesor'!K983, "")
</f>
        <v/>
      </c>
      <c r="L983" s="84" t="str">
        <f t="array" ref="L983">IF(OR(
    AND('BD Asesor'!H983="Mensual", MATCH($B$2, {"Enero", "Febrero", "Marzo", "Abril", "Mayo", "Junio", "Julio", "Agosto", "Septiembre", "Octubre", "Noviembre", "Diciembre"}, 0)&gt;=1),
    AND('BD Asesor'!H983="Trimestral", MOD(MATCH($B$2, {"Enero", "Febrero", "Marzo", "Abril", "Mayo", "Junio", "Julio", "Agosto", "Septiembre", "Octubre", "Noviembre"}, 0)-MONTH('BD Asesor'!D983), 3)=0),
    AND('BD Asesor'!H983="Semestral", MOD(MATCH($B$2, {"Enero", "Febrero", "Marzo", "Abril", "Mayo", "Junio", "Julio", "Agosto", "Septiembre", "Octubre", "Noviembre"}, 0)-MONTH('BD Asesor'!D983), 6)=0),
    AND('BD Asesor'!H983="Anual", MONTH('BD Asesor'!D983)=MATCH($B$2, {"Enero", "Febrero", "Marzo", "Abril", "Mayo", "Junio", "Julio", "Agosto", "Septiembre", "Octubre", "Noviembre"}, 0))
), 'BD Asesor'!L983, "")
</f>
        <v/>
      </c>
    </row>
    <row r="984">
      <c r="C984" s="84" t="str">
        <f t="array" ref="C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Asesor'!A984, "")
</f>
        <v/>
      </c>
      <c r="D984" s="84" t="str">
        <f t="array" ref="D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Asesor'!B984, "")
</f>
        <v/>
      </c>
      <c r="E984" s="212" t="str">
        <f t="array" ref="E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Asesor'!C984, "")
</f>
        <v/>
      </c>
      <c r="F984" s="212" t="str">
        <f t="array" ref="F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Asesor'!D984, "")
</f>
        <v/>
      </c>
      <c r="G984" s="212" t="str">
        <f t="array" ref="G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Asesor'!E984, "")
</f>
        <v/>
      </c>
      <c r="H984" s="84" t="str">
        <f t="array" ref="H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Asesor'!F984, "")
</f>
        <v/>
      </c>
      <c r="I984" s="84" t="str">
        <f t="array" ref="I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Asesor'!G984, "")
</f>
        <v/>
      </c>
      <c r="J984" s="84" t="str">
        <f t="array" ref="J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Asesor'!H984, "")
</f>
        <v/>
      </c>
      <c r="K984" s="84" t="str">
        <f t="array" ref="K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Asesor'!K984, "")
</f>
        <v/>
      </c>
      <c r="L984" s="84" t="str">
        <f t="array" ref="L984">IF(OR(
    AND('BD Asesor'!H984="Mensual", MATCH($B$2, {"Enero", "Febrero", "Marzo", "Abril", "Mayo", "Junio", "Julio", "Agosto", "Septiembre", "Octubre", "Noviembre", "Diciembre"}, 0)&gt;=1),
    AND('BD Asesor'!H984="Trimestral", MOD(MATCH($B$2, {"Enero", "Febrero", "Marzo", "Abril", "Mayo", "Junio", "Julio", "Agosto", "Septiembre", "Octubre", "Noviembre"}, 0)-MONTH('BD Asesor'!D984), 3)=0),
    AND('BD Asesor'!H984="Semestral", MOD(MATCH($B$2, {"Enero", "Febrero", "Marzo", "Abril", "Mayo", "Junio", "Julio", "Agosto", "Septiembre", "Octubre", "Noviembre"}, 0)-MONTH('BD Asesor'!D984), 6)=0),
    AND('BD Asesor'!H984="Anual", MONTH('BD Asesor'!D984)=MATCH($B$2, {"Enero", "Febrero", "Marzo", "Abril", "Mayo", "Junio", "Julio", "Agosto", "Septiembre", "Octubre", "Noviembre"}, 0))
), 'BD Asesor'!L984, "")
</f>
        <v/>
      </c>
    </row>
    <row r="985">
      <c r="C985" s="84" t="str">
        <f t="array" ref="C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Asesor'!A985, "")
</f>
        <v/>
      </c>
      <c r="D985" s="84" t="str">
        <f t="array" ref="D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Asesor'!B985, "")
</f>
        <v/>
      </c>
      <c r="E985" s="212" t="str">
        <f t="array" ref="E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Asesor'!C985, "")
</f>
        <v/>
      </c>
      <c r="F985" s="212" t="str">
        <f t="array" ref="F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Asesor'!D985, "")
</f>
        <v/>
      </c>
      <c r="G985" s="212" t="str">
        <f t="array" ref="G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Asesor'!E985, "")
</f>
        <v/>
      </c>
      <c r="H985" s="84" t="str">
        <f t="array" ref="H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Asesor'!F985, "")
</f>
        <v/>
      </c>
      <c r="I985" s="84" t="str">
        <f t="array" ref="I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Asesor'!G985, "")
</f>
        <v/>
      </c>
      <c r="J985" s="84" t="str">
        <f t="array" ref="J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Asesor'!H985, "")
</f>
        <v/>
      </c>
      <c r="K985" s="84" t="str">
        <f t="array" ref="K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Asesor'!K985, "")
</f>
        <v/>
      </c>
      <c r="L985" s="84" t="str">
        <f t="array" ref="L985">IF(OR(
    AND('BD Asesor'!H985="Mensual", MATCH($B$2, {"Enero", "Febrero", "Marzo", "Abril", "Mayo", "Junio", "Julio", "Agosto", "Septiembre", "Octubre", "Noviembre", "Diciembre"}, 0)&gt;=1),
    AND('BD Asesor'!H985="Trimestral", MOD(MATCH($B$2, {"Enero", "Febrero", "Marzo", "Abril", "Mayo", "Junio", "Julio", "Agosto", "Septiembre", "Octubre", "Noviembre"}, 0)-MONTH('BD Asesor'!D985), 3)=0),
    AND('BD Asesor'!H985="Semestral", MOD(MATCH($B$2, {"Enero", "Febrero", "Marzo", "Abril", "Mayo", "Junio", "Julio", "Agosto", "Septiembre", "Octubre", "Noviembre"}, 0)-MONTH('BD Asesor'!D985), 6)=0),
    AND('BD Asesor'!H985="Anual", MONTH('BD Asesor'!D985)=MATCH($B$2, {"Enero", "Febrero", "Marzo", "Abril", "Mayo", "Junio", "Julio", "Agosto", "Septiembre", "Octubre", "Noviembre"}, 0))
), 'BD Asesor'!L985, "")
</f>
        <v/>
      </c>
    </row>
    <row r="986">
      <c r="C986" s="84" t="str">
        <f t="array" ref="C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Asesor'!A986, "")
</f>
        <v/>
      </c>
      <c r="D986" s="84" t="str">
        <f t="array" ref="D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Asesor'!B986, "")
</f>
        <v/>
      </c>
      <c r="E986" s="212" t="str">
        <f t="array" ref="E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Asesor'!C986, "")
</f>
        <v/>
      </c>
      <c r="F986" s="212" t="str">
        <f t="array" ref="F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Asesor'!D986, "")
</f>
        <v/>
      </c>
      <c r="G986" s="212" t="str">
        <f t="array" ref="G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Asesor'!E986, "")
</f>
        <v/>
      </c>
      <c r="H986" s="84" t="str">
        <f t="array" ref="H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Asesor'!F986, "")
</f>
        <v/>
      </c>
      <c r="I986" s="84" t="str">
        <f t="array" ref="I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Asesor'!G986, "")
</f>
        <v/>
      </c>
      <c r="J986" s="84" t="str">
        <f t="array" ref="J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Asesor'!H986, "")
</f>
        <v/>
      </c>
      <c r="K986" s="84" t="str">
        <f t="array" ref="K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Asesor'!K986, "")
</f>
        <v/>
      </c>
      <c r="L986" s="84" t="str">
        <f t="array" ref="L986">IF(OR(
    AND('BD Asesor'!H986="Mensual", MATCH($B$2, {"Enero", "Febrero", "Marzo", "Abril", "Mayo", "Junio", "Julio", "Agosto", "Septiembre", "Octubre", "Noviembre", "Diciembre"}, 0)&gt;=1),
    AND('BD Asesor'!H986="Trimestral", MOD(MATCH($B$2, {"Enero", "Febrero", "Marzo", "Abril", "Mayo", "Junio", "Julio", "Agosto", "Septiembre", "Octubre", "Noviembre"}, 0)-MONTH('BD Asesor'!D986), 3)=0),
    AND('BD Asesor'!H986="Semestral", MOD(MATCH($B$2, {"Enero", "Febrero", "Marzo", "Abril", "Mayo", "Junio", "Julio", "Agosto", "Septiembre", "Octubre", "Noviembre"}, 0)-MONTH('BD Asesor'!D986), 6)=0),
    AND('BD Asesor'!H986="Anual", MONTH('BD Asesor'!D986)=MATCH($B$2, {"Enero", "Febrero", "Marzo", "Abril", "Mayo", "Junio", "Julio", "Agosto", "Septiembre", "Octubre", "Noviembre"}, 0))
), 'BD Asesor'!L986, "")
</f>
        <v/>
      </c>
    </row>
    <row r="987">
      <c r="C987" s="84" t="str">
        <f t="array" ref="C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Asesor'!A987, "")
</f>
        <v/>
      </c>
      <c r="D987" s="84" t="str">
        <f t="array" ref="D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Asesor'!B987, "")
</f>
        <v/>
      </c>
      <c r="E987" s="212" t="str">
        <f t="array" ref="E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Asesor'!C987, "")
</f>
        <v/>
      </c>
      <c r="F987" s="212" t="str">
        <f t="array" ref="F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Asesor'!D987, "")
</f>
        <v/>
      </c>
      <c r="G987" s="212" t="str">
        <f t="array" ref="G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Asesor'!E987, "")
</f>
        <v/>
      </c>
      <c r="H987" s="84" t="str">
        <f t="array" ref="H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Asesor'!F987, "")
</f>
        <v/>
      </c>
      <c r="I987" s="84" t="str">
        <f t="array" ref="I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Asesor'!G987, "")
</f>
        <v/>
      </c>
      <c r="J987" s="84" t="str">
        <f t="array" ref="J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Asesor'!H987, "")
</f>
        <v/>
      </c>
      <c r="K987" s="84" t="str">
        <f t="array" ref="K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Asesor'!K987, "")
</f>
        <v/>
      </c>
      <c r="L987" s="84" t="str">
        <f t="array" ref="L987">IF(OR(
    AND('BD Asesor'!H987="Mensual", MATCH($B$2, {"Enero", "Febrero", "Marzo", "Abril", "Mayo", "Junio", "Julio", "Agosto", "Septiembre", "Octubre", "Noviembre", "Diciembre"}, 0)&gt;=1),
    AND('BD Asesor'!H987="Trimestral", MOD(MATCH($B$2, {"Enero", "Febrero", "Marzo", "Abril", "Mayo", "Junio", "Julio", "Agosto", "Septiembre", "Octubre", "Noviembre"}, 0)-MONTH('BD Asesor'!D987), 3)=0),
    AND('BD Asesor'!H987="Semestral", MOD(MATCH($B$2, {"Enero", "Febrero", "Marzo", "Abril", "Mayo", "Junio", "Julio", "Agosto", "Septiembre", "Octubre", "Noviembre"}, 0)-MONTH('BD Asesor'!D987), 6)=0),
    AND('BD Asesor'!H987="Anual", MONTH('BD Asesor'!D987)=MATCH($B$2, {"Enero", "Febrero", "Marzo", "Abril", "Mayo", "Junio", "Julio", "Agosto", "Septiembre", "Octubre", "Noviembre"}, 0))
), 'BD Asesor'!L987, "")
</f>
        <v/>
      </c>
    </row>
    <row r="988">
      <c r="C988" s="84" t="str">
        <f t="array" ref="C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Asesor'!A988, "")
</f>
        <v/>
      </c>
      <c r="D988" s="84" t="str">
        <f t="array" ref="D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Asesor'!B988, "")
</f>
        <v/>
      </c>
      <c r="E988" s="212" t="str">
        <f t="array" ref="E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Asesor'!C988, "")
</f>
        <v/>
      </c>
      <c r="F988" s="212" t="str">
        <f t="array" ref="F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Asesor'!D988, "")
</f>
        <v/>
      </c>
      <c r="G988" s="212" t="str">
        <f t="array" ref="G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Asesor'!E988, "")
</f>
        <v/>
      </c>
      <c r="H988" s="84" t="str">
        <f t="array" ref="H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Asesor'!F988, "")
</f>
        <v/>
      </c>
      <c r="I988" s="84" t="str">
        <f t="array" ref="I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Asesor'!G988, "")
</f>
        <v/>
      </c>
      <c r="J988" s="84" t="str">
        <f t="array" ref="J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Asesor'!H988, "")
</f>
        <v/>
      </c>
      <c r="K988" s="84" t="str">
        <f t="array" ref="K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Asesor'!K988, "")
</f>
        <v/>
      </c>
      <c r="L988" s="84" t="str">
        <f t="array" ref="L988">IF(OR(
    AND('BD Asesor'!H988="Mensual", MATCH($B$2, {"Enero", "Febrero", "Marzo", "Abril", "Mayo", "Junio", "Julio", "Agosto", "Septiembre", "Octubre", "Noviembre", "Diciembre"}, 0)&gt;=1),
    AND('BD Asesor'!H988="Trimestral", MOD(MATCH($B$2, {"Enero", "Febrero", "Marzo", "Abril", "Mayo", "Junio", "Julio", "Agosto", "Septiembre", "Octubre", "Noviembre"}, 0)-MONTH('BD Asesor'!D988), 3)=0),
    AND('BD Asesor'!H988="Semestral", MOD(MATCH($B$2, {"Enero", "Febrero", "Marzo", "Abril", "Mayo", "Junio", "Julio", "Agosto", "Septiembre", "Octubre", "Noviembre"}, 0)-MONTH('BD Asesor'!D988), 6)=0),
    AND('BD Asesor'!H988="Anual", MONTH('BD Asesor'!D988)=MATCH($B$2, {"Enero", "Febrero", "Marzo", "Abril", "Mayo", "Junio", "Julio", "Agosto", "Septiembre", "Octubre", "Noviembre"}, 0))
), 'BD Asesor'!L988, "")
</f>
        <v/>
      </c>
    </row>
    <row r="989">
      <c r="C989" s="84" t="str">
        <f t="array" ref="C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Asesor'!A989, "")
</f>
        <v/>
      </c>
      <c r="D989" s="84" t="str">
        <f t="array" ref="D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Asesor'!B989, "")
</f>
        <v/>
      </c>
      <c r="E989" s="212" t="str">
        <f t="array" ref="E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Asesor'!C989, "")
</f>
        <v/>
      </c>
      <c r="F989" s="212" t="str">
        <f t="array" ref="F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Asesor'!D989, "")
</f>
        <v/>
      </c>
      <c r="G989" s="212" t="str">
        <f t="array" ref="G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Asesor'!E989, "")
</f>
        <v/>
      </c>
      <c r="H989" s="84" t="str">
        <f t="array" ref="H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Asesor'!F989, "")
</f>
        <v/>
      </c>
      <c r="I989" s="84" t="str">
        <f t="array" ref="I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Asesor'!G989, "")
</f>
        <v/>
      </c>
      <c r="J989" s="84" t="str">
        <f t="array" ref="J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Asesor'!H989, "")
</f>
        <v/>
      </c>
      <c r="K989" s="84" t="str">
        <f t="array" ref="K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Asesor'!K989, "")
</f>
        <v/>
      </c>
      <c r="L989" s="84" t="str">
        <f t="array" ref="L989">IF(OR(
    AND('BD Asesor'!H989="Mensual", MATCH($B$2, {"Enero", "Febrero", "Marzo", "Abril", "Mayo", "Junio", "Julio", "Agosto", "Septiembre", "Octubre", "Noviembre", "Diciembre"}, 0)&gt;=1),
    AND('BD Asesor'!H989="Trimestral", MOD(MATCH($B$2, {"Enero", "Febrero", "Marzo", "Abril", "Mayo", "Junio", "Julio", "Agosto", "Septiembre", "Octubre", "Noviembre"}, 0)-MONTH('BD Asesor'!D989), 3)=0),
    AND('BD Asesor'!H989="Semestral", MOD(MATCH($B$2, {"Enero", "Febrero", "Marzo", "Abril", "Mayo", "Junio", "Julio", "Agosto", "Septiembre", "Octubre", "Noviembre"}, 0)-MONTH('BD Asesor'!D989), 6)=0),
    AND('BD Asesor'!H989="Anual", MONTH('BD Asesor'!D989)=MATCH($B$2, {"Enero", "Febrero", "Marzo", "Abril", "Mayo", "Junio", "Julio", "Agosto", "Septiembre", "Octubre", "Noviembre"}, 0))
), 'BD Asesor'!L989, "")
</f>
        <v/>
      </c>
    </row>
    <row r="990">
      <c r="C990" s="84" t="str">
        <f t="array" ref="C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Asesor'!A990, "")
</f>
        <v/>
      </c>
      <c r="D990" s="84" t="str">
        <f t="array" ref="D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Asesor'!B990, "")
</f>
        <v/>
      </c>
      <c r="E990" s="212" t="str">
        <f t="array" ref="E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Asesor'!C990, "")
</f>
        <v/>
      </c>
      <c r="F990" s="212" t="str">
        <f t="array" ref="F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Asesor'!D990, "")
</f>
        <v/>
      </c>
      <c r="G990" s="212" t="str">
        <f t="array" ref="G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Asesor'!E990, "")
</f>
        <v/>
      </c>
      <c r="H990" s="84" t="str">
        <f t="array" ref="H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Asesor'!F990, "")
</f>
        <v/>
      </c>
      <c r="I990" s="84" t="str">
        <f t="array" ref="I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Asesor'!G990, "")
</f>
        <v/>
      </c>
      <c r="J990" s="84" t="str">
        <f t="array" ref="J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Asesor'!H990, "")
</f>
        <v/>
      </c>
      <c r="K990" s="84" t="str">
        <f t="array" ref="K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Asesor'!K990, "")
</f>
        <v/>
      </c>
      <c r="L990" s="84" t="str">
        <f t="array" ref="L990">IF(OR(
    AND('BD Asesor'!H990="Mensual", MATCH($B$2, {"Enero", "Febrero", "Marzo", "Abril", "Mayo", "Junio", "Julio", "Agosto", "Septiembre", "Octubre", "Noviembre", "Diciembre"}, 0)&gt;=1),
    AND('BD Asesor'!H990="Trimestral", MOD(MATCH($B$2, {"Enero", "Febrero", "Marzo", "Abril", "Mayo", "Junio", "Julio", "Agosto", "Septiembre", "Octubre", "Noviembre"}, 0)-MONTH('BD Asesor'!D990), 3)=0),
    AND('BD Asesor'!H990="Semestral", MOD(MATCH($B$2, {"Enero", "Febrero", "Marzo", "Abril", "Mayo", "Junio", "Julio", "Agosto", "Septiembre", "Octubre", "Noviembre"}, 0)-MONTH('BD Asesor'!D990), 6)=0),
    AND('BD Asesor'!H990="Anual", MONTH('BD Asesor'!D990)=MATCH($B$2, {"Enero", "Febrero", "Marzo", "Abril", "Mayo", "Junio", "Julio", "Agosto", "Septiembre", "Octubre", "Noviembre"}, 0))
), 'BD Asesor'!L990, "")
</f>
        <v/>
      </c>
    </row>
    <row r="991">
      <c r="C991" s="84" t="str">
        <f t="array" ref="C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Asesor'!A991, "")
</f>
        <v/>
      </c>
      <c r="D991" s="84" t="str">
        <f t="array" ref="D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Asesor'!B991, "")
</f>
        <v/>
      </c>
      <c r="E991" s="212" t="str">
        <f t="array" ref="E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Asesor'!C991, "")
</f>
        <v/>
      </c>
      <c r="F991" s="212" t="str">
        <f t="array" ref="F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Asesor'!D991, "")
</f>
        <v/>
      </c>
      <c r="G991" s="212" t="str">
        <f t="array" ref="G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Asesor'!E991, "")
</f>
        <v/>
      </c>
      <c r="H991" s="84" t="str">
        <f t="array" ref="H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Asesor'!F991, "")
</f>
        <v/>
      </c>
      <c r="I991" s="84" t="str">
        <f t="array" ref="I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Asesor'!G991, "")
</f>
        <v/>
      </c>
      <c r="J991" s="84" t="str">
        <f t="array" ref="J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Asesor'!H991, "")
</f>
        <v/>
      </c>
      <c r="K991" s="84" t="str">
        <f t="array" ref="K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Asesor'!K991, "")
</f>
        <v/>
      </c>
      <c r="L991" s="84" t="str">
        <f t="array" ref="L991">IF(OR(
    AND('BD Asesor'!H991="Mensual", MATCH($B$2, {"Enero", "Febrero", "Marzo", "Abril", "Mayo", "Junio", "Julio", "Agosto", "Septiembre", "Octubre", "Noviembre", "Diciembre"}, 0)&gt;=1),
    AND('BD Asesor'!H991="Trimestral", MOD(MATCH($B$2, {"Enero", "Febrero", "Marzo", "Abril", "Mayo", "Junio", "Julio", "Agosto", "Septiembre", "Octubre", "Noviembre"}, 0)-MONTH('BD Asesor'!D991), 3)=0),
    AND('BD Asesor'!H991="Semestral", MOD(MATCH($B$2, {"Enero", "Febrero", "Marzo", "Abril", "Mayo", "Junio", "Julio", "Agosto", "Septiembre", "Octubre", "Noviembre"}, 0)-MONTH('BD Asesor'!D991), 6)=0),
    AND('BD Asesor'!H991="Anual", MONTH('BD Asesor'!D991)=MATCH($B$2, {"Enero", "Febrero", "Marzo", "Abril", "Mayo", "Junio", "Julio", "Agosto", "Septiembre", "Octubre", "Noviembre"}, 0))
), 'BD Asesor'!L991, "")
</f>
        <v/>
      </c>
    </row>
    <row r="992">
      <c r="C992" s="84" t="str">
        <f t="array" ref="C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Asesor'!A992, "")
</f>
        <v/>
      </c>
      <c r="D992" s="84" t="str">
        <f t="array" ref="D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Asesor'!B992, "")
</f>
        <v/>
      </c>
      <c r="E992" s="212" t="str">
        <f t="array" ref="E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Asesor'!C992, "")
</f>
        <v/>
      </c>
      <c r="F992" s="212" t="str">
        <f t="array" ref="F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Asesor'!D992, "")
</f>
        <v/>
      </c>
      <c r="G992" s="212" t="str">
        <f t="array" ref="G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Asesor'!E992, "")
</f>
        <v/>
      </c>
      <c r="H992" s="84" t="str">
        <f t="array" ref="H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Asesor'!F992, "")
</f>
        <v/>
      </c>
      <c r="I992" s="84" t="str">
        <f t="array" ref="I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Asesor'!G992, "")
</f>
        <v/>
      </c>
      <c r="J992" s="84" t="str">
        <f t="array" ref="J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Asesor'!H992, "")
</f>
        <v/>
      </c>
      <c r="K992" s="84" t="str">
        <f t="array" ref="K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Asesor'!K992, "")
</f>
        <v/>
      </c>
      <c r="L992" s="84" t="str">
        <f t="array" ref="L992">IF(OR(
    AND('BD Asesor'!H992="Mensual", MATCH($B$2, {"Enero", "Febrero", "Marzo", "Abril", "Mayo", "Junio", "Julio", "Agosto", "Septiembre", "Octubre", "Noviembre", "Diciembre"}, 0)&gt;=1),
    AND('BD Asesor'!H992="Trimestral", MOD(MATCH($B$2, {"Enero", "Febrero", "Marzo", "Abril", "Mayo", "Junio", "Julio", "Agosto", "Septiembre", "Octubre", "Noviembre"}, 0)-MONTH('BD Asesor'!D992), 3)=0),
    AND('BD Asesor'!H992="Semestral", MOD(MATCH($B$2, {"Enero", "Febrero", "Marzo", "Abril", "Mayo", "Junio", "Julio", "Agosto", "Septiembre", "Octubre", "Noviembre"}, 0)-MONTH('BD Asesor'!D992), 6)=0),
    AND('BD Asesor'!H992="Anual", MONTH('BD Asesor'!D992)=MATCH($B$2, {"Enero", "Febrero", "Marzo", "Abril", "Mayo", "Junio", "Julio", "Agosto", "Septiembre", "Octubre", "Noviembre"}, 0))
), 'BD Asesor'!L992, "")
</f>
        <v/>
      </c>
    </row>
    <row r="993">
      <c r="C993" s="84" t="str">
        <f t="array" ref="C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Asesor'!A993, "")
</f>
        <v/>
      </c>
      <c r="D993" s="84" t="str">
        <f t="array" ref="D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Asesor'!B993, "")
</f>
        <v/>
      </c>
      <c r="E993" s="212" t="str">
        <f t="array" ref="E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Asesor'!C993, "")
</f>
        <v/>
      </c>
      <c r="F993" s="212" t="str">
        <f t="array" ref="F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Asesor'!D993, "")
</f>
        <v/>
      </c>
      <c r="G993" s="212" t="str">
        <f t="array" ref="G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Asesor'!E993, "")
</f>
        <v/>
      </c>
      <c r="H993" s="84" t="str">
        <f t="array" ref="H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Asesor'!F993, "")
</f>
        <v/>
      </c>
      <c r="I993" s="84" t="str">
        <f t="array" ref="I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Asesor'!G993, "")
</f>
        <v/>
      </c>
      <c r="J993" s="84" t="str">
        <f t="array" ref="J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Asesor'!H993, "")
</f>
        <v/>
      </c>
      <c r="K993" s="84" t="str">
        <f t="array" ref="K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Asesor'!K993, "")
</f>
        <v/>
      </c>
      <c r="L993" s="84" t="str">
        <f t="array" ref="L993">IF(OR(
    AND('BD Asesor'!H993="Mensual", MATCH($B$2, {"Enero", "Febrero", "Marzo", "Abril", "Mayo", "Junio", "Julio", "Agosto", "Septiembre", "Octubre", "Noviembre", "Diciembre"}, 0)&gt;=1),
    AND('BD Asesor'!H993="Trimestral", MOD(MATCH($B$2, {"Enero", "Febrero", "Marzo", "Abril", "Mayo", "Junio", "Julio", "Agosto", "Septiembre", "Octubre", "Noviembre"}, 0)-MONTH('BD Asesor'!D993), 3)=0),
    AND('BD Asesor'!H993="Semestral", MOD(MATCH($B$2, {"Enero", "Febrero", "Marzo", "Abril", "Mayo", "Junio", "Julio", "Agosto", "Septiembre", "Octubre", "Noviembre"}, 0)-MONTH('BD Asesor'!D993), 6)=0),
    AND('BD Asesor'!H993="Anual", MONTH('BD Asesor'!D993)=MATCH($B$2, {"Enero", "Febrero", "Marzo", "Abril", "Mayo", "Junio", "Julio", "Agosto", "Septiembre", "Octubre", "Noviembre"}, 0))
), 'BD Asesor'!L993, "")
</f>
        <v/>
      </c>
    </row>
    <row r="994">
      <c r="C994" s="84" t="str">
        <f t="array" ref="C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Asesor'!A994, "")
</f>
        <v/>
      </c>
      <c r="D994" s="84" t="str">
        <f t="array" ref="D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Asesor'!B994, "")
</f>
        <v/>
      </c>
      <c r="E994" s="212" t="str">
        <f t="array" ref="E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Asesor'!C994, "")
</f>
        <v/>
      </c>
      <c r="F994" s="212" t="str">
        <f t="array" ref="F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Asesor'!D994, "")
</f>
        <v/>
      </c>
      <c r="G994" s="212" t="str">
        <f t="array" ref="G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Asesor'!E994, "")
</f>
        <v/>
      </c>
      <c r="H994" s="84" t="str">
        <f t="array" ref="H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Asesor'!F994, "")
</f>
        <v/>
      </c>
      <c r="I994" s="84" t="str">
        <f t="array" ref="I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Asesor'!G994, "")
</f>
        <v/>
      </c>
      <c r="J994" s="84" t="str">
        <f t="array" ref="J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Asesor'!H994, "")
</f>
        <v/>
      </c>
      <c r="K994" s="84" t="str">
        <f t="array" ref="K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Asesor'!K994, "")
</f>
        <v/>
      </c>
      <c r="L994" s="84" t="str">
        <f t="array" ref="L994">IF(OR(
    AND('BD Asesor'!H994="Mensual", MATCH($B$2, {"Enero", "Febrero", "Marzo", "Abril", "Mayo", "Junio", "Julio", "Agosto", "Septiembre", "Octubre", "Noviembre", "Diciembre"}, 0)&gt;=1),
    AND('BD Asesor'!H994="Trimestral", MOD(MATCH($B$2, {"Enero", "Febrero", "Marzo", "Abril", "Mayo", "Junio", "Julio", "Agosto", "Septiembre", "Octubre", "Noviembre"}, 0)-MONTH('BD Asesor'!D994), 3)=0),
    AND('BD Asesor'!H994="Semestral", MOD(MATCH($B$2, {"Enero", "Febrero", "Marzo", "Abril", "Mayo", "Junio", "Julio", "Agosto", "Septiembre", "Octubre", "Noviembre"}, 0)-MONTH('BD Asesor'!D994), 6)=0),
    AND('BD Asesor'!H994="Anual", MONTH('BD Asesor'!D994)=MATCH($B$2, {"Enero", "Febrero", "Marzo", "Abril", "Mayo", "Junio", "Julio", "Agosto", "Septiembre", "Octubre", "Noviembre"}, 0))
), 'BD Asesor'!L994, "")
</f>
        <v/>
      </c>
    </row>
    <row r="995">
      <c r="C995" s="84" t="str">
        <f t="array" ref="C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Asesor'!A995, "")
</f>
        <v/>
      </c>
      <c r="D995" s="84" t="str">
        <f t="array" ref="D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Asesor'!B995, "")
</f>
        <v/>
      </c>
      <c r="E995" s="212" t="str">
        <f t="array" ref="E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Asesor'!C995, "")
</f>
        <v/>
      </c>
      <c r="F995" s="212" t="str">
        <f t="array" ref="F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Asesor'!D995, "")
</f>
        <v/>
      </c>
      <c r="G995" s="212" t="str">
        <f t="array" ref="G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Asesor'!E995, "")
</f>
        <v/>
      </c>
      <c r="H995" s="84" t="str">
        <f t="array" ref="H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Asesor'!F995, "")
</f>
        <v/>
      </c>
      <c r="I995" s="84" t="str">
        <f t="array" ref="I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Asesor'!G995, "")
</f>
        <v/>
      </c>
      <c r="J995" s="84" t="str">
        <f t="array" ref="J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Asesor'!H995, "")
</f>
        <v/>
      </c>
      <c r="K995" s="84" t="str">
        <f t="array" ref="K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Asesor'!K995, "")
</f>
        <v/>
      </c>
      <c r="L995" s="84" t="str">
        <f t="array" ref="L995">IF(OR(
    AND('BD Asesor'!H995="Mensual", MATCH($B$2, {"Enero", "Febrero", "Marzo", "Abril", "Mayo", "Junio", "Julio", "Agosto", "Septiembre", "Octubre", "Noviembre", "Diciembre"}, 0)&gt;=1),
    AND('BD Asesor'!H995="Trimestral", MOD(MATCH($B$2, {"Enero", "Febrero", "Marzo", "Abril", "Mayo", "Junio", "Julio", "Agosto", "Septiembre", "Octubre", "Noviembre"}, 0)-MONTH('BD Asesor'!D995), 3)=0),
    AND('BD Asesor'!H995="Semestral", MOD(MATCH($B$2, {"Enero", "Febrero", "Marzo", "Abril", "Mayo", "Junio", "Julio", "Agosto", "Septiembre", "Octubre", "Noviembre"}, 0)-MONTH('BD Asesor'!D995), 6)=0),
    AND('BD Asesor'!H995="Anual", MONTH('BD Asesor'!D995)=MATCH($B$2, {"Enero", "Febrero", "Marzo", "Abril", "Mayo", "Junio", "Julio", "Agosto", "Septiembre", "Octubre", "Noviembre"}, 0))
), 'BD Asesor'!L995, "")
</f>
        <v/>
      </c>
    </row>
    <row r="996">
      <c r="C996" s="84" t="str">
        <f t="array" ref="C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Asesor'!A996, "")
</f>
        <v/>
      </c>
      <c r="D996" s="84" t="str">
        <f t="array" ref="D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Asesor'!B996, "")
</f>
        <v/>
      </c>
      <c r="E996" s="212" t="str">
        <f t="array" ref="E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Asesor'!C996, "")
</f>
        <v/>
      </c>
      <c r="F996" s="212" t="str">
        <f t="array" ref="F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Asesor'!D996, "")
</f>
        <v/>
      </c>
      <c r="G996" s="212" t="str">
        <f t="array" ref="G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Asesor'!E996, "")
</f>
        <v/>
      </c>
      <c r="H996" s="84" t="str">
        <f t="array" ref="H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Asesor'!F996, "")
</f>
        <v/>
      </c>
      <c r="I996" s="84" t="str">
        <f t="array" ref="I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Asesor'!G996, "")
</f>
        <v/>
      </c>
      <c r="J996" s="84" t="str">
        <f t="array" ref="J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Asesor'!H996, "")
</f>
        <v/>
      </c>
      <c r="K996" s="84" t="str">
        <f t="array" ref="K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Asesor'!K996, "")
</f>
        <v/>
      </c>
      <c r="L996" s="84" t="str">
        <f t="array" ref="L996">IF(OR(
    AND('BD Asesor'!H996="Mensual", MATCH($B$2, {"Enero", "Febrero", "Marzo", "Abril", "Mayo", "Junio", "Julio", "Agosto", "Septiembre", "Octubre", "Noviembre", "Diciembre"}, 0)&gt;=1),
    AND('BD Asesor'!H996="Trimestral", MOD(MATCH($B$2, {"Enero", "Febrero", "Marzo", "Abril", "Mayo", "Junio", "Julio", "Agosto", "Septiembre", "Octubre", "Noviembre"}, 0)-MONTH('BD Asesor'!D996), 3)=0),
    AND('BD Asesor'!H996="Semestral", MOD(MATCH($B$2, {"Enero", "Febrero", "Marzo", "Abril", "Mayo", "Junio", "Julio", "Agosto", "Septiembre", "Octubre", "Noviembre"}, 0)-MONTH('BD Asesor'!D996), 6)=0),
    AND('BD Asesor'!H996="Anual", MONTH('BD Asesor'!D996)=MATCH($B$2, {"Enero", "Febrero", "Marzo", "Abril", "Mayo", "Junio", "Julio", "Agosto", "Septiembre", "Octubre", "Noviembre"}, 0))
), 'BD Asesor'!L996, "")
</f>
        <v/>
      </c>
    </row>
    <row r="997">
      <c r="C997" s="84" t="str">
        <f t="array" ref="C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Asesor'!A997, "")
</f>
        <v/>
      </c>
      <c r="D997" s="84" t="str">
        <f t="array" ref="D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Asesor'!B997, "")
</f>
        <v/>
      </c>
      <c r="E997" s="212" t="str">
        <f t="array" ref="E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Asesor'!C997, "")
</f>
        <v/>
      </c>
      <c r="F997" s="212" t="str">
        <f t="array" ref="F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Asesor'!D997, "")
</f>
        <v/>
      </c>
      <c r="G997" s="212" t="str">
        <f t="array" ref="G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Asesor'!E997, "")
</f>
        <v/>
      </c>
      <c r="H997" s="84" t="str">
        <f t="array" ref="H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Asesor'!F997, "")
</f>
        <v/>
      </c>
      <c r="I997" s="84" t="str">
        <f t="array" ref="I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Asesor'!G997, "")
</f>
        <v/>
      </c>
      <c r="J997" s="84" t="str">
        <f t="array" ref="J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Asesor'!H997, "")
</f>
        <v/>
      </c>
      <c r="K997" s="84" t="str">
        <f t="array" ref="K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Asesor'!K997, "")
</f>
        <v/>
      </c>
      <c r="L997" s="84" t="str">
        <f t="array" ref="L997">IF(OR(
    AND('BD Asesor'!H997="Mensual", MATCH($B$2, {"Enero", "Febrero", "Marzo", "Abril", "Mayo", "Junio", "Julio", "Agosto", "Septiembre", "Octubre", "Noviembre", "Diciembre"}, 0)&gt;=1),
    AND('BD Asesor'!H997="Trimestral", MOD(MATCH($B$2, {"Enero", "Febrero", "Marzo", "Abril", "Mayo", "Junio", "Julio", "Agosto", "Septiembre", "Octubre", "Noviembre"}, 0)-MONTH('BD Asesor'!D997), 3)=0),
    AND('BD Asesor'!H997="Semestral", MOD(MATCH($B$2, {"Enero", "Febrero", "Marzo", "Abril", "Mayo", "Junio", "Julio", "Agosto", "Septiembre", "Octubre", "Noviembre"}, 0)-MONTH('BD Asesor'!D997), 6)=0),
    AND('BD Asesor'!H997="Anual", MONTH('BD Asesor'!D997)=MATCH($B$2, {"Enero", "Febrero", "Marzo", "Abril", "Mayo", "Junio", "Julio", "Agosto", "Septiembre", "Octubre", "Noviembre"}, 0))
), 'BD Asesor'!L997, "")
</f>
        <v/>
      </c>
    </row>
    <row r="998">
      <c r="C998" s="84" t="str">
        <f t="array" ref="C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Asesor'!A998, "")
</f>
        <v/>
      </c>
      <c r="D998" s="84" t="str">
        <f t="array" ref="D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Asesor'!B998, "")
</f>
        <v/>
      </c>
      <c r="E998" s="212" t="str">
        <f t="array" ref="E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Asesor'!C998, "")
</f>
        <v/>
      </c>
      <c r="F998" s="212" t="str">
        <f t="array" ref="F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Asesor'!D998, "")
</f>
        <v/>
      </c>
      <c r="G998" s="212" t="str">
        <f t="array" ref="G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Asesor'!E998, "")
</f>
        <v/>
      </c>
      <c r="H998" s="84" t="str">
        <f t="array" ref="H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Asesor'!F998, "")
</f>
        <v/>
      </c>
      <c r="I998" s="84" t="str">
        <f t="array" ref="I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Asesor'!G998, "")
</f>
        <v/>
      </c>
      <c r="J998" s="84" t="str">
        <f t="array" ref="J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Asesor'!H998, "")
</f>
        <v/>
      </c>
      <c r="K998" s="84" t="str">
        <f t="array" ref="K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Asesor'!K998, "")
</f>
        <v/>
      </c>
      <c r="L998" s="84" t="str">
        <f t="array" ref="L998">IF(OR(
    AND('BD Asesor'!H998="Mensual", MATCH($B$2, {"Enero", "Febrero", "Marzo", "Abril", "Mayo", "Junio", "Julio", "Agosto", "Septiembre", "Octubre", "Noviembre", "Diciembre"}, 0)&gt;=1),
    AND('BD Asesor'!H998="Trimestral", MOD(MATCH($B$2, {"Enero", "Febrero", "Marzo", "Abril", "Mayo", "Junio", "Julio", "Agosto", "Septiembre", "Octubre", "Noviembre"}, 0)-MONTH('BD Asesor'!D998), 3)=0),
    AND('BD Asesor'!H998="Semestral", MOD(MATCH($B$2, {"Enero", "Febrero", "Marzo", "Abril", "Mayo", "Junio", "Julio", "Agosto", "Septiembre", "Octubre", "Noviembre"}, 0)-MONTH('BD Asesor'!D998), 6)=0),
    AND('BD Asesor'!H998="Anual", MONTH('BD Asesor'!D998)=MATCH($B$2, {"Enero", "Febrero", "Marzo", "Abril", "Mayo", "Junio", "Julio", "Agosto", "Septiembre", "Octubre", "Noviembre"}, 0))
), 'BD Asesor'!L998, "")
</f>
        <v/>
      </c>
    </row>
    <row r="999">
      <c r="C999" s="84" t="str">
        <f t="array" ref="C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Asesor'!A999, "")
</f>
        <v/>
      </c>
      <c r="D999" s="84" t="str">
        <f t="array" ref="D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Asesor'!B999, "")
</f>
        <v/>
      </c>
      <c r="E999" s="212" t="str">
        <f t="array" ref="E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Asesor'!C999, "")
</f>
        <v/>
      </c>
      <c r="F999" s="212" t="str">
        <f t="array" ref="F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Asesor'!D999, "")
</f>
        <v/>
      </c>
      <c r="G999" s="212" t="str">
        <f t="array" ref="G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Asesor'!E999, "")
</f>
        <v/>
      </c>
      <c r="H999" s="84" t="str">
        <f t="array" ref="H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Asesor'!F999, "")
</f>
        <v/>
      </c>
      <c r="I999" s="84" t="str">
        <f t="array" ref="I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Asesor'!G999, "")
</f>
        <v/>
      </c>
      <c r="J999" s="84" t="str">
        <f t="array" ref="J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Asesor'!H999, "")
</f>
        <v/>
      </c>
      <c r="K999" s="84" t="str">
        <f t="array" ref="K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Asesor'!K999, "")
</f>
        <v/>
      </c>
      <c r="L999" s="84" t="str">
        <f t="array" ref="L999">IF(OR(
    AND('BD Asesor'!H999="Mensual", MATCH($B$2, {"Enero", "Febrero", "Marzo", "Abril", "Mayo", "Junio", "Julio", "Agosto", "Septiembre", "Octubre", "Noviembre", "Diciembre"}, 0)&gt;=1),
    AND('BD Asesor'!H999="Trimestral", MOD(MATCH($B$2, {"Enero", "Febrero", "Marzo", "Abril", "Mayo", "Junio", "Julio", "Agosto", "Septiembre", "Octubre", "Noviembre"}, 0)-MONTH('BD Asesor'!D999), 3)=0),
    AND('BD Asesor'!H999="Semestral", MOD(MATCH($B$2, {"Enero", "Febrero", "Marzo", "Abril", "Mayo", "Junio", "Julio", "Agosto", "Septiembre", "Octubre", "Noviembre"}, 0)-MONTH('BD Asesor'!D999), 6)=0),
    AND('BD Asesor'!H999="Anual", MONTH('BD Asesor'!D999)=MATCH($B$2, {"Enero", "Febrero", "Marzo", "Abril", "Mayo", "Junio", "Julio", "Agosto", "Septiembre", "Octubre", "Noviembre"}, 0))
), 'BD Asesor'!L999, "")
</f>
        <v/>
      </c>
    </row>
    <row r="1000">
      <c r="C1000" s="84" t="str">
        <f t="array" ref="C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Asesor'!A1000, "")
</f>
        <v/>
      </c>
      <c r="D1000" s="84" t="str">
        <f t="array" ref="D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Asesor'!B1000, "")
</f>
        <v/>
      </c>
      <c r="E1000" s="212" t="str">
        <f t="array" ref="E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Asesor'!C1000, "")
</f>
        <v/>
      </c>
      <c r="F1000" s="212" t="str">
        <f t="array" ref="F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Asesor'!D1000, "")
</f>
        <v/>
      </c>
      <c r="G1000" s="212" t="str">
        <f t="array" ref="G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Asesor'!E1000, "")
</f>
        <v/>
      </c>
      <c r="H1000" s="84" t="str">
        <f t="array" ref="H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Asesor'!F1000, "")
</f>
        <v/>
      </c>
      <c r="I1000" s="84" t="str">
        <f t="array" ref="I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Asesor'!G1000, "")
</f>
        <v/>
      </c>
      <c r="J1000" s="84" t="str">
        <f t="array" ref="J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Asesor'!H1000, "")
</f>
        <v/>
      </c>
      <c r="K1000" s="84" t="str">
        <f t="array" ref="K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Asesor'!K1000, "")
</f>
        <v/>
      </c>
      <c r="L1000" s="84" t="str">
        <f t="array" ref="L1000">IF(OR(
    AND('BD Asesor'!H1000="Mensual", MATCH($B$2, {"Enero", "Febrero", "Marzo", "Abril", "Mayo", "Junio", "Julio", "Agosto", "Septiembre", "Octubre", "Noviembre", "Diciembre"}, 0)&gt;=1),
    AND('BD Asesor'!H1000="Trimestral", MOD(MATCH($B$2, {"Enero", "Febrero", "Marzo", "Abril", "Mayo", "Junio", "Julio", "Agosto", "Septiembre", "Octubre", "Noviembre"}, 0)-MONTH('BD Asesor'!D1000), 3)=0),
    AND('BD Asesor'!H1000="Semestral", MOD(MATCH($B$2, {"Enero", "Febrero", "Marzo", "Abril", "Mayo", "Junio", "Julio", "Agosto", "Septiembre", "Octubre", "Noviembre"}, 0)-MONTH('BD Asesor'!D1000), 6)=0),
    AND('BD Asesor'!H1000="Anual", MONTH('BD Asesor'!D1000)=MATCH($B$2, {"Enero", "Febrero", "Marzo", "Abril", "Mayo", "Junio", "Julio", "Agosto", "Septiembre", "Octubre", "Noviembre"}, 0))
), 'BD Asesor'!L1000, "")
</f>
        <v/>
      </c>
    </row>
    <row r="1001">
      <c r="C1001" s="84" t="str">
        <f t="array" ref="C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Asesor'!A1001, "")
</f>
        <v/>
      </c>
      <c r="D1001" s="84" t="str">
        <f t="array" ref="D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Asesor'!B1001, "")
</f>
        <v/>
      </c>
      <c r="E1001" s="212" t="str">
        <f t="array" ref="E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Asesor'!C1001, "")
</f>
        <v/>
      </c>
      <c r="F1001" s="212" t="str">
        <f t="array" ref="F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Asesor'!D1001, "")
</f>
        <v/>
      </c>
      <c r="G1001" s="212" t="str">
        <f t="array" ref="G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Asesor'!E1001, "")
</f>
        <v/>
      </c>
      <c r="H1001" s="84" t="str">
        <f t="array" ref="H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Asesor'!F1001, "")
</f>
        <v/>
      </c>
      <c r="I1001" s="84" t="str">
        <f t="array" ref="I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Asesor'!G1001, "")
</f>
        <v/>
      </c>
      <c r="J1001" s="84" t="str">
        <f t="array" ref="J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Asesor'!H1001, "")
</f>
        <v/>
      </c>
      <c r="K1001" s="84" t="str">
        <f t="array" ref="K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Asesor'!K1001, "")
</f>
        <v/>
      </c>
      <c r="L1001" s="84" t="str">
        <f t="array" ref="L1001">IF(OR(
    AND('BD Asesor'!H1001="Mensual", MATCH($B$2, {"Enero", "Febrero", "Marzo", "Abril", "Mayo", "Junio", "Julio", "Agosto", "Septiembre", "Octubre", "Noviembre", "Diciembre"}, 0)&gt;=1),
    AND('BD Asesor'!H1001="Trimestral", MOD(MATCH($B$2, {"Enero", "Febrero", "Marzo", "Abril", "Mayo", "Junio", "Julio", "Agosto", "Septiembre", "Octubre", "Noviembre"}, 0)-MONTH('BD Asesor'!D1001), 3)=0),
    AND('BD Asesor'!H1001="Semestral", MOD(MATCH($B$2, {"Enero", "Febrero", "Marzo", "Abril", "Mayo", "Junio", "Julio", "Agosto", "Septiembre", "Octubre", "Noviembre"}, 0)-MONTH('BD Asesor'!D1001), 6)=0),
    AND('BD Asesor'!H1001="Anual", MONTH('BD Asesor'!D1001)=MATCH($B$2, {"Enero", "Febrero", "Marzo", "Abril", "Mayo", "Junio", "Julio", "Agosto", "Septiembre", "Octubre", "Noviembre"}, 0))
), 'BD Asesor'!L1001, "")
</f>
        <v/>
      </c>
    </row>
    <row r="1002">
      <c r="C1002" s="84" t="str">
        <f t="array" ref="C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Asesor'!A1002, "")
</f>
        <v/>
      </c>
      <c r="D1002" s="84" t="str">
        <f t="array" ref="D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Asesor'!B1002, "")
</f>
        <v/>
      </c>
      <c r="E1002" s="212" t="str">
        <f t="array" ref="E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Asesor'!C1002, "")
</f>
        <v/>
      </c>
      <c r="F1002" s="212" t="str">
        <f t="array" ref="F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Asesor'!D1002, "")
</f>
        <v/>
      </c>
      <c r="G1002" s="212" t="str">
        <f t="array" ref="G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Asesor'!E1002, "")
</f>
        <v/>
      </c>
      <c r="H1002" s="84" t="str">
        <f t="array" ref="H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Asesor'!F1002, "")
</f>
        <v/>
      </c>
      <c r="I1002" s="84" t="str">
        <f t="array" ref="I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Asesor'!G1002, "")
</f>
        <v/>
      </c>
      <c r="J1002" s="84" t="str">
        <f t="array" ref="J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Asesor'!H1002, "")
</f>
        <v/>
      </c>
      <c r="K1002" s="84" t="str">
        <f t="array" ref="K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Asesor'!K1002, "")
</f>
        <v/>
      </c>
      <c r="L1002" s="84" t="str">
        <f t="array" ref="L1002">IF(OR(
    AND('BD Asesor'!H1002="Mensual", MATCH($B$2, {"Enero", "Febrero", "Marzo", "Abril", "Mayo", "Junio", "Julio", "Agosto", "Septiembre", "Octubre", "Noviembre", "Diciembre"}, 0)&gt;=1),
    AND('BD Asesor'!H1002="Trimestral", MOD(MATCH($B$2, {"Enero", "Febrero", "Marzo", "Abril", "Mayo", "Junio", "Julio", "Agosto", "Septiembre", "Octubre", "Noviembre"}, 0)-MONTH('BD Asesor'!D1002), 3)=0),
    AND('BD Asesor'!H1002="Semestral", MOD(MATCH($B$2, {"Enero", "Febrero", "Marzo", "Abril", "Mayo", "Junio", "Julio", "Agosto", "Septiembre", "Octubre", "Noviembre"}, 0)-MONTH('BD Asesor'!D1002), 6)=0),
    AND('BD Asesor'!H1002="Anual", MONTH('BD Asesor'!D1002)=MATCH($B$2, {"Enero", "Febrero", "Marzo", "Abril", "Mayo", "Junio", "Julio", "Agosto", "Septiembre", "Octubre", "Noviembre"}, 0))
), 'BD Asesor'!L1002, "")
</f>
        <v/>
      </c>
    </row>
    <row r="1003">
      <c r="C1003" s="84" t="str">
        <f t="array" ref="C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Asesor'!A1003, "")
</f>
        <v/>
      </c>
      <c r="D1003" s="84" t="str">
        <f t="array" ref="D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Asesor'!B1003, "")
</f>
        <v/>
      </c>
      <c r="E1003" s="212" t="str">
        <f t="array" ref="E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Asesor'!C1003, "")
</f>
        <v/>
      </c>
      <c r="F1003" s="212" t="str">
        <f t="array" ref="F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Asesor'!D1003, "")
</f>
        <v/>
      </c>
      <c r="G1003" s="212" t="str">
        <f t="array" ref="G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Asesor'!E1003, "")
</f>
        <v/>
      </c>
      <c r="H1003" s="84" t="str">
        <f t="array" ref="H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Asesor'!F1003, "")
</f>
        <v/>
      </c>
      <c r="I1003" s="84" t="str">
        <f t="array" ref="I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Asesor'!G1003, "")
</f>
        <v/>
      </c>
      <c r="J1003" s="84" t="str">
        <f t="array" ref="J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Asesor'!H1003, "")
</f>
        <v/>
      </c>
      <c r="K1003" s="84" t="str">
        <f t="array" ref="K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Asesor'!K1003, "")
</f>
        <v/>
      </c>
      <c r="L1003" s="84" t="str">
        <f t="array" ref="L1003">IF(OR(
    AND('BD Asesor'!H1003="Mensual", MATCH($B$2, {"Enero", "Febrero", "Marzo", "Abril", "Mayo", "Junio", "Julio", "Agosto", "Septiembre", "Octubre", "Noviembre", "Diciembre"}, 0)&gt;=1),
    AND('BD Asesor'!H1003="Trimestral", MOD(MATCH($B$2, {"Enero", "Febrero", "Marzo", "Abril", "Mayo", "Junio", "Julio", "Agosto", "Septiembre", "Octubre", "Noviembre"}, 0)-MONTH('BD Asesor'!D1003), 3)=0),
    AND('BD Asesor'!H1003="Semestral", MOD(MATCH($B$2, {"Enero", "Febrero", "Marzo", "Abril", "Mayo", "Junio", "Julio", "Agosto", "Septiembre", "Octubre", "Noviembre"}, 0)-MONTH('BD Asesor'!D1003), 6)=0),
    AND('BD Asesor'!H1003="Anual", MONTH('BD Asesor'!D1003)=MATCH($B$2, {"Enero", "Febrero", "Marzo", "Abril", "Mayo", "Junio", "Julio", "Agosto", "Septiembre", "Octubre", "Noviembre"}, 0))
), 'BD Asesor'!L1003, "")
</f>
        <v/>
      </c>
    </row>
    <row r="1004">
      <c r="C1004" s="84" t="str">
        <f t="array" ref="C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Asesor'!A1004, "")
</f>
        <v/>
      </c>
      <c r="D1004" s="84" t="str">
        <f t="array" ref="D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Asesor'!B1004, "")
</f>
        <v/>
      </c>
      <c r="E1004" s="212" t="str">
        <f t="array" ref="E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Asesor'!C1004, "")
</f>
        <v/>
      </c>
      <c r="F1004" s="212" t="str">
        <f t="array" ref="F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Asesor'!D1004, "")
</f>
        <v/>
      </c>
      <c r="G1004" s="212" t="str">
        <f t="array" ref="G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Asesor'!E1004, "")
</f>
        <v/>
      </c>
      <c r="H1004" s="84" t="str">
        <f t="array" ref="H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Asesor'!F1004, "")
</f>
        <v/>
      </c>
      <c r="I1004" s="84" t="str">
        <f t="array" ref="I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Asesor'!G1004, "")
</f>
        <v/>
      </c>
      <c r="J1004" s="84" t="str">
        <f t="array" ref="J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Asesor'!H1004, "")
</f>
        <v/>
      </c>
      <c r="K1004" s="84" t="str">
        <f t="array" ref="K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Asesor'!K1004, "")
</f>
        <v/>
      </c>
      <c r="L1004" s="84" t="str">
        <f t="array" ref="L1004">IF(OR(
    AND('BD Asesor'!H1004="Mensual", MATCH($B$2, {"Enero", "Febrero", "Marzo", "Abril", "Mayo", "Junio", "Julio", "Agosto", "Septiembre", "Octubre", "Noviembre", "Diciembre"}, 0)&gt;=1),
    AND('BD Asesor'!H1004="Trimestral", MOD(MATCH($B$2, {"Enero", "Febrero", "Marzo", "Abril", "Mayo", "Junio", "Julio", "Agosto", "Septiembre", "Octubre", "Noviembre"}, 0)-MONTH('BD Asesor'!D1004), 3)=0),
    AND('BD Asesor'!H1004="Semestral", MOD(MATCH($B$2, {"Enero", "Febrero", "Marzo", "Abril", "Mayo", "Junio", "Julio", "Agosto", "Septiembre", "Octubre", "Noviembre"}, 0)-MONTH('BD Asesor'!D1004), 6)=0),
    AND('BD Asesor'!H1004="Anual", MONTH('BD Asesor'!D1004)=MATCH($B$2, {"Enero", "Febrero", "Marzo", "Abril", "Mayo", "Junio", "Julio", "Agosto", "Septiembre", "Octubre", "Noviembre"}, 0))
), 'BD Asesor'!L1004, "")
</f>
        <v/>
      </c>
    </row>
    <row r="1005">
      <c r="C1005" s="84" t="str">
        <f t="array" ref="C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Asesor'!A1005, "")
</f>
        <v/>
      </c>
      <c r="D1005" s="84" t="str">
        <f t="array" ref="D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Asesor'!B1005, "")
</f>
        <v/>
      </c>
      <c r="E1005" s="212" t="str">
        <f t="array" ref="E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Asesor'!C1005, "")
</f>
        <v/>
      </c>
      <c r="F1005" s="212" t="str">
        <f t="array" ref="F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Asesor'!D1005, "")
</f>
        <v/>
      </c>
      <c r="G1005" s="212" t="str">
        <f t="array" ref="G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Asesor'!E1005, "")
</f>
        <v/>
      </c>
      <c r="H1005" s="84" t="str">
        <f t="array" ref="H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Asesor'!F1005, "")
</f>
        <v/>
      </c>
      <c r="I1005" s="84" t="str">
        <f t="array" ref="I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Asesor'!G1005, "")
</f>
        <v/>
      </c>
      <c r="J1005" s="84" t="str">
        <f t="array" ref="J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Asesor'!H1005, "")
</f>
        <v/>
      </c>
      <c r="K1005" s="84" t="str">
        <f t="array" ref="K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Asesor'!K1005, "")
</f>
        <v/>
      </c>
      <c r="L1005" s="84" t="str">
        <f t="array" ref="L1005">IF(OR(
    AND('BD Asesor'!H1005="Mensual", MATCH($B$2, {"Enero", "Febrero", "Marzo", "Abril", "Mayo", "Junio", "Julio", "Agosto", "Septiembre", "Octubre", "Noviembre", "Diciembre"}, 0)&gt;=1),
    AND('BD Asesor'!H1005="Trimestral", MOD(MATCH($B$2, {"Enero", "Febrero", "Marzo", "Abril", "Mayo", "Junio", "Julio", "Agosto", "Septiembre", "Octubre", "Noviembre"}, 0)-MONTH('BD Asesor'!D1005), 3)=0),
    AND('BD Asesor'!H1005="Semestral", MOD(MATCH($B$2, {"Enero", "Febrero", "Marzo", "Abril", "Mayo", "Junio", "Julio", "Agosto", "Septiembre", "Octubre", "Noviembre"}, 0)-MONTH('BD Asesor'!D1005), 6)=0),
    AND('BD Asesor'!H1005="Anual", MONTH('BD Asesor'!D1005)=MATCH($B$2, {"Enero", "Febrero", "Marzo", "Abril", "Mayo", "Junio", "Julio", "Agosto", "Septiembre", "Octubre", "Noviembre"}, 0))
), 'BD Asesor'!L1005, "")
</f>
        <v/>
      </c>
    </row>
    <row r="1006">
      <c r="C1006" s="84" t="str">
        <f t="array" ref="C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Asesor'!A1006, "")
</f>
        <v/>
      </c>
      <c r="D1006" s="84" t="str">
        <f t="array" ref="D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Asesor'!B1006, "")
</f>
        <v/>
      </c>
      <c r="E1006" s="212" t="str">
        <f t="array" ref="E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Asesor'!C1006, "")
</f>
        <v/>
      </c>
      <c r="F1006" s="212" t="str">
        <f t="array" ref="F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Asesor'!D1006, "")
</f>
        <v/>
      </c>
      <c r="G1006" s="212" t="str">
        <f t="array" ref="G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Asesor'!E1006, "")
</f>
        <v/>
      </c>
      <c r="H1006" s="84" t="str">
        <f t="array" ref="H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Asesor'!F1006, "")
</f>
        <v/>
      </c>
      <c r="I1006" s="84" t="str">
        <f t="array" ref="I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Asesor'!G1006, "")
</f>
        <v/>
      </c>
      <c r="J1006" s="84" t="str">
        <f t="array" ref="J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Asesor'!H1006, "")
</f>
        <v/>
      </c>
      <c r="K1006" s="84" t="str">
        <f t="array" ref="K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Asesor'!K1006, "")
</f>
        <v/>
      </c>
      <c r="L1006" s="84" t="str">
        <f t="array" ref="L1006">IF(OR(
    AND('BD Asesor'!H1006="Mensual", MATCH($B$2, {"Enero", "Febrero", "Marzo", "Abril", "Mayo", "Junio", "Julio", "Agosto", "Septiembre", "Octubre", "Noviembre", "Diciembre"}, 0)&gt;=1),
    AND('BD Asesor'!H1006="Trimestral", MOD(MATCH($B$2, {"Enero", "Febrero", "Marzo", "Abril", "Mayo", "Junio", "Julio", "Agosto", "Septiembre", "Octubre", "Noviembre"}, 0)-MONTH('BD Asesor'!D1006), 3)=0),
    AND('BD Asesor'!H1006="Semestral", MOD(MATCH($B$2, {"Enero", "Febrero", "Marzo", "Abril", "Mayo", "Junio", "Julio", "Agosto", "Septiembre", "Octubre", "Noviembre"}, 0)-MONTH('BD Asesor'!D1006), 6)=0),
    AND('BD Asesor'!H1006="Anual", MONTH('BD Asesor'!D1006)=MATCH($B$2, {"Enero", "Febrero", "Marzo", "Abril", "Mayo", "Junio", "Julio", "Agosto", "Septiembre", "Octubre", "Noviembre"}, 0))
), 'BD Asesor'!L1006, "")
</f>
        <v/>
      </c>
    </row>
    <row r="1007">
      <c r="C1007" s="84" t="str">
        <f t="array" ref="C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Asesor'!A1007, "")
</f>
        <v/>
      </c>
      <c r="D1007" s="84" t="str">
        <f t="array" ref="D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Asesor'!B1007, "")
</f>
        <v/>
      </c>
      <c r="E1007" s="212" t="str">
        <f t="array" ref="E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Asesor'!C1007, "")
</f>
        <v/>
      </c>
      <c r="F1007" s="212" t="str">
        <f t="array" ref="F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Asesor'!D1007, "")
</f>
        <v/>
      </c>
      <c r="G1007" s="212" t="str">
        <f t="array" ref="G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Asesor'!E1007, "")
</f>
        <v/>
      </c>
      <c r="H1007" s="84" t="str">
        <f t="array" ref="H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Asesor'!F1007, "")
</f>
        <v/>
      </c>
      <c r="I1007" s="84" t="str">
        <f t="array" ref="I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Asesor'!G1007, "")
</f>
        <v/>
      </c>
      <c r="J1007" s="84" t="str">
        <f t="array" ref="J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Asesor'!H1007, "")
</f>
        <v/>
      </c>
      <c r="K1007" s="84" t="str">
        <f t="array" ref="K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Asesor'!K1007, "")
</f>
        <v/>
      </c>
      <c r="L1007" s="84" t="str">
        <f t="array" ref="L1007">IF(OR(
    AND('BD Asesor'!H1007="Mensual", MATCH($B$2, {"Enero", "Febrero", "Marzo", "Abril", "Mayo", "Junio", "Julio", "Agosto", "Septiembre", "Octubre", "Noviembre", "Diciembre"}, 0)&gt;=1),
    AND('BD Asesor'!H1007="Trimestral", MOD(MATCH($B$2, {"Enero", "Febrero", "Marzo", "Abril", "Mayo", "Junio", "Julio", "Agosto", "Septiembre", "Octubre", "Noviembre"}, 0)-MONTH('BD Asesor'!D1007), 3)=0),
    AND('BD Asesor'!H1007="Semestral", MOD(MATCH($B$2, {"Enero", "Febrero", "Marzo", "Abril", "Mayo", "Junio", "Julio", "Agosto", "Septiembre", "Octubre", "Noviembre"}, 0)-MONTH('BD Asesor'!D1007), 6)=0),
    AND('BD Asesor'!H1007="Anual", MONTH('BD Asesor'!D1007)=MATCH($B$2, {"Enero", "Febrero", "Marzo", "Abril", "Mayo", "Junio", "Julio", "Agosto", "Septiembre", "Octubre", "Noviembre"}, 0))
), 'BD Asesor'!L1007, "")
</f>
        <v/>
      </c>
    </row>
    <row r="1008">
      <c r="C1008" s="84" t="str">
        <f t="array" ref="C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Asesor'!A1008, "")
</f>
        <v/>
      </c>
      <c r="D1008" s="84" t="str">
        <f t="array" ref="D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Asesor'!B1008, "")
</f>
        <v/>
      </c>
      <c r="E1008" s="212" t="str">
        <f t="array" ref="E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Asesor'!C1008, "")
</f>
        <v/>
      </c>
      <c r="F1008" s="212" t="str">
        <f t="array" ref="F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Asesor'!D1008, "")
</f>
        <v/>
      </c>
      <c r="G1008" s="212" t="str">
        <f t="array" ref="G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Asesor'!E1008, "")
</f>
        <v/>
      </c>
      <c r="H1008" s="84" t="str">
        <f t="array" ref="H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Asesor'!F1008, "")
</f>
        <v/>
      </c>
      <c r="I1008" s="84" t="str">
        <f t="array" ref="I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Asesor'!G1008, "")
</f>
        <v/>
      </c>
      <c r="J1008" s="84" t="str">
        <f t="array" ref="J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Asesor'!H1008, "")
</f>
        <v/>
      </c>
      <c r="K1008" s="84" t="str">
        <f t="array" ref="K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Asesor'!K1008, "")
</f>
        <v/>
      </c>
      <c r="L1008" s="84" t="str">
        <f t="array" ref="L1008">IF(OR(
    AND('BD Asesor'!H1008="Mensual", MATCH($B$2, {"Enero", "Febrero", "Marzo", "Abril", "Mayo", "Junio", "Julio", "Agosto", "Septiembre", "Octubre", "Noviembre", "Diciembre"}, 0)&gt;=1),
    AND('BD Asesor'!H1008="Trimestral", MOD(MATCH($B$2, {"Enero", "Febrero", "Marzo", "Abril", "Mayo", "Junio", "Julio", "Agosto", "Septiembre", "Octubre", "Noviembre"}, 0)-MONTH('BD Asesor'!D1008), 3)=0),
    AND('BD Asesor'!H1008="Semestral", MOD(MATCH($B$2, {"Enero", "Febrero", "Marzo", "Abril", "Mayo", "Junio", "Julio", "Agosto", "Septiembre", "Octubre", "Noviembre"}, 0)-MONTH('BD Asesor'!D1008), 6)=0),
    AND('BD Asesor'!H1008="Anual", MONTH('BD Asesor'!D1008)=MATCH($B$2, {"Enero", "Febrero", "Marzo", "Abril", "Mayo", "Junio", "Julio", "Agosto", "Septiembre", "Octubre", "Noviembre"}, 0))
), 'BD Asesor'!L1008, "")
</f>
        <v/>
      </c>
    </row>
    <row r="1009">
      <c r="C1009" s="84" t="str">
        <f t="array" ref="C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Asesor'!A1009, "")
</f>
        <v/>
      </c>
      <c r="D1009" s="84" t="str">
        <f t="array" ref="D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Asesor'!B1009, "")
</f>
        <v/>
      </c>
      <c r="E1009" s="212" t="str">
        <f t="array" ref="E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Asesor'!C1009, "")
</f>
        <v/>
      </c>
      <c r="F1009" s="212" t="str">
        <f t="array" ref="F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Asesor'!D1009, "")
</f>
        <v/>
      </c>
      <c r="G1009" s="212" t="str">
        <f t="array" ref="G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Asesor'!E1009, "")
</f>
        <v/>
      </c>
      <c r="H1009" s="84" t="str">
        <f t="array" ref="H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Asesor'!F1009, "")
</f>
        <v/>
      </c>
      <c r="I1009" s="84" t="str">
        <f t="array" ref="I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Asesor'!G1009, "")
</f>
        <v/>
      </c>
      <c r="J1009" s="84" t="str">
        <f t="array" ref="J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Asesor'!H1009, "")
</f>
        <v/>
      </c>
      <c r="K1009" s="84" t="str">
        <f t="array" ref="K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Asesor'!K1009, "")
</f>
        <v/>
      </c>
      <c r="L1009" s="84" t="str">
        <f t="array" ref="L1009">IF(OR(
    AND('BD Asesor'!H1009="Mensual", MATCH($B$2, {"Enero", "Febrero", "Marzo", "Abril", "Mayo", "Junio", "Julio", "Agosto", "Septiembre", "Octubre", "Noviembre", "Diciembre"}, 0)&gt;=1),
    AND('BD Asesor'!H1009="Trimestral", MOD(MATCH($B$2, {"Enero", "Febrero", "Marzo", "Abril", "Mayo", "Junio", "Julio", "Agosto", "Septiembre", "Octubre", "Noviembre"}, 0)-MONTH('BD Asesor'!D1009), 3)=0),
    AND('BD Asesor'!H1009="Semestral", MOD(MATCH($B$2, {"Enero", "Febrero", "Marzo", "Abril", "Mayo", "Junio", "Julio", "Agosto", "Septiembre", "Octubre", "Noviembre"}, 0)-MONTH('BD Asesor'!D1009), 6)=0),
    AND('BD Asesor'!H1009="Anual", MONTH('BD Asesor'!D1009)=MATCH($B$2, {"Enero", "Febrero", "Marzo", "Abril", "Mayo", "Junio", "Julio", "Agosto", "Septiembre", "Octubre", "Noviembre"}, 0))
), 'BD Asesor'!L1009, "")
</f>
        <v/>
      </c>
    </row>
    <row r="1010">
      <c r="C1010" s="84" t="str">
        <f t="array" ref="C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Asesor'!A1010, "")
</f>
        <v/>
      </c>
      <c r="D1010" s="84" t="str">
        <f t="array" ref="D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Asesor'!B1010, "")
</f>
        <v/>
      </c>
      <c r="E1010" s="212" t="str">
        <f t="array" ref="E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Asesor'!C1010, "")
</f>
        <v/>
      </c>
      <c r="F1010" s="212" t="str">
        <f t="array" ref="F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Asesor'!D1010, "")
</f>
        <v/>
      </c>
      <c r="G1010" s="212" t="str">
        <f t="array" ref="G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Asesor'!E1010, "")
</f>
        <v/>
      </c>
      <c r="H1010" s="84" t="str">
        <f t="array" ref="H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Asesor'!F1010, "")
</f>
        <v/>
      </c>
      <c r="I1010" s="84" t="str">
        <f t="array" ref="I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Asesor'!G1010, "")
</f>
        <v/>
      </c>
      <c r="J1010" s="84" t="str">
        <f t="array" ref="J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Asesor'!H1010, "")
</f>
        <v/>
      </c>
      <c r="K1010" s="84" t="str">
        <f t="array" ref="K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Asesor'!K1010, "")
</f>
        <v/>
      </c>
      <c r="L1010" s="84" t="str">
        <f t="array" ref="L1010">IF(OR(
    AND('BD Asesor'!H1010="Mensual", MATCH($B$2, {"Enero", "Febrero", "Marzo", "Abril", "Mayo", "Junio", "Julio", "Agosto", "Septiembre", "Octubre", "Noviembre", "Diciembre"}, 0)&gt;=1),
    AND('BD Asesor'!H1010="Trimestral", MOD(MATCH($B$2, {"Enero", "Febrero", "Marzo", "Abril", "Mayo", "Junio", "Julio", "Agosto", "Septiembre", "Octubre", "Noviembre"}, 0)-MONTH('BD Asesor'!D1010), 3)=0),
    AND('BD Asesor'!H1010="Semestral", MOD(MATCH($B$2, {"Enero", "Febrero", "Marzo", "Abril", "Mayo", "Junio", "Julio", "Agosto", "Septiembre", "Octubre", "Noviembre"}, 0)-MONTH('BD Asesor'!D1010), 6)=0),
    AND('BD Asesor'!H1010="Anual", MONTH('BD Asesor'!D1010)=MATCH($B$2, {"Enero", "Febrero", "Marzo", "Abril", "Mayo", "Junio", "Julio", "Agosto", "Septiembre", "Octubre", "Noviembre"}, 0))
), 'BD Asesor'!L1010, "")
</f>
        <v/>
      </c>
    </row>
    <row r="1011">
      <c r="C1011" s="84" t="str">
        <f t="array" ref="C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Asesor'!A1011, "")
</f>
        <v/>
      </c>
      <c r="D1011" s="84" t="str">
        <f t="array" ref="D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Asesor'!B1011, "")
</f>
        <v/>
      </c>
      <c r="E1011" s="212" t="str">
        <f t="array" ref="E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Asesor'!C1011, "")
</f>
        <v/>
      </c>
      <c r="F1011" s="212" t="str">
        <f t="array" ref="F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Asesor'!D1011, "")
</f>
        <v/>
      </c>
      <c r="G1011" s="212" t="str">
        <f t="array" ref="G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Asesor'!E1011, "")
</f>
        <v/>
      </c>
      <c r="H1011" s="84" t="str">
        <f t="array" ref="H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Asesor'!F1011, "")
</f>
        <v/>
      </c>
      <c r="I1011" s="84" t="str">
        <f t="array" ref="I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Asesor'!G1011, "")
</f>
        <v/>
      </c>
      <c r="J1011" s="84" t="str">
        <f t="array" ref="J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Asesor'!H1011, "")
</f>
        <v/>
      </c>
      <c r="K1011" s="84" t="str">
        <f t="array" ref="K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Asesor'!K1011, "")
</f>
        <v/>
      </c>
      <c r="L1011" s="84" t="str">
        <f t="array" ref="L1011">IF(OR(
    AND('BD Asesor'!H1011="Mensual", MATCH($B$2, {"Enero", "Febrero", "Marzo", "Abril", "Mayo", "Junio", "Julio", "Agosto", "Septiembre", "Octubre", "Noviembre", "Diciembre"}, 0)&gt;=1),
    AND('BD Asesor'!H1011="Trimestral", MOD(MATCH($B$2, {"Enero", "Febrero", "Marzo", "Abril", "Mayo", "Junio", "Julio", "Agosto", "Septiembre", "Octubre", "Noviembre"}, 0)-MONTH('BD Asesor'!D1011), 3)=0),
    AND('BD Asesor'!H1011="Semestral", MOD(MATCH($B$2, {"Enero", "Febrero", "Marzo", "Abril", "Mayo", "Junio", "Julio", "Agosto", "Septiembre", "Octubre", "Noviembre"}, 0)-MONTH('BD Asesor'!D1011), 6)=0),
    AND('BD Asesor'!H1011="Anual", MONTH('BD Asesor'!D1011)=MATCH($B$2, {"Enero", "Febrero", "Marzo", "Abril", "Mayo", "Junio", "Julio", "Agosto", "Septiembre", "Octubre", "Noviembre"}, 0))
), 'BD Asesor'!L1011, "")
</f>
        <v/>
      </c>
    </row>
    <row r="1012">
      <c r="C1012" s="84" t="str">
        <f t="array" ref="C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Asesor'!A1012, "")
</f>
        <v/>
      </c>
      <c r="D1012" s="84" t="str">
        <f t="array" ref="D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Asesor'!B1012, "")
</f>
        <v/>
      </c>
      <c r="E1012" s="212" t="str">
        <f t="array" ref="E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Asesor'!C1012, "")
</f>
        <v/>
      </c>
      <c r="F1012" s="212" t="str">
        <f t="array" ref="F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Asesor'!D1012, "")
</f>
        <v/>
      </c>
      <c r="G1012" s="212" t="str">
        <f t="array" ref="G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Asesor'!E1012, "")
</f>
        <v/>
      </c>
      <c r="H1012" s="84" t="str">
        <f t="array" ref="H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Asesor'!F1012, "")
</f>
        <v/>
      </c>
      <c r="I1012" s="84" t="str">
        <f t="array" ref="I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Asesor'!G1012, "")
</f>
        <v/>
      </c>
      <c r="J1012" s="84" t="str">
        <f t="array" ref="J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Asesor'!H1012, "")
</f>
        <v/>
      </c>
      <c r="K1012" s="84" t="str">
        <f t="array" ref="K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Asesor'!K1012, "")
</f>
        <v/>
      </c>
      <c r="L1012" s="84" t="str">
        <f t="array" ref="L1012">IF(OR(
    AND('BD Asesor'!H1012="Mensual", MATCH($B$2, {"Enero", "Febrero", "Marzo", "Abril", "Mayo", "Junio", "Julio", "Agosto", "Septiembre", "Octubre", "Noviembre", "Diciembre"}, 0)&gt;=1),
    AND('BD Asesor'!H1012="Trimestral", MOD(MATCH($B$2, {"Enero", "Febrero", "Marzo", "Abril", "Mayo", "Junio", "Julio", "Agosto", "Septiembre", "Octubre", "Noviembre"}, 0)-MONTH('BD Asesor'!D1012), 3)=0),
    AND('BD Asesor'!H1012="Semestral", MOD(MATCH($B$2, {"Enero", "Febrero", "Marzo", "Abril", "Mayo", "Junio", "Julio", "Agosto", "Septiembre", "Octubre", "Noviembre"}, 0)-MONTH('BD Asesor'!D1012), 6)=0),
    AND('BD Asesor'!H1012="Anual", MONTH('BD Asesor'!D1012)=MATCH($B$2, {"Enero", "Febrero", "Marzo", "Abril", "Mayo", "Junio", "Julio", "Agosto", "Septiembre", "Octubre", "Noviembre"}, 0))
), 'BD Asesor'!L1012, "")
</f>
        <v/>
      </c>
    </row>
    <row r="1013">
      <c r="C1013" s="84" t="str">
        <f t="array" ref="C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Asesor'!A1013, "")
</f>
        <v/>
      </c>
      <c r="D1013" s="84" t="str">
        <f t="array" ref="D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Asesor'!B1013, "")
</f>
        <v/>
      </c>
      <c r="E1013" s="212" t="str">
        <f t="array" ref="E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Asesor'!C1013, "")
</f>
        <v/>
      </c>
      <c r="F1013" s="212" t="str">
        <f t="array" ref="F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Asesor'!D1013, "")
</f>
        <v/>
      </c>
      <c r="G1013" s="212" t="str">
        <f t="array" ref="G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Asesor'!E1013, "")
</f>
        <v/>
      </c>
      <c r="H1013" s="84" t="str">
        <f t="array" ref="H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Asesor'!F1013, "")
</f>
        <v/>
      </c>
      <c r="I1013" s="84" t="str">
        <f t="array" ref="I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Asesor'!G1013, "")
</f>
        <v/>
      </c>
      <c r="J1013" s="84" t="str">
        <f t="array" ref="J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Asesor'!H1013, "")
</f>
        <v/>
      </c>
      <c r="K1013" s="84" t="str">
        <f t="array" ref="K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Asesor'!K1013, "")
</f>
        <v/>
      </c>
      <c r="L1013" s="84" t="str">
        <f t="array" ref="L1013">IF(OR(
    AND('BD Asesor'!H1013="Mensual", MATCH($B$2, {"Enero", "Febrero", "Marzo", "Abril", "Mayo", "Junio", "Julio", "Agosto", "Septiembre", "Octubre", "Noviembre", "Diciembre"}, 0)&gt;=1),
    AND('BD Asesor'!H1013="Trimestral", MOD(MATCH($B$2, {"Enero", "Febrero", "Marzo", "Abril", "Mayo", "Junio", "Julio", "Agosto", "Septiembre", "Octubre", "Noviembre"}, 0)-MONTH('BD Asesor'!D1013), 3)=0),
    AND('BD Asesor'!H1013="Semestral", MOD(MATCH($B$2, {"Enero", "Febrero", "Marzo", "Abril", "Mayo", "Junio", "Julio", "Agosto", "Septiembre", "Octubre", "Noviembre"}, 0)-MONTH('BD Asesor'!D1013), 6)=0),
    AND('BD Asesor'!H1013="Anual", MONTH('BD Asesor'!D1013)=MATCH($B$2, {"Enero", "Febrero", "Marzo", "Abril", "Mayo", "Junio", "Julio", "Agosto", "Septiembre", "Octubre", "Noviembre"}, 0))
), 'BD Asesor'!L1013, "")
</f>
        <v/>
      </c>
    </row>
    <row r="1014">
      <c r="C1014" s="84" t="str">
        <f t="array" ref="C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Asesor'!A1014, "")
</f>
        <v/>
      </c>
      <c r="D1014" s="84" t="str">
        <f t="array" ref="D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Asesor'!B1014, "")
</f>
        <v/>
      </c>
      <c r="E1014" s="212" t="str">
        <f t="array" ref="E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Asesor'!C1014, "")
</f>
        <v/>
      </c>
      <c r="F1014" s="212" t="str">
        <f t="array" ref="F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Asesor'!D1014, "")
</f>
        <v/>
      </c>
      <c r="G1014" s="212" t="str">
        <f t="array" ref="G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Asesor'!E1014, "")
</f>
        <v/>
      </c>
      <c r="H1014" s="84" t="str">
        <f t="array" ref="H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Asesor'!F1014, "")
</f>
        <v/>
      </c>
      <c r="I1014" s="84" t="str">
        <f t="array" ref="I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Asesor'!G1014, "")
</f>
        <v/>
      </c>
      <c r="J1014" s="84" t="str">
        <f t="array" ref="J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Asesor'!H1014, "")
</f>
        <v/>
      </c>
      <c r="K1014" s="84" t="str">
        <f t="array" ref="K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Asesor'!K1014, "")
</f>
        <v/>
      </c>
      <c r="L1014" s="84" t="str">
        <f t="array" ref="L1014">IF(OR(
    AND('BD Asesor'!H1014="Mensual", MATCH($B$2, {"Enero", "Febrero", "Marzo", "Abril", "Mayo", "Junio", "Julio", "Agosto", "Septiembre", "Octubre", "Noviembre", "Diciembre"}, 0)&gt;=1),
    AND('BD Asesor'!H1014="Trimestral", MOD(MATCH($B$2, {"Enero", "Febrero", "Marzo", "Abril", "Mayo", "Junio", "Julio", "Agosto", "Septiembre", "Octubre", "Noviembre"}, 0)-MONTH('BD Asesor'!D1014), 3)=0),
    AND('BD Asesor'!H1014="Semestral", MOD(MATCH($B$2, {"Enero", "Febrero", "Marzo", "Abril", "Mayo", "Junio", "Julio", "Agosto", "Septiembre", "Octubre", "Noviembre"}, 0)-MONTH('BD Asesor'!D1014), 6)=0),
    AND('BD Asesor'!H1014="Anual", MONTH('BD Asesor'!D1014)=MATCH($B$2, {"Enero", "Febrero", "Marzo", "Abril", "Mayo", "Junio", "Julio", "Agosto", "Septiembre", "Octubre", "Noviembre"}, 0))
), 'BD Asesor'!L1014, "")
</f>
        <v/>
      </c>
    </row>
    <row r="1015">
      <c r="C1015" s="84" t="str">
        <f t="array" ref="C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Asesor'!A1015, "")
</f>
        <v/>
      </c>
      <c r="D1015" s="84" t="str">
        <f t="array" ref="D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Asesor'!B1015, "")
</f>
        <v/>
      </c>
      <c r="E1015" s="212" t="str">
        <f t="array" ref="E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Asesor'!C1015, "")
</f>
        <v/>
      </c>
      <c r="F1015" s="212" t="str">
        <f t="array" ref="F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Asesor'!D1015, "")
</f>
        <v/>
      </c>
      <c r="G1015" s="212" t="str">
        <f t="array" ref="G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Asesor'!E1015, "")
</f>
        <v/>
      </c>
      <c r="H1015" s="84" t="str">
        <f t="array" ref="H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Asesor'!F1015, "")
</f>
        <v/>
      </c>
      <c r="I1015" s="84" t="str">
        <f t="array" ref="I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Asesor'!G1015, "")
</f>
        <v/>
      </c>
      <c r="J1015" s="84" t="str">
        <f t="array" ref="J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Asesor'!H1015, "")
</f>
        <v/>
      </c>
      <c r="K1015" s="84" t="str">
        <f t="array" ref="K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Asesor'!K1015, "")
</f>
        <v/>
      </c>
      <c r="L1015" s="84" t="str">
        <f t="array" ref="L1015">IF(OR(
    AND('BD Asesor'!H1015="Mensual", MATCH($B$2, {"Enero", "Febrero", "Marzo", "Abril", "Mayo", "Junio", "Julio", "Agosto", "Septiembre", "Octubre", "Noviembre", "Diciembre"}, 0)&gt;=1),
    AND('BD Asesor'!H1015="Trimestral", MOD(MATCH($B$2, {"Enero", "Febrero", "Marzo", "Abril", "Mayo", "Junio", "Julio", "Agosto", "Septiembre", "Octubre", "Noviembre"}, 0)-MONTH('BD Asesor'!D1015), 3)=0),
    AND('BD Asesor'!H1015="Semestral", MOD(MATCH($B$2, {"Enero", "Febrero", "Marzo", "Abril", "Mayo", "Junio", "Julio", "Agosto", "Septiembre", "Octubre", "Noviembre"}, 0)-MONTH('BD Asesor'!D1015), 6)=0),
    AND('BD Asesor'!H1015="Anual", MONTH('BD Asesor'!D1015)=MATCH($B$2, {"Enero", "Febrero", "Marzo", "Abril", "Mayo", "Junio", "Julio", "Agosto", "Septiembre", "Octubre", "Noviembre"}, 0))
), 'BD Asesor'!L1015, "")
</f>
        <v/>
      </c>
    </row>
    <row r="1016">
      <c r="C1016" s="84" t="str">
        <f t="array" ref="C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Asesor'!A1016, "")
</f>
        <v/>
      </c>
      <c r="D1016" s="84" t="str">
        <f t="array" ref="D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Asesor'!B1016, "")
</f>
        <v/>
      </c>
      <c r="E1016" s="212" t="str">
        <f t="array" ref="E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Asesor'!C1016, "")
</f>
        <v/>
      </c>
      <c r="F1016" s="212" t="str">
        <f t="array" ref="F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Asesor'!D1016, "")
</f>
        <v/>
      </c>
      <c r="G1016" s="212" t="str">
        <f t="array" ref="G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Asesor'!E1016, "")
</f>
        <v/>
      </c>
      <c r="H1016" s="84" t="str">
        <f t="array" ref="H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Asesor'!F1016, "")
</f>
        <v/>
      </c>
      <c r="I1016" s="84" t="str">
        <f t="array" ref="I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Asesor'!G1016, "")
</f>
        <v/>
      </c>
      <c r="J1016" s="84" t="str">
        <f t="array" ref="J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Asesor'!H1016, "")
</f>
        <v/>
      </c>
      <c r="K1016" s="84" t="str">
        <f t="array" ref="K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Asesor'!K1016, "")
</f>
        <v/>
      </c>
      <c r="L1016" s="84" t="str">
        <f t="array" ref="L1016">IF(OR(
    AND('BD Asesor'!H1016="Mensual", MATCH($B$2, {"Enero", "Febrero", "Marzo", "Abril", "Mayo", "Junio", "Julio", "Agosto", "Septiembre", "Octubre", "Noviembre", "Diciembre"}, 0)&gt;=1),
    AND('BD Asesor'!H1016="Trimestral", MOD(MATCH($B$2, {"Enero", "Febrero", "Marzo", "Abril", "Mayo", "Junio", "Julio", "Agosto", "Septiembre", "Octubre", "Noviembre"}, 0)-MONTH('BD Asesor'!D1016), 3)=0),
    AND('BD Asesor'!H1016="Semestral", MOD(MATCH($B$2, {"Enero", "Febrero", "Marzo", "Abril", "Mayo", "Junio", "Julio", "Agosto", "Septiembre", "Octubre", "Noviembre"}, 0)-MONTH('BD Asesor'!D1016), 6)=0),
    AND('BD Asesor'!H1016="Anual", MONTH('BD Asesor'!D1016)=MATCH($B$2, {"Enero", "Febrero", "Marzo", "Abril", "Mayo", "Junio", "Julio", "Agosto", "Septiembre", "Octubre", "Noviembre"}, 0))
), 'BD Asesor'!L1016, "")
</f>
        <v/>
      </c>
    </row>
    <row r="1017">
      <c r="C1017" s="84" t="str">
        <f t="array" ref="C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Asesor'!A1017, "")
</f>
        <v/>
      </c>
      <c r="D1017" s="84" t="str">
        <f t="array" ref="D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Asesor'!B1017, "")
</f>
        <v/>
      </c>
      <c r="E1017" s="212" t="str">
        <f t="array" ref="E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Asesor'!C1017, "")
</f>
        <v/>
      </c>
      <c r="F1017" s="212" t="str">
        <f t="array" ref="F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Asesor'!D1017, "")
</f>
        <v/>
      </c>
      <c r="G1017" s="212" t="str">
        <f t="array" ref="G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Asesor'!E1017, "")
</f>
        <v/>
      </c>
      <c r="H1017" s="84" t="str">
        <f t="array" ref="H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Asesor'!F1017, "")
</f>
        <v/>
      </c>
      <c r="I1017" s="84" t="str">
        <f t="array" ref="I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Asesor'!G1017, "")
</f>
        <v/>
      </c>
      <c r="J1017" s="84" t="str">
        <f t="array" ref="J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Asesor'!H1017, "")
</f>
        <v/>
      </c>
      <c r="K1017" s="84" t="str">
        <f t="array" ref="K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Asesor'!K1017, "")
</f>
        <v/>
      </c>
      <c r="L1017" s="84" t="str">
        <f t="array" ref="L1017">IF(OR(
    AND('BD Asesor'!H1017="Mensual", MATCH($B$2, {"Enero", "Febrero", "Marzo", "Abril", "Mayo", "Junio", "Julio", "Agosto", "Septiembre", "Octubre", "Noviembre", "Diciembre"}, 0)&gt;=1),
    AND('BD Asesor'!H1017="Trimestral", MOD(MATCH($B$2, {"Enero", "Febrero", "Marzo", "Abril", "Mayo", "Junio", "Julio", "Agosto", "Septiembre", "Octubre", "Noviembre"}, 0)-MONTH('BD Asesor'!D1017), 3)=0),
    AND('BD Asesor'!H1017="Semestral", MOD(MATCH($B$2, {"Enero", "Febrero", "Marzo", "Abril", "Mayo", "Junio", "Julio", "Agosto", "Septiembre", "Octubre", "Noviembre"}, 0)-MONTH('BD Asesor'!D1017), 6)=0),
    AND('BD Asesor'!H1017="Anual", MONTH('BD Asesor'!D1017)=MATCH($B$2, {"Enero", "Febrero", "Marzo", "Abril", "Mayo", "Junio", "Julio", "Agosto", "Septiembre", "Octubre", "Noviembre"}, 0))
), 'BD Asesor'!L1017, "")
</f>
        <v/>
      </c>
    </row>
    <row r="1018">
      <c r="C1018" s="84" t="str">
        <f t="array" ref="C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Asesor'!A1018, "")
</f>
        <v/>
      </c>
      <c r="D1018" s="84" t="str">
        <f t="array" ref="D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Asesor'!B1018, "")
</f>
        <v/>
      </c>
      <c r="E1018" s="212" t="str">
        <f t="array" ref="E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Asesor'!C1018, "")
</f>
        <v/>
      </c>
      <c r="F1018" s="212" t="str">
        <f t="array" ref="F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Asesor'!D1018, "")
</f>
        <v/>
      </c>
      <c r="G1018" s="212" t="str">
        <f t="array" ref="G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Asesor'!E1018, "")
</f>
        <v/>
      </c>
      <c r="H1018" s="84" t="str">
        <f t="array" ref="H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Asesor'!F1018, "")
</f>
        <v/>
      </c>
      <c r="I1018" s="84" t="str">
        <f t="array" ref="I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Asesor'!G1018, "")
</f>
        <v/>
      </c>
      <c r="J1018" s="84" t="str">
        <f t="array" ref="J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Asesor'!H1018, "")
</f>
        <v/>
      </c>
      <c r="K1018" s="84" t="str">
        <f t="array" ref="K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Asesor'!K1018, "")
</f>
        <v/>
      </c>
      <c r="L1018" s="84" t="str">
        <f t="array" ref="L1018">IF(OR(
    AND('BD Asesor'!H1018="Mensual", MATCH($B$2, {"Enero", "Febrero", "Marzo", "Abril", "Mayo", "Junio", "Julio", "Agosto", "Septiembre", "Octubre", "Noviembre", "Diciembre"}, 0)&gt;=1),
    AND('BD Asesor'!H1018="Trimestral", MOD(MATCH($B$2, {"Enero", "Febrero", "Marzo", "Abril", "Mayo", "Junio", "Julio", "Agosto", "Septiembre", "Octubre", "Noviembre"}, 0)-MONTH('BD Asesor'!D1018), 3)=0),
    AND('BD Asesor'!H1018="Semestral", MOD(MATCH($B$2, {"Enero", "Febrero", "Marzo", "Abril", "Mayo", "Junio", "Julio", "Agosto", "Septiembre", "Octubre", "Noviembre"}, 0)-MONTH('BD Asesor'!D1018), 6)=0),
    AND('BD Asesor'!H1018="Anual", MONTH('BD Asesor'!D1018)=MATCH($B$2, {"Enero", "Febrero", "Marzo", "Abril", "Mayo", "Junio", "Julio", "Agosto", "Septiembre", "Octubre", "Noviembre"}, 0))
), 'BD Asesor'!L1018, "")
</f>
        <v/>
      </c>
    </row>
    <row r="1019">
      <c r="C1019" s="84" t="str">
        <f t="array" ref="C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Asesor'!A1019, "")
</f>
        <v/>
      </c>
      <c r="D1019" s="84" t="str">
        <f t="array" ref="D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Asesor'!B1019, "")
</f>
        <v/>
      </c>
      <c r="E1019" s="212" t="str">
        <f t="array" ref="E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Asesor'!C1019, "")
</f>
        <v/>
      </c>
      <c r="F1019" s="212" t="str">
        <f t="array" ref="F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Asesor'!D1019, "")
</f>
        <v/>
      </c>
      <c r="G1019" s="212" t="str">
        <f t="array" ref="G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Asesor'!E1019, "")
</f>
        <v/>
      </c>
      <c r="H1019" s="84" t="str">
        <f t="array" ref="H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Asesor'!F1019, "")
</f>
        <v/>
      </c>
      <c r="I1019" s="84" t="str">
        <f t="array" ref="I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Asesor'!G1019, "")
</f>
        <v/>
      </c>
      <c r="J1019" s="84" t="str">
        <f t="array" ref="J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Asesor'!H1019, "")
</f>
        <v/>
      </c>
      <c r="K1019" s="84" t="str">
        <f t="array" ref="K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Asesor'!K1019, "")
</f>
        <v/>
      </c>
      <c r="L1019" s="84" t="str">
        <f t="array" ref="L1019">IF(OR(
    AND('BD Asesor'!H1019="Mensual", MATCH($B$2, {"Enero", "Febrero", "Marzo", "Abril", "Mayo", "Junio", "Julio", "Agosto", "Septiembre", "Octubre", "Noviembre", "Diciembre"}, 0)&gt;=1),
    AND('BD Asesor'!H1019="Trimestral", MOD(MATCH($B$2, {"Enero", "Febrero", "Marzo", "Abril", "Mayo", "Junio", "Julio", "Agosto", "Septiembre", "Octubre", "Noviembre"}, 0)-MONTH('BD Asesor'!D1019), 3)=0),
    AND('BD Asesor'!H1019="Semestral", MOD(MATCH($B$2, {"Enero", "Febrero", "Marzo", "Abril", "Mayo", "Junio", "Julio", "Agosto", "Septiembre", "Octubre", "Noviembre"}, 0)-MONTH('BD Asesor'!D1019), 6)=0),
    AND('BD Asesor'!H1019="Anual", MONTH('BD Asesor'!D1019)=MATCH($B$2, {"Enero", "Febrero", "Marzo", "Abril", "Mayo", "Junio", "Julio", "Agosto", "Septiembre", "Octubre", "Noviembre"}, 0))
), 'BD Asesor'!L1019, "")
</f>
        <v/>
      </c>
    </row>
    <row r="1020">
      <c r="C1020" s="84" t="str">
        <f t="array" ref="C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Asesor'!A1020, "")
</f>
        <v/>
      </c>
      <c r="D1020" s="84" t="str">
        <f t="array" ref="D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Asesor'!B1020, "")
</f>
        <v/>
      </c>
      <c r="E1020" s="212" t="str">
        <f t="array" ref="E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Asesor'!C1020, "")
</f>
        <v/>
      </c>
      <c r="F1020" s="212" t="str">
        <f t="array" ref="F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Asesor'!D1020, "")
</f>
        <v/>
      </c>
      <c r="G1020" s="212" t="str">
        <f t="array" ref="G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Asesor'!E1020, "")
</f>
        <v/>
      </c>
      <c r="H1020" s="84" t="str">
        <f t="array" ref="H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Asesor'!F1020, "")
</f>
        <v/>
      </c>
      <c r="I1020" s="84" t="str">
        <f t="array" ref="I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Asesor'!G1020, "")
</f>
        <v/>
      </c>
      <c r="J1020" s="84" t="str">
        <f t="array" ref="J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Asesor'!H1020, "")
</f>
        <v/>
      </c>
      <c r="K1020" s="84" t="str">
        <f t="array" ref="K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Asesor'!K1020, "")
</f>
        <v/>
      </c>
      <c r="L1020" s="84" t="str">
        <f t="array" ref="L1020">IF(OR(
    AND('BD Asesor'!H1020="Mensual", MATCH($B$2, {"Enero", "Febrero", "Marzo", "Abril", "Mayo", "Junio", "Julio", "Agosto", "Septiembre", "Octubre", "Noviembre", "Diciembre"}, 0)&gt;=1),
    AND('BD Asesor'!H1020="Trimestral", MOD(MATCH($B$2, {"Enero", "Febrero", "Marzo", "Abril", "Mayo", "Junio", "Julio", "Agosto", "Septiembre", "Octubre", "Noviembre"}, 0)-MONTH('BD Asesor'!D1020), 3)=0),
    AND('BD Asesor'!H1020="Semestral", MOD(MATCH($B$2, {"Enero", "Febrero", "Marzo", "Abril", "Mayo", "Junio", "Julio", "Agosto", "Septiembre", "Octubre", "Noviembre"}, 0)-MONTH('BD Asesor'!D1020), 6)=0),
    AND('BD Asesor'!H1020="Anual", MONTH('BD Asesor'!D1020)=MATCH($B$2, {"Enero", "Febrero", "Marzo", "Abril", "Mayo", "Junio", "Julio", "Agosto", "Septiembre", "Octubre", "Noviembre"}, 0))
), 'BD Asesor'!L1020, "")
</f>
        <v/>
      </c>
    </row>
    <row r="1021">
      <c r="C1021" s="84" t="str">
        <f t="array" ref="C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Asesor'!A1021, "")
</f>
        <v/>
      </c>
      <c r="D1021" s="84" t="str">
        <f t="array" ref="D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Asesor'!B1021, "")
</f>
        <v/>
      </c>
      <c r="E1021" s="212" t="str">
        <f t="array" ref="E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Asesor'!C1021, "")
</f>
        <v/>
      </c>
      <c r="F1021" s="212" t="str">
        <f t="array" ref="F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Asesor'!D1021, "")
</f>
        <v/>
      </c>
      <c r="G1021" s="212" t="str">
        <f t="array" ref="G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Asesor'!E1021, "")
</f>
        <v/>
      </c>
      <c r="H1021" s="84" t="str">
        <f t="array" ref="H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Asesor'!F1021, "")
</f>
        <v/>
      </c>
      <c r="I1021" s="84" t="str">
        <f t="array" ref="I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Asesor'!G1021, "")
</f>
        <v/>
      </c>
      <c r="J1021" s="84" t="str">
        <f t="array" ref="J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Asesor'!H1021, "")
</f>
        <v/>
      </c>
      <c r="K1021" s="84" t="str">
        <f t="array" ref="K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Asesor'!K1021, "")
</f>
        <v/>
      </c>
      <c r="L1021" s="84" t="str">
        <f t="array" ref="L1021">IF(OR(
    AND('BD Asesor'!H1021="Mensual", MATCH($B$2, {"Enero", "Febrero", "Marzo", "Abril", "Mayo", "Junio", "Julio", "Agosto", "Septiembre", "Octubre", "Noviembre", "Diciembre"}, 0)&gt;=1),
    AND('BD Asesor'!H1021="Trimestral", MOD(MATCH($B$2, {"Enero", "Febrero", "Marzo", "Abril", "Mayo", "Junio", "Julio", "Agosto", "Septiembre", "Octubre", "Noviembre"}, 0)-MONTH('BD Asesor'!D1021), 3)=0),
    AND('BD Asesor'!H1021="Semestral", MOD(MATCH($B$2, {"Enero", "Febrero", "Marzo", "Abril", "Mayo", "Junio", "Julio", "Agosto", "Septiembre", "Octubre", "Noviembre"}, 0)-MONTH('BD Asesor'!D1021), 6)=0),
    AND('BD Asesor'!H1021="Anual", MONTH('BD Asesor'!D1021)=MATCH($B$2, {"Enero", "Febrero", "Marzo", "Abril", "Mayo", "Junio", "Julio", "Agosto", "Septiembre", "Octubre", "Noviembre"}, 0))
), 'BD Asesor'!L1021, "")
</f>
        <v/>
      </c>
    </row>
    <row r="1022">
      <c r="C1022" s="84" t="str">
        <f t="array" ref="C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Asesor'!A1022, "")
</f>
        <v/>
      </c>
      <c r="D1022" s="84" t="str">
        <f t="array" ref="D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Asesor'!B1022, "")
</f>
        <v/>
      </c>
      <c r="E1022" s="212" t="str">
        <f t="array" ref="E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Asesor'!C1022, "")
</f>
        <v/>
      </c>
      <c r="F1022" s="212" t="str">
        <f t="array" ref="F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Asesor'!D1022, "")
</f>
        <v/>
      </c>
      <c r="G1022" s="212" t="str">
        <f t="array" ref="G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Asesor'!E1022, "")
</f>
        <v/>
      </c>
      <c r="H1022" s="84" t="str">
        <f t="array" ref="H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Asesor'!F1022, "")
</f>
        <v/>
      </c>
      <c r="I1022" s="84" t="str">
        <f t="array" ref="I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Asesor'!G1022, "")
</f>
        <v/>
      </c>
      <c r="J1022" s="84" t="str">
        <f t="array" ref="J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Asesor'!H1022, "")
</f>
        <v/>
      </c>
      <c r="K1022" s="84" t="str">
        <f t="array" ref="K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Asesor'!K1022, "")
</f>
        <v/>
      </c>
      <c r="L1022" s="84" t="str">
        <f t="array" ref="L1022">IF(OR(
    AND('BD Asesor'!H1022="Mensual", MATCH($B$2, {"Enero", "Febrero", "Marzo", "Abril", "Mayo", "Junio", "Julio", "Agosto", "Septiembre", "Octubre", "Noviembre", "Diciembre"}, 0)&gt;=1),
    AND('BD Asesor'!H1022="Trimestral", MOD(MATCH($B$2, {"Enero", "Febrero", "Marzo", "Abril", "Mayo", "Junio", "Julio", "Agosto", "Septiembre", "Octubre", "Noviembre"}, 0)-MONTH('BD Asesor'!D1022), 3)=0),
    AND('BD Asesor'!H1022="Semestral", MOD(MATCH($B$2, {"Enero", "Febrero", "Marzo", "Abril", "Mayo", "Junio", "Julio", "Agosto", "Septiembre", "Octubre", "Noviembre"}, 0)-MONTH('BD Asesor'!D1022), 6)=0),
    AND('BD Asesor'!H1022="Anual", MONTH('BD Asesor'!D1022)=MATCH($B$2, {"Enero", "Febrero", "Marzo", "Abril", "Mayo", "Junio", "Julio", "Agosto", "Septiembre", "Octubre", "Noviembre"}, 0))
), 'BD Asesor'!L1022, "")
</f>
        <v/>
      </c>
    </row>
    <row r="1023">
      <c r="C1023" s="84" t="str">
        <f t="array" ref="C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Asesor'!A1023, "")
</f>
        <v/>
      </c>
      <c r="D1023" s="84" t="str">
        <f t="array" ref="D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Asesor'!B1023, "")
</f>
        <v/>
      </c>
      <c r="E1023" s="212" t="str">
        <f t="array" ref="E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Asesor'!C1023, "")
</f>
        <v/>
      </c>
      <c r="F1023" s="212" t="str">
        <f t="array" ref="F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Asesor'!D1023, "")
</f>
        <v/>
      </c>
      <c r="G1023" s="212" t="str">
        <f t="array" ref="G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Asesor'!E1023, "")
</f>
        <v/>
      </c>
      <c r="H1023" s="84" t="str">
        <f t="array" ref="H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Asesor'!F1023, "")
</f>
        <v/>
      </c>
      <c r="I1023" s="84" t="str">
        <f t="array" ref="I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Asesor'!G1023, "")
</f>
        <v/>
      </c>
      <c r="J1023" s="84" t="str">
        <f t="array" ref="J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Asesor'!H1023, "")
</f>
        <v/>
      </c>
      <c r="K1023" s="84" t="str">
        <f t="array" ref="K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Asesor'!K1023, "")
</f>
        <v/>
      </c>
      <c r="L1023" s="84" t="str">
        <f t="array" ref="L1023">IF(OR(
    AND('BD Asesor'!H1023="Mensual", MATCH($B$2, {"Enero", "Febrero", "Marzo", "Abril", "Mayo", "Junio", "Julio", "Agosto", "Septiembre", "Octubre", "Noviembre", "Diciembre"}, 0)&gt;=1),
    AND('BD Asesor'!H1023="Trimestral", MOD(MATCH($B$2, {"Enero", "Febrero", "Marzo", "Abril", "Mayo", "Junio", "Julio", "Agosto", "Septiembre", "Octubre", "Noviembre"}, 0)-MONTH('BD Asesor'!D1023), 3)=0),
    AND('BD Asesor'!H1023="Semestral", MOD(MATCH($B$2, {"Enero", "Febrero", "Marzo", "Abril", "Mayo", "Junio", "Julio", "Agosto", "Septiembre", "Octubre", "Noviembre"}, 0)-MONTH('BD Asesor'!D1023), 6)=0),
    AND('BD Asesor'!H1023="Anual", MONTH('BD Asesor'!D1023)=MATCH($B$2, {"Enero", "Febrero", "Marzo", "Abril", "Mayo", "Junio", "Julio", "Agosto", "Septiembre", "Octubre", "Noviembre"}, 0))
), 'BD Asesor'!L1023, "")
</f>
        <v/>
      </c>
    </row>
    <row r="1024">
      <c r="C1024" s="84" t="str">
        <f t="array" ref="C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Asesor'!A1024, "")
</f>
        <v/>
      </c>
      <c r="D1024" s="84" t="str">
        <f t="array" ref="D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Asesor'!B1024, "")
</f>
        <v/>
      </c>
      <c r="E1024" s="212" t="str">
        <f t="array" ref="E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Asesor'!C1024, "")
</f>
        <v/>
      </c>
      <c r="F1024" s="212" t="str">
        <f t="array" ref="F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Asesor'!D1024, "")
</f>
        <v/>
      </c>
      <c r="G1024" s="212" t="str">
        <f t="array" ref="G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Asesor'!E1024, "")
</f>
        <v/>
      </c>
      <c r="H1024" s="84" t="str">
        <f t="array" ref="H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Asesor'!F1024, "")
</f>
        <v/>
      </c>
      <c r="I1024" s="84" t="str">
        <f t="array" ref="I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Asesor'!G1024, "")
</f>
        <v/>
      </c>
      <c r="J1024" s="84" t="str">
        <f t="array" ref="J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Asesor'!H1024, "")
</f>
        <v/>
      </c>
      <c r="K1024" s="84" t="str">
        <f t="array" ref="K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Asesor'!K1024, "")
</f>
        <v/>
      </c>
      <c r="L1024" s="84" t="str">
        <f t="array" ref="L1024">IF(OR(
    AND('BD Asesor'!H1024="Mensual", MATCH($B$2, {"Enero", "Febrero", "Marzo", "Abril", "Mayo", "Junio", "Julio", "Agosto", "Septiembre", "Octubre", "Noviembre", "Diciembre"}, 0)&gt;=1),
    AND('BD Asesor'!H1024="Trimestral", MOD(MATCH($B$2, {"Enero", "Febrero", "Marzo", "Abril", "Mayo", "Junio", "Julio", "Agosto", "Septiembre", "Octubre", "Noviembre"}, 0)-MONTH('BD Asesor'!D1024), 3)=0),
    AND('BD Asesor'!H1024="Semestral", MOD(MATCH($B$2, {"Enero", "Febrero", "Marzo", "Abril", "Mayo", "Junio", "Julio", "Agosto", "Septiembre", "Octubre", "Noviembre"}, 0)-MONTH('BD Asesor'!D1024), 6)=0),
    AND('BD Asesor'!H1024="Anual", MONTH('BD Asesor'!D1024)=MATCH($B$2, {"Enero", "Febrero", "Marzo", "Abril", "Mayo", "Junio", "Julio", "Agosto", "Septiembre", "Octubre", "Noviembre"}, 0))
), 'BD Asesor'!L1024, "")
</f>
        <v/>
      </c>
    </row>
    <row r="1025">
      <c r="C1025" s="84" t="str">
        <f t="array" ref="C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Asesor'!A1025, "")
</f>
        <v/>
      </c>
      <c r="D1025" s="84" t="str">
        <f t="array" ref="D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Asesor'!B1025, "")
</f>
        <v/>
      </c>
      <c r="E1025" s="212" t="str">
        <f t="array" ref="E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Asesor'!C1025, "")
</f>
        <v/>
      </c>
      <c r="F1025" s="212" t="str">
        <f t="array" ref="F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Asesor'!D1025, "")
</f>
        <v/>
      </c>
      <c r="G1025" s="212" t="str">
        <f t="array" ref="G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Asesor'!E1025, "")
</f>
        <v/>
      </c>
      <c r="H1025" s="84" t="str">
        <f t="array" ref="H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Asesor'!F1025, "")
</f>
        <v/>
      </c>
      <c r="I1025" s="84" t="str">
        <f t="array" ref="I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Asesor'!G1025, "")
</f>
        <v/>
      </c>
      <c r="J1025" s="84" t="str">
        <f t="array" ref="J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Asesor'!H1025, "")
</f>
        <v/>
      </c>
      <c r="K1025" s="84" t="str">
        <f t="array" ref="K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Asesor'!K1025, "")
</f>
        <v/>
      </c>
      <c r="L1025" s="84" t="str">
        <f t="array" ref="L1025">IF(OR(
    AND('BD Asesor'!H1025="Mensual", MATCH($B$2, {"Enero", "Febrero", "Marzo", "Abril", "Mayo", "Junio", "Julio", "Agosto", "Septiembre", "Octubre", "Noviembre", "Diciembre"}, 0)&gt;=1),
    AND('BD Asesor'!H1025="Trimestral", MOD(MATCH($B$2, {"Enero", "Febrero", "Marzo", "Abril", "Mayo", "Junio", "Julio", "Agosto", "Septiembre", "Octubre", "Noviembre"}, 0)-MONTH('BD Asesor'!D1025), 3)=0),
    AND('BD Asesor'!H1025="Semestral", MOD(MATCH($B$2, {"Enero", "Febrero", "Marzo", "Abril", "Mayo", "Junio", "Julio", "Agosto", "Septiembre", "Octubre", "Noviembre"}, 0)-MONTH('BD Asesor'!D1025), 6)=0),
    AND('BD Asesor'!H1025="Anual", MONTH('BD Asesor'!D1025)=MATCH($B$2, {"Enero", "Febrero", "Marzo", "Abril", "Mayo", "Junio", "Julio", "Agosto", "Septiembre", "Octubre", "Noviembre"}, 0))
), 'BD Asesor'!L1025, "")
</f>
        <v/>
      </c>
    </row>
    <row r="1026">
      <c r="C1026" s="84" t="str">
        <f t="array" ref="C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Asesor'!A1026, "")
</f>
        <v/>
      </c>
      <c r="D1026" s="84" t="str">
        <f t="array" ref="D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Asesor'!B1026, "")
</f>
        <v/>
      </c>
      <c r="E1026" s="212" t="str">
        <f t="array" ref="E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Asesor'!C1026, "")
</f>
        <v/>
      </c>
      <c r="F1026" s="212" t="str">
        <f t="array" ref="F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Asesor'!D1026, "")
</f>
        <v/>
      </c>
      <c r="G1026" s="212" t="str">
        <f t="array" ref="G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Asesor'!E1026, "")
</f>
        <v/>
      </c>
      <c r="H1026" s="84" t="str">
        <f t="array" ref="H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Asesor'!F1026, "")
</f>
        <v/>
      </c>
      <c r="I1026" s="84" t="str">
        <f t="array" ref="I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Asesor'!G1026, "")
</f>
        <v/>
      </c>
      <c r="J1026" s="84" t="str">
        <f t="array" ref="J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Asesor'!H1026, "")
</f>
        <v/>
      </c>
      <c r="K1026" s="84" t="str">
        <f t="array" ref="K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Asesor'!K1026, "")
</f>
        <v/>
      </c>
      <c r="L1026" s="84" t="str">
        <f t="array" ref="L1026">IF(OR(
    AND('BD Asesor'!H1026="Mensual", MATCH($B$2, {"Enero", "Febrero", "Marzo", "Abril", "Mayo", "Junio", "Julio", "Agosto", "Septiembre", "Octubre", "Noviembre", "Diciembre"}, 0)&gt;=1),
    AND('BD Asesor'!H1026="Trimestral", MOD(MATCH($B$2, {"Enero", "Febrero", "Marzo", "Abril", "Mayo", "Junio", "Julio", "Agosto", "Septiembre", "Octubre", "Noviembre"}, 0)-MONTH('BD Asesor'!D1026), 3)=0),
    AND('BD Asesor'!H1026="Semestral", MOD(MATCH($B$2, {"Enero", "Febrero", "Marzo", "Abril", "Mayo", "Junio", "Julio", "Agosto", "Septiembre", "Octubre", "Noviembre"}, 0)-MONTH('BD Asesor'!D1026), 6)=0),
    AND('BD Asesor'!H1026="Anual", MONTH('BD Asesor'!D1026)=MATCH($B$2, {"Enero", "Febrero", "Marzo", "Abril", "Mayo", "Junio", "Julio", "Agosto", "Septiembre", "Octubre", "Noviembre"}, 0))
), 'BD Asesor'!L1026, "")
</f>
        <v/>
      </c>
    </row>
    <row r="1027">
      <c r="C1027" s="84" t="str">
        <f t="array" ref="C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Asesor'!A1027, "")
</f>
        <v/>
      </c>
      <c r="D1027" s="84" t="str">
        <f t="array" ref="D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Asesor'!B1027, "")
</f>
        <v/>
      </c>
      <c r="E1027" s="212" t="str">
        <f t="array" ref="E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Asesor'!C1027, "")
</f>
        <v/>
      </c>
      <c r="F1027" s="212" t="str">
        <f t="array" ref="F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Asesor'!D1027, "")
</f>
        <v/>
      </c>
      <c r="G1027" s="212" t="str">
        <f t="array" ref="G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Asesor'!E1027, "")
</f>
        <v/>
      </c>
      <c r="H1027" s="84" t="str">
        <f t="array" ref="H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Asesor'!F1027, "")
</f>
        <v/>
      </c>
      <c r="I1027" s="84" t="str">
        <f t="array" ref="I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Asesor'!G1027, "")
</f>
        <v/>
      </c>
      <c r="J1027" s="84" t="str">
        <f t="array" ref="J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Asesor'!H1027, "")
</f>
        <v/>
      </c>
      <c r="K1027" s="84" t="str">
        <f t="array" ref="K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Asesor'!K1027, "")
</f>
        <v/>
      </c>
      <c r="L1027" s="84" t="str">
        <f t="array" ref="L1027">IF(OR(
    AND('BD Asesor'!H1027="Mensual", MATCH($B$2, {"Enero", "Febrero", "Marzo", "Abril", "Mayo", "Junio", "Julio", "Agosto", "Septiembre", "Octubre", "Noviembre", "Diciembre"}, 0)&gt;=1),
    AND('BD Asesor'!H1027="Trimestral", MOD(MATCH($B$2, {"Enero", "Febrero", "Marzo", "Abril", "Mayo", "Junio", "Julio", "Agosto", "Septiembre", "Octubre", "Noviembre"}, 0)-MONTH('BD Asesor'!D1027), 3)=0),
    AND('BD Asesor'!H1027="Semestral", MOD(MATCH($B$2, {"Enero", "Febrero", "Marzo", "Abril", "Mayo", "Junio", "Julio", "Agosto", "Septiembre", "Octubre", "Noviembre"}, 0)-MONTH('BD Asesor'!D1027), 6)=0),
    AND('BD Asesor'!H1027="Anual", MONTH('BD Asesor'!D1027)=MATCH($B$2, {"Enero", "Febrero", "Marzo", "Abril", "Mayo", "Junio", "Julio", "Agosto", "Septiembre", "Octubre", "Noviembre"}, 0))
), 'BD Asesor'!L1027, "")
</f>
        <v/>
      </c>
    </row>
    <row r="1028">
      <c r="C1028" s="84" t="str">
        <f t="array" ref="C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Asesor'!A1028, "")
</f>
        <v/>
      </c>
      <c r="D1028" s="84" t="str">
        <f t="array" ref="D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Asesor'!B1028, "")
</f>
        <v/>
      </c>
      <c r="E1028" s="212" t="str">
        <f t="array" ref="E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Asesor'!C1028, "")
</f>
        <v/>
      </c>
      <c r="F1028" s="212" t="str">
        <f t="array" ref="F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Asesor'!D1028, "")
</f>
        <v/>
      </c>
      <c r="G1028" s="212" t="str">
        <f t="array" ref="G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Asesor'!E1028, "")
</f>
        <v/>
      </c>
      <c r="H1028" s="84" t="str">
        <f t="array" ref="H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Asesor'!F1028, "")
</f>
        <v/>
      </c>
      <c r="I1028" s="84" t="str">
        <f t="array" ref="I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Asesor'!G1028, "")
</f>
        <v/>
      </c>
      <c r="J1028" s="84" t="str">
        <f t="array" ref="J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Asesor'!H1028, "")
</f>
        <v/>
      </c>
      <c r="K1028" s="84" t="str">
        <f t="array" ref="K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Asesor'!K1028, "")
</f>
        <v/>
      </c>
      <c r="L1028" s="84" t="str">
        <f t="array" ref="L1028">IF(OR(
    AND('BD Asesor'!H1028="Mensual", MATCH($B$2, {"Enero", "Febrero", "Marzo", "Abril", "Mayo", "Junio", "Julio", "Agosto", "Septiembre", "Octubre", "Noviembre", "Diciembre"}, 0)&gt;=1),
    AND('BD Asesor'!H1028="Trimestral", MOD(MATCH($B$2, {"Enero", "Febrero", "Marzo", "Abril", "Mayo", "Junio", "Julio", "Agosto", "Septiembre", "Octubre", "Noviembre"}, 0)-MONTH('BD Asesor'!D1028), 3)=0),
    AND('BD Asesor'!H1028="Semestral", MOD(MATCH($B$2, {"Enero", "Febrero", "Marzo", "Abril", "Mayo", "Junio", "Julio", "Agosto", "Septiembre", "Octubre", "Noviembre"}, 0)-MONTH('BD Asesor'!D1028), 6)=0),
    AND('BD Asesor'!H1028="Anual", MONTH('BD Asesor'!D1028)=MATCH($B$2, {"Enero", "Febrero", "Marzo", "Abril", "Mayo", "Junio", "Julio", "Agosto", "Septiembre", "Octubre", "Noviembre"}, 0))
), 'BD Asesor'!L1028, "")
</f>
        <v/>
      </c>
    </row>
    <row r="1029">
      <c r="C1029" s="84" t="str">
        <f t="array" ref="C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Asesor'!A1029, "")
</f>
        <v/>
      </c>
      <c r="D1029" s="84" t="str">
        <f t="array" ref="D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Asesor'!B1029, "")
</f>
        <v/>
      </c>
      <c r="E1029" s="212" t="str">
        <f t="array" ref="E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Asesor'!C1029, "")
</f>
        <v/>
      </c>
      <c r="F1029" s="212" t="str">
        <f t="array" ref="F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Asesor'!D1029, "")
</f>
        <v/>
      </c>
      <c r="G1029" s="212" t="str">
        <f t="array" ref="G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Asesor'!E1029, "")
</f>
        <v/>
      </c>
      <c r="H1029" s="84" t="str">
        <f t="array" ref="H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Asesor'!F1029, "")
</f>
        <v/>
      </c>
      <c r="I1029" s="84" t="str">
        <f t="array" ref="I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Asesor'!G1029, "")
</f>
        <v/>
      </c>
      <c r="J1029" s="84" t="str">
        <f t="array" ref="J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Asesor'!H1029, "")
</f>
        <v/>
      </c>
      <c r="K1029" s="84" t="str">
        <f t="array" ref="K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Asesor'!K1029, "")
</f>
        <v/>
      </c>
      <c r="L1029" s="84" t="str">
        <f t="array" ref="L1029">IF(OR(
    AND('BD Asesor'!H1029="Mensual", MATCH($B$2, {"Enero", "Febrero", "Marzo", "Abril", "Mayo", "Junio", "Julio", "Agosto", "Septiembre", "Octubre", "Noviembre", "Diciembre"}, 0)&gt;=1),
    AND('BD Asesor'!H1029="Trimestral", MOD(MATCH($B$2, {"Enero", "Febrero", "Marzo", "Abril", "Mayo", "Junio", "Julio", "Agosto", "Septiembre", "Octubre", "Noviembre"}, 0)-MONTH('BD Asesor'!D1029), 3)=0),
    AND('BD Asesor'!H1029="Semestral", MOD(MATCH($B$2, {"Enero", "Febrero", "Marzo", "Abril", "Mayo", "Junio", "Julio", "Agosto", "Septiembre", "Octubre", "Noviembre"}, 0)-MONTH('BD Asesor'!D1029), 6)=0),
    AND('BD Asesor'!H1029="Anual", MONTH('BD Asesor'!D1029)=MATCH($B$2, {"Enero", "Febrero", "Marzo", "Abril", "Mayo", "Junio", "Julio", "Agosto", "Septiembre", "Octubre", "Noviembre"}, 0))
), 'BD Asesor'!L1029, "")
</f>
        <v/>
      </c>
    </row>
    <row r="1030">
      <c r="C1030" s="84" t="str">
        <f t="array" ref="C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Asesor'!A1030, "")
</f>
        <v/>
      </c>
      <c r="D1030" s="84" t="str">
        <f t="array" ref="D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Asesor'!B1030, "")
</f>
        <v/>
      </c>
      <c r="E1030" s="212" t="str">
        <f t="array" ref="E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Asesor'!C1030, "")
</f>
        <v/>
      </c>
      <c r="F1030" s="212" t="str">
        <f t="array" ref="F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Asesor'!D1030, "")
</f>
        <v/>
      </c>
      <c r="G1030" s="212" t="str">
        <f t="array" ref="G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Asesor'!E1030, "")
</f>
        <v/>
      </c>
      <c r="H1030" s="84" t="str">
        <f t="array" ref="H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Asesor'!F1030, "")
</f>
        <v/>
      </c>
      <c r="I1030" s="84" t="str">
        <f t="array" ref="I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Asesor'!G1030, "")
</f>
        <v/>
      </c>
      <c r="J1030" s="84" t="str">
        <f t="array" ref="J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Asesor'!H1030, "")
</f>
        <v/>
      </c>
      <c r="K1030" s="84" t="str">
        <f t="array" ref="K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Asesor'!K1030, "")
</f>
        <v/>
      </c>
      <c r="L1030" s="84" t="str">
        <f t="array" ref="L1030">IF(OR(
    AND('BD Asesor'!H1030="Mensual", MATCH($B$2, {"Enero", "Febrero", "Marzo", "Abril", "Mayo", "Junio", "Julio", "Agosto", "Septiembre", "Octubre", "Noviembre", "Diciembre"}, 0)&gt;=1),
    AND('BD Asesor'!H1030="Trimestral", MOD(MATCH($B$2, {"Enero", "Febrero", "Marzo", "Abril", "Mayo", "Junio", "Julio", "Agosto", "Septiembre", "Octubre", "Noviembre"}, 0)-MONTH('BD Asesor'!D1030), 3)=0),
    AND('BD Asesor'!H1030="Semestral", MOD(MATCH($B$2, {"Enero", "Febrero", "Marzo", "Abril", "Mayo", "Junio", "Julio", "Agosto", "Septiembre", "Octubre", "Noviembre"}, 0)-MONTH('BD Asesor'!D1030), 6)=0),
    AND('BD Asesor'!H1030="Anual", MONTH('BD Asesor'!D1030)=MATCH($B$2, {"Enero", "Febrero", "Marzo", "Abril", "Mayo", "Junio", "Julio", "Agosto", "Septiembre", "Octubre", "Noviembre"}, 0))
), 'BD Asesor'!L1030, "")
</f>
        <v/>
      </c>
    </row>
    <row r="1031">
      <c r="C1031" s="84" t="str">
        <f t="array" ref="C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Asesor'!A1031, "")
</f>
        <v/>
      </c>
      <c r="D1031" s="84" t="str">
        <f t="array" ref="D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Asesor'!B1031, "")
</f>
        <v/>
      </c>
      <c r="E1031" s="212" t="str">
        <f t="array" ref="E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Asesor'!C1031, "")
</f>
        <v/>
      </c>
      <c r="F1031" s="212" t="str">
        <f t="array" ref="F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Asesor'!D1031, "")
</f>
        <v/>
      </c>
      <c r="G1031" s="212" t="str">
        <f t="array" ref="G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Asesor'!E1031, "")
</f>
        <v/>
      </c>
      <c r="H1031" s="84" t="str">
        <f t="array" ref="H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Asesor'!F1031, "")
</f>
        <v/>
      </c>
      <c r="I1031" s="84" t="str">
        <f t="array" ref="I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Asesor'!G1031, "")
</f>
        <v/>
      </c>
      <c r="J1031" s="84" t="str">
        <f t="array" ref="J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Asesor'!H1031, "")
</f>
        <v/>
      </c>
      <c r="K1031" s="84" t="str">
        <f t="array" ref="K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Asesor'!K1031, "")
</f>
        <v/>
      </c>
      <c r="L1031" s="84" t="str">
        <f t="array" ref="L1031">IF(OR(
    AND('BD Asesor'!H1031="Mensual", MATCH($B$2, {"Enero", "Febrero", "Marzo", "Abril", "Mayo", "Junio", "Julio", "Agosto", "Septiembre", "Octubre", "Noviembre", "Diciembre"}, 0)&gt;=1),
    AND('BD Asesor'!H1031="Trimestral", MOD(MATCH($B$2, {"Enero", "Febrero", "Marzo", "Abril", "Mayo", "Junio", "Julio", "Agosto", "Septiembre", "Octubre", "Noviembre"}, 0)-MONTH('BD Asesor'!D1031), 3)=0),
    AND('BD Asesor'!H1031="Semestral", MOD(MATCH($B$2, {"Enero", "Febrero", "Marzo", "Abril", "Mayo", "Junio", "Julio", "Agosto", "Septiembre", "Octubre", "Noviembre"}, 0)-MONTH('BD Asesor'!D1031), 6)=0),
    AND('BD Asesor'!H1031="Anual", MONTH('BD Asesor'!D1031)=MATCH($B$2, {"Enero", "Febrero", "Marzo", "Abril", "Mayo", "Junio", "Julio", "Agosto", "Septiembre", "Octubre", "Noviembre"}, 0))
), 'BD Asesor'!L1031, "")
</f>
        <v/>
      </c>
    </row>
    <row r="1032">
      <c r="C1032" s="84" t="str">
        <f t="array" ref="C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Asesor'!A1032, "")
</f>
        <v/>
      </c>
      <c r="D1032" s="84" t="str">
        <f t="array" ref="D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Asesor'!B1032, "")
</f>
        <v/>
      </c>
      <c r="E1032" s="212" t="str">
        <f t="array" ref="E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Asesor'!C1032, "")
</f>
        <v/>
      </c>
      <c r="F1032" s="212" t="str">
        <f t="array" ref="F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Asesor'!D1032, "")
</f>
        <v/>
      </c>
      <c r="G1032" s="212" t="str">
        <f t="array" ref="G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Asesor'!E1032, "")
</f>
        <v/>
      </c>
      <c r="H1032" s="84" t="str">
        <f t="array" ref="H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Asesor'!F1032, "")
</f>
        <v/>
      </c>
      <c r="I1032" s="84" t="str">
        <f t="array" ref="I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Asesor'!G1032, "")
</f>
        <v/>
      </c>
      <c r="J1032" s="84" t="str">
        <f t="array" ref="J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Asesor'!H1032, "")
</f>
        <v/>
      </c>
      <c r="K1032" s="84" t="str">
        <f t="array" ref="K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Asesor'!K1032, "")
</f>
        <v/>
      </c>
      <c r="L1032" s="84" t="str">
        <f t="array" ref="L1032">IF(OR(
    AND('BD Asesor'!H1032="Mensual", MATCH($B$2, {"Enero", "Febrero", "Marzo", "Abril", "Mayo", "Junio", "Julio", "Agosto", "Septiembre", "Octubre", "Noviembre", "Diciembre"}, 0)&gt;=1),
    AND('BD Asesor'!H1032="Trimestral", MOD(MATCH($B$2, {"Enero", "Febrero", "Marzo", "Abril", "Mayo", "Junio", "Julio", "Agosto", "Septiembre", "Octubre", "Noviembre"}, 0)-MONTH('BD Asesor'!D1032), 3)=0),
    AND('BD Asesor'!H1032="Semestral", MOD(MATCH($B$2, {"Enero", "Febrero", "Marzo", "Abril", "Mayo", "Junio", "Julio", "Agosto", "Septiembre", "Octubre", "Noviembre"}, 0)-MONTH('BD Asesor'!D1032), 6)=0),
    AND('BD Asesor'!H1032="Anual", MONTH('BD Asesor'!D1032)=MATCH($B$2, {"Enero", "Febrero", "Marzo", "Abril", "Mayo", "Junio", "Julio", "Agosto", "Septiembre", "Octubre", "Noviembre"}, 0))
), 'BD Asesor'!L1032, "")
</f>
        <v/>
      </c>
    </row>
    <row r="1033">
      <c r="C1033" s="84" t="str">
        <f t="array" ref="C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Asesor'!A1033, "")
</f>
        <v/>
      </c>
      <c r="D1033" s="84" t="str">
        <f t="array" ref="D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Asesor'!B1033, "")
</f>
        <v/>
      </c>
      <c r="E1033" s="212" t="str">
        <f t="array" ref="E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Asesor'!C1033, "")
</f>
        <v/>
      </c>
      <c r="F1033" s="212" t="str">
        <f t="array" ref="F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Asesor'!D1033, "")
</f>
        <v/>
      </c>
      <c r="G1033" s="212" t="str">
        <f t="array" ref="G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Asesor'!E1033, "")
</f>
        <v/>
      </c>
      <c r="H1033" s="84" t="str">
        <f t="array" ref="H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Asesor'!F1033, "")
</f>
        <v/>
      </c>
      <c r="I1033" s="84" t="str">
        <f t="array" ref="I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Asesor'!G1033, "")
</f>
        <v/>
      </c>
      <c r="J1033" s="84" t="str">
        <f t="array" ref="J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Asesor'!H1033, "")
</f>
        <v/>
      </c>
      <c r="K1033" s="84" t="str">
        <f t="array" ref="K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Asesor'!K1033, "")
</f>
        <v/>
      </c>
      <c r="L1033" s="84" t="str">
        <f t="array" ref="L1033">IF(OR(
    AND('BD Asesor'!H1033="Mensual", MATCH($B$2, {"Enero", "Febrero", "Marzo", "Abril", "Mayo", "Junio", "Julio", "Agosto", "Septiembre", "Octubre", "Noviembre", "Diciembre"}, 0)&gt;=1),
    AND('BD Asesor'!H1033="Trimestral", MOD(MATCH($B$2, {"Enero", "Febrero", "Marzo", "Abril", "Mayo", "Junio", "Julio", "Agosto", "Septiembre", "Octubre", "Noviembre"}, 0)-MONTH('BD Asesor'!D1033), 3)=0),
    AND('BD Asesor'!H1033="Semestral", MOD(MATCH($B$2, {"Enero", "Febrero", "Marzo", "Abril", "Mayo", "Junio", "Julio", "Agosto", "Septiembre", "Octubre", "Noviembre"}, 0)-MONTH('BD Asesor'!D1033), 6)=0),
    AND('BD Asesor'!H1033="Anual", MONTH('BD Asesor'!D1033)=MATCH($B$2, {"Enero", "Febrero", "Marzo", "Abril", "Mayo", "Junio", "Julio", "Agosto", "Septiembre", "Octubre", "Noviembre"}, 0))
), 'BD Asesor'!L1033, "")
</f>
        <v/>
      </c>
    </row>
    <row r="1034">
      <c r="C1034" s="84" t="str">
        <f t="array" ref="C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Asesor'!A1034, "")
</f>
        <v/>
      </c>
      <c r="D1034" s="84" t="str">
        <f t="array" ref="D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Asesor'!B1034, "")
</f>
        <v/>
      </c>
      <c r="E1034" s="212" t="str">
        <f t="array" ref="E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Asesor'!C1034, "")
</f>
        <v/>
      </c>
      <c r="F1034" s="212" t="str">
        <f t="array" ref="F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Asesor'!D1034, "")
</f>
        <v/>
      </c>
      <c r="G1034" s="212" t="str">
        <f t="array" ref="G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Asesor'!E1034, "")
</f>
        <v/>
      </c>
      <c r="H1034" s="84" t="str">
        <f t="array" ref="H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Asesor'!F1034, "")
</f>
        <v/>
      </c>
      <c r="I1034" s="84" t="str">
        <f t="array" ref="I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Asesor'!G1034, "")
</f>
        <v/>
      </c>
      <c r="J1034" s="84" t="str">
        <f t="array" ref="J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Asesor'!H1034, "")
</f>
        <v/>
      </c>
      <c r="K1034" s="84" t="str">
        <f t="array" ref="K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Asesor'!K1034, "")
</f>
        <v/>
      </c>
      <c r="L1034" s="84" t="str">
        <f t="array" ref="L1034">IF(OR(
    AND('BD Asesor'!H1034="Mensual", MATCH($B$2, {"Enero", "Febrero", "Marzo", "Abril", "Mayo", "Junio", "Julio", "Agosto", "Septiembre", "Octubre", "Noviembre", "Diciembre"}, 0)&gt;=1),
    AND('BD Asesor'!H1034="Trimestral", MOD(MATCH($B$2, {"Enero", "Febrero", "Marzo", "Abril", "Mayo", "Junio", "Julio", "Agosto", "Septiembre", "Octubre", "Noviembre"}, 0)-MONTH('BD Asesor'!D1034), 3)=0),
    AND('BD Asesor'!H1034="Semestral", MOD(MATCH($B$2, {"Enero", "Febrero", "Marzo", "Abril", "Mayo", "Junio", "Julio", "Agosto", "Septiembre", "Octubre", "Noviembre"}, 0)-MONTH('BD Asesor'!D1034), 6)=0),
    AND('BD Asesor'!H1034="Anual", MONTH('BD Asesor'!D1034)=MATCH($B$2, {"Enero", "Febrero", "Marzo", "Abril", "Mayo", "Junio", "Julio", "Agosto", "Septiembre", "Octubre", "Noviembre"}, 0))
), 'BD Asesor'!L1034, "")
</f>
        <v/>
      </c>
    </row>
    <row r="1035">
      <c r="C1035" s="84" t="str">
        <f t="array" ref="C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Asesor'!A1035, "")
</f>
        <v/>
      </c>
      <c r="D1035" s="84" t="str">
        <f t="array" ref="D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Asesor'!B1035, "")
</f>
        <v/>
      </c>
      <c r="E1035" s="212" t="str">
        <f t="array" ref="E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Asesor'!C1035, "")
</f>
        <v/>
      </c>
      <c r="F1035" s="212" t="str">
        <f t="array" ref="F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Asesor'!D1035, "")
</f>
        <v/>
      </c>
      <c r="G1035" s="212" t="str">
        <f t="array" ref="G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Asesor'!E1035, "")
</f>
        <v/>
      </c>
      <c r="H1035" s="84" t="str">
        <f t="array" ref="H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Asesor'!F1035, "")
</f>
        <v/>
      </c>
      <c r="I1035" s="84" t="str">
        <f t="array" ref="I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Asesor'!G1035, "")
</f>
        <v/>
      </c>
      <c r="J1035" s="84" t="str">
        <f t="array" ref="J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Asesor'!H1035, "")
</f>
        <v/>
      </c>
      <c r="K1035" s="84" t="str">
        <f t="array" ref="K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Asesor'!K1035, "")
</f>
        <v/>
      </c>
      <c r="L1035" s="84" t="str">
        <f t="array" ref="L1035">IF(OR(
    AND('BD Asesor'!H1035="Mensual", MATCH($B$2, {"Enero", "Febrero", "Marzo", "Abril", "Mayo", "Junio", "Julio", "Agosto", "Septiembre", "Octubre", "Noviembre", "Diciembre"}, 0)&gt;=1),
    AND('BD Asesor'!H1035="Trimestral", MOD(MATCH($B$2, {"Enero", "Febrero", "Marzo", "Abril", "Mayo", "Junio", "Julio", "Agosto", "Septiembre", "Octubre", "Noviembre"}, 0)-MONTH('BD Asesor'!D1035), 3)=0),
    AND('BD Asesor'!H1035="Semestral", MOD(MATCH($B$2, {"Enero", "Febrero", "Marzo", "Abril", "Mayo", "Junio", "Julio", "Agosto", "Septiembre", "Octubre", "Noviembre"}, 0)-MONTH('BD Asesor'!D1035), 6)=0),
    AND('BD Asesor'!H1035="Anual", MONTH('BD Asesor'!D1035)=MATCH($B$2, {"Enero", "Febrero", "Marzo", "Abril", "Mayo", "Junio", "Julio", "Agosto", "Septiembre", "Octubre", "Noviembre"}, 0))
), 'BD Asesor'!L1035, "")
</f>
        <v/>
      </c>
    </row>
    <row r="1036">
      <c r="C1036" s="84" t="str">
        <f t="array" ref="C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Asesor'!A1036, "")
</f>
        <v/>
      </c>
      <c r="D1036" s="84" t="str">
        <f t="array" ref="D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Asesor'!B1036, "")
</f>
        <v/>
      </c>
      <c r="E1036" s="212" t="str">
        <f t="array" ref="E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Asesor'!C1036, "")
</f>
        <v/>
      </c>
      <c r="F1036" s="212" t="str">
        <f t="array" ref="F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Asesor'!D1036, "")
</f>
        <v/>
      </c>
      <c r="G1036" s="212" t="str">
        <f t="array" ref="G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Asesor'!E1036, "")
</f>
        <v/>
      </c>
      <c r="H1036" s="84" t="str">
        <f t="array" ref="H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Asesor'!F1036, "")
</f>
        <v/>
      </c>
      <c r="I1036" s="84" t="str">
        <f t="array" ref="I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Asesor'!G1036, "")
</f>
        <v/>
      </c>
      <c r="J1036" s="84" t="str">
        <f t="array" ref="J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Asesor'!H1036, "")
</f>
        <v/>
      </c>
      <c r="K1036" s="84" t="str">
        <f t="array" ref="K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Asesor'!K1036, "")
</f>
        <v/>
      </c>
      <c r="L1036" s="84" t="str">
        <f t="array" ref="L1036">IF(OR(
    AND('BD Asesor'!H1036="Mensual", MATCH($B$2, {"Enero", "Febrero", "Marzo", "Abril", "Mayo", "Junio", "Julio", "Agosto", "Septiembre", "Octubre", "Noviembre", "Diciembre"}, 0)&gt;=1),
    AND('BD Asesor'!H1036="Trimestral", MOD(MATCH($B$2, {"Enero", "Febrero", "Marzo", "Abril", "Mayo", "Junio", "Julio", "Agosto", "Septiembre", "Octubre", "Noviembre"}, 0)-MONTH('BD Asesor'!D1036), 3)=0),
    AND('BD Asesor'!H1036="Semestral", MOD(MATCH($B$2, {"Enero", "Febrero", "Marzo", "Abril", "Mayo", "Junio", "Julio", "Agosto", "Septiembre", "Octubre", "Noviembre"}, 0)-MONTH('BD Asesor'!D1036), 6)=0),
    AND('BD Asesor'!H1036="Anual", MONTH('BD Asesor'!D1036)=MATCH($B$2, {"Enero", "Febrero", "Marzo", "Abril", "Mayo", "Junio", "Julio", "Agosto", "Septiembre", "Octubre", "Noviembre"}, 0))
), 'BD Asesor'!L1036, "")
</f>
        <v/>
      </c>
    </row>
    <row r="1037">
      <c r="C1037" s="84" t="str">
        <f t="array" ref="C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Asesor'!A1037, "")
</f>
        <v/>
      </c>
      <c r="D1037" s="84" t="str">
        <f t="array" ref="D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Asesor'!B1037, "")
</f>
        <v/>
      </c>
      <c r="E1037" s="212" t="str">
        <f t="array" ref="E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Asesor'!C1037, "")
</f>
        <v/>
      </c>
      <c r="F1037" s="212" t="str">
        <f t="array" ref="F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Asesor'!D1037, "")
</f>
        <v/>
      </c>
      <c r="G1037" s="212" t="str">
        <f t="array" ref="G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Asesor'!E1037, "")
</f>
        <v/>
      </c>
      <c r="H1037" s="84" t="str">
        <f t="array" ref="H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Asesor'!F1037, "")
</f>
        <v/>
      </c>
      <c r="I1037" s="84" t="str">
        <f t="array" ref="I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Asesor'!G1037, "")
</f>
        <v/>
      </c>
      <c r="J1037" s="84" t="str">
        <f t="array" ref="J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Asesor'!H1037, "")
</f>
        <v/>
      </c>
      <c r="K1037" s="84" t="str">
        <f t="array" ref="K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Asesor'!K1037, "")
</f>
        <v/>
      </c>
      <c r="L1037" s="84" t="str">
        <f t="array" ref="L1037">IF(OR(
    AND('BD Asesor'!H1037="Mensual", MATCH($B$2, {"Enero", "Febrero", "Marzo", "Abril", "Mayo", "Junio", "Julio", "Agosto", "Septiembre", "Octubre", "Noviembre", "Diciembre"}, 0)&gt;=1),
    AND('BD Asesor'!H1037="Trimestral", MOD(MATCH($B$2, {"Enero", "Febrero", "Marzo", "Abril", "Mayo", "Junio", "Julio", "Agosto", "Septiembre", "Octubre", "Noviembre"}, 0)-MONTH('BD Asesor'!D1037), 3)=0),
    AND('BD Asesor'!H1037="Semestral", MOD(MATCH($B$2, {"Enero", "Febrero", "Marzo", "Abril", "Mayo", "Junio", "Julio", "Agosto", "Septiembre", "Octubre", "Noviembre"}, 0)-MONTH('BD Asesor'!D1037), 6)=0),
    AND('BD Asesor'!H1037="Anual", MONTH('BD Asesor'!D1037)=MATCH($B$2, {"Enero", "Febrero", "Marzo", "Abril", "Mayo", "Junio", "Julio", "Agosto", "Septiembre", "Octubre", "Noviembre"}, 0))
), 'BD Asesor'!L1037, "")
</f>
        <v/>
      </c>
    </row>
    <row r="1038">
      <c r="C1038" s="84" t="str">
        <f t="array" ref="C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Asesor'!A1038, "")
</f>
        <v/>
      </c>
      <c r="D1038" s="84" t="str">
        <f t="array" ref="D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Asesor'!B1038, "")
</f>
        <v/>
      </c>
      <c r="E1038" s="212" t="str">
        <f t="array" ref="E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Asesor'!C1038, "")
</f>
        <v/>
      </c>
      <c r="F1038" s="212" t="str">
        <f t="array" ref="F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Asesor'!D1038, "")
</f>
        <v/>
      </c>
      <c r="G1038" s="212" t="str">
        <f t="array" ref="G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Asesor'!E1038, "")
</f>
        <v/>
      </c>
      <c r="H1038" s="84" t="str">
        <f t="array" ref="H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Asesor'!F1038, "")
</f>
        <v/>
      </c>
      <c r="I1038" s="84" t="str">
        <f t="array" ref="I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Asesor'!G1038, "")
</f>
        <v/>
      </c>
      <c r="J1038" s="84" t="str">
        <f t="array" ref="J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Asesor'!H1038, "")
</f>
        <v/>
      </c>
      <c r="K1038" s="84" t="str">
        <f t="array" ref="K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Asesor'!K1038, "")
</f>
        <v/>
      </c>
      <c r="L1038" s="84" t="str">
        <f t="array" ref="L1038">IF(OR(
    AND('BD Asesor'!H1038="Mensual", MATCH($B$2, {"Enero", "Febrero", "Marzo", "Abril", "Mayo", "Junio", "Julio", "Agosto", "Septiembre", "Octubre", "Noviembre", "Diciembre"}, 0)&gt;=1),
    AND('BD Asesor'!H1038="Trimestral", MOD(MATCH($B$2, {"Enero", "Febrero", "Marzo", "Abril", "Mayo", "Junio", "Julio", "Agosto", "Septiembre", "Octubre", "Noviembre"}, 0)-MONTH('BD Asesor'!D1038), 3)=0),
    AND('BD Asesor'!H1038="Semestral", MOD(MATCH($B$2, {"Enero", "Febrero", "Marzo", "Abril", "Mayo", "Junio", "Julio", "Agosto", "Septiembre", "Octubre", "Noviembre"}, 0)-MONTH('BD Asesor'!D1038), 6)=0),
    AND('BD Asesor'!H1038="Anual", MONTH('BD Asesor'!D1038)=MATCH($B$2, {"Enero", "Febrero", "Marzo", "Abril", "Mayo", "Junio", "Julio", "Agosto", "Septiembre", "Octubre", "Noviembre"}, 0))
), 'BD Asesor'!L1038, "")
</f>
        <v/>
      </c>
    </row>
    <row r="1039">
      <c r="C1039" s="84" t="str">
        <f t="array" ref="C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Asesor'!A1039, "")
</f>
        <v/>
      </c>
      <c r="D1039" s="84" t="str">
        <f t="array" ref="D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Asesor'!B1039, "")
</f>
        <v/>
      </c>
      <c r="E1039" s="212" t="str">
        <f t="array" ref="E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Asesor'!C1039, "")
</f>
        <v/>
      </c>
      <c r="F1039" s="212" t="str">
        <f t="array" ref="F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Asesor'!D1039, "")
</f>
        <v/>
      </c>
      <c r="G1039" s="212" t="str">
        <f t="array" ref="G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Asesor'!E1039, "")
</f>
        <v/>
      </c>
      <c r="H1039" s="84" t="str">
        <f t="array" ref="H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Asesor'!F1039, "")
</f>
        <v/>
      </c>
      <c r="I1039" s="84" t="str">
        <f t="array" ref="I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Asesor'!G1039, "")
</f>
        <v/>
      </c>
      <c r="J1039" s="84" t="str">
        <f t="array" ref="J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Asesor'!H1039, "")
</f>
        <v/>
      </c>
      <c r="K1039" s="84" t="str">
        <f t="array" ref="K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Asesor'!K1039, "")
</f>
        <v/>
      </c>
      <c r="L1039" s="84" t="str">
        <f t="array" ref="L1039">IF(OR(
    AND('BD Asesor'!H1039="Mensual", MATCH($B$2, {"Enero", "Febrero", "Marzo", "Abril", "Mayo", "Junio", "Julio", "Agosto", "Septiembre", "Octubre", "Noviembre", "Diciembre"}, 0)&gt;=1),
    AND('BD Asesor'!H1039="Trimestral", MOD(MATCH($B$2, {"Enero", "Febrero", "Marzo", "Abril", "Mayo", "Junio", "Julio", "Agosto", "Septiembre", "Octubre", "Noviembre"}, 0)-MONTH('BD Asesor'!D1039), 3)=0),
    AND('BD Asesor'!H1039="Semestral", MOD(MATCH($B$2, {"Enero", "Febrero", "Marzo", "Abril", "Mayo", "Junio", "Julio", "Agosto", "Septiembre", "Octubre", "Noviembre"}, 0)-MONTH('BD Asesor'!D1039), 6)=0),
    AND('BD Asesor'!H1039="Anual", MONTH('BD Asesor'!D1039)=MATCH($B$2, {"Enero", "Febrero", "Marzo", "Abril", "Mayo", "Junio", "Julio", "Agosto", "Septiembre", "Octubre", "Noviembre"}, 0))
), 'BD Asesor'!L1039, "")
</f>
        <v/>
      </c>
    </row>
    <row r="1040">
      <c r="C1040" s="84" t="str">
        <f t="array" ref="C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Asesor'!A1040, "")
</f>
        <v/>
      </c>
      <c r="D1040" s="84" t="str">
        <f t="array" ref="D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Asesor'!B1040, "")
</f>
        <v/>
      </c>
      <c r="E1040" s="212" t="str">
        <f t="array" ref="E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Asesor'!C1040, "")
</f>
        <v/>
      </c>
      <c r="F1040" s="212" t="str">
        <f t="array" ref="F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Asesor'!D1040, "")
</f>
        <v/>
      </c>
      <c r="G1040" s="212" t="str">
        <f t="array" ref="G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Asesor'!E1040, "")
</f>
        <v/>
      </c>
      <c r="H1040" s="84" t="str">
        <f t="array" ref="H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Asesor'!F1040, "")
</f>
        <v/>
      </c>
      <c r="I1040" s="84" t="str">
        <f t="array" ref="I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Asesor'!G1040, "")
</f>
        <v/>
      </c>
      <c r="J1040" s="84" t="str">
        <f t="array" ref="J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Asesor'!H1040, "")
</f>
        <v/>
      </c>
      <c r="K1040" s="84" t="str">
        <f t="array" ref="K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Asesor'!K1040, "")
</f>
        <v/>
      </c>
      <c r="L1040" s="84" t="str">
        <f t="array" ref="L1040">IF(OR(
    AND('BD Asesor'!H1040="Mensual", MATCH($B$2, {"Enero", "Febrero", "Marzo", "Abril", "Mayo", "Junio", "Julio", "Agosto", "Septiembre", "Octubre", "Noviembre", "Diciembre"}, 0)&gt;=1),
    AND('BD Asesor'!H1040="Trimestral", MOD(MATCH($B$2, {"Enero", "Febrero", "Marzo", "Abril", "Mayo", "Junio", "Julio", "Agosto", "Septiembre", "Octubre", "Noviembre"}, 0)-MONTH('BD Asesor'!D1040), 3)=0),
    AND('BD Asesor'!H1040="Semestral", MOD(MATCH($B$2, {"Enero", "Febrero", "Marzo", "Abril", "Mayo", "Junio", "Julio", "Agosto", "Septiembre", "Octubre", "Noviembre"}, 0)-MONTH('BD Asesor'!D1040), 6)=0),
    AND('BD Asesor'!H1040="Anual", MONTH('BD Asesor'!D1040)=MATCH($B$2, {"Enero", "Febrero", "Marzo", "Abril", "Mayo", "Junio", "Julio", "Agosto", "Septiembre", "Octubre", "Noviembre"}, 0))
), 'BD Asesor'!L1040, "")
</f>
        <v/>
      </c>
    </row>
    <row r="1041">
      <c r="C1041" s="84" t="str">
        <f t="array" ref="C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Asesor'!A1041, "")
</f>
        <v/>
      </c>
      <c r="D1041" s="84" t="str">
        <f t="array" ref="D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Asesor'!B1041, "")
</f>
        <v/>
      </c>
      <c r="E1041" s="212" t="str">
        <f t="array" ref="E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Asesor'!C1041, "")
</f>
        <v/>
      </c>
      <c r="F1041" s="212" t="str">
        <f t="array" ref="F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Asesor'!D1041, "")
</f>
        <v/>
      </c>
      <c r="G1041" s="212" t="str">
        <f t="array" ref="G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Asesor'!E1041, "")
</f>
        <v/>
      </c>
      <c r="H1041" s="84" t="str">
        <f t="array" ref="H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Asesor'!F1041, "")
</f>
        <v/>
      </c>
      <c r="I1041" s="84" t="str">
        <f t="array" ref="I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Asesor'!G1041, "")
</f>
        <v/>
      </c>
      <c r="J1041" s="84" t="str">
        <f t="array" ref="J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Asesor'!H1041, "")
</f>
        <v/>
      </c>
      <c r="K1041" s="84" t="str">
        <f t="array" ref="K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Asesor'!K1041, "")
</f>
        <v/>
      </c>
      <c r="L1041" s="84" t="str">
        <f t="array" ref="L1041">IF(OR(
    AND('BD Asesor'!H1041="Mensual", MATCH($B$2, {"Enero", "Febrero", "Marzo", "Abril", "Mayo", "Junio", "Julio", "Agosto", "Septiembre", "Octubre", "Noviembre", "Diciembre"}, 0)&gt;=1),
    AND('BD Asesor'!H1041="Trimestral", MOD(MATCH($B$2, {"Enero", "Febrero", "Marzo", "Abril", "Mayo", "Junio", "Julio", "Agosto", "Septiembre", "Octubre", "Noviembre"}, 0)-MONTH('BD Asesor'!D1041), 3)=0),
    AND('BD Asesor'!H1041="Semestral", MOD(MATCH($B$2, {"Enero", "Febrero", "Marzo", "Abril", "Mayo", "Junio", "Julio", "Agosto", "Septiembre", "Octubre", "Noviembre"}, 0)-MONTH('BD Asesor'!D1041), 6)=0),
    AND('BD Asesor'!H1041="Anual", MONTH('BD Asesor'!D1041)=MATCH($B$2, {"Enero", "Febrero", "Marzo", "Abril", "Mayo", "Junio", "Julio", "Agosto", "Septiembre", "Octubre", "Noviembre"}, 0))
), 'BD Asesor'!L1041, "")
</f>
        <v/>
      </c>
    </row>
    <row r="1042">
      <c r="C1042" s="84" t="str">
        <f t="array" ref="C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Asesor'!A1042, "")
</f>
        <v/>
      </c>
      <c r="D1042" s="84" t="str">
        <f t="array" ref="D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Asesor'!B1042, "")
</f>
        <v/>
      </c>
      <c r="E1042" s="212" t="str">
        <f t="array" ref="E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Asesor'!C1042, "")
</f>
        <v/>
      </c>
      <c r="F1042" s="212" t="str">
        <f t="array" ref="F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Asesor'!D1042, "")
</f>
        <v/>
      </c>
      <c r="G1042" s="212" t="str">
        <f t="array" ref="G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Asesor'!E1042, "")
</f>
        <v/>
      </c>
      <c r="H1042" s="84" t="str">
        <f t="array" ref="H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Asesor'!F1042, "")
</f>
        <v/>
      </c>
      <c r="I1042" s="84" t="str">
        <f t="array" ref="I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Asesor'!G1042, "")
</f>
        <v/>
      </c>
      <c r="J1042" s="84" t="str">
        <f t="array" ref="J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Asesor'!H1042, "")
</f>
        <v/>
      </c>
      <c r="K1042" s="84" t="str">
        <f t="array" ref="K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Asesor'!K1042, "")
</f>
        <v/>
      </c>
      <c r="L1042" s="84" t="str">
        <f t="array" ref="L1042">IF(OR(
    AND('BD Asesor'!H1042="Mensual", MATCH($B$2, {"Enero", "Febrero", "Marzo", "Abril", "Mayo", "Junio", "Julio", "Agosto", "Septiembre", "Octubre", "Noviembre", "Diciembre"}, 0)&gt;=1),
    AND('BD Asesor'!H1042="Trimestral", MOD(MATCH($B$2, {"Enero", "Febrero", "Marzo", "Abril", "Mayo", "Junio", "Julio", "Agosto", "Septiembre", "Octubre", "Noviembre"}, 0)-MONTH('BD Asesor'!D1042), 3)=0),
    AND('BD Asesor'!H1042="Semestral", MOD(MATCH($B$2, {"Enero", "Febrero", "Marzo", "Abril", "Mayo", "Junio", "Julio", "Agosto", "Septiembre", "Octubre", "Noviembre"}, 0)-MONTH('BD Asesor'!D1042), 6)=0),
    AND('BD Asesor'!H1042="Anual", MONTH('BD Asesor'!D1042)=MATCH($B$2, {"Enero", "Febrero", "Marzo", "Abril", "Mayo", "Junio", "Julio", "Agosto", "Septiembre", "Octubre", "Noviembre"}, 0))
), 'BD Asesor'!L1042, "")
</f>
        <v/>
      </c>
    </row>
    <row r="1043">
      <c r="C1043" s="84" t="str">
        <f t="array" ref="C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Asesor'!A1043, "")
</f>
        <v/>
      </c>
      <c r="D1043" s="84" t="str">
        <f t="array" ref="D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Asesor'!B1043, "")
</f>
        <v/>
      </c>
      <c r="E1043" s="212" t="str">
        <f t="array" ref="E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Asesor'!C1043, "")
</f>
        <v/>
      </c>
      <c r="F1043" s="212" t="str">
        <f t="array" ref="F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Asesor'!D1043, "")
</f>
        <v/>
      </c>
      <c r="G1043" s="212" t="str">
        <f t="array" ref="G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Asesor'!E1043, "")
</f>
        <v/>
      </c>
      <c r="H1043" s="84" t="str">
        <f t="array" ref="H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Asesor'!F1043, "")
</f>
        <v/>
      </c>
      <c r="I1043" s="84" t="str">
        <f t="array" ref="I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Asesor'!G1043, "")
</f>
        <v/>
      </c>
      <c r="J1043" s="84" t="str">
        <f t="array" ref="J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Asesor'!H1043, "")
</f>
        <v/>
      </c>
      <c r="K1043" s="84" t="str">
        <f t="array" ref="K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Asesor'!K1043, "")
</f>
        <v/>
      </c>
      <c r="L1043" s="84" t="str">
        <f t="array" ref="L1043">IF(OR(
    AND('BD Asesor'!H1043="Mensual", MATCH($B$2, {"Enero", "Febrero", "Marzo", "Abril", "Mayo", "Junio", "Julio", "Agosto", "Septiembre", "Octubre", "Noviembre", "Diciembre"}, 0)&gt;=1),
    AND('BD Asesor'!H1043="Trimestral", MOD(MATCH($B$2, {"Enero", "Febrero", "Marzo", "Abril", "Mayo", "Junio", "Julio", "Agosto", "Septiembre", "Octubre", "Noviembre"}, 0)-MONTH('BD Asesor'!D1043), 3)=0),
    AND('BD Asesor'!H1043="Semestral", MOD(MATCH($B$2, {"Enero", "Febrero", "Marzo", "Abril", "Mayo", "Junio", "Julio", "Agosto", "Septiembre", "Octubre", "Noviembre"}, 0)-MONTH('BD Asesor'!D1043), 6)=0),
    AND('BD Asesor'!H1043="Anual", MONTH('BD Asesor'!D1043)=MATCH($B$2, {"Enero", "Febrero", "Marzo", "Abril", "Mayo", "Junio", "Julio", "Agosto", "Septiembre", "Octubre", "Noviembre"}, 0))
), 'BD Asesor'!L1043, "")
</f>
        <v/>
      </c>
    </row>
    <row r="1044">
      <c r="C1044" s="84" t="str">
        <f t="array" ref="C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Asesor'!A1044, "")
</f>
        <v/>
      </c>
      <c r="D1044" s="84" t="str">
        <f t="array" ref="D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Asesor'!B1044, "")
</f>
        <v/>
      </c>
      <c r="E1044" s="212" t="str">
        <f t="array" ref="E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Asesor'!C1044, "")
</f>
        <v/>
      </c>
      <c r="F1044" s="212" t="str">
        <f t="array" ref="F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Asesor'!D1044, "")
</f>
        <v/>
      </c>
      <c r="G1044" s="212" t="str">
        <f t="array" ref="G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Asesor'!E1044, "")
</f>
        <v/>
      </c>
      <c r="H1044" s="84" t="str">
        <f t="array" ref="H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Asesor'!F1044, "")
</f>
        <v/>
      </c>
      <c r="I1044" s="84" t="str">
        <f t="array" ref="I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Asesor'!G1044, "")
</f>
        <v/>
      </c>
      <c r="J1044" s="84" t="str">
        <f t="array" ref="J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Asesor'!H1044, "")
</f>
        <v/>
      </c>
      <c r="K1044" s="84" t="str">
        <f t="array" ref="K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Asesor'!K1044, "")
</f>
        <v/>
      </c>
      <c r="L1044" s="84" t="str">
        <f t="array" ref="L1044">IF(OR(
    AND('BD Asesor'!H1044="Mensual", MATCH($B$2, {"Enero", "Febrero", "Marzo", "Abril", "Mayo", "Junio", "Julio", "Agosto", "Septiembre", "Octubre", "Noviembre", "Diciembre"}, 0)&gt;=1),
    AND('BD Asesor'!H1044="Trimestral", MOD(MATCH($B$2, {"Enero", "Febrero", "Marzo", "Abril", "Mayo", "Junio", "Julio", "Agosto", "Septiembre", "Octubre", "Noviembre"}, 0)-MONTH('BD Asesor'!D1044), 3)=0),
    AND('BD Asesor'!H1044="Semestral", MOD(MATCH($B$2, {"Enero", "Febrero", "Marzo", "Abril", "Mayo", "Junio", "Julio", "Agosto", "Septiembre", "Octubre", "Noviembre"}, 0)-MONTH('BD Asesor'!D1044), 6)=0),
    AND('BD Asesor'!H1044="Anual", MONTH('BD Asesor'!D1044)=MATCH($B$2, {"Enero", "Febrero", "Marzo", "Abril", "Mayo", "Junio", "Julio", "Agosto", "Septiembre", "Octubre", "Noviembre"}, 0))
), 'BD Asesor'!L1044, "")
</f>
        <v/>
      </c>
    </row>
    <row r="1045">
      <c r="C1045" s="84" t="str">
        <f t="array" ref="C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Asesor'!A1045, "")
</f>
        <v/>
      </c>
      <c r="D1045" s="84" t="str">
        <f t="array" ref="D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Asesor'!B1045, "")
</f>
        <v/>
      </c>
      <c r="E1045" s="212" t="str">
        <f t="array" ref="E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Asesor'!C1045, "")
</f>
        <v/>
      </c>
      <c r="F1045" s="212" t="str">
        <f t="array" ref="F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Asesor'!D1045, "")
</f>
        <v/>
      </c>
      <c r="G1045" s="212" t="str">
        <f t="array" ref="G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Asesor'!E1045, "")
</f>
        <v/>
      </c>
      <c r="H1045" s="84" t="str">
        <f t="array" ref="H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Asesor'!F1045, "")
</f>
        <v/>
      </c>
      <c r="I1045" s="84" t="str">
        <f t="array" ref="I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Asesor'!G1045, "")
</f>
        <v/>
      </c>
      <c r="J1045" s="84" t="str">
        <f t="array" ref="J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Asesor'!H1045, "")
</f>
        <v/>
      </c>
      <c r="K1045" s="84" t="str">
        <f t="array" ref="K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Asesor'!K1045, "")
</f>
        <v/>
      </c>
      <c r="L1045" s="84" t="str">
        <f t="array" ref="L1045">IF(OR(
    AND('BD Asesor'!H1045="Mensual", MATCH($B$2, {"Enero", "Febrero", "Marzo", "Abril", "Mayo", "Junio", "Julio", "Agosto", "Septiembre", "Octubre", "Noviembre", "Diciembre"}, 0)&gt;=1),
    AND('BD Asesor'!H1045="Trimestral", MOD(MATCH($B$2, {"Enero", "Febrero", "Marzo", "Abril", "Mayo", "Junio", "Julio", "Agosto", "Septiembre", "Octubre", "Noviembre"}, 0)-MONTH('BD Asesor'!D1045), 3)=0),
    AND('BD Asesor'!H1045="Semestral", MOD(MATCH($B$2, {"Enero", "Febrero", "Marzo", "Abril", "Mayo", "Junio", "Julio", "Agosto", "Septiembre", "Octubre", "Noviembre"}, 0)-MONTH('BD Asesor'!D1045), 6)=0),
    AND('BD Asesor'!H1045="Anual", MONTH('BD Asesor'!D1045)=MATCH($B$2, {"Enero", "Febrero", "Marzo", "Abril", "Mayo", "Junio", "Julio", "Agosto", "Septiembre", "Octubre", "Noviembre"}, 0))
), 'BD Asesor'!L1045, "")
</f>
        <v/>
      </c>
    </row>
    <row r="1046">
      <c r="C1046" s="84" t="str">
        <f t="array" ref="C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Asesor'!A1046, "")
</f>
        <v/>
      </c>
      <c r="D1046" s="84" t="str">
        <f t="array" ref="D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Asesor'!B1046, "")
</f>
        <v/>
      </c>
      <c r="E1046" s="212" t="str">
        <f t="array" ref="E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Asesor'!C1046, "")
</f>
        <v/>
      </c>
      <c r="F1046" s="212" t="str">
        <f t="array" ref="F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Asesor'!D1046, "")
</f>
        <v/>
      </c>
      <c r="G1046" s="212" t="str">
        <f t="array" ref="G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Asesor'!E1046, "")
</f>
        <v/>
      </c>
      <c r="H1046" s="84" t="str">
        <f t="array" ref="H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Asesor'!F1046, "")
</f>
        <v/>
      </c>
      <c r="I1046" s="84" t="str">
        <f t="array" ref="I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Asesor'!G1046, "")
</f>
        <v/>
      </c>
      <c r="J1046" s="84" t="str">
        <f t="array" ref="J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Asesor'!H1046, "")
</f>
        <v/>
      </c>
      <c r="K1046" s="84" t="str">
        <f t="array" ref="K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Asesor'!K1046, "")
</f>
        <v/>
      </c>
      <c r="L1046" s="84" t="str">
        <f t="array" ref="L1046">IF(OR(
    AND('BD Asesor'!H1046="Mensual", MATCH($B$2, {"Enero", "Febrero", "Marzo", "Abril", "Mayo", "Junio", "Julio", "Agosto", "Septiembre", "Octubre", "Noviembre", "Diciembre"}, 0)&gt;=1),
    AND('BD Asesor'!H1046="Trimestral", MOD(MATCH($B$2, {"Enero", "Febrero", "Marzo", "Abril", "Mayo", "Junio", "Julio", "Agosto", "Septiembre", "Octubre", "Noviembre"}, 0)-MONTH('BD Asesor'!D1046), 3)=0),
    AND('BD Asesor'!H1046="Semestral", MOD(MATCH($B$2, {"Enero", "Febrero", "Marzo", "Abril", "Mayo", "Junio", "Julio", "Agosto", "Septiembre", "Octubre", "Noviembre"}, 0)-MONTH('BD Asesor'!D1046), 6)=0),
    AND('BD Asesor'!H1046="Anual", MONTH('BD Asesor'!D1046)=MATCH($B$2, {"Enero", "Febrero", "Marzo", "Abril", "Mayo", "Junio", "Julio", "Agosto", "Septiembre", "Octubre", "Noviembre"}, 0))
), 'BD Asesor'!L1046, "")
</f>
        <v/>
      </c>
    </row>
    <row r="1047">
      <c r="C1047" s="84" t="str">
        <f t="array" ref="C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Asesor'!A1047, "")
</f>
        <v/>
      </c>
      <c r="D1047" s="84" t="str">
        <f t="array" ref="D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Asesor'!B1047, "")
</f>
        <v/>
      </c>
      <c r="E1047" s="212" t="str">
        <f t="array" ref="E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Asesor'!C1047, "")
</f>
        <v/>
      </c>
      <c r="F1047" s="212" t="str">
        <f t="array" ref="F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Asesor'!D1047, "")
</f>
        <v/>
      </c>
      <c r="G1047" s="212" t="str">
        <f t="array" ref="G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Asesor'!E1047, "")
</f>
        <v/>
      </c>
      <c r="H1047" s="84" t="str">
        <f t="array" ref="H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Asesor'!F1047, "")
</f>
        <v/>
      </c>
      <c r="I1047" s="84" t="str">
        <f t="array" ref="I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Asesor'!G1047, "")
</f>
        <v/>
      </c>
      <c r="J1047" s="84" t="str">
        <f t="array" ref="J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Asesor'!H1047, "")
</f>
        <v/>
      </c>
      <c r="K1047" s="84" t="str">
        <f t="array" ref="K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Asesor'!K1047, "")
</f>
        <v/>
      </c>
      <c r="L1047" s="84" t="str">
        <f t="array" ref="L1047">IF(OR(
    AND('BD Asesor'!H1047="Mensual", MATCH($B$2, {"Enero", "Febrero", "Marzo", "Abril", "Mayo", "Junio", "Julio", "Agosto", "Septiembre", "Octubre", "Noviembre", "Diciembre"}, 0)&gt;=1),
    AND('BD Asesor'!H1047="Trimestral", MOD(MATCH($B$2, {"Enero", "Febrero", "Marzo", "Abril", "Mayo", "Junio", "Julio", "Agosto", "Septiembre", "Octubre", "Noviembre"}, 0)-MONTH('BD Asesor'!D1047), 3)=0),
    AND('BD Asesor'!H1047="Semestral", MOD(MATCH($B$2, {"Enero", "Febrero", "Marzo", "Abril", "Mayo", "Junio", "Julio", "Agosto", "Septiembre", "Octubre", "Noviembre"}, 0)-MONTH('BD Asesor'!D1047), 6)=0),
    AND('BD Asesor'!H1047="Anual", MONTH('BD Asesor'!D1047)=MATCH($B$2, {"Enero", "Febrero", "Marzo", "Abril", "Mayo", "Junio", "Julio", "Agosto", "Septiembre", "Octubre", "Noviembre"}, 0))
), 'BD Asesor'!L1047, "")
</f>
        <v/>
      </c>
    </row>
    <row r="1048">
      <c r="C1048" s="84" t="str">
        <f t="array" ref="C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Asesor'!A1048, "")
</f>
        <v/>
      </c>
      <c r="D1048" s="84" t="str">
        <f t="array" ref="D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Asesor'!B1048, "")
</f>
        <v/>
      </c>
      <c r="E1048" s="212" t="str">
        <f t="array" ref="E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Asesor'!C1048, "")
</f>
        <v/>
      </c>
      <c r="F1048" s="212" t="str">
        <f t="array" ref="F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Asesor'!D1048, "")
</f>
        <v/>
      </c>
      <c r="G1048" s="212" t="str">
        <f t="array" ref="G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Asesor'!E1048, "")
</f>
        <v/>
      </c>
      <c r="H1048" s="84" t="str">
        <f t="array" ref="H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Asesor'!F1048, "")
</f>
        <v/>
      </c>
      <c r="I1048" s="84" t="str">
        <f t="array" ref="I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Asesor'!G1048, "")
</f>
        <v/>
      </c>
      <c r="J1048" s="84" t="str">
        <f t="array" ref="J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Asesor'!H1048, "")
</f>
        <v/>
      </c>
      <c r="K1048" s="84" t="str">
        <f t="array" ref="K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Asesor'!K1048, "")
</f>
        <v/>
      </c>
      <c r="L1048" s="84" t="str">
        <f t="array" ref="L1048">IF(OR(
    AND('BD Asesor'!H1048="Mensual", MATCH($B$2, {"Enero", "Febrero", "Marzo", "Abril", "Mayo", "Junio", "Julio", "Agosto", "Septiembre", "Octubre", "Noviembre", "Diciembre"}, 0)&gt;=1),
    AND('BD Asesor'!H1048="Trimestral", MOD(MATCH($B$2, {"Enero", "Febrero", "Marzo", "Abril", "Mayo", "Junio", "Julio", "Agosto", "Septiembre", "Octubre", "Noviembre"}, 0)-MONTH('BD Asesor'!D1048), 3)=0),
    AND('BD Asesor'!H1048="Semestral", MOD(MATCH($B$2, {"Enero", "Febrero", "Marzo", "Abril", "Mayo", "Junio", "Julio", "Agosto", "Septiembre", "Octubre", "Noviembre"}, 0)-MONTH('BD Asesor'!D1048), 6)=0),
    AND('BD Asesor'!H1048="Anual", MONTH('BD Asesor'!D1048)=MATCH($B$2, {"Enero", "Febrero", "Marzo", "Abril", "Mayo", "Junio", "Julio", "Agosto", "Septiembre", "Octubre", "Noviembre"}, 0))
), 'BD Asesor'!L1048, "")
</f>
        <v/>
      </c>
    </row>
    <row r="1049">
      <c r="C1049" s="84" t="str">
        <f t="array" ref="C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Asesor'!A1049, "")
</f>
        <v/>
      </c>
      <c r="D1049" s="84" t="str">
        <f t="array" ref="D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Asesor'!B1049, "")
</f>
        <v/>
      </c>
      <c r="E1049" s="212" t="str">
        <f t="array" ref="E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Asesor'!C1049, "")
</f>
        <v/>
      </c>
      <c r="F1049" s="212" t="str">
        <f t="array" ref="F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Asesor'!D1049, "")
</f>
        <v/>
      </c>
      <c r="G1049" s="212" t="str">
        <f t="array" ref="G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Asesor'!E1049, "")
</f>
        <v/>
      </c>
      <c r="H1049" s="84" t="str">
        <f t="array" ref="H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Asesor'!F1049, "")
</f>
        <v/>
      </c>
      <c r="I1049" s="84" t="str">
        <f t="array" ref="I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Asesor'!G1049, "")
</f>
        <v/>
      </c>
      <c r="J1049" s="84" t="str">
        <f t="array" ref="J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Asesor'!H1049, "")
</f>
        <v/>
      </c>
      <c r="K1049" s="84" t="str">
        <f t="array" ref="K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Asesor'!K1049, "")
</f>
        <v/>
      </c>
      <c r="L1049" s="84" t="str">
        <f t="array" ref="L1049">IF(OR(
    AND('BD Asesor'!H1049="Mensual", MATCH($B$2, {"Enero", "Febrero", "Marzo", "Abril", "Mayo", "Junio", "Julio", "Agosto", "Septiembre", "Octubre", "Noviembre", "Diciembre"}, 0)&gt;=1),
    AND('BD Asesor'!H1049="Trimestral", MOD(MATCH($B$2, {"Enero", "Febrero", "Marzo", "Abril", "Mayo", "Junio", "Julio", "Agosto", "Septiembre", "Octubre", "Noviembre"}, 0)-MONTH('BD Asesor'!D1049), 3)=0),
    AND('BD Asesor'!H1049="Semestral", MOD(MATCH($B$2, {"Enero", "Febrero", "Marzo", "Abril", "Mayo", "Junio", "Julio", "Agosto", "Septiembre", "Octubre", "Noviembre"}, 0)-MONTH('BD Asesor'!D1049), 6)=0),
    AND('BD Asesor'!H1049="Anual", MONTH('BD Asesor'!D1049)=MATCH($B$2, {"Enero", "Febrero", "Marzo", "Abril", "Mayo", "Junio", "Julio", "Agosto", "Septiembre", "Octubre", "Noviembre"}, 0))
), 'BD Asesor'!L1049, "")
</f>
        <v/>
      </c>
    </row>
    <row r="1050">
      <c r="C1050" s="84" t="str">
        <f t="array" ref="C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Asesor'!A1050, "")
</f>
        <v/>
      </c>
      <c r="D1050" s="84" t="str">
        <f t="array" ref="D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Asesor'!B1050, "")
</f>
        <v/>
      </c>
      <c r="E1050" s="212" t="str">
        <f t="array" ref="E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Asesor'!C1050, "")
</f>
        <v/>
      </c>
      <c r="F1050" s="212" t="str">
        <f t="array" ref="F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Asesor'!D1050, "")
</f>
        <v/>
      </c>
      <c r="G1050" s="212" t="str">
        <f t="array" ref="G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Asesor'!E1050, "")
</f>
        <v/>
      </c>
      <c r="H1050" s="84" t="str">
        <f t="array" ref="H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Asesor'!F1050, "")
</f>
        <v/>
      </c>
      <c r="I1050" s="84" t="str">
        <f t="array" ref="I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Asesor'!G1050, "")
</f>
        <v/>
      </c>
      <c r="J1050" s="84" t="str">
        <f t="array" ref="J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Asesor'!H1050, "")
</f>
        <v/>
      </c>
      <c r="K1050" s="84" t="str">
        <f t="array" ref="K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Asesor'!K1050, "")
</f>
        <v/>
      </c>
      <c r="L1050" s="84" t="str">
        <f t="array" ref="L1050">IF(OR(
    AND('BD Asesor'!H1050="Mensual", MATCH($B$2, {"Enero", "Febrero", "Marzo", "Abril", "Mayo", "Junio", "Julio", "Agosto", "Septiembre", "Octubre", "Noviembre", "Diciembre"}, 0)&gt;=1),
    AND('BD Asesor'!H1050="Trimestral", MOD(MATCH($B$2, {"Enero", "Febrero", "Marzo", "Abril", "Mayo", "Junio", "Julio", "Agosto", "Septiembre", "Octubre", "Noviembre"}, 0)-MONTH('BD Asesor'!D1050), 3)=0),
    AND('BD Asesor'!H1050="Semestral", MOD(MATCH($B$2, {"Enero", "Febrero", "Marzo", "Abril", "Mayo", "Junio", "Julio", "Agosto", "Septiembre", "Octubre", "Noviembre"}, 0)-MONTH('BD Asesor'!D1050), 6)=0),
    AND('BD Asesor'!H1050="Anual", MONTH('BD Asesor'!D1050)=MATCH($B$2, {"Enero", "Febrero", "Marzo", "Abril", "Mayo", "Junio", "Julio", "Agosto", "Septiembre", "Octubre", "Noviembre"}, 0))
), 'BD Asesor'!L1050, "")
</f>
        <v/>
      </c>
    </row>
    <row r="1051">
      <c r="C1051" s="84" t="str">
        <f t="array" ref="C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Asesor'!A1051, "")
</f>
        <v/>
      </c>
      <c r="D1051" s="84" t="str">
        <f t="array" ref="D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Asesor'!B1051, "")
</f>
        <v/>
      </c>
      <c r="E1051" s="212" t="str">
        <f t="array" ref="E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Asesor'!C1051, "")
</f>
        <v/>
      </c>
      <c r="F1051" s="212" t="str">
        <f t="array" ref="F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Asesor'!D1051, "")
</f>
        <v/>
      </c>
      <c r="G1051" s="212" t="str">
        <f t="array" ref="G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Asesor'!E1051, "")
</f>
        <v/>
      </c>
      <c r="H1051" s="84" t="str">
        <f t="array" ref="H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Asesor'!F1051, "")
</f>
        <v/>
      </c>
      <c r="I1051" s="84" t="str">
        <f t="array" ref="I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Asesor'!G1051, "")
</f>
        <v/>
      </c>
      <c r="J1051" s="84" t="str">
        <f t="array" ref="J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Asesor'!H1051, "")
</f>
        <v/>
      </c>
      <c r="K1051" s="84" t="str">
        <f t="array" ref="K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Asesor'!K1051, "")
</f>
        <v/>
      </c>
      <c r="L1051" s="84" t="str">
        <f t="array" ref="L1051">IF(OR(
    AND('BD Asesor'!H1051="Mensual", MATCH($B$2, {"Enero", "Febrero", "Marzo", "Abril", "Mayo", "Junio", "Julio", "Agosto", "Septiembre", "Octubre", "Noviembre", "Diciembre"}, 0)&gt;=1),
    AND('BD Asesor'!H1051="Trimestral", MOD(MATCH($B$2, {"Enero", "Febrero", "Marzo", "Abril", "Mayo", "Junio", "Julio", "Agosto", "Septiembre", "Octubre", "Noviembre"}, 0)-MONTH('BD Asesor'!D1051), 3)=0),
    AND('BD Asesor'!H1051="Semestral", MOD(MATCH($B$2, {"Enero", "Febrero", "Marzo", "Abril", "Mayo", "Junio", "Julio", "Agosto", "Septiembre", "Octubre", "Noviembre"}, 0)-MONTH('BD Asesor'!D1051), 6)=0),
    AND('BD Asesor'!H1051="Anual", MONTH('BD Asesor'!D1051)=MATCH($B$2, {"Enero", "Febrero", "Marzo", "Abril", "Mayo", "Junio", "Julio", "Agosto", "Septiembre", "Octubre", "Noviembre"}, 0))
), 'BD Asesor'!L1051, "")
</f>
        <v/>
      </c>
    </row>
    <row r="1052">
      <c r="C1052" s="84" t="str">
        <f t="array" ref="C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Asesor'!A1052, "")
</f>
        <v/>
      </c>
      <c r="D1052" s="84" t="str">
        <f t="array" ref="D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Asesor'!B1052, "")
</f>
        <v/>
      </c>
      <c r="E1052" s="212" t="str">
        <f t="array" ref="E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Asesor'!C1052, "")
</f>
        <v/>
      </c>
      <c r="F1052" s="212" t="str">
        <f t="array" ref="F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Asesor'!D1052, "")
</f>
        <v/>
      </c>
      <c r="G1052" s="212" t="str">
        <f t="array" ref="G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Asesor'!E1052, "")
</f>
        <v/>
      </c>
      <c r="H1052" s="84" t="str">
        <f t="array" ref="H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Asesor'!F1052, "")
</f>
        <v/>
      </c>
      <c r="I1052" s="84" t="str">
        <f t="array" ref="I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Asesor'!G1052, "")
</f>
        <v/>
      </c>
      <c r="J1052" s="84" t="str">
        <f t="array" ref="J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Asesor'!H1052, "")
</f>
        <v/>
      </c>
      <c r="K1052" s="84" t="str">
        <f t="array" ref="K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Asesor'!K1052, "")
</f>
        <v/>
      </c>
      <c r="L1052" s="84" t="str">
        <f t="array" ref="L1052">IF(OR(
    AND('BD Asesor'!H1052="Mensual", MATCH($B$2, {"Enero", "Febrero", "Marzo", "Abril", "Mayo", "Junio", "Julio", "Agosto", "Septiembre", "Octubre", "Noviembre", "Diciembre"}, 0)&gt;=1),
    AND('BD Asesor'!H1052="Trimestral", MOD(MATCH($B$2, {"Enero", "Febrero", "Marzo", "Abril", "Mayo", "Junio", "Julio", "Agosto", "Septiembre", "Octubre", "Noviembre"}, 0)-MONTH('BD Asesor'!D1052), 3)=0),
    AND('BD Asesor'!H1052="Semestral", MOD(MATCH($B$2, {"Enero", "Febrero", "Marzo", "Abril", "Mayo", "Junio", "Julio", "Agosto", "Septiembre", "Octubre", "Noviembre"}, 0)-MONTH('BD Asesor'!D1052), 6)=0),
    AND('BD Asesor'!H1052="Anual", MONTH('BD Asesor'!D1052)=MATCH($B$2, {"Enero", "Febrero", "Marzo", "Abril", "Mayo", "Junio", "Julio", "Agosto", "Septiembre", "Octubre", "Noviembre"}, 0))
), 'BD Asesor'!L1052, "")
</f>
        <v/>
      </c>
    </row>
    <row r="1053">
      <c r="C1053" s="84" t="str">
        <f t="array" ref="C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Asesor'!A1053, "")
</f>
        <v/>
      </c>
      <c r="D1053" s="84" t="str">
        <f t="array" ref="D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Asesor'!B1053, "")
</f>
        <v/>
      </c>
      <c r="E1053" s="212" t="str">
        <f t="array" ref="E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Asesor'!C1053, "")
</f>
        <v/>
      </c>
      <c r="F1053" s="212" t="str">
        <f t="array" ref="F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Asesor'!D1053, "")
</f>
        <v/>
      </c>
      <c r="G1053" s="212" t="str">
        <f t="array" ref="G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Asesor'!E1053, "")
</f>
        <v/>
      </c>
      <c r="H1053" s="84" t="str">
        <f t="array" ref="H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Asesor'!F1053, "")
</f>
        <v/>
      </c>
      <c r="I1053" s="84" t="str">
        <f t="array" ref="I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Asesor'!G1053, "")
</f>
        <v/>
      </c>
      <c r="J1053" s="84" t="str">
        <f t="array" ref="J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Asesor'!H1053, "")
</f>
        <v/>
      </c>
      <c r="K1053" s="84" t="str">
        <f t="array" ref="K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Asesor'!K1053, "")
</f>
        <v/>
      </c>
      <c r="L1053" s="84" t="str">
        <f t="array" ref="L1053">IF(OR(
    AND('BD Asesor'!H1053="Mensual", MATCH($B$2, {"Enero", "Febrero", "Marzo", "Abril", "Mayo", "Junio", "Julio", "Agosto", "Septiembre", "Octubre", "Noviembre", "Diciembre"}, 0)&gt;=1),
    AND('BD Asesor'!H1053="Trimestral", MOD(MATCH($B$2, {"Enero", "Febrero", "Marzo", "Abril", "Mayo", "Junio", "Julio", "Agosto", "Septiembre", "Octubre", "Noviembre"}, 0)-MONTH('BD Asesor'!D1053), 3)=0),
    AND('BD Asesor'!H1053="Semestral", MOD(MATCH($B$2, {"Enero", "Febrero", "Marzo", "Abril", "Mayo", "Junio", "Julio", "Agosto", "Septiembre", "Octubre", "Noviembre"}, 0)-MONTH('BD Asesor'!D1053), 6)=0),
    AND('BD Asesor'!H1053="Anual", MONTH('BD Asesor'!D1053)=MATCH($B$2, {"Enero", "Febrero", "Marzo", "Abril", "Mayo", "Junio", "Julio", "Agosto", "Septiembre", "Octubre", "Noviembre"}, 0))
), 'BD Asesor'!L1053, "")
</f>
        <v/>
      </c>
    </row>
    <row r="1054">
      <c r="C1054" s="84" t="str">
        <f t="array" ref="C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Asesor'!A1054, "")
</f>
        <v/>
      </c>
      <c r="D1054" s="84" t="str">
        <f t="array" ref="D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Asesor'!B1054, "")
</f>
        <v/>
      </c>
      <c r="E1054" s="212" t="str">
        <f t="array" ref="E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Asesor'!C1054, "")
</f>
        <v/>
      </c>
      <c r="F1054" s="212" t="str">
        <f t="array" ref="F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Asesor'!D1054, "")
</f>
        <v/>
      </c>
      <c r="G1054" s="212" t="str">
        <f t="array" ref="G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Asesor'!E1054, "")
</f>
        <v/>
      </c>
      <c r="H1054" s="84" t="str">
        <f t="array" ref="H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Asesor'!F1054, "")
</f>
        <v/>
      </c>
      <c r="I1054" s="84" t="str">
        <f t="array" ref="I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Asesor'!G1054, "")
</f>
        <v/>
      </c>
      <c r="J1054" s="84" t="str">
        <f t="array" ref="J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Asesor'!H1054, "")
</f>
        <v/>
      </c>
      <c r="K1054" s="84" t="str">
        <f t="array" ref="K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Asesor'!K1054, "")
</f>
        <v/>
      </c>
      <c r="L1054" s="84" t="str">
        <f t="array" ref="L1054">IF(OR(
    AND('BD Asesor'!H1054="Mensual", MATCH($B$2, {"Enero", "Febrero", "Marzo", "Abril", "Mayo", "Junio", "Julio", "Agosto", "Septiembre", "Octubre", "Noviembre", "Diciembre"}, 0)&gt;=1),
    AND('BD Asesor'!H1054="Trimestral", MOD(MATCH($B$2, {"Enero", "Febrero", "Marzo", "Abril", "Mayo", "Junio", "Julio", "Agosto", "Septiembre", "Octubre", "Noviembre"}, 0)-MONTH('BD Asesor'!D1054), 3)=0),
    AND('BD Asesor'!H1054="Semestral", MOD(MATCH($B$2, {"Enero", "Febrero", "Marzo", "Abril", "Mayo", "Junio", "Julio", "Agosto", "Septiembre", "Octubre", "Noviembre"}, 0)-MONTH('BD Asesor'!D1054), 6)=0),
    AND('BD Asesor'!H1054="Anual", MONTH('BD Asesor'!D1054)=MATCH($B$2, {"Enero", "Febrero", "Marzo", "Abril", "Mayo", "Junio", "Julio", "Agosto", "Septiembre", "Octubre", "Noviembre"}, 0))
), 'BD Asesor'!L1054, "")
</f>
        <v/>
      </c>
    </row>
    <row r="1055">
      <c r="C1055" s="84" t="str">
        <f t="array" ref="C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Asesor'!A1055, "")
</f>
        <v/>
      </c>
      <c r="D1055" s="84" t="str">
        <f t="array" ref="D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Asesor'!B1055, "")
</f>
        <v/>
      </c>
      <c r="E1055" s="212" t="str">
        <f t="array" ref="E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Asesor'!C1055, "")
</f>
        <v/>
      </c>
      <c r="F1055" s="212" t="str">
        <f t="array" ref="F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Asesor'!D1055, "")
</f>
        <v/>
      </c>
      <c r="G1055" s="212" t="str">
        <f t="array" ref="G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Asesor'!E1055, "")
</f>
        <v/>
      </c>
      <c r="H1055" s="84" t="str">
        <f t="array" ref="H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Asesor'!F1055, "")
</f>
        <v/>
      </c>
      <c r="I1055" s="84" t="str">
        <f t="array" ref="I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Asesor'!G1055, "")
</f>
        <v/>
      </c>
      <c r="J1055" s="84" t="str">
        <f t="array" ref="J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Asesor'!H1055, "")
</f>
        <v/>
      </c>
      <c r="K1055" s="84" t="str">
        <f t="array" ref="K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Asesor'!K1055, "")
</f>
        <v/>
      </c>
      <c r="L1055" s="84" t="str">
        <f t="array" ref="L1055">IF(OR(
    AND('BD Asesor'!H1055="Mensual", MATCH($B$2, {"Enero", "Febrero", "Marzo", "Abril", "Mayo", "Junio", "Julio", "Agosto", "Septiembre", "Octubre", "Noviembre", "Diciembre"}, 0)&gt;=1),
    AND('BD Asesor'!H1055="Trimestral", MOD(MATCH($B$2, {"Enero", "Febrero", "Marzo", "Abril", "Mayo", "Junio", "Julio", "Agosto", "Septiembre", "Octubre", "Noviembre"}, 0)-MONTH('BD Asesor'!D1055), 3)=0),
    AND('BD Asesor'!H1055="Semestral", MOD(MATCH($B$2, {"Enero", "Febrero", "Marzo", "Abril", "Mayo", "Junio", "Julio", "Agosto", "Septiembre", "Octubre", "Noviembre"}, 0)-MONTH('BD Asesor'!D1055), 6)=0),
    AND('BD Asesor'!H1055="Anual", MONTH('BD Asesor'!D1055)=MATCH($B$2, {"Enero", "Febrero", "Marzo", "Abril", "Mayo", "Junio", "Julio", "Agosto", "Septiembre", "Octubre", "Noviembre"}, 0))
), 'BD Asesor'!L1055, "")
</f>
        <v/>
      </c>
    </row>
    <row r="1056">
      <c r="C1056" s="84" t="str">
        <f t="array" ref="C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Asesor'!A1056, "")
</f>
        <v/>
      </c>
      <c r="D1056" s="84" t="str">
        <f t="array" ref="D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Asesor'!B1056, "")
</f>
        <v/>
      </c>
      <c r="E1056" s="212" t="str">
        <f t="array" ref="E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Asesor'!C1056, "")
</f>
        <v/>
      </c>
      <c r="F1056" s="212" t="str">
        <f t="array" ref="F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Asesor'!D1056, "")
</f>
        <v/>
      </c>
      <c r="G1056" s="212" t="str">
        <f t="array" ref="G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Asesor'!E1056, "")
</f>
        <v/>
      </c>
      <c r="H1056" s="84" t="str">
        <f t="array" ref="H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Asesor'!F1056, "")
</f>
        <v/>
      </c>
      <c r="I1056" s="84" t="str">
        <f t="array" ref="I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Asesor'!G1056, "")
</f>
        <v/>
      </c>
      <c r="J1056" s="84" t="str">
        <f t="array" ref="J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Asesor'!H1056, "")
</f>
        <v/>
      </c>
      <c r="K1056" s="84" t="str">
        <f t="array" ref="K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Asesor'!K1056, "")
</f>
        <v/>
      </c>
      <c r="L1056" s="84" t="str">
        <f t="array" ref="L1056">IF(OR(
    AND('BD Asesor'!H1056="Mensual", MATCH($B$2, {"Enero", "Febrero", "Marzo", "Abril", "Mayo", "Junio", "Julio", "Agosto", "Septiembre", "Octubre", "Noviembre", "Diciembre"}, 0)&gt;=1),
    AND('BD Asesor'!H1056="Trimestral", MOD(MATCH($B$2, {"Enero", "Febrero", "Marzo", "Abril", "Mayo", "Junio", "Julio", "Agosto", "Septiembre", "Octubre", "Noviembre"}, 0)-MONTH('BD Asesor'!D1056), 3)=0),
    AND('BD Asesor'!H1056="Semestral", MOD(MATCH($B$2, {"Enero", "Febrero", "Marzo", "Abril", "Mayo", "Junio", "Julio", "Agosto", "Septiembre", "Octubre", "Noviembre"}, 0)-MONTH('BD Asesor'!D1056), 6)=0),
    AND('BD Asesor'!H1056="Anual", MONTH('BD Asesor'!D1056)=MATCH($B$2, {"Enero", "Febrero", "Marzo", "Abril", "Mayo", "Junio", "Julio", "Agosto", "Septiembre", "Octubre", "Noviembre"}, 0))
), 'BD Asesor'!L1056, "")
</f>
        <v/>
      </c>
    </row>
    <row r="1057">
      <c r="C1057" s="84" t="str">
        <f t="array" ref="C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Asesor'!A1057, "")
</f>
        <v/>
      </c>
      <c r="D1057" s="84" t="str">
        <f t="array" ref="D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Asesor'!B1057, "")
</f>
        <v/>
      </c>
      <c r="E1057" s="212" t="str">
        <f t="array" ref="E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Asesor'!C1057, "")
</f>
        <v/>
      </c>
      <c r="F1057" s="212" t="str">
        <f t="array" ref="F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Asesor'!D1057, "")
</f>
        <v/>
      </c>
      <c r="G1057" s="212" t="str">
        <f t="array" ref="G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Asesor'!E1057, "")
</f>
        <v/>
      </c>
      <c r="H1057" s="84" t="str">
        <f t="array" ref="H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Asesor'!F1057, "")
</f>
        <v/>
      </c>
      <c r="I1057" s="84" t="str">
        <f t="array" ref="I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Asesor'!G1057, "")
</f>
        <v/>
      </c>
      <c r="J1057" s="84" t="str">
        <f t="array" ref="J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Asesor'!H1057, "")
</f>
        <v/>
      </c>
      <c r="K1057" s="84" t="str">
        <f t="array" ref="K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Asesor'!K1057, "")
</f>
        <v/>
      </c>
      <c r="L1057" s="84" t="str">
        <f t="array" ref="L1057">IF(OR(
    AND('BD Asesor'!H1057="Mensual", MATCH($B$2, {"Enero", "Febrero", "Marzo", "Abril", "Mayo", "Junio", "Julio", "Agosto", "Septiembre", "Octubre", "Noviembre", "Diciembre"}, 0)&gt;=1),
    AND('BD Asesor'!H1057="Trimestral", MOD(MATCH($B$2, {"Enero", "Febrero", "Marzo", "Abril", "Mayo", "Junio", "Julio", "Agosto", "Septiembre", "Octubre", "Noviembre"}, 0)-MONTH('BD Asesor'!D1057), 3)=0),
    AND('BD Asesor'!H1057="Semestral", MOD(MATCH($B$2, {"Enero", "Febrero", "Marzo", "Abril", "Mayo", "Junio", "Julio", "Agosto", "Septiembre", "Octubre", "Noviembre"}, 0)-MONTH('BD Asesor'!D1057), 6)=0),
    AND('BD Asesor'!H1057="Anual", MONTH('BD Asesor'!D1057)=MATCH($B$2, {"Enero", "Febrero", "Marzo", "Abril", "Mayo", "Junio", "Julio", "Agosto", "Septiembre", "Octubre", "Noviembre"}, 0))
), 'BD Asesor'!L1057, "")
</f>
        <v/>
      </c>
    </row>
    <row r="1058">
      <c r="C1058" s="84" t="str">
        <f t="array" ref="C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Asesor'!A1058, "")
</f>
        <v/>
      </c>
      <c r="D1058" s="84" t="str">
        <f t="array" ref="D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Asesor'!B1058, "")
</f>
        <v/>
      </c>
      <c r="E1058" s="212" t="str">
        <f t="array" ref="E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Asesor'!C1058, "")
</f>
        <v/>
      </c>
      <c r="F1058" s="212" t="str">
        <f t="array" ref="F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Asesor'!D1058, "")
</f>
        <v/>
      </c>
      <c r="G1058" s="212" t="str">
        <f t="array" ref="G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Asesor'!E1058, "")
</f>
        <v/>
      </c>
      <c r="H1058" s="84" t="str">
        <f t="array" ref="H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Asesor'!F1058, "")
</f>
        <v/>
      </c>
      <c r="I1058" s="84" t="str">
        <f t="array" ref="I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Asesor'!G1058, "")
</f>
        <v/>
      </c>
      <c r="J1058" s="84" t="str">
        <f t="array" ref="J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Asesor'!H1058, "")
</f>
        <v/>
      </c>
      <c r="K1058" s="84" t="str">
        <f t="array" ref="K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Asesor'!K1058, "")
</f>
        <v/>
      </c>
      <c r="L1058" s="84" t="str">
        <f t="array" ref="L1058">IF(OR(
    AND('BD Asesor'!H1058="Mensual", MATCH($B$2, {"Enero", "Febrero", "Marzo", "Abril", "Mayo", "Junio", "Julio", "Agosto", "Septiembre", "Octubre", "Noviembre", "Diciembre"}, 0)&gt;=1),
    AND('BD Asesor'!H1058="Trimestral", MOD(MATCH($B$2, {"Enero", "Febrero", "Marzo", "Abril", "Mayo", "Junio", "Julio", "Agosto", "Septiembre", "Octubre", "Noviembre"}, 0)-MONTH('BD Asesor'!D1058), 3)=0),
    AND('BD Asesor'!H1058="Semestral", MOD(MATCH($B$2, {"Enero", "Febrero", "Marzo", "Abril", "Mayo", "Junio", "Julio", "Agosto", "Septiembre", "Octubre", "Noviembre"}, 0)-MONTH('BD Asesor'!D1058), 6)=0),
    AND('BD Asesor'!H1058="Anual", MONTH('BD Asesor'!D1058)=MATCH($B$2, {"Enero", "Febrero", "Marzo", "Abril", "Mayo", "Junio", "Julio", "Agosto", "Septiembre", "Octubre", "Noviembre"}, 0))
), 'BD Asesor'!L1058, "")
</f>
        <v/>
      </c>
    </row>
    <row r="1059">
      <c r="C1059" s="84" t="str">
        <f t="array" ref="C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Asesor'!A1059, "")
</f>
        <v/>
      </c>
      <c r="D1059" s="84" t="str">
        <f t="array" ref="D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Asesor'!B1059, "")
</f>
        <v/>
      </c>
      <c r="E1059" s="212" t="str">
        <f t="array" ref="E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Asesor'!C1059, "")
</f>
        <v/>
      </c>
      <c r="F1059" s="212" t="str">
        <f t="array" ref="F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Asesor'!D1059, "")
</f>
        <v/>
      </c>
      <c r="G1059" s="212" t="str">
        <f t="array" ref="G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Asesor'!E1059, "")
</f>
        <v/>
      </c>
      <c r="H1059" s="84" t="str">
        <f t="array" ref="H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Asesor'!F1059, "")
</f>
        <v/>
      </c>
      <c r="I1059" s="84" t="str">
        <f t="array" ref="I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Asesor'!G1059, "")
</f>
        <v/>
      </c>
      <c r="J1059" s="84" t="str">
        <f t="array" ref="J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Asesor'!H1059, "")
</f>
        <v/>
      </c>
      <c r="K1059" s="84" t="str">
        <f t="array" ref="K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Asesor'!K1059, "")
</f>
        <v/>
      </c>
      <c r="L1059" s="84" t="str">
        <f t="array" ref="L1059">IF(OR(
    AND('BD Asesor'!H1059="Mensual", MATCH($B$2, {"Enero", "Febrero", "Marzo", "Abril", "Mayo", "Junio", "Julio", "Agosto", "Septiembre", "Octubre", "Noviembre", "Diciembre"}, 0)&gt;=1),
    AND('BD Asesor'!H1059="Trimestral", MOD(MATCH($B$2, {"Enero", "Febrero", "Marzo", "Abril", "Mayo", "Junio", "Julio", "Agosto", "Septiembre", "Octubre", "Noviembre"}, 0)-MONTH('BD Asesor'!D1059), 3)=0),
    AND('BD Asesor'!H1059="Semestral", MOD(MATCH($B$2, {"Enero", "Febrero", "Marzo", "Abril", "Mayo", "Junio", "Julio", "Agosto", "Septiembre", "Octubre", "Noviembre"}, 0)-MONTH('BD Asesor'!D1059), 6)=0),
    AND('BD Asesor'!H1059="Anual", MONTH('BD Asesor'!D1059)=MATCH($B$2, {"Enero", "Febrero", "Marzo", "Abril", "Mayo", "Junio", "Julio", "Agosto", "Septiembre", "Octubre", "Noviembre"}, 0))
), 'BD Asesor'!L1059, "")
</f>
        <v/>
      </c>
    </row>
    <row r="1060">
      <c r="C1060" s="84" t="str">
        <f t="array" ref="C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Asesor'!A1060, "")
</f>
        <v/>
      </c>
      <c r="D1060" s="84" t="str">
        <f t="array" ref="D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Asesor'!B1060, "")
</f>
        <v/>
      </c>
      <c r="E1060" s="212" t="str">
        <f t="array" ref="E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Asesor'!C1060, "")
</f>
        <v/>
      </c>
      <c r="F1060" s="212" t="str">
        <f t="array" ref="F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Asesor'!D1060, "")
</f>
        <v/>
      </c>
      <c r="G1060" s="212" t="str">
        <f t="array" ref="G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Asesor'!E1060, "")
</f>
        <v/>
      </c>
      <c r="H1060" s="84" t="str">
        <f t="array" ref="H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Asesor'!F1060, "")
</f>
        <v/>
      </c>
      <c r="I1060" s="84" t="str">
        <f t="array" ref="I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Asesor'!G1060, "")
</f>
        <v/>
      </c>
      <c r="J1060" s="84" t="str">
        <f t="array" ref="J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Asesor'!H1060, "")
</f>
        <v/>
      </c>
      <c r="K1060" s="84" t="str">
        <f t="array" ref="K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Asesor'!K1060, "")
</f>
        <v/>
      </c>
      <c r="L1060" s="84" t="str">
        <f t="array" ref="L1060">IF(OR(
    AND('BD Asesor'!H1060="Mensual", MATCH($B$2, {"Enero", "Febrero", "Marzo", "Abril", "Mayo", "Junio", "Julio", "Agosto", "Septiembre", "Octubre", "Noviembre", "Diciembre"}, 0)&gt;=1),
    AND('BD Asesor'!H1060="Trimestral", MOD(MATCH($B$2, {"Enero", "Febrero", "Marzo", "Abril", "Mayo", "Junio", "Julio", "Agosto", "Septiembre", "Octubre", "Noviembre"}, 0)-MONTH('BD Asesor'!D1060), 3)=0),
    AND('BD Asesor'!H1060="Semestral", MOD(MATCH($B$2, {"Enero", "Febrero", "Marzo", "Abril", "Mayo", "Junio", "Julio", "Agosto", "Septiembre", "Octubre", "Noviembre"}, 0)-MONTH('BD Asesor'!D1060), 6)=0),
    AND('BD Asesor'!H1060="Anual", MONTH('BD Asesor'!D1060)=MATCH($B$2, {"Enero", "Febrero", "Marzo", "Abril", "Mayo", "Junio", "Julio", "Agosto", "Septiembre", "Octubre", "Noviembre"}, 0))
), 'BD Asesor'!L1060, "")
</f>
        <v/>
      </c>
    </row>
    <row r="1061">
      <c r="C1061" s="84" t="str">
        <f t="array" ref="C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Asesor'!A1061, "")
</f>
        <v/>
      </c>
      <c r="D1061" s="84" t="str">
        <f t="array" ref="D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Asesor'!B1061, "")
</f>
        <v/>
      </c>
      <c r="E1061" s="212" t="str">
        <f t="array" ref="E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Asesor'!C1061, "")
</f>
        <v/>
      </c>
      <c r="F1061" s="212" t="str">
        <f t="array" ref="F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Asesor'!D1061, "")
</f>
        <v/>
      </c>
      <c r="G1061" s="212" t="str">
        <f t="array" ref="G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Asesor'!E1061, "")
</f>
        <v/>
      </c>
      <c r="H1061" s="84" t="str">
        <f t="array" ref="H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Asesor'!F1061, "")
</f>
        <v/>
      </c>
      <c r="I1061" s="84" t="str">
        <f t="array" ref="I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Asesor'!G1061, "")
</f>
        <v/>
      </c>
      <c r="J1061" s="84" t="str">
        <f t="array" ref="J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Asesor'!H1061, "")
</f>
        <v/>
      </c>
      <c r="K1061" s="84" t="str">
        <f t="array" ref="K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Asesor'!K1061, "")
</f>
        <v/>
      </c>
      <c r="L1061" s="84" t="str">
        <f t="array" ref="L1061">IF(OR(
    AND('BD Asesor'!H1061="Mensual", MATCH($B$2, {"Enero", "Febrero", "Marzo", "Abril", "Mayo", "Junio", "Julio", "Agosto", "Septiembre", "Octubre", "Noviembre", "Diciembre"}, 0)&gt;=1),
    AND('BD Asesor'!H1061="Trimestral", MOD(MATCH($B$2, {"Enero", "Febrero", "Marzo", "Abril", "Mayo", "Junio", "Julio", "Agosto", "Septiembre", "Octubre", "Noviembre"}, 0)-MONTH('BD Asesor'!D1061), 3)=0),
    AND('BD Asesor'!H1061="Semestral", MOD(MATCH($B$2, {"Enero", "Febrero", "Marzo", "Abril", "Mayo", "Junio", "Julio", "Agosto", "Septiembre", "Octubre", "Noviembre"}, 0)-MONTH('BD Asesor'!D1061), 6)=0),
    AND('BD Asesor'!H1061="Anual", MONTH('BD Asesor'!D1061)=MATCH($B$2, {"Enero", "Febrero", "Marzo", "Abril", "Mayo", "Junio", "Julio", "Agosto", "Septiembre", "Octubre", "Noviembre"}, 0))
), 'BD Asesor'!L1061, "")
</f>
        <v/>
      </c>
    </row>
    <row r="1062">
      <c r="C1062" s="84" t="str">
        <f t="array" ref="C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Asesor'!A1062, "")
</f>
        <v/>
      </c>
      <c r="D1062" s="84" t="str">
        <f t="array" ref="D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Asesor'!B1062, "")
</f>
        <v/>
      </c>
      <c r="E1062" s="212" t="str">
        <f t="array" ref="E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Asesor'!C1062, "")
</f>
        <v/>
      </c>
      <c r="F1062" s="212" t="str">
        <f t="array" ref="F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Asesor'!D1062, "")
</f>
        <v/>
      </c>
      <c r="G1062" s="212" t="str">
        <f t="array" ref="G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Asesor'!E1062, "")
</f>
        <v/>
      </c>
      <c r="H1062" s="84" t="str">
        <f t="array" ref="H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Asesor'!F1062, "")
</f>
        <v/>
      </c>
      <c r="I1062" s="84" t="str">
        <f t="array" ref="I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Asesor'!G1062, "")
</f>
        <v/>
      </c>
      <c r="J1062" s="84" t="str">
        <f t="array" ref="J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Asesor'!H1062, "")
</f>
        <v/>
      </c>
      <c r="K1062" s="84" t="str">
        <f t="array" ref="K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Asesor'!K1062, "")
</f>
        <v/>
      </c>
      <c r="L1062" s="84" t="str">
        <f t="array" ref="L1062">IF(OR(
    AND('BD Asesor'!H1062="Mensual", MATCH($B$2, {"Enero", "Febrero", "Marzo", "Abril", "Mayo", "Junio", "Julio", "Agosto", "Septiembre", "Octubre", "Noviembre", "Diciembre"}, 0)&gt;=1),
    AND('BD Asesor'!H1062="Trimestral", MOD(MATCH($B$2, {"Enero", "Febrero", "Marzo", "Abril", "Mayo", "Junio", "Julio", "Agosto", "Septiembre", "Octubre", "Noviembre"}, 0)-MONTH('BD Asesor'!D1062), 3)=0),
    AND('BD Asesor'!H1062="Semestral", MOD(MATCH($B$2, {"Enero", "Febrero", "Marzo", "Abril", "Mayo", "Junio", "Julio", "Agosto", "Septiembre", "Octubre", "Noviembre"}, 0)-MONTH('BD Asesor'!D1062), 6)=0),
    AND('BD Asesor'!H1062="Anual", MONTH('BD Asesor'!D1062)=MATCH($B$2, {"Enero", "Febrero", "Marzo", "Abril", "Mayo", "Junio", "Julio", "Agosto", "Septiembre", "Octubre", "Noviembre"}, 0))
), 'BD Asesor'!L1062, "")
</f>
        <v/>
      </c>
    </row>
    <row r="1063">
      <c r="C1063" s="84" t="str">
        <f t="array" ref="C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Asesor'!A1063, "")
</f>
        <v/>
      </c>
      <c r="D1063" s="84" t="str">
        <f t="array" ref="D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Asesor'!B1063, "")
</f>
        <v/>
      </c>
      <c r="E1063" s="212" t="str">
        <f t="array" ref="E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Asesor'!C1063, "")
</f>
        <v/>
      </c>
      <c r="F1063" s="212" t="str">
        <f t="array" ref="F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Asesor'!D1063, "")
</f>
        <v/>
      </c>
      <c r="G1063" s="212" t="str">
        <f t="array" ref="G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Asesor'!E1063, "")
</f>
        <v/>
      </c>
      <c r="H1063" s="84" t="str">
        <f t="array" ref="H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Asesor'!F1063, "")
</f>
        <v/>
      </c>
      <c r="I1063" s="84" t="str">
        <f t="array" ref="I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Asesor'!G1063, "")
</f>
        <v/>
      </c>
      <c r="J1063" s="84" t="str">
        <f t="array" ref="J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Asesor'!H1063, "")
</f>
        <v/>
      </c>
      <c r="K1063" s="84" t="str">
        <f t="array" ref="K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Asesor'!K1063, "")
</f>
        <v/>
      </c>
      <c r="L1063" s="84" t="str">
        <f t="array" ref="L1063">IF(OR(
    AND('BD Asesor'!H1063="Mensual", MATCH($B$2, {"Enero", "Febrero", "Marzo", "Abril", "Mayo", "Junio", "Julio", "Agosto", "Septiembre", "Octubre", "Noviembre", "Diciembre"}, 0)&gt;=1),
    AND('BD Asesor'!H1063="Trimestral", MOD(MATCH($B$2, {"Enero", "Febrero", "Marzo", "Abril", "Mayo", "Junio", "Julio", "Agosto", "Septiembre", "Octubre", "Noviembre"}, 0)-MONTH('BD Asesor'!D1063), 3)=0),
    AND('BD Asesor'!H1063="Semestral", MOD(MATCH($B$2, {"Enero", "Febrero", "Marzo", "Abril", "Mayo", "Junio", "Julio", "Agosto", "Septiembre", "Octubre", "Noviembre"}, 0)-MONTH('BD Asesor'!D1063), 6)=0),
    AND('BD Asesor'!H1063="Anual", MONTH('BD Asesor'!D1063)=MATCH($B$2, {"Enero", "Febrero", "Marzo", "Abril", "Mayo", "Junio", "Julio", "Agosto", "Septiembre", "Octubre", "Noviembre"}, 0))
), 'BD Asesor'!L1063, "")
</f>
        <v/>
      </c>
    </row>
    <row r="1064">
      <c r="C1064" s="84" t="str">
        <f t="array" ref="C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Asesor'!A1064, "")
</f>
        <v/>
      </c>
      <c r="D1064" s="84" t="str">
        <f t="array" ref="D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Asesor'!B1064, "")
</f>
        <v/>
      </c>
      <c r="E1064" s="212" t="str">
        <f t="array" ref="E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Asesor'!C1064, "")
</f>
        <v/>
      </c>
      <c r="F1064" s="212" t="str">
        <f t="array" ref="F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Asesor'!D1064, "")
</f>
        <v/>
      </c>
      <c r="G1064" s="212" t="str">
        <f t="array" ref="G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Asesor'!E1064, "")
</f>
        <v/>
      </c>
      <c r="H1064" s="84" t="str">
        <f t="array" ref="H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Asesor'!F1064, "")
</f>
        <v/>
      </c>
      <c r="I1064" s="84" t="str">
        <f t="array" ref="I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Asesor'!G1064, "")
</f>
        <v/>
      </c>
      <c r="J1064" s="84" t="str">
        <f t="array" ref="J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Asesor'!H1064, "")
</f>
        <v/>
      </c>
      <c r="K1064" s="84" t="str">
        <f t="array" ref="K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Asesor'!K1064, "")
</f>
        <v/>
      </c>
      <c r="L1064" s="84" t="str">
        <f t="array" ref="L1064">IF(OR(
    AND('BD Asesor'!H1064="Mensual", MATCH($B$2, {"Enero", "Febrero", "Marzo", "Abril", "Mayo", "Junio", "Julio", "Agosto", "Septiembre", "Octubre", "Noviembre", "Diciembre"}, 0)&gt;=1),
    AND('BD Asesor'!H1064="Trimestral", MOD(MATCH($B$2, {"Enero", "Febrero", "Marzo", "Abril", "Mayo", "Junio", "Julio", "Agosto", "Septiembre", "Octubre", "Noviembre"}, 0)-MONTH('BD Asesor'!D1064), 3)=0),
    AND('BD Asesor'!H1064="Semestral", MOD(MATCH($B$2, {"Enero", "Febrero", "Marzo", "Abril", "Mayo", "Junio", "Julio", "Agosto", "Septiembre", "Octubre", "Noviembre"}, 0)-MONTH('BD Asesor'!D1064), 6)=0),
    AND('BD Asesor'!H1064="Anual", MONTH('BD Asesor'!D1064)=MATCH($B$2, {"Enero", "Febrero", "Marzo", "Abril", "Mayo", "Junio", "Julio", "Agosto", "Septiembre", "Octubre", "Noviembre"}, 0))
), 'BD Asesor'!L1064, "")
</f>
        <v/>
      </c>
    </row>
    <row r="1065">
      <c r="C1065" s="84" t="str">
        <f t="array" ref="C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Asesor'!A1065, "")
</f>
        <v/>
      </c>
      <c r="D1065" s="84" t="str">
        <f t="array" ref="D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Asesor'!B1065, "")
</f>
        <v/>
      </c>
      <c r="E1065" s="212" t="str">
        <f t="array" ref="E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Asesor'!C1065, "")
</f>
        <v/>
      </c>
      <c r="F1065" s="212" t="str">
        <f t="array" ref="F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Asesor'!D1065, "")
</f>
        <v/>
      </c>
      <c r="G1065" s="212" t="str">
        <f t="array" ref="G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Asesor'!E1065, "")
</f>
        <v/>
      </c>
      <c r="H1065" s="84" t="str">
        <f t="array" ref="H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Asesor'!F1065, "")
</f>
        <v/>
      </c>
      <c r="I1065" s="84" t="str">
        <f t="array" ref="I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Asesor'!G1065, "")
</f>
        <v/>
      </c>
      <c r="J1065" s="84" t="str">
        <f t="array" ref="J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Asesor'!H1065, "")
</f>
        <v/>
      </c>
      <c r="K1065" s="84" t="str">
        <f t="array" ref="K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Asesor'!K1065, "")
</f>
        <v/>
      </c>
      <c r="L1065" s="84" t="str">
        <f t="array" ref="L1065">IF(OR(
    AND('BD Asesor'!H1065="Mensual", MATCH($B$2, {"Enero", "Febrero", "Marzo", "Abril", "Mayo", "Junio", "Julio", "Agosto", "Septiembre", "Octubre", "Noviembre", "Diciembre"}, 0)&gt;=1),
    AND('BD Asesor'!H1065="Trimestral", MOD(MATCH($B$2, {"Enero", "Febrero", "Marzo", "Abril", "Mayo", "Junio", "Julio", "Agosto", "Septiembre", "Octubre", "Noviembre"}, 0)-MONTH('BD Asesor'!D1065), 3)=0),
    AND('BD Asesor'!H1065="Semestral", MOD(MATCH($B$2, {"Enero", "Febrero", "Marzo", "Abril", "Mayo", "Junio", "Julio", "Agosto", "Septiembre", "Octubre", "Noviembre"}, 0)-MONTH('BD Asesor'!D1065), 6)=0),
    AND('BD Asesor'!H1065="Anual", MONTH('BD Asesor'!D1065)=MATCH($B$2, {"Enero", "Febrero", "Marzo", "Abril", "Mayo", "Junio", "Julio", "Agosto", "Septiembre", "Octubre", "Noviembre"}, 0))
), 'BD Asesor'!L1065, "")
</f>
        <v/>
      </c>
    </row>
    <row r="1066">
      <c r="C1066" s="84" t="str">
        <f t="array" ref="C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Asesor'!A1066, "")
</f>
        <v/>
      </c>
      <c r="D1066" s="84" t="str">
        <f t="array" ref="D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Asesor'!B1066, "")
</f>
        <v/>
      </c>
      <c r="E1066" s="212" t="str">
        <f t="array" ref="E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Asesor'!C1066, "")
</f>
        <v/>
      </c>
      <c r="F1066" s="212" t="str">
        <f t="array" ref="F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Asesor'!D1066, "")
</f>
        <v/>
      </c>
      <c r="G1066" s="212" t="str">
        <f t="array" ref="G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Asesor'!E1066, "")
</f>
        <v/>
      </c>
      <c r="H1066" s="84" t="str">
        <f t="array" ref="H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Asesor'!F1066, "")
</f>
        <v/>
      </c>
      <c r="I1066" s="84" t="str">
        <f t="array" ref="I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Asesor'!G1066, "")
</f>
        <v/>
      </c>
      <c r="J1066" s="84" t="str">
        <f t="array" ref="J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Asesor'!H1066, "")
</f>
        <v/>
      </c>
      <c r="K1066" s="84" t="str">
        <f t="array" ref="K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Asesor'!K1066, "")
</f>
        <v/>
      </c>
      <c r="L1066" s="84" t="str">
        <f t="array" ref="L1066">IF(OR(
    AND('BD Asesor'!H1066="Mensual", MATCH($B$2, {"Enero", "Febrero", "Marzo", "Abril", "Mayo", "Junio", "Julio", "Agosto", "Septiembre", "Octubre", "Noviembre", "Diciembre"}, 0)&gt;=1),
    AND('BD Asesor'!H1066="Trimestral", MOD(MATCH($B$2, {"Enero", "Febrero", "Marzo", "Abril", "Mayo", "Junio", "Julio", "Agosto", "Septiembre", "Octubre", "Noviembre"}, 0)-MONTH('BD Asesor'!D1066), 3)=0),
    AND('BD Asesor'!H1066="Semestral", MOD(MATCH($B$2, {"Enero", "Febrero", "Marzo", "Abril", "Mayo", "Junio", "Julio", "Agosto", "Septiembre", "Octubre", "Noviembre"}, 0)-MONTH('BD Asesor'!D1066), 6)=0),
    AND('BD Asesor'!H1066="Anual", MONTH('BD Asesor'!D1066)=MATCH($B$2, {"Enero", "Febrero", "Marzo", "Abril", "Mayo", "Junio", "Julio", "Agosto", "Septiembre", "Octubre", "Noviembre"}, 0))
), 'BD Asesor'!L1066, "")
</f>
        <v/>
      </c>
    </row>
    <row r="1067">
      <c r="C1067" s="84" t="str">
        <f t="array" ref="C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Asesor'!A1067, "")
</f>
        <v/>
      </c>
      <c r="D1067" s="84" t="str">
        <f t="array" ref="D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Asesor'!B1067, "")
</f>
        <v/>
      </c>
      <c r="E1067" s="212" t="str">
        <f t="array" ref="E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Asesor'!C1067, "")
</f>
        <v/>
      </c>
      <c r="F1067" s="212" t="str">
        <f t="array" ref="F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Asesor'!D1067, "")
</f>
        <v/>
      </c>
      <c r="G1067" s="212" t="str">
        <f t="array" ref="G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Asesor'!E1067, "")
</f>
        <v/>
      </c>
      <c r="H1067" s="84" t="str">
        <f t="array" ref="H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Asesor'!F1067, "")
</f>
        <v/>
      </c>
      <c r="I1067" s="84" t="str">
        <f t="array" ref="I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Asesor'!G1067, "")
</f>
        <v/>
      </c>
      <c r="J1067" s="84" t="str">
        <f t="array" ref="J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Asesor'!H1067, "")
</f>
        <v/>
      </c>
      <c r="K1067" s="84" t="str">
        <f t="array" ref="K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Asesor'!K1067, "")
</f>
        <v/>
      </c>
      <c r="L1067" s="84" t="str">
        <f t="array" ref="L1067">IF(OR(
    AND('BD Asesor'!H1067="Mensual", MATCH($B$2, {"Enero", "Febrero", "Marzo", "Abril", "Mayo", "Junio", "Julio", "Agosto", "Septiembre", "Octubre", "Noviembre", "Diciembre"}, 0)&gt;=1),
    AND('BD Asesor'!H1067="Trimestral", MOD(MATCH($B$2, {"Enero", "Febrero", "Marzo", "Abril", "Mayo", "Junio", "Julio", "Agosto", "Septiembre", "Octubre", "Noviembre"}, 0)-MONTH('BD Asesor'!D1067), 3)=0),
    AND('BD Asesor'!H1067="Semestral", MOD(MATCH($B$2, {"Enero", "Febrero", "Marzo", "Abril", "Mayo", "Junio", "Julio", "Agosto", "Septiembre", "Octubre", "Noviembre"}, 0)-MONTH('BD Asesor'!D1067), 6)=0),
    AND('BD Asesor'!H1067="Anual", MONTH('BD Asesor'!D1067)=MATCH($B$2, {"Enero", "Febrero", "Marzo", "Abril", "Mayo", "Junio", "Julio", "Agosto", "Septiembre", "Octubre", "Noviembre"}, 0))
), 'BD Asesor'!L1067, "")
</f>
        <v/>
      </c>
    </row>
    <row r="1068">
      <c r="C1068" s="84" t="str">
        <f t="array" ref="C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Asesor'!A1068, "")
</f>
        <v/>
      </c>
      <c r="D1068" s="84" t="str">
        <f t="array" ref="D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Asesor'!B1068, "")
</f>
        <v/>
      </c>
      <c r="E1068" s="212" t="str">
        <f t="array" ref="E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Asesor'!C1068, "")
</f>
        <v/>
      </c>
      <c r="F1068" s="212" t="str">
        <f t="array" ref="F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Asesor'!D1068, "")
</f>
        <v/>
      </c>
      <c r="G1068" s="212" t="str">
        <f t="array" ref="G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Asesor'!E1068, "")
</f>
        <v/>
      </c>
      <c r="H1068" s="84" t="str">
        <f t="array" ref="H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Asesor'!F1068, "")
</f>
        <v/>
      </c>
      <c r="I1068" s="84" t="str">
        <f t="array" ref="I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Asesor'!G1068, "")
</f>
        <v/>
      </c>
      <c r="J1068" s="84" t="str">
        <f t="array" ref="J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Asesor'!H1068, "")
</f>
        <v/>
      </c>
      <c r="K1068" s="84" t="str">
        <f t="array" ref="K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Asesor'!K1068, "")
</f>
        <v/>
      </c>
      <c r="L1068" s="84" t="str">
        <f t="array" ref="L1068">IF(OR(
    AND('BD Asesor'!H1068="Mensual", MATCH($B$2, {"Enero", "Febrero", "Marzo", "Abril", "Mayo", "Junio", "Julio", "Agosto", "Septiembre", "Octubre", "Noviembre", "Diciembre"}, 0)&gt;=1),
    AND('BD Asesor'!H1068="Trimestral", MOD(MATCH($B$2, {"Enero", "Febrero", "Marzo", "Abril", "Mayo", "Junio", "Julio", "Agosto", "Septiembre", "Octubre", "Noviembre"}, 0)-MONTH('BD Asesor'!D1068), 3)=0),
    AND('BD Asesor'!H1068="Semestral", MOD(MATCH($B$2, {"Enero", "Febrero", "Marzo", "Abril", "Mayo", "Junio", "Julio", "Agosto", "Septiembre", "Octubre", "Noviembre"}, 0)-MONTH('BD Asesor'!D1068), 6)=0),
    AND('BD Asesor'!H1068="Anual", MONTH('BD Asesor'!D1068)=MATCH($B$2, {"Enero", "Febrero", "Marzo", "Abril", "Mayo", "Junio", "Julio", "Agosto", "Septiembre", "Octubre", "Noviembre"}, 0))
), 'BD Asesor'!L1068, "")
</f>
        <v/>
      </c>
    </row>
    <row r="1069">
      <c r="C1069" s="84" t="str">
        <f t="array" ref="C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Asesor'!A1069, "")
</f>
        <v/>
      </c>
      <c r="D1069" s="84" t="str">
        <f t="array" ref="D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Asesor'!B1069, "")
</f>
        <v/>
      </c>
      <c r="E1069" s="212" t="str">
        <f t="array" ref="E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Asesor'!C1069, "")
</f>
        <v/>
      </c>
      <c r="F1069" s="212" t="str">
        <f t="array" ref="F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Asesor'!D1069, "")
</f>
        <v/>
      </c>
      <c r="G1069" s="212" t="str">
        <f t="array" ref="G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Asesor'!E1069, "")
</f>
        <v/>
      </c>
      <c r="H1069" s="84" t="str">
        <f t="array" ref="H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Asesor'!F1069, "")
</f>
        <v/>
      </c>
      <c r="I1069" s="84" t="str">
        <f t="array" ref="I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Asesor'!G1069, "")
</f>
        <v/>
      </c>
      <c r="J1069" s="84" t="str">
        <f t="array" ref="J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Asesor'!H1069, "")
</f>
        <v/>
      </c>
      <c r="K1069" s="84" t="str">
        <f t="array" ref="K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Asesor'!K1069, "")
</f>
        <v/>
      </c>
      <c r="L1069" s="84" t="str">
        <f t="array" ref="L1069">IF(OR(
    AND('BD Asesor'!H1069="Mensual", MATCH($B$2, {"Enero", "Febrero", "Marzo", "Abril", "Mayo", "Junio", "Julio", "Agosto", "Septiembre", "Octubre", "Noviembre", "Diciembre"}, 0)&gt;=1),
    AND('BD Asesor'!H1069="Trimestral", MOD(MATCH($B$2, {"Enero", "Febrero", "Marzo", "Abril", "Mayo", "Junio", "Julio", "Agosto", "Septiembre", "Octubre", "Noviembre"}, 0)-MONTH('BD Asesor'!D1069), 3)=0),
    AND('BD Asesor'!H1069="Semestral", MOD(MATCH($B$2, {"Enero", "Febrero", "Marzo", "Abril", "Mayo", "Junio", "Julio", "Agosto", "Septiembre", "Octubre", "Noviembre"}, 0)-MONTH('BD Asesor'!D1069), 6)=0),
    AND('BD Asesor'!H1069="Anual", MONTH('BD Asesor'!D1069)=MATCH($B$2, {"Enero", "Febrero", "Marzo", "Abril", "Mayo", "Junio", "Julio", "Agosto", "Septiembre", "Octubre", "Noviembre"}, 0))
), 'BD Asesor'!L1069, "")
</f>
        <v/>
      </c>
    </row>
    <row r="1070">
      <c r="C1070" s="84" t="str">
        <f t="array" ref="C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Asesor'!A1070, "")
</f>
        <v/>
      </c>
      <c r="D1070" s="84" t="str">
        <f t="array" ref="D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Asesor'!B1070, "")
</f>
        <v/>
      </c>
      <c r="E1070" s="212" t="str">
        <f t="array" ref="E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Asesor'!C1070, "")
</f>
        <v/>
      </c>
      <c r="F1070" s="212" t="str">
        <f t="array" ref="F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Asesor'!D1070, "")
</f>
        <v/>
      </c>
      <c r="G1070" s="212" t="str">
        <f t="array" ref="G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Asesor'!E1070, "")
</f>
        <v/>
      </c>
      <c r="H1070" s="84" t="str">
        <f t="array" ref="H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Asesor'!F1070, "")
</f>
        <v/>
      </c>
      <c r="I1070" s="84" t="str">
        <f t="array" ref="I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Asesor'!G1070, "")
</f>
        <v/>
      </c>
      <c r="J1070" s="84" t="str">
        <f t="array" ref="J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Asesor'!H1070, "")
</f>
        <v/>
      </c>
      <c r="K1070" s="84" t="str">
        <f t="array" ref="K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Asesor'!K1070, "")
</f>
        <v/>
      </c>
      <c r="L1070" s="84" t="str">
        <f t="array" ref="L1070">IF(OR(
    AND('BD Asesor'!H1070="Mensual", MATCH($B$2, {"Enero", "Febrero", "Marzo", "Abril", "Mayo", "Junio", "Julio", "Agosto", "Septiembre", "Octubre", "Noviembre", "Diciembre"}, 0)&gt;=1),
    AND('BD Asesor'!H1070="Trimestral", MOD(MATCH($B$2, {"Enero", "Febrero", "Marzo", "Abril", "Mayo", "Junio", "Julio", "Agosto", "Septiembre", "Octubre", "Noviembre"}, 0)-MONTH('BD Asesor'!D1070), 3)=0),
    AND('BD Asesor'!H1070="Semestral", MOD(MATCH($B$2, {"Enero", "Febrero", "Marzo", "Abril", "Mayo", "Junio", "Julio", "Agosto", "Septiembre", "Octubre", "Noviembre"}, 0)-MONTH('BD Asesor'!D1070), 6)=0),
    AND('BD Asesor'!H1070="Anual", MONTH('BD Asesor'!D1070)=MATCH($B$2, {"Enero", "Febrero", "Marzo", "Abril", "Mayo", "Junio", "Julio", "Agosto", "Septiembre", "Octubre", "Noviembre"}, 0))
), 'BD Asesor'!L1070, "")
</f>
        <v/>
      </c>
    </row>
    <row r="1071">
      <c r="C1071" s="84" t="str">
        <f t="array" ref="C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Asesor'!A1071, "")
</f>
        <v/>
      </c>
      <c r="D1071" s="84" t="str">
        <f t="array" ref="D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Asesor'!B1071, "")
</f>
        <v/>
      </c>
      <c r="E1071" s="212" t="str">
        <f t="array" ref="E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Asesor'!C1071, "")
</f>
        <v/>
      </c>
      <c r="F1071" s="212" t="str">
        <f t="array" ref="F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Asesor'!D1071, "")
</f>
        <v/>
      </c>
      <c r="G1071" s="212" t="str">
        <f t="array" ref="G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Asesor'!E1071, "")
</f>
        <v/>
      </c>
      <c r="H1071" s="84" t="str">
        <f t="array" ref="H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Asesor'!F1071, "")
</f>
        <v/>
      </c>
      <c r="I1071" s="84" t="str">
        <f t="array" ref="I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Asesor'!G1071, "")
</f>
        <v/>
      </c>
      <c r="J1071" s="84" t="str">
        <f t="array" ref="J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Asesor'!H1071, "")
</f>
        <v/>
      </c>
      <c r="K1071" s="84" t="str">
        <f t="array" ref="K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Asesor'!K1071, "")
</f>
        <v/>
      </c>
      <c r="L1071" s="84" t="str">
        <f t="array" ref="L1071">IF(OR(
    AND('BD Asesor'!H1071="Mensual", MATCH($B$2, {"Enero", "Febrero", "Marzo", "Abril", "Mayo", "Junio", "Julio", "Agosto", "Septiembre", "Octubre", "Noviembre", "Diciembre"}, 0)&gt;=1),
    AND('BD Asesor'!H1071="Trimestral", MOD(MATCH($B$2, {"Enero", "Febrero", "Marzo", "Abril", "Mayo", "Junio", "Julio", "Agosto", "Septiembre", "Octubre", "Noviembre"}, 0)-MONTH('BD Asesor'!D1071), 3)=0),
    AND('BD Asesor'!H1071="Semestral", MOD(MATCH($B$2, {"Enero", "Febrero", "Marzo", "Abril", "Mayo", "Junio", "Julio", "Agosto", "Septiembre", "Octubre", "Noviembre"}, 0)-MONTH('BD Asesor'!D1071), 6)=0),
    AND('BD Asesor'!H1071="Anual", MONTH('BD Asesor'!D1071)=MATCH($B$2, {"Enero", "Febrero", "Marzo", "Abril", "Mayo", "Junio", "Julio", "Agosto", "Septiembre", "Octubre", "Noviembre"}, 0))
), 'BD Asesor'!L1071, "")
</f>
        <v/>
      </c>
    </row>
    <row r="1072">
      <c r="C1072" s="84" t="str">
        <f t="array" ref="C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Asesor'!A1072, "")
</f>
        <v/>
      </c>
      <c r="D1072" s="84" t="str">
        <f t="array" ref="D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Asesor'!B1072, "")
</f>
        <v/>
      </c>
      <c r="E1072" s="212" t="str">
        <f t="array" ref="E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Asesor'!C1072, "")
</f>
        <v/>
      </c>
      <c r="F1072" s="212" t="str">
        <f t="array" ref="F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Asesor'!D1072, "")
</f>
        <v/>
      </c>
      <c r="G1072" s="212" t="str">
        <f t="array" ref="G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Asesor'!E1072, "")
</f>
        <v/>
      </c>
      <c r="H1072" s="84" t="str">
        <f t="array" ref="H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Asesor'!F1072, "")
</f>
        <v/>
      </c>
      <c r="I1072" s="84" t="str">
        <f t="array" ref="I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Asesor'!G1072, "")
</f>
        <v/>
      </c>
      <c r="J1072" s="84" t="str">
        <f t="array" ref="J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Asesor'!H1072, "")
</f>
        <v/>
      </c>
      <c r="K1072" s="84" t="str">
        <f t="array" ref="K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Asesor'!K1072, "")
</f>
        <v/>
      </c>
      <c r="L1072" s="84" t="str">
        <f t="array" ref="L1072">IF(OR(
    AND('BD Asesor'!H1072="Mensual", MATCH($B$2, {"Enero", "Febrero", "Marzo", "Abril", "Mayo", "Junio", "Julio", "Agosto", "Septiembre", "Octubre", "Noviembre", "Diciembre"}, 0)&gt;=1),
    AND('BD Asesor'!H1072="Trimestral", MOD(MATCH($B$2, {"Enero", "Febrero", "Marzo", "Abril", "Mayo", "Junio", "Julio", "Agosto", "Septiembre", "Octubre", "Noviembre"}, 0)-MONTH('BD Asesor'!D1072), 3)=0),
    AND('BD Asesor'!H1072="Semestral", MOD(MATCH($B$2, {"Enero", "Febrero", "Marzo", "Abril", "Mayo", "Junio", "Julio", "Agosto", "Septiembre", "Octubre", "Noviembre"}, 0)-MONTH('BD Asesor'!D1072), 6)=0),
    AND('BD Asesor'!H1072="Anual", MONTH('BD Asesor'!D1072)=MATCH($B$2, {"Enero", "Febrero", "Marzo", "Abril", "Mayo", "Junio", "Julio", "Agosto", "Septiembre", "Octubre", "Noviembre"}, 0))
), 'BD Asesor'!L1072, "")
</f>
        <v/>
      </c>
    </row>
    <row r="1073">
      <c r="C1073" s="84" t="str">
        <f t="array" ref="C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Asesor'!A1073, "")
</f>
        <v/>
      </c>
      <c r="D1073" s="84" t="str">
        <f t="array" ref="D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Asesor'!B1073, "")
</f>
        <v/>
      </c>
      <c r="E1073" s="212" t="str">
        <f t="array" ref="E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Asesor'!C1073, "")
</f>
        <v/>
      </c>
      <c r="F1073" s="212" t="str">
        <f t="array" ref="F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Asesor'!D1073, "")
</f>
        <v/>
      </c>
      <c r="G1073" s="212" t="str">
        <f t="array" ref="G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Asesor'!E1073, "")
</f>
        <v/>
      </c>
      <c r="H1073" s="84" t="str">
        <f t="array" ref="H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Asesor'!F1073, "")
</f>
        <v/>
      </c>
      <c r="I1073" s="84" t="str">
        <f t="array" ref="I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Asesor'!G1073, "")
</f>
        <v/>
      </c>
      <c r="J1073" s="84" t="str">
        <f t="array" ref="J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Asesor'!H1073, "")
</f>
        <v/>
      </c>
      <c r="K1073" s="84" t="str">
        <f t="array" ref="K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Asesor'!K1073, "")
</f>
        <v/>
      </c>
      <c r="L1073" s="84" t="str">
        <f t="array" ref="L1073">IF(OR(
    AND('BD Asesor'!H1073="Mensual", MATCH($B$2, {"Enero", "Febrero", "Marzo", "Abril", "Mayo", "Junio", "Julio", "Agosto", "Septiembre", "Octubre", "Noviembre", "Diciembre"}, 0)&gt;=1),
    AND('BD Asesor'!H1073="Trimestral", MOD(MATCH($B$2, {"Enero", "Febrero", "Marzo", "Abril", "Mayo", "Junio", "Julio", "Agosto", "Septiembre", "Octubre", "Noviembre"}, 0)-MONTH('BD Asesor'!D1073), 3)=0),
    AND('BD Asesor'!H1073="Semestral", MOD(MATCH($B$2, {"Enero", "Febrero", "Marzo", "Abril", "Mayo", "Junio", "Julio", "Agosto", "Septiembre", "Octubre", "Noviembre"}, 0)-MONTH('BD Asesor'!D1073), 6)=0),
    AND('BD Asesor'!H1073="Anual", MONTH('BD Asesor'!D1073)=MATCH($B$2, {"Enero", "Febrero", "Marzo", "Abril", "Mayo", "Junio", "Julio", "Agosto", "Septiembre", "Octubre", "Noviembre"}, 0))
), 'BD Asesor'!L1073, "")
</f>
        <v/>
      </c>
    </row>
    <row r="1074">
      <c r="C1074" s="84" t="str">
        <f t="array" ref="C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Asesor'!A1074, "")
</f>
        <v/>
      </c>
      <c r="D1074" s="84" t="str">
        <f t="array" ref="D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Asesor'!B1074, "")
</f>
        <v/>
      </c>
      <c r="E1074" s="212" t="str">
        <f t="array" ref="E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Asesor'!C1074, "")
</f>
        <v/>
      </c>
      <c r="F1074" s="212" t="str">
        <f t="array" ref="F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Asesor'!D1074, "")
</f>
        <v/>
      </c>
      <c r="G1074" s="212" t="str">
        <f t="array" ref="G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Asesor'!E1074, "")
</f>
        <v/>
      </c>
      <c r="H1074" s="84" t="str">
        <f t="array" ref="H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Asesor'!F1074, "")
</f>
        <v/>
      </c>
      <c r="I1074" s="84" t="str">
        <f t="array" ref="I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Asesor'!G1074, "")
</f>
        <v/>
      </c>
      <c r="J1074" s="84" t="str">
        <f t="array" ref="J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Asesor'!H1074, "")
</f>
        <v/>
      </c>
      <c r="K1074" s="84" t="str">
        <f t="array" ref="K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Asesor'!K1074, "")
</f>
        <v/>
      </c>
      <c r="L1074" s="84" t="str">
        <f t="array" ref="L1074">IF(OR(
    AND('BD Asesor'!H1074="Mensual", MATCH($B$2, {"Enero", "Febrero", "Marzo", "Abril", "Mayo", "Junio", "Julio", "Agosto", "Septiembre", "Octubre", "Noviembre", "Diciembre"}, 0)&gt;=1),
    AND('BD Asesor'!H1074="Trimestral", MOD(MATCH($B$2, {"Enero", "Febrero", "Marzo", "Abril", "Mayo", "Junio", "Julio", "Agosto", "Septiembre", "Octubre", "Noviembre"}, 0)-MONTH('BD Asesor'!D1074), 3)=0),
    AND('BD Asesor'!H1074="Semestral", MOD(MATCH($B$2, {"Enero", "Febrero", "Marzo", "Abril", "Mayo", "Junio", "Julio", "Agosto", "Septiembre", "Octubre", "Noviembre"}, 0)-MONTH('BD Asesor'!D1074), 6)=0),
    AND('BD Asesor'!H1074="Anual", MONTH('BD Asesor'!D1074)=MATCH($B$2, {"Enero", "Febrero", "Marzo", "Abril", "Mayo", "Junio", "Julio", "Agosto", "Septiembre", "Octubre", "Noviembre"}, 0))
), 'BD Asesor'!L1074, "")
</f>
        <v/>
      </c>
    </row>
    <row r="1075">
      <c r="C1075" s="84" t="str">
        <f t="array" ref="C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Asesor'!A1075, "")
</f>
        <v/>
      </c>
      <c r="D1075" s="84" t="str">
        <f t="array" ref="D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Asesor'!B1075, "")
</f>
        <v/>
      </c>
      <c r="E1075" s="212" t="str">
        <f t="array" ref="E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Asesor'!C1075, "")
</f>
        <v/>
      </c>
      <c r="F1075" s="212" t="str">
        <f t="array" ref="F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Asesor'!D1075, "")
</f>
        <v/>
      </c>
      <c r="G1075" s="212" t="str">
        <f t="array" ref="G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Asesor'!E1075, "")
</f>
        <v/>
      </c>
      <c r="H1075" s="84" t="str">
        <f t="array" ref="H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Asesor'!F1075, "")
</f>
        <v/>
      </c>
      <c r="I1075" s="84" t="str">
        <f t="array" ref="I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Asesor'!G1075, "")
</f>
        <v/>
      </c>
      <c r="J1075" s="84" t="str">
        <f t="array" ref="J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Asesor'!H1075, "")
</f>
        <v/>
      </c>
      <c r="K1075" s="84" t="str">
        <f t="array" ref="K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Asesor'!K1075, "")
</f>
        <v/>
      </c>
      <c r="L1075" s="84" t="str">
        <f t="array" ref="L1075">IF(OR(
    AND('BD Asesor'!H1075="Mensual", MATCH($B$2, {"Enero", "Febrero", "Marzo", "Abril", "Mayo", "Junio", "Julio", "Agosto", "Septiembre", "Octubre", "Noviembre", "Diciembre"}, 0)&gt;=1),
    AND('BD Asesor'!H1075="Trimestral", MOD(MATCH($B$2, {"Enero", "Febrero", "Marzo", "Abril", "Mayo", "Junio", "Julio", "Agosto", "Septiembre", "Octubre", "Noviembre"}, 0)-MONTH('BD Asesor'!D1075), 3)=0),
    AND('BD Asesor'!H1075="Semestral", MOD(MATCH($B$2, {"Enero", "Febrero", "Marzo", "Abril", "Mayo", "Junio", "Julio", "Agosto", "Septiembre", "Octubre", "Noviembre"}, 0)-MONTH('BD Asesor'!D1075), 6)=0),
    AND('BD Asesor'!H1075="Anual", MONTH('BD Asesor'!D1075)=MATCH($B$2, {"Enero", "Febrero", "Marzo", "Abril", "Mayo", "Junio", "Julio", "Agosto", "Septiembre", "Octubre", "Noviembre"}, 0))
), 'BD Asesor'!L1075, "")
</f>
        <v/>
      </c>
    </row>
    <row r="1076">
      <c r="C1076" s="84" t="str">
        <f t="array" ref="C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Asesor'!A1076, "")
</f>
        <v/>
      </c>
      <c r="D1076" s="84" t="str">
        <f t="array" ref="D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Asesor'!B1076, "")
</f>
        <v/>
      </c>
      <c r="E1076" s="212" t="str">
        <f t="array" ref="E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Asesor'!C1076, "")
</f>
        <v/>
      </c>
      <c r="F1076" s="212" t="str">
        <f t="array" ref="F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Asesor'!D1076, "")
</f>
        <v/>
      </c>
      <c r="G1076" s="212" t="str">
        <f t="array" ref="G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Asesor'!E1076, "")
</f>
        <v/>
      </c>
      <c r="H1076" s="84" t="str">
        <f t="array" ref="H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Asesor'!F1076, "")
</f>
        <v/>
      </c>
      <c r="I1076" s="84" t="str">
        <f t="array" ref="I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Asesor'!G1076, "")
</f>
        <v/>
      </c>
      <c r="J1076" s="84" t="str">
        <f t="array" ref="J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Asesor'!H1076, "")
</f>
        <v/>
      </c>
      <c r="K1076" s="84" t="str">
        <f t="array" ref="K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Asesor'!K1076, "")
</f>
        <v/>
      </c>
      <c r="L1076" s="84" t="str">
        <f t="array" ref="L1076">IF(OR(
    AND('BD Asesor'!H1076="Mensual", MATCH($B$2, {"Enero", "Febrero", "Marzo", "Abril", "Mayo", "Junio", "Julio", "Agosto", "Septiembre", "Octubre", "Noviembre", "Diciembre"}, 0)&gt;=1),
    AND('BD Asesor'!H1076="Trimestral", MOD(MATCH($B$2, {"Enero", "Febrero", "Marzo", "Abril", "Mayo", "Junio", "Julio", "Agosto", "Septiembre", "Octubre", "Noviembre"}, 0)-MONTH('BD Asesor'!D1076), 3)=0),
    AND('BD Asesor'!H1076="Semestral", MOD(MATCH($B$2, {"Enero", "Febrero", "Marzo", "Abril", "Mayo", "Junio", "Julio", "Agosto", "Septiembre", "Octubre", "Noviembre"}, 0)-MONTH('BD Asesor'!D1076), 6)=0),
    AND('BD Asesor'!H1076="Anual", MONTH('BD Asesor'!D1076)=MATCH($B$2, {"Enero", "Febrero", "Marzo", "Abril", "Mayo", "Junio", "Julio", "Agosto", "Septiembre", "Octubre", "Noviembre"}, 0))
), 'BD Asesor'!L1076, "")
</f>
        <v/>
      </c>
    </row>
    <row r="1077">
      <c r="C1077" s="84" t="str">
        <f t="array" ref="C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Asesor'!A1077, "")
</f>
        <v/>
      </c>
      <c r="D1077" s="84" t="str">
        <f t="array" ref="D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Asesor'!B1077, "")
</f>
        <v/>
      </c>
      <c r="E1077" s="212" t="str">
        <f t="array" ref="E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Asesor'!C1077, "")
</f>
        <v/>
      </c>
      <c r="F1077" s="212" t="str">
        <f t="array" ref="F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Asesor'!D1077, "")
</f>
        <v/>
      </c>
      <c r="G1077" s="212" t="str">
        <f t="array" ref="G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Asesor'!E1077, "")
</f>
        <v/>
      </c>
      <c r="H1077" s="84" t="str">
        <f t="array" ref="H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Asesor'!F1077, "")
</f>
        <v/>
      </c>
      <c r="I1077" s="84" t="str">
        <f t="array" ref="I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Asesor'!G1077, "")
</f>
        <v/>
      </c>
      <c r="J1077" s="84" t="str">
        <f t="array" ref="J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Asesor'!H1077, "")
</f>
        <v/>
      </c>
      <c r="K1077" s="84" t="str">
        <f t="array" ref="K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Asesor'!K1077, "")
</f>
        <v/>
      </c>
      <c r="L1077" s="84" t="str">
        <f t="array" ref="L1077">IF(OR(
    AND('BD Asesor'!H1077="Mensual", MATCH($B$2, {"Enero", "Febrero", "Marzo", "Abril", "Mayo", "Junio", "Julio", "Agosto", "Septiembre", "Octubre", "Noviembre", "Diciembre"}, 0)&gt;=1),
    AND('BD Asesor'!H1077="Trimestral", MOD(MATCH($B$2, {"Enero", "Febrero", "Marzo", "Abril", "Mayo", "Junio", "Julio", "Agosto", "Septiembre", "Octubre", "Noviembre"}, 0)-MONTH('BD Asesor'!D1077), 3)=0),
    AND('BD Asesor'!H1077="Semestral", MOD(MATCH($B$2, {"Enero", "Febrero", "Marzo", "Abril", "Mayo", "Junio", "Julio", "Agosto", "Septiembre", "Octubre", "Noviembre"}, 0)-MONTH('BD Asesor'!D1077), 6)=0),
    AND('BD Asesor'!H1077="Anual", MONTH('BD Asesor'!D1077)=MATCH($B$2, {"Enero", "Febrero", "Marzo", "Abril", "Mayo", "Junio", "Julio", "Agosto", "Septiembre", "Octubre", "Noviembre"}, 0))
), 'BD Asesor'!L1077, "")
</f>
        <v/>
      </c>
    </row>
    <row r="1078">
      <c r="C1078" s="84" t="str">
        <f t="array" ref="C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Asesor'!A1078, "")
</f>
        <v/>
      </c>
      <c r="D1078" s="84" t="str">
        <f t="array" ref="D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Asesor'!B1078, "")
</f>
        <v/>
      </c>
      <c r="E1078" s="212" t="str">
        <f t="array" ref="E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Asesor'!C1078, "")
</f>
        <v/>
      </c>
      <c r="F1078" s="212" t="str">
        <f t="array" ref="F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Asesor'!D1078, "")
</f>
        <v/>
      </c>
      <c r="G1078" s="212" t="str">
        <f t="array" ref="G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Asesor'!E1078, "")
</f>
        <v/>
      </c>
      <c r="H1078" s="84" t="str">
        <f t="array" ref="H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Asesor'!F1078, "")
</f>
        <v/>
      </c>
      <c r="I1078" s="84" t="str">
        <f t="array" ref="I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Asesor'!G1078, "")
</f>
        <v/>
      </c>
      <c r="J1078" s="84" t="str">
        <f t="array" ref="J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Asesor'!H1078, "")
</f>
        <v/>
      </c>
      <c r="K1078" s="84" t="str">
        <f t="array" ref="K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Asesor'!K1078, "")
</f>
        <v/>
      </c>
      <c r="L1078" s="84" t="str">
        <f t="array" ref="L1078">IF(OR(
    AND('BD Asesor'!H1078="Mensual", MATCH($B$2, {"Enero", "Febrero", "Marzo", "Abril", "Mayo", "Junio", "Julio", "Agosto", "Septiembre", "Octubre", "Noviembre", "Diciembre"}, 0)&gt;=1),
    AND('BD Asesor'!H1078="Trimestral", MOD(MATCH($B$2, {"Enero", "Febrero", "Marzo", "Abril", "Mayo", "Junio", "Julio", "Agosto", "Septiembre", "Octubre", "Noviembre"}, 0)-MONTH('BD Asesor'!D1078), 3)=0),
    AND('BD Asesor'!H1078="Semestral", MOD(MATCH($B$2, {"Enero", "Febrero", "Marzo", "Abril", "Mayo", "Junio", "Julio", "Agosto", "Septiembre", "Octubre", "Noviembre"}, 0)-MONTH('BD Asesor'!D1078), 6)=0),
    AND('BD Asesor'!H1078="Anual", MONTH('BD Asesor'!D1078)=MATCH($B$2, {"Enero", "Febrero", "Marzo", "Abril", "Mayo", "Junio", "Julio", "Agosto", "Septiembre", "Octubre", "Noviembre"}, 0))
), 'BD Asesor'!L1078, "")
</f>
        <v/>
      </c>
    </row>
    <row r="1079">
      <c r="C1079" s="84" t="str">
        <f t="array" ref="C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Asesor'!A1079, "")
</f>
        <v/>
      </c>
      <c r="D1079" s="84" t="str">
        <f t="array" ref="D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Asesor'!B1079, "")
</f>
        <v/>
      </c>
      <c r="E1079" s="212" t="str">
        <f t="array" ref="E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Asesor'!C1079, "")
</f>
        <v/>
      </c>
      <c r="F1079" s="212" t="str">
        <f t="array" ref="F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Asesor'!D1079, "")
</f>
        <v/>
      </c>
      <c r="G1079" s="212" t="str">
        <f t="array" ref="G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Asesor'!E1079, "")
</f>
        <v/>
      </c>
      <c r="H1079" s="84" t="str">
        <f t="array" ref="H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Asesor'!F1079, "")
</f>
        <v/>
      </c>
      <c r="I1079" s="84" t="str">
        <f t="array" ref="I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Asesor'!G1079, "")
</f>
        <v/>
      </c>
      <c r="J1079" s="84" t="str">
        <f t="array" ref="J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Asesor'!H1079, "")
</f>
        <v/>
      </c>
      <c r="K1079" s="84" t="str">
        <f t="array" ref="K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Asesor'!K1079, "")
</f>
        <v/>
      </c>
      <c r="L1079" s="84" t="str">
        <f t="array" ref="L1079">IF(OR(
    AND('BD Asesor'!H1079="Mensual", MATCH($B$2, {"Enero", "Febrero", "Marzo", "Abril", "Mayo", "Junio", "Julio", "Agosto", "Septiembre", "Octubre", "Noviembre", "Diciembre"}, 0)&gt;=1),
    AND('BD Asesor'!H1079="Trimestral", MOD(MATCH($B$2, {"Enero", "Febrero", "Marzo", "Abril", "Mayo", "Junio", "Julio", "Agosto", "Septiembre", "Octubre", "Noviembre"}, 0)-MONTH('BD Asesor'!D1079), 3)=0),
    AND('BD Asesor'!H1079="Semestral", MOD(MATCH($B$2, {"Enero", "Febrero", "Marzo", "Abril", "Mayo", "Junio", "Julio", "Agosto", "Septiembre", "Octubre", "Noviembre"}, 0)-MONTH('BD Asesor'!D1079), 6)=0),
    AND('BD Asesor'!H1079="Anual", MONTH('BD Asesor'!D1079)=MATCH($B$2, {"Enero", "Febrero", "Marzo", "Abril", "Mayo", "Junio", "Julio", "Agosto", "Septiembre", "Octubre", "Noviembre"}, 0))
), 'BD Asesor'!L1079, "")
</f>
        <v/>
      </c>
    </row>
    <row r="1080">
      <c r="C1080" s="84" t="str">
        <f t="array" ref="C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Asesor'!A1080, "")
</f>
        <v/>
      </c>
      <c r="D1080" s="84" t="str">
        <f t="array" ref="D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Asesor'!B1080, "")
</f>
        <v/>
      </c>
      <c r="E1080" s="212" t="str">
        <f t="array" ref="E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Asesor'!C1080, "")
</f>
        <v/>
      </c>
      <c r="F1080" s="212" t="str">
        <f t="array" ref="F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Asesor'!D1080, "")
</f>
        <v/>
      </c>
      <c r="G1080" s="212" t="str">
        <f t="array" ref="G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Asesor'!E1080, "")
</f>
        <v/>
      </c>
      <c r="H1080" s="84" t="str">
        <f t="array" ref="H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Asesor'!F1080, "")
</f>
        <v/>
      </c>
      <c r="I1080" s="84" t="str">
        <f t="array" ref="I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Asesor'!G1080, "")
</f>
        <v/>
      </c>
      <c r="J1080" s="84" t="str">
        <f t="array" ref="J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Asesor'!H1080, "")
</f>
        <v/>
      </c>
      <c r="K1080" s="84" t="str">
        <f t="array" ref="K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Asesor'!K1080, "")
</f>
        <v/>
      </c>
      <c r="L1080" s="84" t="str">
        <f t="array" ref="L1080">IF(OR(
    AND('BD Asesor'!H1080="Mensual", MATCH($B$2, {"Enero", "Febrero", "Marzo", "Abril", "Mayo", "Junio", "Julio", "Agosto", "Septiembre", "Octubre", "Noviembre", "Diciembre"}, 0)&gt;=1),
    AND('BD Asesor'!H1080="Trimestral", MOD(MATCH($B$2, {"Enero", "Febrero", "Marzo", "Abril", "Mayo", "Junio", "Julio", "Agosto", "Septiembre", "Octubre", "Noviembre"}, 0)-MONTH('BD Asesor'!D1080), 3)=0),
    AND('BD Asesor'!H1080="Semestral", MOD(MATCH($B$2, {"Enero", "Febrero", "Marzo", "Abril", "Mayo", "Junio", "Julio", "Agosto", "Septiembre", "Octubre", "Noviembre"}, 0)-MONTH('BD Asesor'!D1080), 6)=0),
    AND('BD Asesor'!H1080="Anual", MONTH('BD Asesor'!D1080)=MATCH($B$2, {"Enero", "Febrero", "Marzo", "Abril", "Mayo", "Junio", "Julio", "Agosto", "Septiembre", "Octubre", "Noviembre"}, 0))
), 'BD Asesor'!L1080, "")
</f>
        <v/>
      </c>
    </row>
    <row r="1081">
      <c r="C1081" s="84" t="str">
        <f t="array" ref="C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Asesor'!A1081, "")
</f>
        <v/>
      </c>
      <c r="D1081" s="84" t="str">
        <f t="array" ref="D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Asesor'!B1081, "")
</f>
        <v/>
      </c>
      <c r="E1081" s="212" t="str">
        <f t="array" ref="E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Asesor'!C1081, "")
</f>
        <v/>
      </c>
      <c r="F1081" s="212" t="str">
        <f t="array" ref="F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Asesor'!D1081, "")
</f>
        <v/>
      </c>
      <c r="G1081" s="212" t="str">
        <f t="array" ref="G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Asesor'!E1081, "")
</f>
        <v/>
      </c>
      <c r="H1081" s="84" t="str">
        <f t="array" ref="H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Asesor'!F1081, "")
</f>
        <v/>
      </c>
      <c r="I1081" s="84" t="str">
        <f t="array" ref="I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Asesor'!G1081, "")
</f>
        <v/>
      </c>
      <c r="J1081" s="84" t="str">
        <f t="array" ref="J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Asesor'!H1081, "")
</f>
        <v/>
      </c>
      <c r="K1081" s="84" t="str">
        <f t="array" ref="K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Asesor'!K1081, "")
</f>
        <v/>
      </c>
      <c r="L1081" s="84" t="str">
        <f t="array" ref="L1081">IF(OR(
    AND('BD Asesor'!H1081="Mensual", MATCH($B$2, {"Enero", "Febrero", "Marzo", "Abril", "Mayo", "Junio", "Julio", "Agosto", "Septiembre", "Octubre", "Noviembre", "Diciembre"}, 0)&gt;=1),
    AND('BD Asesor'!H1081="Trimestral", MOD(MATCH($B$2, {"Enero", "Febrero", "Marzo", "Abril", "Mayo", "Junio", "Julio", "Agosto", "Septiembre", "Octubre", "Noviembre"}, 0)-MONTH('BD Asesor'!D1081), 3)=0),
    AND('BD Asesor'!H1081="Semestral", MOD(MATCH($B$2, {"Enero", "Febrero", "Marzo", "Abril", "Mayo", "Junio", "Julio", "Agosto", "Septiembre", "Octubre", "Noviembre"}, 0)-MONTH('BD Asesor'!D1081), 6)=0),
    AND('BD Asesor'!H1081="Anual", MONTH('BD Asesor'!D1081)=MATCH($B$2, {"Enero", "Febrero", "Marzo", "Abril", "Mayo", "Junio", "Julio", "Agosto", "Septiembre", "Octubre", "Noviembre"}, 0))
), 'BD Asesor'!L1081, "")
</f>
        <v/>
      </c>
    </row>
    <row r="1082">
      <c r="C1082" s="84" t="str">
        <f t="array" ref="C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Asesor'!A1082, "")
</f>
        <v/>
      </c>
      <c r="D1082" s="84" t="str">
        <f t="array" ref="D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Asesor'!B1082, "")
</f>
        <v/>
      </c>
      <c r="E1082" s="212" t="str">
        <f t="array" ref="E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Asesor'!C1082, "")
</f>
        <v/>
      </c>
      <c r="F1082" s="212" t="str">
        <f t="array" ref="F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Asesor'!D1082, "")
</f>
        <v/>
      </c>
      <c r="G1082" s="212" t="str">
        <f t="array" ref="G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Asesor'!E1082, "")
</f>
        <v/>
      </c>
      <c r="H1082" s="84" t="str">
        <f t="array" ref="H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Asesor'!F1082, "")
</f>
        <v/>
      </c>
      <c r="I1082" s="84" t="str">
        <f t="array" ref="I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Asesor'!G1082, "")
</f>
        <v/>
      </c>
      <c r="J1082" s="84" t="str">
        <f t="array" ref="J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Asesor'!H1082, "")
</f>
        <v/>
      </c>
      <c r="K1082" s="84" t="str">
        <f t="array" ref="K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Asesor'!K1082, "")
</f>
        <v/>
      </c>
      <c r="L1082" s="84" t="str">
        <f t="array" ref="L1082">IF(OR(
    AND('BD Asesor'!H1082="Mensual", MATCH($B$2, {"Enero", "Febrero", "Marzo", "Abril", "Mayo", "Junio", "Julio", "Agosto", "Septiembre", "Octubre", "Noviembre", "Diciembre"}, 0)&gt;=1),
    AND('BD Asesor'!H1082="Trimestral", MOD(MATCH($B$2, {"Enero", "Febrero", "Marzo", "Abril", "Mayo", "Junio", "Julio", "Agosto", "Septiembre", "Octubre", "Noviembre"}, 0)-MONTH('BD Asesor'!D1082), 3)=0),
    AND('BD Asesor'!H1082="Semestral", MOD(MATCH($B$2, {"Enero", "Febrero", "Marzo", "Abril", "Mayo", "Junio", "Julio", "Agosto", "Septiembre", "Octubre", "Noviembre"}, 0)-MONTH('BD Asesor'!D1082), 6)=0),
    AND('BD Asesor'!H1082="Anual", MONTH('BD Asesor'!D1082)=MATCH($B$2, {"Enero", "Febrero", "Marzo", "Abril", "Mayo", "Junio", "Julio", "Agosto", "Septiembre", "Octubre", "Noviembre"}, 0))
), 'BD Asesor'!L1082, "")
</f>
        <v/>
      </c>
    </row>
    <row r="1083">
      <c r="C1083" s="84" t="str">
        <f t="array" ref="C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Asesor'!A1083, "")
</f>
        <v/>
      </c>
      <c r="D1083" s="84" t="str">
        <f t="array" ref="D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Asesor'!B1083, "")
</f>
        <v/>
      </c>
      <c r="E1083" s="212" t="str">
        <f t="array" ref="E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Asesor'!C1083, "")
</f>
        <v/>
      </c>
      <c r="F1083" s="212" t="str">
        <f t="array" ref="F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Asesor'!D1083, "")
</f>
        <v/>
      </c>
      <c r="G1083" s="212" t="str">
        <f t="array" ref="G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Asesor'!E1083, "")
</f>
        <v/>
      </c>
      <c r="H1083" s="84" t="str">
        <f t="array" ref="H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Asesor'!F1083, "")
</f>
        <v/>
      </c>
      <c r="I1083" s="84" t="str">
        <f t="array" ref="I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Asesor'!G1083, "")
</f>
        <v/>
      </c>
      <c r="J1083" s="84" t="str">
        <f t="array" ref="J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Asesor'!H1083, "")
</f>
        <v/>
      </c>
      <c r="K1083" s="84" t="str">
        <f t="array" ref="K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Asesor'!K1083, "")
</f>
        <v/>
      </c>
      <c r="L1083" s="84" t="str">
        <f t="array" ref="L1083">IF(OR(
    AND('BD Asesor'!H1083="Mensual", MATCH($B$2, {"Enero", "Febrero", "Marzo", "Abril", "Mayo", "Junio", "Julio", "Agosto", "Septiembre", "Octubre", "Noviembre", "Diciembre"}, 0)&gt;=1),
    AND('BD Asesor'!H1083="Trimestral", MOD(MATCH($B$2, {"Enero", "Febrero", "Marzo", "Abril", "Mayo", "Junio", "Julio", "Agosto", "Septiembre", "Octubre", "Noviembre"}, 0)-MONTH('BD Asesor'!D1083), 3)=0),
    AND('BD Asesor'!H1083="Semestral", MOD(MATCH($B$2, {"Enero", "Febrero", "Marzo", "Abril", "Mayo", "Junio", "Julio", "Agosto", "Septiembre", "Octubre", "Noviembre"}, 0)-MONTH('BD Asesor'!D1083), 6)=0),
    AND('BD Asesor'!H1083="Anual", MONTH('BD Asesor'!D1083)=MATCH($B$2, {"Enero", "Febrero", "Marzo", "Abril", "Mayo", "Junio", "Julio", "Agosto", "Septiembre", "Octubre", "Noviembre"}, 0))
), 'BD Asesor'!L1083, "")
</f>
        <v/>
      </c>
    </row>
    <row r="1084">
      <c r="C1084" s="84" t="str">
        <f t="array" ref="C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Asesor'!A1084, "")
</f>
        <v/>
      </c>
      <c r="D1084" s="84" t="str">
        <f t="array" ref="D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Asesor'!B1084, "")
</f>
        <v/>
      </c>
      <c r="E1084" s="212" t="str">
        <f t="array" ref="E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Asesor'!C1084, "")
</f>
        <v/>
      </c>
      <c r="F1084" s="212" t="str">
        <f t="array" ref="F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Asesor'!D1084, "")
</f>
        <v/>
      </c>
      <c r="G1084" s="212" t="str">
        <f t="array" ref="G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Asesor'!E1084, "")
</f>
        <v/>
      </c>
      <c r="H1084" s="84" t="str">
        <f t="array" ref="H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Asesor'!F1084, "")
</f>
        <v/>
      </c>
      <c r="I1084" s="84" t="str">
        <f t="array" ref="I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Asesor'!G1084, "")
</f>
        <v/>
      </c>
      <c r="J1084" s="84" t="str">
        <f t="array" ref="J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Asesor'!H1084, "")
</f>
        <v/>
      </c>
      <c r="K1084" s="84" t="str">
        <f t="array" ref="K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Asesor'!K1084, "")
</f>
        <v/>
      </c>
      <c r="L1084" s="84" t="str">
        <f t="array" ref="L1084">IF(OR(
    AND('BD Asesor'!H1084="Mensual", MATCH($B$2, {"Enero", "Febrero", "Marzo", "Abril", "Mayo", "Junio", "Julio", "Agosto", "Septiembre", "Octubre", "Noviembre", "Diciembre"}, 0)&gt;=1),
    AND('BD Asesor'!H1084="Trimestral", MOD(MATCH($B$2, {"Enero", "Febrero", "Marzo", "Abril", "Mayo", "Junio", "Julio", "Agosto", "Septiembre", "Octubre", "Noviembre"}, 0)-MONTH('BD Asesor'!D1084), 3)=0),
    AND('BD Asesor'!H1084="Semestral", MOD(MATCH($B$2, {"Enero", "Febrero", "Marzo", "Abril", "Mayo", "Junio", "Julio", "Agosto", "Septiembre", "Octubre", "Noviembre"}, 0)-MONTH('BD Asesor'!D1084), 6)=0),
    AND('BD Asesor'!H1084="Anual", MONTH('BD Asesor'!D1084)=MATCH($B$2, {"Enero", "Febrero", "Marzo", "Abril", "Mayo", "Junio", "Julio", "Agosto", "Septiembre", "Octubre", "Noviembre"}, 0))
), 'BD Asesor'!L1084, "")
</f>
        <v/>
      </c>
    </row>
    <row r="1085">
      <c r="C1085" s="84" t="str">
        <f t="array" ref="C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Asesor'!A1085, "")
</f>
        <v/>
      </c>
      <c r="D1085" s="84" t="str">
        <f t="array" ref="D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Asesor'!B1085, "")
</f>
        <v/>
      </c>
      <c r="E1085" s="212" t="str">
        <f t="array" ref="E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Asesor'!C1085, "")
</f>
        <v/>
      </c>
      <c r="F1085" s="212" t="str">
        <f t="array" ref="F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Asesor'!D1085, "")
</f>
        <v/>
      </c>
      <c r="G1085" s="212" t="str">
        <f t="array" ref="G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Asesor'!E1085, "")
</f>
        <v/>
      </c>
      <c r="H1085" s="84" t="str">
        <f t="array" ref="H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Asesor'!F1085, "")
</f>
        <v/>
      </c>
      <c r="I1085" s="84" t="str">
        <f t="array" ref="I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Asesor'!G1085, "")
</f>
        <v/>
      </c>
      <c r="J1085" s="84" t="str">
        <f t="array" ref="J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Asesor'!H1085, "")
</f>
        <v/>
      </c>
      <c r="K1085" s="84" t="str">
        <f t="array" ref="K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Asesor'!K1085, "")
</f>
        <v/>
      </c>
      <c r="L1085" s="84" t="str">
        <f t="array" ref="L1085">IF(OR(
    AND('BD Asesor'!H1085="Mensual", MATCH($B$2, {"Enero", "Febrero", "Marzo", "Abril", "Mayo", "Junio", "Julio", "Agosto", "Septiembre", "Octubre", "Noviembre", "Diciembre"}, 0)&gt;=1),
    AND('BD Asesor'!H1085="Trimestral", MOD(MATCH($B$2, {"Enero", "Febrero", "Marzo", "Abril", "Mayo", "Junio", "Julio", "Agosto", "Septiembre", "Octubre", "Noviembre"}, 0)-MONTH('BD Asesor'!D1085), 3)=0),
    AND('BD Asesor'!H1085="Semestral", MOD(MATCH($B$2, {"Enero", "Febrero", "Marzo", "Abril", "Mayo", "Junio", "Julio", "Agosto", "Septiembre", "Octubre", "Noviembre"}, 0)-MONTH('BD Asesor'!D1085), 6)=0),
    AND('BD Asesor'!H1085="Anual", MONTH('BD Asesor'!D1085)=MATCH($B$2, {"Enero", "Febrero", "Marzo", "Abril", "Mayo", "Junio", "Julio", "Agosto", "Septiembre", "Octubre", "Noviembre"}, 0))
), 'BD Asesor'!L1085, "")
</f>
        <v/>
      </c>
    </row>
    <row r="1086">
      <c r="C1086" s="84" t="str">
        <f t="array" ref="C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Asesor'!A1086, "")
</f>
        <v/>
      </c>
      <c r="D1086" s="84" t="str">
        <f t="array" ref="D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Asesor'!B1086, "")
</f>
        <v/>
      </c>
      <c r="E1086" s="212" t="str">
        <f t="array" ref="E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Asesor'!C1086, "")
</f>
        <v/>
      </c>
      <c r="F1086" s="212" t="str">
        <f t="array" ref="F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Asesor'!D1086, "")
</f>
        <v/>
      </c>
      <c r="G1086" s="212" t="str">
        <f t="array" ref="G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Asesor'!E1086, "")
</f>
        <v/>
      </c>
      <c r="H1086" s="84" t="str">
        <f t="array" ref="H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Asesor'!F1086, "")
</f>
        <v/>
      </c>
      <c r="I1086" s="84" t="str">
        <f t="array" ref="I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Asesor'!G1086, "")
</f>
        <v/>
      </c>
      <c r="J1086" s="84" t="str">
        <f t="array" ref="J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Asesor'!H1086, "")
</f>
        <v/>
      </c>
      <c r="K1086" s="84" t="str">
        <f t="array" ref="K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Asesor'!K1086, "")
</f>
        <v/>
      </c>
      <c r="L1086" s="84" t="str">
        <f t="array" ref="L1086">IF(OR(
    AND('BD Asesor'!H1086="Mensual", MATCH($B$2, {"Enero", "Febrero", "Marzo", "Abril", "Mayo", "Junio", "Julio", "Agosto", "Septiembre", "Octubre", "Noviembre", "Diciembre"}, 0)&gt;=1),
    AND('BD Asesor'!H1086="Trimestral", MOD(MATCH($B$2, {"Enero", "Febrero", "Marzo", "Abril", "Mayo", "Junio", "Julio", "Agosto", "Septiembre", "Octubre", "Noviembre"}, 0)-MONTH('BD Asesor'!D1086), 3)=0),
    AND('BD Asesor'!H1086="Semestral", MOD(MATCH($B$2, {"Enero", "Febrero", "Marzo", "Abril", "Mayo", "Junio", "Julio", "Agosto", "Septiembre", "Octubre", "Noviembre"}, 0)-MONTH('BD Asesor'!D1086), 6)=0),
    AND('BD Asesor'!H1086="Anual", MONTH('BD Asesor'!D1086)=MATCH($B$2, {"Enero", "Febrero", "Marzo", "Abril", "Mayo", "Junio", "Julio", "Agosto", "Septiembre", "Octubre", "Noviembre"}, 0))
), 'BD Asesor'!L1086, "")
</f>
        <v/>
      </c>
    </row>
    <row r="1087">
      <c r="C1087" s="84" t="str">
        <f t="array" ref="C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Asesor'!A1087, "")
</f>
        <v/>
      </c>
      <c r="D1087" s="84" t="str">
        <f t="array" ref="D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Asesor'!B1087, "")
</f>
        <v/>
      </c>
      <c r="E1087" s="212" t="str">
        <f t="array" ref="E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Asesor'!C1087, "")
</f>
        <v/>
      </c>
      <c r="F1087" s="212" t="str">
        <f t="array" ref="F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Asesor'!D1087, "")
</f>
        <v/>
      </c>
      <c r="G1087" s="212" t="str">
        <f t="array" ref="G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Asesor'!E1087, "")
</f>
        <v/>
      </c>
      <c r="H1087" s="84" t="str">
        <f t="array" ref="H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Asesor'!F1087, "")
</f>
        <v/>
      </c>
      <c r="I1087" s="84" t="str">
        <f t="array" ref="I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Asesor'!G1087, "")
</f>
        <v/>
      </c>
      <c r="J1087" s="84" t="str">
        <f t="array" ref="J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Asesor'!H1087, "")
</f>
        <v/>
      </c>
      <c r="K1087" s="84" t="str">
        <f t="array" ref="K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Asesor'!K1087, "")
</f>
        <v/>
      </c>
      <c r="L1087" s="84" t="str">
        <f t="array" ref="L1087">IF(OR(
    AND('BD Asesor'!H1087="Mensual", MATCH($B$2, {"Enero", "Febrero", "Marzo", "Abril", "Mayo", "Junio", "Julio", "Agosto", "Septiembre", "Octubre", "Noviembre", "Diciembre"}, 0)&gt;=1),
    AND('BD Asesor'!H1087="Trimestral", MOD(MATCH($B$2, {"Enero", "Febrero", "Marzo", "Abril", "Mayo", "Junio", "Julio", "Agosto", "Septiembre", "Octubre", "Noviembre"}, 0)-MONTH('BD Asesor'!D1087), 3)=0),
    AND('BD Asesor'!H1087="Semestral", MOD(MATCH($B$2, {"Enero", "Febrero", "Marzo", "Abril", "Mayo", "Junio", "Julio", "Agosto", "Septiembre", "Octubre", "Noviembre"}, 0)-MONTH('BD Asesor'!D1087), 6)=0),
    AND('BD Asesor'!H1087="Anual", MONTH('BD Asesor'!D1087)=MATCH($B$2, {"Enero", "Febrero", "Marzo", "Abril", "Mayo", "Junio", "Julio", "Agosto", "Septiembre", "Octubre", "Noviembre"}, 0))
), 'BD Asesor'!L1087, "")
</f>
        <v/>
      </c>
    </row>
    <row r="1088">
      <c r="C1088" s="84" t="str">
        <f t="array" ref="C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Asesor'!A1088, "")
</f>
        <v/>
      </c>
      <c r="D1088" s="84" t="str">
        <f t="array" ref="D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Asesor'!B1088, "")
</f>
        <v/>
      </c>
      <c r="E1088" s="212" t="str">
        <f t="array" ref="E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Asesor'!C1088, "")
</f>
        <v/>
      </c>
      <c r="F1088" s="212" t="str">
        <f t="array" ref="F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Asesor'!D1088, "")
</f>
        <v/>
      </c>
      <c r="G1088" s="212" t="str">
        <f t="array" ref="G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Asesor'!E1088, "")
</f>
        <v/>
      </c>
      <c r="H1088" s="84" t="str">
        <f t="array" ref="H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Asesor'!F1088, "")
</f>
        <v/>
      </c>
      <c r="I1088" s="84" t="str">
        <f t="array" ref="I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Asesor'!G1088, "")
</f>
        <v/>
      </c>
      <c r="J1088" s="84" t="str">
        <f t="array" ref="J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Asesor'!H1088, "")
</f>
        <v/>
      </c>
      <c r="K1088" s="84" t="str">
        <f t="array" ref="K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Asesor'!K1088, "")
</f>
        <v/>
      </c>
      <c r="L1088" s="84" t="str">
        <f t="array" ref="L1088">IF(OR(
    AND('BD Asesor'!H1088="Mensual", MATCH($B$2, {"Enero", "Febrero", "Marzo", "Abril", "Mayo", "Junio", "Julio", "Agosto", "Septiembre", "Octubre", "Noviembre", "Diciembre"}, 0)&gt;=1),
    AND('BD Asesor'!H1088="Trimestral", MOD(MATCH($B$2, {"Enero", "Febrero", "Marzo", "Abril", "Mayo", "Junio", "Julio", "Agosto", "Septiembre", "Octubre", "Noviembre"}, 0)-MONTH('BD Asesor'!D1088), 3)=0),
    AND('BD Asesor'!H1088="Semestral", MOD(MATCH($B$2, {"Enero", "Febrero", "Marzo", "Abril", "Mayo", "Junio", "Julio", "Agosto", "Septiembre", "Octubre", "Noviembre"}, 0)-MONTH('BD Asesor'!D1088), 6)=0),
    AND('BD Asesor'!H1088="Anual", MONTH('BD Asesor'!D1088)=MATCH($B$2, {"Enero", "Febrero", "Marzo", "Abril", "Mayo", "Junio", "Julio", "Agosto", "Septiembre", "Octubre", "Noviembre"}, 0))
), 'BD Asesor'!L1088, "")
</f>
        <v/>
      </c>
    </row>
    <row r="1089">
      <c r="C1089" s="84" t="str">
        <f t="array" ref="C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Asesor'!A1089, "")
</f>
        <v/>
      </c>
      <c r="D1089" s="84" t="str">
        <f t="array" ref="D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Asesor'!B1089, "")
</f>
        <v/>
      </c>
      <c r="E1089" s="212" t="str">
        <f t="array" ref="E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Asesor'!C1089, "")
</f>
        <v/>
      </c>
      <c r="F1089" s="212" t="str">
        <f t="array" ref="F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Asesor'!D1089, "")
</f>
        <v/>
      </c>
      <c r="G1089" s="212" t="str">
        <f t="array" ref="G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Asesor'!E1089, "")
</f>
        <v/>
      </c>
      <c r="H1089" s="84" t="str">
        <f t="array" ref="H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Asesor'!F1089, "")
</f>
        <v/>
      </c>
      <c r="I1089" s="84" t="str">
        <f t="array" ref="I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Asesor'!G1089, "")
</f>
        <v/>
      </c>
      <c r="J1089" s="84" t="str">
        <f t="array" ref="J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Asesor'!H1089, "")
</f>
        <v/>
      </c>
      <c r="K1089" s="84" t="str">
        <f t="array" ref="K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Asesor'!K1089, "")
</f>
        <v/>
      </c>
      <c r="L1089" s="84" t="str">
        <f t="array" ref="L1089">IF(OR(
    AND('BD Asesor'!H1089="Mensual", MATCH($B$2, {"Enero", "Febrero", "Marzo", "Abril", "Mayo", "Junio", "Julio", "Agosto", "Septiembre", "Octubre", "Noviembre", "Diciembre"}, 0)&gt;=1),
    AND('BD Asesor'!H1089="Trimestral", MOD(MATCH($B$2, {"Enero", "Febrero", "Marzo", "Abril", "Mayo", "Junio", "Julio", "Agosto", "Septiembre", "Octubre", "Noviembre"}, 0)-MONTH('BD Asesor'!D1089), 3)=0),
    AND('BD Asesor'!H1089="Semestral", MOD(MATCH($B$2, {"Enero", "Febrero", "Marzo", "Abril", "Mayo", "Junio", "Julio", "Agosto", "Septiembre", "Octubre", "Noviembre"}, 0)-MONTH('BD Asesor'!D1089), 6)=0),
    AND('BD Asesor'!H1089="Anual", MONTH('BD Asesor'!D1089)=MATCH($B$2, {"Enero", "Febrero", "Marzo", "Abril", "Mayo", "Junio", "Julio", "Agosto", "Septiembre", "Octubre", "Noviembre"}, 0))
), 'BD Asesor'!L1089, "")
</f>
        <v/>
      </c>
    </row>
    <row r="1090">
      <c r="C1090" s="84" t="str">
        <f t="array" ref="C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Asesor'!A1090, "")
</f>
        <v/>
      </c>
      <c r="D1090" s="84" t="str">
        <f t="array" ref="D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Asesor'!B1090, "")
</f>
        <v/>
      </c>
      <c r="E1090" s="212" t="str">
        <f t="array" ref="E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Asesor'!C1090, "")
</f>
        <v/>
      </c>
      <c r="F1090" s="212" t="str">
        <f t="array" ref="F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Asesor'!D1090, "")
</f>
        <v/>
      </c>
      <c r="G1090" s="212" t="str">
        <f t="array" ref="G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Asesor'!E1090, "")
</f>
        <v/>
      </c>
      <c r="H1090" s="84" t="str">
        <f t="array" ref="H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Asesor'!F1090, "")
</f>
        <v/>
      </c>
      <c r="I1090" s="84" t="str">
        <f t="array" ref="I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Asesor'!G1090, "")
</f>
        <v/>
      </c>
      <c r="J1090" s="84" t="str">
        <f t="array" ref="J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Asesor'!H1090, "")
</f>
        <v/>
      </c>
      <c r="K1090" s="84" t="str">
        <f t="array" ref="K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Asesor'!K1090, "")
</f>
        <v/>
      </c>
      <c r="L1090" s="84" t="str">
        <f t="array" ref="L1090">IF(OR(
    AND('BD Asesor'!H1090="Mensual", MATCH($B$2, {"Enero", "Febrero", "Marzo", "Abril", "Mayo", "Junio", "Julio", "Agosto", "Septiembre", "Octubre", "Noviembre", "Diciembre"}, 0)&gt;=1),
    AND('BD Asesor'!H1090="Trimestral", MOD(MATCH($B$2, {"Enero", "Febrero", "Marzo", "Abril", "Mayo", "Junio", "Julio", "Agosto", "Septiembre", "Octubre", "Noviembre"}, 0)-MONTH('BD Asesor'!D1090), 3)=0),
    AND('BD Asesor'!H1090="Semestral", MOD(MATCH($B$2, {"Enero", "Febrero", "Marzo", "Abril", "Mayo", "Junio", "Julio", "Agosto", "Septiembre", "Octubre", "Noviembre"}, 0)-MONTH('BD Asesor'!D1090), 6)=0),
    AND('BD Asesor'!H1090="Anual", MONTH('BD Asesor'!D1090)=MATCH($B$2, {"Enero", "Febrero", "Marzo", "Abril", "Mayo", "Junio", "Julio", "Agosto", "Septiembre", "Octubre", "Noviembre"}, 0))
), 'BD Asesor'!L1090, "")
</f>
        <v/>
      </c>
    </row>
    <row r="1091">
      <c r="C1091" s="84" t="str">
        <f t="array" ref="C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Asesor'!A1091, "")
</f>
        <v/>
      </c>
      <c r="D1091" s="84" t="str">
        <f t="array" ref="D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Asesor'!B1091, "")
</f>
        <v/>
      </c>
      <c r="E1091" s="212" t="str">
        <f t="array" ref="E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Asesor'!C1091, "")
</f>
        <v/>
      </c>
      <c r="F1091" s="212" t="str">
        <f t="array" ref="F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Asesor'!D1091, "")
</f>
        <v/>
      </c>
      <c r="G1091" s="212" t="str">
        <f t="array" ref="G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Asesor'!E1091, "")
</f>
        <v/>
      </c>
      <c r="H1091" s="84" t="str">
        <f t="array" ref="H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Asesor'!F1091, "")
</f>
        <v/>
      </c>
      <c r="I1091" s="84" t="str">
        <f t="array" ref="I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Asesor'!G1091, "")
</f>
        <v/>
      </c>
      <c r="J1091" s="84" t="str">
        <f t="array" ref="J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Asesor'!H1091, "")
</f>
        <v/>
      </c>
      <c r="K1091" s="84" t="str">
        <f t="array" ref="K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Asesor'!K1091, "")
</f>
        <v/>
      </c>
      <c r="L1091" s="84" t="str">
        <f t="array" ref="L1091">IF(OR(
    AND('BD Asesor'!H1091="Mensual", MATCH($B$2, {"Enero", "Febrero", "Marzo", "Abril", "Mayo", "Junio", "Julio", "Agosto", "Septiembre", "Octubre", "Noviembre", "Diciembre"}, 0)&gt;=1),
    AND('BD Asesor'!H1091="Trimestral", MOD(MATCH($B$2, {"Enero", "Febrero", "Marzo", "Abril", "Mayo", "Junio", "Julio", "Agosto", "Septiembre", "Octubre", "Noviembre"}, 0)-MONTH('BD Asesor'!D1091), 3)=0),
    AND('BD Asesor'!H1091="Semestral", MOD(MATCH($B$2, {"Enero", "Febrero", "Marzo", "Abril", "Mayo", "Junio", "Julio", "Agosto", "Septiembre", "Octubre", "Noviembre"}, 0)-MONTH('BD Asesor'!D1091), 6)=0),
    AND('BD Asesor'!H1091="Anual", MONTH('BD Asesor'!D1091)=MATCH($B$2, {"Enero", "Febrero", "Marzo", "Abril", "Mayo", "Junio", "Julio", "Agosto", "Septiembre", "Octubre", "Noviembre"}, 0))
), 'BD Asesor'!L1091, "")
</f>
        <v/>
      </c>
    </row>
    <row r="1092">
      <c r="C1092" s="84" t="str">
        <f t="array" ref="C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Asesor'!A1092, "")
</f>
        <v/>
      </c>
      <c r="D1092" s="84" t="str">
        <f t="array" ref="D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Asesor'!B1092, "")
</f>
        <v/>
      </c>
      <c r="E1092" s="212" t="str">
        <f t="array" ref="E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Asesor'!C1092, "")
</f>
        <v/>
      </c>
      <c r="F1092" s="212" t="str">
        <f t="array" ref="F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Asesor'!D1092, "")
</f>
        <v/>
      </c>
      <c r="G1092" s="212" t="str">
        <f t="array" ref="G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Asesor'!E1092, "")
</f>
        <v/>
      </c>
      <c r="H1092" s="84" t="str">
        <f t="array" ref="H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Asesor'!F1092, "")
</f>
        <v/>
      </c>
      <c r="I1092" s="84" t="str">
        <f t="array" ref="I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Asesor'!G1092, "")
</f>
        <v/>
      </c>
      <c r="J1092" s="84" t="str">
        <f t="array" ref="J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Asesor'!H1092, "")
</f>
        <v/>
      </c>
      <c r="K1092" s="84" t="str">
        <f t="array" ref="K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Asesor'!K1092, "")
</f>
        <v/>
      </c>
      <c r="L1092" s="84" t="str">
        <f t="array" ref="L1092">IF(OR(
    AND('BD Asesor'!H1092="Mensual", MATCH($B$2, {"Enero", "Febrero", "Marzo", "Abril", "Mayo", "Junio", "Julio", "Agosto", "Septiembre", "Octubre", "Noviembre", "Diciembre"}, 0)&gt;=1),
    AND('BD Asesor'!H1092="Trimestral", MOD(MATCH($B$2, {"Enero", "Febrero", "Marzo", "Abril", "Mayo", "Junio", "Julio", "Agosto", "Septiembre", "Octubre", "Noviembre"}, 0)-MONTH('BD Asesor'!D1092), 3)=0),
    AND('BD Asesor'!H1092="Semestral", MOD(MATCH($B$2, {"Enero", "Febrero", "Marzo", "Abril", "Mayo", "Junio", "Julio", "Agosto", "Septiembre", "Octubre", "Noviembre"}, 0)-MONTH('BD Asesor'!D1092), 6)=0),
    AND('BD Asesor'!H1092="Anual", MONTH('BD Asesor'!D1092)=MATCH($B$2, {"Enero", "Febrero", "Marzo", "Abril", "Mayo", "Junio", "Julio", "Agosto", "Septiembre", "Octubre", "Noviembre"}, 0))
), 'BD Asesor'!L1092, "")
</f>
        <v/>
      </c>
    </row>
    <row r="1093">
      <c r="C1093" s="84" t="str">
        <f t="array" ref="C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Asesor'!A1093, "")
</f>
        <v/>
      </c>
      <c r="D1093" s="84" t="str">
        <f t="array" ref="D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Asesor'!B1093, "")
</f>
        <v/>
      </c>
      <c r="E1093" s="212" t="str">
        <f t="array" ref="E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Asesor'!C1093, "")
</f>
        <v/>
      </c>
      <c r="F1093" s="212" t="str">
        <f t="array" ref="F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Asesor'!D1093, "")
</f>
        <v/>
      </c>
      <c r="G1093" s="212" t="str">
        <f t="array" ref="G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Asesor'!E1093, "")
</f>
        <v/>
      </c>
      <c r="H1093" s="84" t="str">
        <f t="array" ref="H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Asesor'!F1093, "")
</f>
        <v/>
      </c>
      <c r="I1093" s="84" t="str">
        <f t="array" ref="I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Asesor'!G1093, "")
</f>
        <v/>
      </c>
      <c r="J1093" s="84" t="str">
        <f t="array" ref="J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Asesor'!H1093, "")
</f>
        <v/>
      </c>
      <c r="K1093" s="84" t="str">
        <f t="array" ref="K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Asesor'!K1093, "")
</f>
        <v/>
      </c>
      <c r="L1093" s="84" t="str">
        <f t="array" ref="L1093">IF(OR(
    AND('BD Asesor'!H1093="Mensual", MATCH($B$2, {"Enero", "Febrero", "Marzo", "Abril", "Mayo", "Junio", "Julio", "Agosto", "Septiembre", "Octubre", "Noviembre", "Diciembre"}, 0)&gt;=1),
    AND('BD Asesor'!H1093="Trimestral", MOD(MATCH($B$2, {"Enero", "Febrero", "Marzo", "Abril", "Mayo", "Junio", "Julio", "Agosto", "Septiembre", "Octubre", "Noviembre"}, 0)-MONTH('BD Asesor'!D1093), 3)=0),
    AND('BD Asesor'!H1093="Semestral", MOD(MATCH($B$2, {"Enero", "Febrero", "Marzo", "Abril", "Mayo", "Junio", "Julio", "Agosto", "Septiembre", "Octubre", "Noviembre"}, 0)-MONTH('BD Asesor'!D1093), 6)=0),
    AND('BD Asesor'!H1093="Anual", MONTH('BD Asesor'!D1093)=MATCH($B$2, {"Enero", "Febrero", "Marzo", "Abril", "Mayo", "Junio", "Julio", "Agosto", "Septiembre", "Octubre", "Noviembre"}, 0))
), 'BD Asesor'!L1093, "")
</f>
        <v/>
      </c>
    </row>
    <row r="1094">
      <c r="C1094" s="84" t="str">
        <f t="array" ref="C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Asesor'!A1094, "")
</f>
        <v/>
      </c>
      <c r="D1094" s="84" t="str">
        <f t="array" ref="D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Asesor'!B1094, "")
</f>
        <v/>
      </c>
      <c r="E1094" s="212" t="str">
        <f t="array" ref="E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Asesor'!C1094, "")
</f>
        <v/>
      </c>
      <c r="F1094" s="212" t="str">
        <f t="array" ref="F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Asesor'!D1094, "")
</f>
        <v/>
      </c>
      <c r="G1094" s="212" t="str">
        <f t="array" ref="G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Asesor'!E1094, "")
</f>
        <v/>
      </c>
      <c r="H1094" s="84" t="str">
        <f t="array" ref="H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Asesor'!F1094, "")
</f>
        <v/>
      </c>
      <c r="I1094" s="84" t="str">
        <f t="array" ref="I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Asesor'!G1094, "")
</f>
        <v/>
      </c>
      <c r="J1094" s="84" t="str">
        <f t="array" ref="J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Asesor'!H1094, "")
</f>
        <v/>
      </c>
      <c r="K1094" s="84" t="str">
        <f t="array" ref="K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Asesor'!K1094, "")
</f>
        <v/>
      </c>
      <c r="L1094" s="84" t="str">
        <f t="array" ref="L1094">IF(OR(
    AND('BD Asesor'!H1094="Mensual", MATCH($B$2, {"Enero", "Febrero", "Marzo", "Abril", "Mayo", "Junio", "Julio", "Agosto", "Septiembre", "Octubre", "Noviembre", "Diciembre"}, 0)&gt;=1),
    AND('BD Asesor'!H1094="Trimestral", MOD(MATCH($B$2, {"Enero", "Febrero", "Marzo", "Abril", "Mayo", "Junio", "Julio", "Agosto", "Septiembre", "Octubre", "Noviembre"}, 0)-MONTH('BD Asesor'!D1094), 3)=0),
    AND('BD Asesor'!H1094="Semestral", MOD(MATCH($B$2, {"Enero", "Febrero", "Marzo", "Abril", "Mayo", "Junio", "Julio", "Agosto", "Septiembre", "Octubre", "Noviembre"}, 0)-MONTH('BD Asesor'!D1094), 6)=0),
    AND('BD Asesor'!H1094="Anual", MONTH('BD Asesor'!D1094)=MATCH($B$2, {"Enero", "Febrero", "Marzo", "Abril", "Mayo", "Junio", "Julio", "Agosto", "Septiembre", "Octubre", "Noviembre"}, 0))
), 'BD Asesor'!L1094, "")
</f>
        <v/>
      </c>
    </row>
    <row r="1095">
      <c r="C1095" s="84" t="str">
        <f t="array" ref="C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Asesor'!A1095, "")
</f>
        <v/>
      </c>
      <c r="D1095" s="84" t="str">
        <f t="array" ref="D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Asesor'!B1095, "")
</f>
        <v/>
      </c>
      <c r="E1095" s="212" t="str">
        <f t="array" ref="E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Asesor'!C1095, "")
</f>
        <v/>
      </c>
      <c r="F1095" s="212" t="str">
        <f t="array" ref="F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Asesor'!D1095, "")
</f>
        <v/>
      </c>
      <c r="G1095" s="212" t="str">
        <f t="array" ref="G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Asesor'!E1095, "")
</f>
        <v/>
      </c>
      <c r="H1095" s="84" t="str">
        <f t="array" ref="H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Asesor'!F1095, "")
</f>
        <v/>
      </c>
      <c r="I1095" s="84" t="str">
        <f t="array" ref="I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Asesor'!G1095, "")
</f>
        <v/>
      </c>
      <c r="J1095" s="84" t="str">
        <f t="array" ref="J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Asesor'!H1095, "")
</f>
        <v/>
      </c>
      <c r="K1095" s="84" t="str">
        <f t="array" ref="K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Asesor'!K1095, "")
</f>
        <v/>
      </c>
      <c r="L1095" s="84" t="str">
        <f t="array" ref="L1095">IF(OR(
    AND('BD Asesor'!H1095="Mensual", MATCH($B$2, {"Enero", "Febrero", "Marzo", "Abril", "Mayo", "Junio", "Julio", "Agosto", "Septiembre", "Octubre", "Noviembre", "Diciembre"}, 0)&gt;=1),
    AND('BD Asesor'!H1095="Trimestral", MOD(MATCH($B$2, {"Enero", "Febrero", "Marzo", "Abril", "Mayo", "Junio", "Julio", "Agosto", "Septiembre", "Octubre", "Noviembre"}, 0)-MONTH('BD Asesor'!D1095), 3)=0),
    AND('BD Asesor'!H1095="Semestral", MOD(MATCH($B$2, {"Enero", "Febrero", "Marzo", "Abril", "Mayo", "Junio", "Julio", "Agosto", "Septiembre", "Octubre", "Noviembre"}, 0)-MONTH('BD Asesor'!D1095), 6)=0),
    AND('BD Asesor'!H1095="Anual", MONTH('BD Asesor'!D1095)=MATCH($B$2, {"Enero", "Febrero", "Marzo", "Abril", "Mayo", "Junio", "Julio", "Agosto", "Septiembre", "Octubre", "Noviembre"}, 0))
), 'BD Asesor'!L1095, "")
</f>
        <v/>
      </c>
    </row>
    <row r="1096">
      <c r="C1096" s="84" t="str">
        <f t="array" ref="C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Asesor'!A1096, "")
</f>
        <v/>
      </c>
      <c r="D1096" s="84" t="str">
        <f t="array" ref="D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Asesor'!B1096, "")
</f>
        <v/>
      </c>
      <c r="E1096" s="212" t="str">
        <f t="array" ref="E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Asesor'!C1096, "")
</f>
        <v/>
      </c>
      <c r="F1096" s="212" t="str">
        <f t="array" ref="F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Asesor'!D1096, "")
</f>
        <v/>
      </c>
      <c r="G1096" s="212" t="str">
        <f t="array" ref="G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Asesor'!E1096, "")
</f>
        <v/>
      </c>
      <c r="H1096" s="84" t="str">
        <f t="array" ref="H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Asesor'!F1096, "")
</f>
        <v/>
      </c>
      <c r="I1096" s="84" t="str">
        <f t="array" ref="I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Asesor'!G1096, "")
</f>
        <v/>
      </c>
      <c r="J1096" s="84" t="str">
        <f t="array" ref="J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Asesor'!H1096, "")
</f>
        <v/>
      </c>
      <c r="K1096" s="84" t="str">
        <f t="array" ref="K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Asesor'!K1096, "")
</f>
        <v/>
      </c>
      <c r="L1096" s="84" t="str">
        <f t="array" ref="L1096">IF(OR(
    AND('BD Asesor'!H1096="Mensual", MATCH($B$2, {"Enero", "Febrero", "Marzo", "Abril", "Mayo", "Junio", "Julio", "Agosto", "Septiembre", "Octubre", "Noviembre", "Diciembre"}, 0)&gt;=1),
    AND('BD Asesor'!H1096="Trimestral", MOD(MATCH($B$2, {"Enero", "Febrero", "Marzo", "Abril", "Mayo", "Junio", "Julio", "Agosto", "Septiembre", "Octubre", "Noviembre"}, 0)-MONTH('BD Asesor'!D1096), 3)=0),
    AND('BD Asesor'!H1096="Semestral", MOD(MATCH($B$2, {"Enero", "Febrero", "Marzo", "Abril", "Mayo", "Junio", "Julio", "Agosto", "Septiembre", "Octubre", "Noviembre"}, 0)-MONTH('BD Asesor'!D1096), 6)=0),
    AND('BD Asesor'!H1096="Anual", MONTH('BD Asesor'!D1096)=MATCH($B$2, {"Enero", "Febrero", "Marzo", "Abril", "Mayo", "Junio", "Julio", "Agosto", "Septiembre", "Octubre", "Noviembre"}, 0))
), 'BD Asesor'!L1096, "")
</f>
        <v/>
      </c>
    </row>
    <row r="1097">
      <c r="C1097" s="84" t="str">
        <f t="array" ref="C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Asesor'!A1097, "")
</f>
        <v/>
      </c>
      <c r="D1097" s="84" t="str">
        <f t="array" ref="D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Asesor'!B1097, "")
</f>
        <v/>
      </c>
      <c r="E1097" s="212" t="str">
        <f t="array" ref="E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Asesor'!C1097, "")
</f>
        <v/>
      </c>
      <c r="F1097" s="212" t="str">
        <f t="array" ref="F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Asesor'!D1097, "")
</f>
        <v/>
      </c>
      <c r="G1097" s="212" t="str">
        <f t="array" ref="G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Asesor'!E1097, "")
</f>
        <v/>
      </c>
      <c r="H1097" s="84" t="str">
        <f t="array" ref="H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Asesor'!F1097, "")
</f>
        <v/>
      </c>
      <c r="I1097" s="84" t="str">
        <f t="array" ref="I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Asesor'!G1097, "")
</f>
        <v/>
      </c>
      <c r="J1097" s="84" t="str">
        <f t="array" ref="J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Asesor'!H1097, "")
</f>
        <v/>
      </c>
      <c r="K1097" s="84" t="str">
        <f t="array" ref="K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Asesor'!K1097, "")
</f>
        <v/>
      </c>
      <c r="L1097" s="84" t="str">
        <f t="array" ref="L1097">IF(OR(
    AND('BD Asesor'!H1097="Mensual", MATCH($B$2, {"Enero", "Febrero", "Marzo", "Abril", "Mayo", "Junio", "Julio", "Agosto", "Septiembre", "Octubre", "Noviembre", "Diciembre"}, 0)&gt;=1),
    AND('BD Asesor'!H1097="Trimestral", MOD(MATCH($B$2, {"Enero", "Febrero", "Marzo", "Abril", "Mayo", "Junio", "Julio", "Agosto", "Septiembre", "Octubre", "Noviembre"}, 0)-MONTH('BD Asesor'!D1097), 3)=0),
    AND('BD Asesor'!H1097="Semestral", MOD(MATCH($B$2, {"Enero", "Febrero", "Marzo", "Abril", "Mayo", "Junio", "Julio", "Agosto", "Septiembre", "Octubre", "Noviembre"}, 0)-MONTH('BD Asesor'!D1097), 6)=0),
    AND('BD Asesor'!H1097="Anual", MONTH('BD Asesor'!D1097)=MATCH($B$2, {"Enero", "Febrero", "Marzo", "Abril", "Mayo", "Junio", "Julio", "Agosto", "Septiembre", "Octubre", "Noviembre"}, 0))
), 'BD Asesor'!L1097, "")
</f>
        <v/>
      </c>
    </row>
    <row r="1098">
      <c r="C1098" s="84" t="str">
        <f t="array" ref="C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Asesor'!A1098, "")
</f>
        <v/>
      </c>
      <c r="D1098" s="84" t="str">
        <f t="array" ref="D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Asesor'!B1098, "")
</f>
        <v/>
      </c>
      <c r="E1098" s="212" t="str">
        <f t="array" ref="E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Asesor'!C1098, "")
</f>
        <v/>
      </c>
      <c r="F1098" s="212" t="str">
        <f t="array" ref="F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Asesor'!D1098, "")
</f>
        <v/>
      </c>
      <c r="G1098" s="212" t="str">
        <f t="array" ref="G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Asesor'!E1098, "")
</f>
        <v/>
      </c>
      <c r="H1098" s="84" t="str">
        <f t="array" ref="H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Asesor'!F1098, "")
</f>
        <v/>
      </c>
      <c r="I1098" s="84" t="str">
        <f t="array" ref="I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Asesor'!G1098, "")
</f>
        <v/>
      </c>
      <c r="J1098" s="84" t="str">
        <f t="array" ref="J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Asesor'!H1098, "")
</f>
        <v/>
      </c>
      <c r="K1098" s="84" t="str">
        <f t="array" ref="K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Asesor'!K1098, "")
</f>
        <v/>
      </c>
      <c r="L1098" s="84" t="str">
        <f t="array" ref="L1098">IF(OR(
    AND('BD Asesor'!H1098="Mensual", MATCH($B$2, {"Enero", "Febrero", "Marzo", "Abril", "Mayo", "Junio", "Julio", "Agosto", "Septiembre", "Octubre", "Noviembre", "Diciembre"}, 0)&gt;=1),
    AND('BD Asesor'!H1098="Trimestral", MOD(MATCH($B$2, {"Enero", "Febrero", "Marzo", "Abril", "Mayo", "Junio", "Julio", "Agosto", "Septiembre", "Octubre", "Noviembre"}, 0)-MONTH('BD Asesor'!D1098), 3)=0),
    AND('BD Asesor'!H1098="Semestral", MOD(MATCH($B$2, {"Enero", "Febrero", "Marzo", "Abril", "Mayo", "Junio", "Julio", "Agosto", "Septiembre", "Octubre", "Noviembre"}, 0)-MONTH('BD Asesor'!D1098), 6)=0),
    AND('BD Asesor'!H1098="Anual", MONTH('BD Asesor'!D1098)=MATCH($B$2, {"Enero", "Febrero", "Marzo", "Abril", "Mayo", "Junio", "Julio", "Agosto", "Septiembre", "Octubre", "Noviembre"}, 0))
), 'BD Asesor'!L1098, "")
</f>
        <v/>
      </c>
    </row>
    <row r="1099">
      <c r="C1099" s="84" t="str">
        <f t="array" ref="C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Asesor'!A1099, "")
</f>
        <v/>
      </c>
      <c r="D1099" s="84" t="str">
        <f t="array" ref="D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Asesor'!B1099, "")
</f>
        <v/>
      </c>
      <c r="E1099" s="212" t="str">
        <f t="array" ref="E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Asesor'!C1099, "")
</f>
        <v/>
      </c>
      <c r="F1099" s="212" t="str">
        <f t="array" ref="F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Asesor'!D1099, "")
</f>
        <v/>
      </c>
      <c r="G1099" s="212" t="str">
        <f t="array" ref="G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Asesor'!E1099, "")
</f>
        <v/>
      </c>
      <c r="H1099" s="84" t="str">
        <f t="array" ref="H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Asesor'!F1099, "")
</f>
        <v/>
      </c>
      <c r="I1099" s="84" t="str">
        <f t="array" ref="I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Asesor'!G1099, "")
</f>
        <v/>
      </c>
      <c r="J1099" s="84" t="str">
        <f t="array" ref="J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Asesor'!H1099, "")
</f>
        <v/>
      </c>
      <c r="K1099" s="84" t="str">
        <f t="array" ref="K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Asesor'!K1099, "")
</f>
        <v/>
      </c>
      <c r="L1099" s="84" t="str">
        <f t="array" ref="L1099">IF(OR(
    AND('BD Asesor'!H1099="Mensual", MATCH($B$2, {"Enero", "Febrero", "Marzo", "Abril", "Mayo", "Junio", "Julio", "Agosto", "Septiembre", "Octubre", "Noviembre", "Diciembre"}, 0)&gt;=1),
    AND('BD Asesor'!H1099="Trimestral", MOD(MATCH($B$2, {"Enero", "Febrero", "Marzo", "Abril", "Mayo", "Junio", "Julio", "Agosto", "Septiembre", "Octubre", "Noviembre"}, 0)-MONTH('BD Asesor'!D1099), 3)=0),
    AND('BD Asesor'!H1099="Semestral", MOD(MATCH($B$2, {"Enero", "Febrero", "Marzo", "Abril", "Mayo", "Junio", "Julio", "Agosto", "Septiembre", "Octubre", "Noviembre"}, 0)-MONTH('BD Asesor'!D1099), 6)=0),
    AND('BD Asesor'!H1099="Anual", MONTH('BD Asesor'!D1099)=MATCH($B$2, {"Enero", "Febrero", "Marzo", "Abril", "Mayo", "Junio", "Julio", "Agosto", "Septiembre", "Octubre", "Noviembre"}, 0))
), 'BD Asesor'!L1099, "")
</f>
        <v/>
      </c>
    </row>
    <row r="1100">
      <c r="C1100" s="84" t="str">
        <f t="array" ref="C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Asesor'!A1100, "")
</f>
        <v/>
      </c>
      <c r="D1100" s="84" t="str">
        <f t="array" ref="D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Asesor'!B1100, "")
</f>
        <v/>
      </c>
      <c r="E1100" s="212" t="str">
        <f t="array" ref="E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Asesor'!C1100, "")
</f>
        <v/>
      </c>
      <c r="F1100" s="212" t="str">
        <f t="array" ref="F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Asesor'!D1100, "")
</f>
        <v/>
      </c>
      <c r="G1100" s="212" t="str">
        <f t="array" ref="G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Asesor'!E1100, "")
</f>
        <v/>
      </c>
      <c r="H1100" s="84" t="str">
        <f t="array" ref="H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Asesor'!F1100, "")
</f>
        <v/>
      </c>
      <c r="I1100" s="84" t="str">
        <f t="array" ref="I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Asesor'!G1100, "")
</f>
        <v/>
      </c>
      <c r="J1100" s="84" t="str">
        <f t="array" ref="J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Asesor'!H1100, "")
</f>
        <v/>
      </c>
      <c r="K1100" s="84" t="str">
        <f t="array" ref="K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Asesor'!K1100, "")
</f>
        <v/>
      </c>
      <c r="L1100" s="84" t="str">
        <f t="array" ref="L1100">IF(OR(
    AND('BD Asesor'!H1100="Mensual", MATCH($B$2, {"Enero", "Febrero", "Marzo", "Abril", "Mayo", "Junio", "Julio", "Agosto", "Septiembre", "Octubre", "Noviembre", "Diciembre"}, 0)&gt;=1),
    AND('BD Asesor'!H1100="Trimestral", MOD(MATCH($B$2, {"Enero", "Febrero", "Marzo", "Abril", "Mayo", "Junio", "Julio", "Agosto", "Septiembre", "Octubre", "Noviembre"}, 0)-MONTH('BD Asesor'!D1100), 3)=0),
    AND('BD Asesor'!H1100="Semestral", MOD(MATCH($B$2, {"Enero", "Febrero", "Marzo", "Abril", "Mayo", "Junio", "Julio", "Agosto", "Septiembre", "Octubre", "Noviembre"}, 0)-MONTH('BD Asesor'!D1100), 6)=0),
    AND('BD Asesor'!H1100="Anual", MONTH('BD Asesor'!D1100)=MATCH($B$2, {"Enero", "Febrero", "Marzo", "Abril", "Mayo", "Junio", "Julio", "Agosto", "Septiembre", "Octubre", "Noviembre"}, 0))
), 'BD Asesor'!L1100, "")
</f>
        <v/>
      </c>
    </row>
    <row r="1101">
      <c r="C1101" s="84" t="str">
        <f t="array" ref="C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Asesor'!A1101, "")
</f>
        <v/>
      </c>
      <c r="D1101" s="84" t="str">
        <f t="array" ref="D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Asesor'!B1101, "")
</f>
        <v/>
      </c>
      <c r="E1101" s="212" t="str">
        <f t="array" ref="E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Asesor'!C1101, "")
</f>
        <v/>
      </c>
      <c r="F1101" s="212" t="str">
        <f t="array" ref="F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Asesor'!D1101, "")
</f>
        <v/>
      </c>
      <c r="G1101" s="212" t="str">
        <f t="array" ref="G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Asesor'!E1101, "")
</f>
        <v/>
      </c>
      <c r="H1101" s="84" t="str">
        <f t="array" ref="H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Asesor'!F1101, "")
</f>
        <v/>
      </c>
      <c r="I1101" s="84" t="str">
        <f t="array" ref="I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Asesor'!G1101, "")
</f>
        <v/>
      </c>
      <c r="J1101" s="84" t="str">
        <f t="array" ref="J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Asesor'!H1101, "")
</f>
        <v/>
      </c>
      <c r="K1101" s="84" t="str">
        <f t="array" ref="K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Asesor'!K1101, "")
</f>
        <v/>
      </c>
      <c r="L1101" s="84" t="str">
        <f t="array" ref="L1101">IF(OR(
    AND('BD Asesor'!H1101="Mensual", MATCH($B$2, {"Enero", "Febrero", "Marzo", "Abril", "Mayo", "Junio", "Julio", "Agosto", "Septiembre", "Octubre", "Noviembre", "Diciembre"}, 0)&gt;=1),
    AND('BD Asesor'!H1101="Trimestral", MOD(MATCH($B$2, {"Enero", "Febrero", "Marzo", "Abril", "Mayo", "Junio", "Julio", "Agosto", "Septiembre", "Octubre", "Noviembre"}, 0)-MONTH('BD Asesor'!D1101), 3)=0),
    AND('BD Asesor'!H1101="Semestral", MOD(MATCH($B$2, {"Enero", "Febrero", "Marzo", "Abril", "Mayo", "Junio", "Julio", "Agosto", "Septiembre", "Octubre", "Noviembre"}, 0)-MONTH('BD Asesor'!D1101), 6)=0),
    AND('BD Asesor'!H1101="Anual", MONTH('BD Asesor'!D1101)=MATCH($B$2, {"Enero", "Febrero", "Marzo", "Abril", "Mayo", "Junio", "Julio", "Agosto", "Septiembre", "Octubre", "Noviembre"}, 0))
), 'BD Asesor'!L1101, "")
</f>
        <v/>
      </c>
    </row>
    <row r="1102">
      <c r="C1102" s="84" t="str">
        <f t="array" ref="C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Asesor'!A1102, "")
</f>
        <v/>
      </c>
      <c r="D1102" s="84" t="str">
        <f t="array" ref="D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Asesor'!B1102, "")
</f>
        <v/>
      </c>
      <c r="E1102" s="212" t="str">
        <f t="array" ref="E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Asesor'!C1102, "")
</f>
        <v/>
      </c>
      <c r="F1102" s="212" t="str">
        <f t="array" ref="F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Asesor'!D1102, "")
</f>
        <v/>
      </c>
      <c r="G1102" s="212" t="str">
        <f t="array" ref="G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Asesor'!E1102, "")
</f>
        <v/>
      </c>
      <c r="H1102" s="84" t="str">
        <f t="array" ref="H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Asesor'!F1102, "")
</f>
        <v/>
      </c>
      <c r="I1102" s="84" t="str">
        <f t="array" ref="I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Asesor'!G1102, "")
</f>
        <v/>
      </c>
      <c r="J1102" s="84" t="str">
        <f t="array" ref="J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Asesor'!H1102, "")
</f>
        <v/>
      </c>
      <c r="K1102" s="84" t="str">
        <f t="array" ref="K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Asesor'!K1102, "")
</f>
        <v/>
      </c>
      <c r="L1102" s="84" t="str">
        <f t="array" ref="L1102">IF(OR(
    AND('BD Asesor'!H1102="Mensual", MATCH($B$2, {"Enero", "Febrero", "Marzo", "Abril", "Mayo", "Junio", "Julio", "Agosto", "Septiembre", "Octubre", "Noviembre", "Diciembre"}, 0)&gt;=1),
    AND('BD Asesor'!H1102="Trimestral", MOD(MATCH($B$2, {"Enero", "Febrero", "Marzo", "Abril", "Mayo", "Junio", "Julio", "Agosto", "Septiembre", "Octubre", "Noviembre"}, 0)-MONTH('BD Asesor'!D1102), 3)=0),
    AND('BD Asesor'!H1102="Semestral", MOD(MATCH($B$2, {"Enero", "Febrero", "Marzo", "Abril", "Mayo", "Junio", "Julio", "Agosto", "Septiembre", "Octubre", "Noviembre"}, 0)-MONTH('BD Asesor'!D1102), 6)=0),
    AND('BD Asesor'!H1102="Anual", MONTH('BD Asesor'!D1102)=MATCH($B$2, {"Enero", "Febrero", "Marzo", "Abril", "Mayo", "Junio", "Julio", "Agosto", "Septiembre", "Octubre", "Noviembre"}, 0))
), 'BD Asesor'!L1102, "")
</f>
        <v/>
      </c>
    </row>
    <row r="1103">
      <c r="C1103" s="84" t="str">
        <f t="array" ref="C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Asesor'!A1103, "")
</f>
        <v/>
      </c>
      <c r="D1103" s="84" t="str">
        <f t="array" ref="D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Asesor'!B1103, "")
</f>
        <v/>
      </c>
      <c r="E1103" s="212" t="str">
        <f t="array" ref="E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Asesor'!C1103, "")
</f>
        <v/>
      </c>
      <c r="F1103" s="212" t="str">
        <f t="array" ref="F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Asesor'!D1103, "")
</f>
        <v/>
      </c>
      <c r="G1103" s="212" t="str">
        <f t="array" ref="G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Asesor'!E1103, "")
</f>
        <v/>
      </c>
      <c r="H1103" s="84" t="str">
        <f t="array" ref="H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Asesor'!F1103, "")
</f>
        <v/>
      </c>
      <c r="I1103" s="84" t="str">
        <f t="array" ref="I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Asesor'!G1103, "")
</f>
        <v/>
      </c>
      <c r="J1103" s="84" t="str">
        <f t="array" ref="J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Asesor'!H1103, "")
</f>
        <v/>
      </c>
      <c r="K1103" s="84" t="str">
        <f t="array" ref="K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Asesor'!K1103, "")
</f>
        <v/>
      </c>
      <c r="L1103" s="84" t="str">
        <f t="array" ref="L1103">IF(OR(
    AND('BD Asesor'!H1103="Mensual", MATCH($B$2, {"Enero", "Febrero", "Marzo", "Abril", "Mayo", "Junio", "Julio", "Agosto", "Septiembre", "Octubre", "Noviembre", "Diciembre"}, 0)&gt;=1),
    AND('BD Asesor'!H1103="Trimestral", MOD(MATCH($B$2, {"Enero", "Febrero", "Marzo", "Abril", "Mayo", "Junio", "Julio", "Agosto", "Septiembre", "Octubre", "Noviembre"}, 0)-MONTH('BD Asesor'!D1103), 3)=0),
    AND('BD Asesor'!H1103="Semestral", MOD(MATCH($B$2, {"Enero", "Febrero", "Marzo", "Abril", "Mayo", "Junio", "Julio", "Agosto", "Septiembre", "Octubre", "Noviembre"}, 0)-MONTH('BD Asesor'!D1103), 6)=0),
    AND('BD Asesor'!H1103="Anual", MONTH('BD Asesor'!D1103)=MATCH($B$2, {"Enero", "Febrero", "Marzo", "Abril", "Mayo", "Junio", "Julio", "Agosto", "Septiembre", "Octubre", "Noviembre"}, 0))
), 'BD Asesor'!L1103, "")
</f>
        <v/>
      </c>
    </row>
    <row r="1104">
      <c r="C1104" s="84" t="str">
        <f t="array" ref="C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Asesor'!A1104, "")
</f>
        <v/>
      </c>
      <c r="D1104" s="84" t="str">
        <f t="array" ref="D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Asesor'!B1104, "")
</f>
        <v/>
      </c>
      <c r="E1104" s="212" t="str">
        <f t="array" ref="E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Asesor'!C1104, "")
</f>
        <v/>
      </c>
      <c r="F1104" s="212" t="str">
        <f t="array" ref="F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Asesor'!D1104, "")
</f>
        <v/>
      </c>
      <c r="G1104" s="212" t="str">
        <f t="array" ref="G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Asesor'!E1104, "")
</f>
        <v/>
      </c>
      <c r="H1104" s="84" t="str">
        <f t="array" ref="H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Asesor'!F1104, "")
</f>
        <v/>
      </c>
      <c r="I1104" s="84" t="str">
        <f t="array" ref="I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Asesor'!G1104, "")
</f>
        <v/>
      </c>
      <c r="J1104" s="84" t="str">
        <f t="array" ref="J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Asesor'!H1104, "")
</f>
        <v/>
      </c>
      <c r="K1104" s="84" t="str">
        <f t="array" ref="K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Asesor'!K1104, "")
</f>
        <v/>
      </c>
      <c r="L1104" s="84" t="str">
        <f t="array" ref="L1104">IF(OR(
    AND('BD Asesor'!H1104="Mensual", MATCH($B$2, {"Enero", "Febrero", "Marzo", "Abril", "Mayo", "Junio", "Julio", "Agosto", "Septiembre", "Octubre", "Noviembre", "Diciembre"}, 0)&gt;=1),
    AND('BD Asesor'!H1104="Trimestral", MOD(MATCH($B$2, {"Enero", "Febrero", "Marzo", "Abril", "Mayo", "Junio", "Julio", "Agosto", "Septiembre", "Octubre", "Noviembre"}, 0)-MONTH('BD Asesor'!D1104), 3)=0),
    AND('BD Asesor'!H1104="Semestral", MOD(MATCH($B$2, {"Enero", "Febrero", "Marzo", "Abril", "Mayo", "Junio", "Julio", "Agosto", "Septiembre", "Octubre", "Noviembre"}, 0)-MONTH('BD Asesor'!D1104), 6)=0),
    AND('BD Asesor'!H1104="Anual", MONTH('BD Asesor'!D1104)=MATCH($B$2, {"Enero", "Febrero", "Marzo", "Abril", "Mayo", "Junio", "Julio", "Agosto", "Septiembre", "Octubre", "Noviembre"}, 0))
), 'BD Asesor'!L1104, "")
</f>
        <v/>
      </c>
    </row>
    <row r="1105">
      <c r="C1105" s="84" t="str">
        <f t="array" ref="C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Asesor'!A1105, "")
</f>
        <v/>
      </c>
      <c r="D1105" s="84" t="str">
        <f t="array" ref="D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Asesor'!B1105, "")
</f>
        <v/>
      </c>
      <c r="E1105" s="212" t="str">
        <f t="array" ref="E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Asesor'!C1105, "")
</f>
        <v/>
      </c>
      <c r="F1105" s="212" t="str">
        <f t="array" ref="F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Asesor'!D1105, "")
</f>
        <v/>
      </c>
      <c r="G1105" s="212" t="str">
        <f t="array" ref="G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Asesor'!E1105, "")
</f>
        <v/>
      </c>
      <c r="H1105" s="84" t="str">
        <f t="array" ref="H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Asesor'!F1105, "")
</f>
        <v/>
      </c>
      <c r="I1105" s="84" t="str">
        <f t="array" ref="I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Asesor'!G1105, "")
</f>
        <v/>
      </c>
      <c r="J1105" s="84" t="str">
        <f t="array" ref="J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Asesor'!H1105, "")
</f>
        <v/>
      </c>
      <c r="K1105" s="84" t="str">
        <f t="array" ref="K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Asesor'!K1105, "")
</f>
        <v/>
      </c>
      <c r="L1105" s="84" t="str">
        <f t="array" ref="L1105">IF(OR(
    AND('BD Asesor'!H1105="Mensual", MATCH($B$2, {"Enero", "Febrero", "Marzo", "Abril", "Mayo", "Junio", "Julio", "Agosto", "Septiembre", "Octubre", "Noviembre", "Diciembre"}, 0)&gt;=1),
    AND('BD Asesor'!H1105="Trimestral", MOD(MATCH($B$2, {"Enero", "Febrero", "Marzo", "Abril", "Mayo", "Junio", "Julio", "Agosto", "Septiembre", "Octubre", "Noviembre"}, 0)-MONTH('BD Asesor'!D1105), 3)=0),
    AND('BD Asesor'!H1105="Semestral", MOD(MATCH($B$2, {"Enero", "Febrero", "Marzo", "Abril", "Mayo", "Junio", "Julio", "Agosto", "Septiembre", "Octubre", "Noviembre"}, 0)-MONTH('BD Asesor'!D1105), 6)=0),
    AND('BD Asesor'!H1105="Anual", MONTH('BD Asesor'!D1105)=MATCH($B$2, {"Enero", "Febrero", "Marzo", "Abril", "Mayo", "Junio", "Julio", "Agosto", "Septiembre", "Octubre", "Noviembre"}, 0))
), 'BD Asesor'!L1105, "")
</f>
        <v/>
      </c>
    </row>
    <row r="1106">
      <c r="C1106" s="84" t="str">
        <f t="array" ref="C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Asesor'!A1106, "")
</f>
        <v/>
      </c>
      <c r="D1106" s="84" t="str">
        <f t="array" ref="D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Asesor'!B1106, "")
</f>
        <v/>
      </c>
      <c r="E1106" s="212" t="str">
        <f t="array" ref="E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Asesor'!C1106, "")
</f>
        <v/>
      </c>
      <c r="F1106" s="212" t="str">
        <f t="array" ref="F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Asesor'!D1106, "")
</f>
        <v/>
      </c>
      <c r="G1106" s="212" t="str">
        <f t="array" ref="G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Asesor'!E1106, "")
</f>
        <v/>
      </c>
      <c r="H1106" s="84" t="str">
        <f t="array" ref="H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Asesor'!F1106, "")
</f>
        <v/>
      </c>
      <c r="I1106" s="84" t="str">
        <f t="array" ref="I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Asesor'!G1106, "")
</f>
        <v/>
      </c>
      <c r="J1106" s="84" t="str">
        <f t="array" ref="J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Asesor'!H1106, "")
</f>
        <v/>
      </c>
      <c r="K1106" s="84" t="str">
        <f t="array" ref="K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Asesor'!K1106, "")
</f>
        <v/>
      </c>
      <c r="L1106" s="84" t="str">
        <f t="array" ref="L1106">IF(OR(
    AND('BD Asesor'!H1106="Mensual", MATCH($B$2, {"Enero", "Febrero", "Marzo", "Abril", "Mayo", "Junio", "Julio", "Agosto", "Septiembre", "Octubre", "Noviembre", "Diciembre"}, 0)&gt;=1),
    AND('BD Asesor'!H1106="Trimestral", MOD(MATCH($B$2, {"Enero", "Febrero", "Marzo", "Abril", "Mayo", "Junio", "Julio", "Agosto", "Septiembre", "Octubre", "Noviembre"}, 0)-MONTH('BD Asesor'!D1106), 3)=0),
    AND('BD Asesor'!H1106="Semestral", MOD(MATCH($B$2, {"Enero", "Febrero", "Marzo", "Abril", "Mayo", "Junio", "Julio", "Agosto", "Septiembre", "Octubre", "Noviembre"}, 0)-MONTH('BD Asesor'!D1106), 6)=0),
    AND('BD Asesor'!H1106="Anual", MONTH('BD Asesor'!D1106)=MATCH($B$2, {"Enero", "Febrero", "Marzo", "Abril", "Mayo", "Junio", "Julio", "Agosto", "Septiembre", "Octubre", "Noviembre"}, 0))
), 'BD Asesor'!L1106, "")
</f>
        <v/>
      </c>
    </row>
    <row r="1107">
      <c r="C1107" s="84" t="str">
        <f t="array" ref="C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Asesor'!A1107, "")
</f>
        <v/>
      </c>
      <c r="D1107" s="84" t="str">
        <f t="array" ref="D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Asesor'!B1107, "")
</f>
        <v/>
      </c>
      <c r="E1107" s="212" t="str">
        <f t="array" ref="E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Asesor'!C1107, "")
</f>
        <v/>
      </c>
      <c r="F1107" s="212" t="str">
        <f t="array" ref="F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Asesor'!D1107, "")
</f>
        <v/>
      </c>
      <c r="G1107" s="212" t="str">
        <f t="array" ref="G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Asesor'!E1107, "")
</f>
        <v/>
      </c>
      <c r="H1107" s="84" t="str">
        <f t="array" ref="H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Asesor'!F1107, "")
</f>
        <v/>
      </c>
      <c r="I1107" s="84" t="str">
        <f t="array" ref="I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Asesor'!G1107, "")
</f>
        <v/>
      </c>
      <c r="J1107" s="84" t="str">
        <f t="array" ref="J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Asesor'!H1107, "")
</f>
        <v/>
      </c>
      <c r="K1107" s="84" t="str">
        <f t="array" ref="K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Asesor'!K1107, "")
</f>
        <v/>
      </c>
      <c r="L1107" s="84" t="str">
        <f t="array" ref="L1107">IF(OR(
    AND('BD Asesor'!H1107="Mensual", MATCH($B$2, {"Enero", "Febrero", "Marzo", "Abril", "Mayo", "Junio", "Julio", "Agosto", "Septiembre", "Octubre", "Noviembre", "Diciembre"}, 0)&gt;=1),
    AND('BD Asesor'!H1107="Trimestral", MOD(MATCH($B$2, {"Enero", "Febrero", "Marzo", "Abril", "Mayo", "Junio", "Julio", "Agosto", "Septiembre", "Octubre", "Noviembre"}, 0)-MONTH('BD Asesor'!D1107), 3)=0),
    AND('BD Asesor'!H1107="Semestral", MOD(MATCH($B$2, {"Enero", "Febrero", "Marzo", "Abril", "Mayo", "Junio", "Julio", "Agosto", "Septiembre", "Octubre", "Noviembre"}, 0)-MONTH('BD Asesor'!D1107), 6)=0),
    AND('BD Asesor'!H1107="Anual", MONTH('BD Asesor'!D1107)=MATCH($B$2, {"Enero", "Febrero", "Marzo", "Abril", "Mayo", "Junio", "Julio", "Agosto", "Septiembre", "Octubre", "Noviembre"}, 0))
), 'BD Asesor'!L1107, "")
</f>
        <v/>
      </c>
    </row>
    <row r="1108">
      <c r="C1108" s="84" t="str">
        <f t="array" ref="C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Asesor'!A1108, "")
</f>
        <v/>
      </c>
      <c r="D1108" s="84" t="str">
        <f t="array" ref="D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Asesor'!B1108, "")
</f>
        <v/>
      </c>
      <c r="E1108" s="212" t="str">
        <f t="array" ref="E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Asesor'!C1108, "")
</f>
        <v/>
      </c>
      <c r="F1108" s="212" t="str">
        <f t="array" ref="F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Asesor'!D1108, "")
</f>
        <v/>
      </c>
      <c r="G1108" s="212" t="str">
        <f t="array" ref="G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Asesor'!E1108, "")
</f>
        <v/>
      </c>
      <c r="H1108" s="84" t="str">
        <f t="array" ref="H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Asesor'!F1108, "")
</f>
        <v/>
      </c>
      <c r="I1108" s="84" t="str">
        <f t="array" ref="I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Asesor'!G1108, "")
</f>
        <v/>
      </c>
      <c r="J1108" s="84" t="str">
        <f t="array" ref="J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Asesor'!H1108, "")
</f>
        <v/>
      </c>
      <c r="K1108" s="84" t="str">
        <f t="array" ref="K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Asesor'!K1108, "")
</f>
        <v/>
      </c>
      <c r="L1108" s="84" t="str">
        <f t="array" ref="L1108">IF(OR(
    AND('BD Asesor'!H1108="Mensual", MATCH($B$2, {"Enero", "Febrero", "Marzo", "Abril", "Mayo", "Junio", "Julio", "Agosto", "Septiembre", "Octubre", "Noviembre", "Diciembre"}, 0)&gt;=1),
    AND('BD Asesor'!H1108="Trimestral", MOD(MATCH($B$2, {"Enero", "Febrero", "Marzo", "Abril", "Mayo", "Junio", "Julio", "Agosto", "Septiembre", "Octubre", "Noviembre"}, 0)-MONTH('BD Asesor'!D1108), 3)=0),
    AND('BD Asesor'!H1108="Semestral", MOD(MATCH($B$2, {"Enero", "Febrero", "Marzo", "Abril", "Mayo", "Junio", "Julio", "Agosto", "Septiembre", "Octubre", "Noviembre"}, 0)-MONTH('BD Asesor'!D1108), 6)=0),
    AND('BD Asesor'!H1108="Anual", MONTH('BD Asesor'!D1108)=MATCH($B$2, {"Enero", "Febrero", "Marzo", "Abril", "Mayo", "Junio", "Julio", "Agosto", "Septiembre", "Octubre", "Noviembre"}, 0))
), 'BD Asesor'!L1108, "")
</f>
        <v/>
      </c>
    </row>
    <row r="1109">
      <c r="C1109" s="84" t="str">
        <f t="array" ref="C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Asesor'!A1109, "")
</f>
        <v/>
      </c>
      <c r="D1109" s="84" t="str">
        <f t="array" ref="D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Asesor'!B1109, "")
</f>
        <v/>
      </c>
      <c r="E1109" s="212" t="str">
        <f t="array" ref="E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Asesor'!C1109, "")
</f>
        <v/>
      </c>
      <c r="F1109" s="212" t="str">
        <f t="array" ref="F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Asesor'!D1109, "")
</f>
        <v/>
      </c>
      <c r="G1109" s="212" t="str">
        <f t="array" ref="G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Asesor'!E1109, "")
</f>
        <v/>
      </c>
      <c r="H1109" s="84" t="str">
        <f t="array" ref="H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Asesor'!F1109, "")
</f>
        <v/>
      </c>
      <c r="I1109" s="84" t="str">
        <f t="array" ref="I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Asesor'!G1109, "")
</f>
        <v/>
      </c>
      <c r="J1109" s="84" t="str">
        <f t="array" ref="J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Asesor'!H1109, "")
</f>
        <v/>
      </c>
      <c r="K1109" s="84" t="str">
        <f t="array" ref="K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Asesor'!K1109, "")
</f>
        <v/>
      </c>
      <c r="L1109" s="84" t="str">
        <f t="array" ref="L1109">IF(OR(
    AND('BD Asesor'!H1109="Mensual", MATCH($B$2, {"Enero", "Febrero", "Marzo", "Abril", "Mayo", "Junio", "Julio", "Agosto", "Septiembre", "Octubre", "Noviembre", "Diciembre"}, 0)&gt;=1),
    AND('BD Asesor'!H1109="Trimestral", MOD(MATCH($B$2, {"Enero", "Febrero", "Marzo", "Abril", "Mayo", "Junio", "Julio", "Agosto", "Septiembre", "Octubre", "Noviembre"}, 0)-MONTH('BD Asesor'!D1109), 3)=0),
    AND('BD Asesor'!H1109="Semestral", MOD(MATCH($B$2, {"Enero", "Febrero", "Marzo", "Abril", "Mayo", "Junio", "Julio", "Agosto", "Septiembre", "Octubre", "Noviembre"}, 0)-MONTH('BD Asesor'!D1109), 6)=0),
    AND('BD Asesor'!H1109="Anual", MONTH('BD Asesor'!D1109)=MATCH($B$2, {"Enero", "Febrero", "Marzo", "Abril", "Mayo", "Junio", "Julio", "Agosto", "Septiembre", "Octubre", "Noviembre"}, 0))
), 'BD Asesor'!L1109, "")
</f>
        <v/>
      </c>
    </row>
    <row r="1110">
      <c r="C1110" s="84" t="str">
        <f t="array" ref="C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Asesor'!A1110, "")
</f>
        <v/>
      </c>
      <c r="D1110" s="84" t="str">
        <f t="array" ref="D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Asesor'!B1110, "")
</f>
        <v/>
      </c>
      <c r="E1110" s="212" t="str">
        <f t="array" ref="E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Asesor'!C1110, "")
</f>
        <v/>
      </c>
      <c r="F1110" s="212" t="str">
        <f t="array" ref="F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Asesor'!D1110, "")
</f>
        <v/>
      </c>
      <c r="G1110" s="212" t="str">
        <f t="array" ref="G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Asesor'!E1110, "")
</f>
        <v/>
      </c>
      <c r="H1110" s="84" t="str">
        <f t="array" ref="H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Asesor'!F1110, "")
</f>
        <v/>
      </c>
      <c r="I1110" s="84" t="str">
        <f t="array" ref="I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Asesor'!G1110, "")
</f>
        <v/>
      </c>
      <c r="J1110" s="84" t="str">
        <f t="array" ref="J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Asesor'!H1110, "")
</f>
        <v/>
      </c>
      <c r="K1110" s="84" t="str">
        <f t="array" ref="K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Asesor'!K1110, "")
</f>
        <v/>
      </c>
      <c r="L1110" s="84" t="str">
        <f t="array" ref="L1110">IF(OR(
    AND('BD Asesor'!H1110="Mensual", MATCH($B$2, {"Enero", "Febrero", "Marzo", "Abril", "Mayo", "Junio", "Julio", "Agosto", "Septiembre", "Octubre", "Noviembre", "Diciembre"}, 0)&gt;=1),
    AND('BD Asesor'!H1110="Trimestral", MOD(MATCH($B$2, {"Enero", "Febrero", "Marzo", "Abril", "Mayo", "Junio", "Julio", "Agosto", "Septiembre", "Octubre", "Noviembre"}, 0)-MONTH('BD Asesor'!D1110), 3)=0),
    AND('BD Asesor'!H1110="Semestral", MOD(MATCH($B$2, {"Enero", "Febrero", "Marzo", "Abril", "Mayo", "Junio", "Julio", "Agosto", "Septiembre", "Octubre", "Noviembre"}, 0)-MONTH('BD Asesor'!D1110), 6)=0),
    AND('BD Asesor'!H1110="Anual", MONTH('BD Asesor'!D1110)=MATCH($B$2, {"Enero", "Febrero", "Marzo", "Abril", "Mayo", "Junio", "Julio", "Agosto", "Septiembre", "Octubre", "Noviembre"}, 0))
), 'BD Asesor'!L1110, "")
</f>
        <v/>
      </c>
    </row>
    <row r="1111">
      <c r="C1111" s="84" t="str">
        <f t="array" ref="C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Asesor'!A1111, "")
</f>
        <v/>
      </c>
      <c r="D1111" s="84" t="str">
        <f t="array" ref="D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Asesor'!B1111, "")
</f>
        <v/>
      </c>
      <c r="E1111" s="212" t="str">
        <f t="array" ref="E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Asesor'!C1111, "")
</f>
        <v/>
      </c>
      <c r="F1111" s="212" t="str">
        <f t="array" ref="F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Asesor'!D1111, "")
</f>
        <v/>
      </c>
      <c r="G1111" s="212" t="str">
        <f t="array" ref="G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Asesor'!E1111, "")
</f>
        <v/>
      </c>
      <c r="H1111" s="84" t="str">
        <f t="array" ref="H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Asesor'!F1111, "")
</f>
        <v/>
      </c>
      <c r="I1111" s="84" t="str">
        <f t="array" ref="I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Asesor'!G1111, "")
</f>
        <v/>
      </c>
      <c r="J1111" s="84" t="str">
        <f t="array" ref="J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Asesor'!H1111, "")
</f>
        <v/>
      </c>
      <c r="K1111" s="84" t="str">
        <f t="array" ref="K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Asesor'!K1111, "")
</f>
        <v/>
      </c>
      <c r="L1111" s="84" t="str">
        <f t="array" ref="L1111">IF(OR(
    AND('BD Asesor'!H1111="Mensual", MATCH($B$2, {"Enero", "Febrero", "Marzo", "Abril", "Mayo", "Junio", "Julio", "Agosto", "Septiembre", "Octubre", "Noviembre", "Diciembre"}, 0)&gt;=1),
    AND('BD Asesor'!H1111="Trimestral", MOD(MATCH($B$2, {"Enero", "Febrero", "Marzo", "Abril", "Mayo", "Junio", "Julio", "Agosto", "Septiembre", "Octubre", "Noviembre"}, 0)-MONTH('BD Asesor'!D1111), 3)=0),
    AND('BD Asesor'!H1111="Semestral", MOD(MATCH($B$2, {"Enero", "Febrero", "Marzo", "Abril", "Mayo", "Junio", "Julio", "Agosto", "Septiembre", "Octubre", "Noviembre"}, 0)-MONTH('BD Asesor'!D1111), 6)=0),
    AND('BD Asesor'!H1111="Anual", MONTH('BD Asesor'!D1111)=MATCH($B$2, {"Enero", "Febrero", "Marzo", "Abril", "Mayo", "Junio", "Julio", "Agosto", "Septiembre", "Octubre", "Noviembre"}, 0))
), 'BD Asesor'!L1111, "")
</f>
        <v/>
      </c>
    </row>
    <row r="1112">
      <c r="C1112" s="84" t="str">
        <f t="array" ref="C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Asesor'!A1112, "")
</f>
        <v/>
      </c>
      <c r="D1112" s="84" t="str">
        <f t="array" ref="D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Asesor'!B1112, "")
</f>
        <v/>
      </c>
      <c r="E1112" s="212" t="str">
        <f t="array" ref="E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Asesor'!C1112, "")
</f>
        <v/>
      </c>
      <c r="F1112" s="212" t="str">
        <f t="array" ref="F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Asesor'!D1112, "")
</f>
        <v/>
      </c>
      <c r="G1112" s="212" t="str">
        <f t="array" ref="G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Asesor'!E1112, "")
</f>
        <v/>
      </c>
      <c r="H1112" s="84" t="str">
        <f t="array" ref="H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Asesor'!F1112, "")
</f>
        <v/>
      </c>
      <c r="I1112" s="84" t="str">
        <f t="array" ref="I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Asesor'!G1112, "")
</f>
        <v/>
      </c>
      <c r="J1112" s="84" t="str">
        <f t="array" ref="J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Asesor'!H1112, "")
</f>
        <v/>
      </c>
      <c r="K1112" s="84" t="str">
        <f t="array" ref="K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Asesor'!K1112, "")
</f>
        <v/>
      </c>
      <c r="L1112" s="84" t="str">
        <f t="array" ref="L1112">IF(OR(
    AND('BD Asesor'!H1112="Mensual", MATCH($B$2, {"Enero", "Febrero", "Marzo", "Abril", "Mayo", "Junio", "Julio", "Agosto", "Septiembre", "Octubre", "Noviembre", "Diciembre"}, 0)&gt;=1),
    AND('BD Asesor'!H1112="Trimestral", MOD(MATCH($B$2, {"Enero", "Febrero", "Marzo", "Abril", "Mayo", "Junio", "Julio", "Agosto", "Septiembre", "Octubre", "Noviembre"}, 0)-MONTH('BD Asesor'!D1112), 3)=0),
    AND('BD Asesor'!H1112="Semestral", MOD(MATCH($B$2, {"Enero", "Febrero", "Marzo", "Abril", "Mayo", "Junio", "Julio", "Agosto", "Septiembre", "Octubre", "Noviembre"}, 0)-MONTH('BD Asesor'!D1112), 6)=0),
    AND('BD Asesor'!H1112="Anual", MONTH('BD Asesor'!D1112)=MATCH($B$2, {"Enero", "Febrero", "Marzo", "Abril", "Mayo", "Junio", "Julio", "Agosto", "Septiembre", "Octubre", "Noviembre"}, 0))
), 'BD Asesor'!L1112, "")
</f>
        <v/>
      </c>
    </row>
    <row r="1113">
      <c r="C1113" s="84" t="str">
        <f t="array" ref="C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Asesor'!A1113, "")
</f>
        <v/>
      </c>
      <c r="D1113" s="84" t="str">
        <f t="array" ref="D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Asesor'!B1113, "")
</f>
        <v/>
      </c>
      <c r="E1113" s="212" t="str">
        <f t="array" ref="E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Asesor'!C1113, "")
</f>
        <v/>
      </c>
      <c r="F1113" s="212" t="str">
        <f t="array" ref="F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Asesor'!D1113, "")
</f>
        <v/>
      </c>
      <c r="G1113" s="212" t="str">
        <f t="array" ref="G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Asesor'!E1113, "")
</f>
        <v/>
      </c>
      <c r="H1113" s="84" t="str">
        <f t="array" ref="H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Asesor'!F1113, "")
</f>
        <v/>
      </c>
      <c r="I1113" s="84" t="str">
        <f t="array" ref="I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Asesor'!G1113, "")
</f>
        <v/>
      </c>
      <c r="J1113" s="84" t="str">
        <f t="array" ref="J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Asesor'!H1113, "")
</f>
        <v/>
      </c>
      <c r="K1113" s="84" t="str">
        <f t="array" ref="K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Asesor'!K1113, "")
</f>
        <v/>
      </c>
      <c r="L1113" s="84" t="str">
        <f t="array" ref="L1113">IF(OR(
    AND('BD Asesor'!H1113="Mensual", MATCH($B$2, {"Enero", "Febrero", "Marzo", "Abril", "Mayo", "Junio", "Julio", "Agosto", "Septiembre", "Octubre", "Noviembre", "Diciembre"}, 0)&gt;=1),
    AND('BD Asesor'!H1113="Trimestral", MOD(MATCH($B$2, {"Enero", "Febrero", "Marzo", "Abril", "Mayo", "Junio", "Julio", "Agosto", "Septiembre", "Octubre", "Noviembre"}, 0)-MONTH('BD Asesor'!D1113), 3)=0),
    AND('BD Asesor'!H1113="Semestral", MOD(MATCH($B$2, {"Enero", "Febrero", "Marzo", "Abril", "Mayo", "Junio", "Julio", "Agosto", "Septiembre", "Octubre", "Noviembre"}, 0)-MONTH('BD Asesor'!D1113), 6)=0),
    AND('BD Asesor'!H1113="Anual", MONTH('BD Asesor'!D1113)=MATCH($B$2, {"Enero", "Febrero", "Marzo", "Abril", "Mayo", "Junio", "Julio", "Agosto", "Septiembre", "Octubre", "Noviembre"}, 0))
), 'BD Asesor'!L1113, "")
</f>
        <v/>
      </c>
    </row>
    <row r="1114">
      <c r="C1114" s="84" t="str">
        <f t="array" ref="C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Asesor'!A1114, "")
</f>
        <v/>
      </c>
      <c r="D1114" s="84" t="str">
        <f t="array" ref="D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Asesor'!B1114, "")
</f>
        <v/>
      </c>
      <c r="E1114" s="212" t="str">
        <f t="array" ref="E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Asesor'!C1114, "")
</f>
        <v/>
      </c>
      <c r="F1114" s="212" t="str">
        <f t="array" ref="F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Asesor'!D1114, "")
</f>
        <v/>
      </c>
      <c r="G1114" s="212" t="str">
        <f t="array" ref="G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Asesor'!E1114, "")
</f>
        <v/>
      </c>
      <c r="H1114" s="84" t="str">
        <f t="array" ref="H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Asesor'!F1114, "")
</f>
        <v/>
      </c>
      <c r="I1114" s="84" t="str">
        <f t="array" ref="I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Asesor'!G1114, "")
</f>
        <v/>
      </c>
      <c r="J1114" s="84" t="str">
        <f t="array" ref="J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Asesor'!H1114, "")
</f>
        <v/>
      </c>
      <c r="K1114" s="84" t="str">
        <f t="array" ref="K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Asesor'!K1114, "")
</f>
        <v/>
      </c>
      <c r="L1114" s="84" t="str">
        <f t="array" ref="L1114">IF(OR(
    AND('BD Asesor'!H1114="Mensual", MATCH($B$2, {"Enero", "Febrero", "Marzo", "Abril", "Mayo", "Junio", "Julio", "Agosto", "Septiembre", "Octubre", "Noviembre", "Diciembre"}, 0)&gt;=1),
    AND('BD Asesor'!H1114="Trimestral", MOD(MATCH($B$2, {"Enero", "Febrero", "Marzo", "Abril", "Mayo", "Junio", "Julio", "Agosto", "Septiembre", "Octubre", "Noviembre"}, 0)-MONTH('BD Asesor'!D1114), 3)=0),
    AND('BD Asesor'!H1114="Semestral", MOD(MATCH($B$2, {"Enero", "Febrero", "Marzo", "Abril", "Mayo", "Junio", "Julio", "Agosto", "Septiembre", "Octubre", "Noviembre"}, 0)-MONTH('BD Asesor'!D1114), 6)=0),
    AND('BD Asesor'!H1114="Anual", MONTH('BD Asesor'!D1114)=MATCH($B$2, {"Enero", "Febrero", "Marzo", "Abril", "Mayo", "Junio", "Julio", "Agosto", "Septiembre", "Octubre", "Noviembre"}, 0))
), 'BD Asesor'!L1114, "")
</f>
        <v/>
      </c>
    </row>
    <row r="1115">
      <c r="C1115" s="84" t="str">
        <f t="array" ref="C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Asesor'!A1115, "")
</f>
        <v/>
      </c>
      <c r="D1115" s="84" t="str">
        <f t="array" ref="D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Asesor'!B1115, "")
</f>
        <v/>
      </c>
      <c r="E1115" s="212" t="str">
        <f t="array" ref="E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Asesor'!C1115, "")
</f>
        <v/>
      </c>
      <c r="F1115" s="212" t="str">
        <f t="array" ref="F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Asesor'!D1115, "")
</f>
        <v/>
      </c>
      <c r="G1115" s="212" t="str">
        <f t="array" ref="G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Asesor'!E1115, "")
</f>
        <v/>
      </c>
      <c r="H1115" s="84" t="str">
        <f t="array" ref="H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Asesor'!F1115, "")
</f>
        <v/>
      </c>
      <c r="I1115" s="84" t="str">
        <f t="array" ref="I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Asesor'!G1115, "")
</f>
        <v/>
      </c>
      <c r="J1115" s="84" t="str">
        <f t="array" ref="J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Asesor'!H1115, "")
</f>
        <v/>
      </c>
      <c r="K1115" s="84" t="str">
        <f t="array" ref="K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Asesor'!K1115, "")
</f>
        <v/>
      </c>
      <c r="L1115" s="84" t="str">
        <f t="array" ref="L1115">IF(OR(
    AND('BD Asesor'!H1115="Mensual", MATCH($B$2, {"Enero", "Febrero", "Marzo", "Abril", "Mayo", "Junio", "Julio", "Agosto", "Septiembre", "Octubre", "Noviembre", "Diciembre"}, 0)&gt;=1),
    AND('BD Asesor'!H1115="Trimestral", MOD(MATCH($B$2, {"Enero", "Febrero", "Marzo", "Abril", "Mayo", "Junio", "Julio", "Agosto", "Septiembre", "Octubre", "Noviembre"}, 0)-MONTH('BD Asesor'!D1115), 3)=0),
    AND('BD Asesor'!H1115="Semestral", MOD(MATCH($B$2, {"Enero", "Febrero", "Marzo", "Abril", "Mayo", "Junio", "Julio", "Agosto", "Septiembre", "Octubre", "Noviembre"}, 0)-MONTH('BD Asesor'!D1115), 6)=0),
    AND('BD Asesor'!H1115="Anual", MONTH('BD Asesor'!D1115)=MATCH($B$2, {"Enero", "Febrero", "Marzo", "Abril", "Mayo", "Junio", "Julio", "Agosto", "Septiembre", "Octubre", "Noviembre"}, 0))
), 'BD Asesor'!L1115, "")
</f>
        <v/>
      </c>
    </row>
    <row r="1116">
      <c r="C1116" s="84" t="str">
        <f t="array" ref="C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Asesor'!A1116, "")
</f>
        <v/>
      </c>
      <c r="D1116" s="84" t="str">
        <f t="array" ref="D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Asesor'!B1116, "")
</f>
        <v/>
      </c>
      <c r="E1116" s="212" t="str">
        <f t="array" ref="E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Asesor'!C1116, "")
</f>
        <v/>
      </c>
      <c r="F1116" s="212" t="str">
        <f t="array" ref="F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Asesor'!D1116, "")
</f>
        <v/>
      </c>
      <c r="G1116" s="212" t="str">
        <f t="array" ref="G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Asesor'!E1116, "")
</f>
        <v/>
      </c>
      <c r="H1116" s="84" t="str">
        <f t="array" ref="H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Asesor'!F1116, "")
</f>
        <v/>
      </c>
      <c r="I1116" s="84" t="str">
        <f t="array" ref="I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Asesor'!G1116, "")
</f>
        <v/>
      </c>
      <c r="J1116" s="84" t="str">
        <f t="array" ref="J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Asesor'!H1116, "")
</f>
        <v/>
      </c>
      <c r="K1116" s="84" t="str">
        <f t="array" ref="K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Asesor'!K1116, "")
</f>
        <v/>
      </c>
      <c r="L1116" s="84" t="str">
        <f t="array" ref="L1116">IF(OR(
    AND('BD Asesor'!H1116="Mensual", MATCH($B$2, {"Enero", "Febrero", "Marzo", "Abril", "Mayo", "Junio", "Julio", "Agosto", "Septiembre", "Octubre", "Noviembre", "Diciembre"}, 0)&gt;=1),
    AND('BD Asesor'!H1116="Trimestral", MOD(MATCH($B$2, {"Enero", "Febrero", "Marzo", "Abril", "Mayo", "Junio", "Julio", "Agosto", "Septiembre", "Octubre", "Noviembre"}, 0)-MONTH('BD Asesor'!D1116), 3)=0),
    AND('BD Asesor'!H1116="Semestral", MOD(MATCH($B$2, {"Enero", "Febrero", "Marzo", "Abril", "Mayo", "Junio", "Julio", "Agosto", "Septiembre", "Octubre", "Noviembre"}, 0)-MONTH('BD Asesor'!D1116), 6)=0),
    AND('BD Asesor'!H1116="Anual", MONTH('BD Asesor'!D1116)=MATCH($B$2, {"Enero", "Febrero", "Marzo", "Abril", "Mayo", "Junio", "Julio", "Agosto", "Septiembre", "Octubre", "Noviembre"}, 0))
), 'BD Asesor'!L1116, "")
</f>
        <v/>
      </c>
    </row>
    <row r="1117">
      <c r="C1117" s="84" t="str">
        <f t="array" ref="C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Asesor'!A1117, "")
</f>
        <v/>
      </c>
      <c r="D1117" s="84" t="str">
        <f t="array" ref="D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Asesor'!B1117, "")
</f>
        <v/>
      </c>
      <c r="E1117" s="212" t="str">
        <f t="array" ref="E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Asesor'!C1117, "")
</f>
        <v/>
      </c>
      <c r="F1117" s="212" t="str">
        <f t="array" ref="F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Asesor'!D1117, "")
</f>
        <v/>
      </c>
      <c r="G1117" s="212" t="str">
        <f t="array" ref="G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Asesor'!E1117, "")
</f>
        <v/>
      </c>
      <c r="H1117" s="84" t="str">
        <f t="array" ref="H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Asesor'!F1117, "")
</f>
        <v/>
      </c>
      <c r="I1117" s="84" t="str">
        <f t="array" ref="I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Asesor'!G1117, "")
</f>
        <v/>
      </c>
      <c r="J1117" s="84" t="str">
        <f t="array" ref="J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Asesor'!H1117, "")
</f>
        <v/>
      </c>
      <c r="K1117" s="84" t="str">
        <f t="array" ref="K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Asesor'!K1117, "")
</f>
        <v/>
      </c>
      <c r="L1117" s="84" t="str">
        <f t="array" ref="L1117">IF(OR(
    AND('BD Asesor'!H1117="Mensual", MATCH($B$2, {"Enero", "Febrero", "Marzo", "Abril", "Mayo", "Junio", "Julio", "Agosto", "Septiembre", "Octubre", "Noviembre", "Diciembre"}, 0)&gt;=1),
    AND('BD Asesor'!H1117="Trimestral", MOD(MATCH($B$2, {"Enero", "Febrero", "Marzo", "Abril", "Mayo", "Junio", "Julio", "Agosto", "Septiembre", "Octubre", "Noviembre"}, 0)-MONTH('BD Asesor'!D1117), 3)=0),
    AND('BD Asesor'!H1117="Semestral", MOD(MATCH($B$2, {"Enero", "Febrero", "Marzo", "Abril", "Mayo", "Junio", "Julio", "Agosto", "Septiembre", "Octubre", "Noviembre"}, 0)-MONTH('BD Asesor'!D1117), 6)=0),
    AND('BD Asesor'!H1117="Anual", MONTH('BD Asesor'!D1117)=MATCH($B$2, {"Enero", "Febrero", "Marzo", "Abril", "Mayo", "Junio", "Julio", "Agosto", "Septiembre", "Octubre", "Noviembre"}, 0))
), 'BD Asesor'!L1117, "")
</f>
        <v/>
      </c>
    </row>
    <row r="1118">
      <c r="C1118" s="84" t="str">
        <f t="array" ref="C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Asesor'!A1118, "")
</f>
        <v/>
      </c>
      <c r="D1118" s="84" t="str">
        <f t="array" ref="D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Asesor'!B1118, "")
</f>
        <v/>
      </c>
      <c r="E1118" s="212" t="str">
        <f t="array" ref="E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Asesor'!C1118, "")
</f>
        <v/>
      </c>
      <c r="F1118" s="212" t="str">
        <f t="array" ref="F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Asesor'!D1118, "")
</f>
        <v/>
      </c>
      <c r="G1118" s="212" t="str">
        <f t="array" ref="G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Asesor'!E1118, "")
</f>
        <v/>
      </c>
      <c r="H1118" s="84" t="str">
        <f t="array" ref="H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Asesor'!F1118, "")
</f>
        <v/>
      </c>
      <c r="I1118" s="84" t="str">
        <f t="array" ref="I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Asesor'!G1118, "")
</f>
        <v/>
      </c>
      <c r="J1118" s="84" t="str">
        <f t="array" ref="J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Asesor'!H1118, "")
</f>
        <v/>
      </c>
      <c r="K1118" s="84" t="str">
        <f t="array" ref="K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Asesor'!K1118, "")
</f>
        <v/>
      </c>
      <c r="L1118" s="84" t="str">
        <f t="array" ref="L1118">IF(OR(
    AND('BD Asesor'!H1118="Mensual", MATCH($B$2, {"Enero", "Febrero", "Marzo", "Abril", "Mayo", "Junio", "Julio", "Agosto", "Septiembre", "Octubre", "Noviembre", "Diciembre"}, 0)&gt;=1),
    AND('BD Asesor'!H1118="Trimestral", MOD(MATCH($B$2, {"Enero", "Febrero", "Marzo", "Abril", "Mayo", "Junio", "Julio", "Agosto", "Septiembre", "Octubre", "Noviembre"}, 0)-MONTH('BD Asesor'!D1118), 3)=0),
    AND('BD Asesor'!H1118="Semestral", MOD(MATCH($B$2, {"Enero", "Febrero", "Marzo", "Abril", "Mayo", "Junio", "Julio", "Agosto", "Septiembre", "Octubre", "Noviembre"}, 0)-MONTH('BD Asesor'!D1118), 6)=0),
    AND('BD Asesor'!H1118="Anual", MONTH('BD Asesor'!D1118)=MATCH($B$2, {"Enero", "Febrero", "Marzo", "Abril", "Mayo", "Junio", "Julio", "Agosto", "Septiembre", "Octubre", "Noviembre"}, 0))
), 'BD Asesor'!L1118, "")
</f>
        <v/>
      </c>
    </row>
    <row r="1119">
      <c r="C1119" s="84" t="str">
        <f t="array" ref="C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Asesor'!A1119, "")
</f>
        <v/>
      </c>
      <c r="D1119" s="84" t="str">
        <f t="array" ref="D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Asesor'!B1119, "")
</f>
        <v/>
      </c>
      <c r="E1119" s="212" t="str">
        <f t="array" ref="E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Asesor'!C1119, "")
</f>
        <v/>
      </c>
      <c r="F1119" s="212" t="str">
        <f t="array" ref="F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Asesor'!D1119, "")
</f>
        <v/>
      </c>
      <c r="G1119" s="212" t="str">
        <f t="array" ref="G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Asesor'!E1119, "")
</f>
        <v/>
      </c>
      <c r="H1119" s="84" t="str">
        <f t="array" ref="H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Asesor'!F1119, "")
</f>
        <v/>
      </c>
      <c r="I1119" s="84" t="str">
        <f t="array" ref="I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Asesor'!G1119, "")
</f>
        <v/>
      </c>
      <c r="J1119" s="84" t="str">
        <f t="array" ref="J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Asesor'!H1119, "")
</f>
        <v/>
      </c>
      <c r="K1119" s="84" t="str">
        <f t="array" ref="K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Asesor'!K1119, "")
</f>
        <v/>
      </c>
      <c r="L1119" s="84" t="str">
        <f t="array" ref="L1119">IF(OR(
    AND('BD Asesor'!H1119="Mensual", MATCH($B$2, {"Enero", "Febrero", "Marzo", "Abril", "Mayo", "Junio", "Julio", "Agosto", "Septiembre", "Octubre", "Noviembre", "Diciembre"}, 0)&gt;=1),
    AND('BD Asesor'!H1119="Trimestral", MOD(MATCH($B$2, {"Enero", "Febrero", "Marzo", "Abril", "Mayo", "Junio", "Julio", "Agosto", "Septiembre", "Octubre", "Noviembre"}, 0)-MONTH('BD Asesor'!D1119), 3)=0),
    AND('BD Asesor'!H1119="Semestral", MOD(MATCH($B$2, {"Enero", "Febrero", "Marzo", "Abril", "Mayo", "Junio", "Julio", "Agosto", "Septiembre", "Octubre", "Noviembre"}, 0)-MONTH('BD Asesor'!D1119), 6)=0),
    AND('BD Asesor'!H1119="Anual", MONTH('BD Asesor'!D1119)=MATCH($B$2, {"Enero", "Febrero", "Marzo", "Abril", "Mayo", "Junio", "Julio", "Agosto", "Septiembre", "Octubre", "Noviembre"}, 0))
), 'BD Asesor'!L1119, "")
</f>
        <v/>
      </c>
    </row>
    <row r="1120">
      <c r="C1120" s="84" t="str">
        <f t="array" ref="C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Asesor'!A1120, "")
</f>
        <v/>
      </c>
      <c r="D1120" s="84" t="str">
        <f t="array" ref="D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Asesor'!B1120, "")
</f>
        <v/>
      </c>
      <c r="E1120" s="212" t="str">
        <f t="array" ref="E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Asesor'!C1120, "")
</f>
        <v/>
      </c>
      <c r="F1120" s="212" t="str">
        <f t="array" ref="F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Asesor'!D1120, "")
</f>
        <v/>
      </c>
      <c r="G1120" s="212" t="str">
        <f t="array" ref="G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Asesor'!E1120, "")
</f>
        <v/>
      </c>
      <c r="H1120" s="84" t="str">
        <f t="array" ref="H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Asesor'!F1120, "")
</f>
        <v/>
      </c>
      <c r="I1120" s="84" t="str">
        <f t="array" ref="I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Asesor'!G1120, "")
</f>
        <v/>
      </c>
      <c r="J1120" s="84" t="str">
        <f t="array" ref="J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Asesor'!H1120, "")
</f>
        <v/>
      </c>
      <c r="K1120" s="84" t="str">
        <f t="array" ref="K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Asesor'!K1120, "")
</f>
        <v/>
      </c>
      <c r="L1120" s="84" t="str">
        <f t="array" ref="L1120">IF(OR(
    AND('BD Asesor'!H1120="Mensual", MATCH($B$2, {"Enero", "Febrero", "Marzo", "Abril", "Mayo", "Junio", "Julio", "Agosto", "Septiembre", "Octubre", "Noviembre", "Diciembre"}, 0)&gt;=1),
    AND('BD Asesor'!H1120="Trimestral", MOD(MATCH($B$2, {"Enero", "Febrero", "Marzo", "Abril", "Mayo", "Junio", "Julio", "Agosto", "Septiembre", "Octubre", "Noviembre"}, 0)-MONTH('BD Asesor'!D1120), 3)=0),
    AND('BD Asesor'!H1120="Semestral", MOD(MATCH($B$2, {"Enero", "Febrero", "Marzo", "Abril", "Mayo", "Junio", "Julio", "Agosto", "Septiembre", "Octubre", "Noviembre"}, 0)-MONTH('BD Asesor'!D1120), 6)=0),
    AND('BD Asesor'!H1120="Anual", MONTH('BD Asesor'!D1120)=MATCH($B$2, {"Enero", "Febrero", "Marzo", "Abril", "Mayo", "Junio", "Julio", "Agosto", "Septiembre", "Octubre", "Noviembre"}, 0))
), 'BD Asesor'!L1120, "")
</f>
        <v/>
      </c>
    </row>
    <row r="1121">
      <c r="C1121" s="84" t="str">
        <f t="array" ref="C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Asesor'!A1121, "")
</f>
        <v/>
      </c>
      <c r="D1121" s="84" t="str">
        <f t="array" ref="D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Asesor'!B1121, "")
</f>
        <v/>
      </c>
      <c r="E1121" s="212" t="str">
        <f t="array" ref="E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Asesor'!C1121, "")
</f>
        <v/>
      </c>
      <c r="F1121" s="212" t="str">
        <f t="array" ref="F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Asesor'!D1121, "")
</f>
        <v/>
      </c>
      <c r="G1121" s="212" t="str">
        <f t="array" ref="G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Asesor'!E1121, "")
</f>
        <v/>
      </c>
      <c r="H1121" s="84" t="str">
        <f t="array" ref="H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Asesor'!F1121, "")
</f>
        <v/>
      </c>
      <c r="I1121" s="84" t="str">
        <f t="array" ref="I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Asesor'!G1121, "")
</f>
        <v/>
      </c>
      <c r="J1121" s="84" t="str">
        <f t="array" ref="J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Asesor'!H1121, "")
</f>
        <v/>
      </c>
      <c r="K1121" s="84" t="str">
        <f t="array" ref="K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Asesor'!K1121, "")
</f>
        <v/>
      </c>
      <c r="L1121" s="84" t="str">
        <f t="array" ref="L1121">IF(OR(
    AND('BD Asesor'!H1121="Mensual", MATCH($B$2, {"Enero", "Febrero", "Marzo", "Abril", "Mayo", "Junio", "Julio", "Agosto", "Septiembre", "Octubre", "Noviembre", "Diciembre"}, 0)&gt;=1),
    AND('BD Asesor'!H1121="Trimestral", MOD(MATCH($B$2, {"Enero", "Febrero", "Marzo", "Abril", "Mayo", "Junio", "Julio", "Agosto", "Septiembre", "Octubre", "Noviembre"}, 0)-MONTH('BD Asesor'!D1121), 3)=0),
    AND('BD Asesor'!H1121="Semestral", MOD(MATCH($B$2, {"Enero", "Febrero", "Marzo", "Abril", "Mayo", "Junio", "Julio", "Agosto", "Septiembre", "Octubre", "Noviembre"}, 0)-MONTH('BD Asesor'!D1121), 6)=0),
    AND('BD Asesor'!H1121="Anual", MONTH('BD Asesor'!D1121)=MATCH($B$2, {"Enero", "Febrero", "Marzo", "Abril", "Mayo", "Junio", "Julio", "Agosto", "Septiembre", "Octubre", "Noviembre"}, 0))
), 'BD Asesor'!L1121, "")
</f>
        <v/>
      </c>
    </row>
    <row r="1122">
      <c r="C1122" s="84" t="str">
        <f t="array" ref="C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Asesor'!A1122, "")
</f>
        <v/>
      </c>
      <c r="D1122" s="84" t="str">
        <f t="array" ref="D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Asesor'!B1122, "")
</f>
        <v/>
      </c>
      <c r="E1122" s="212" t="str">
        <f t="array" ref="E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Asesor'!C1122, "")
</f>
        <v/>
      </c>
      <c r="F1122" s="212" t="str">
        <f t="array" ref="F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Asesor'!D1122, "")
</f>
        <v/>
      </c>
      <c r="G1122" s="212" t="str">
        <f t="array" ref="G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Asesor'!E1122, "")
</f>
        <v/>
      </c>
      <c r="H1122" s="84" t="str">
        <f t="array" ref="H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Asesor'!F1122, "")
</f>
        <v/>
      </c>
      <c r="I1122" s="84" t="str">
        <f t="array" ref="I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Asesor'!G1122, "")
</f>
        <v/>
      </c>
      <c r="J1122" s="84" t="str">
        <f t="array" ref="J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Asesor'!H1122, "")
</f>
        <v/>
      </c>
      <c r="K1122" s="84" t="str">
        <f t="array" ref="K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Asesor'!K1122, "")
</f>
        <v/>
      </c>
      <c r="L1122" s="84" t="str">
        <f t="array" ref="L1122">IF(OR(
    AND('BD Asesor'!H1122="Mensual", MATCH($B$2, {"Enero", "Febrero", "Marzo", "Abril", "Mayo", "Junio", "Julio", "Agosto", "Septiembre", "Octubre", "Noviembre", "Diciembre"}, 0)&gt;=1),
    AND('BD Asesor'!H1122="Trimestral", MOD(MATCH($B$2, {"Enero", "Febrero", "Marzo", "Abril", "Mayo", "Junio", "Julio", "Agosto", "Septiembre", "Octubre", "Noviembre"}, 0)-MONTH('BD Asesor'!D1122), 3)=0),
    AND('BD Asesor'!H1122="Semestral", MOD(MATCH($B$2, {"Enero", "Febrero", "Marzo", "Abril", "Mayo", "Junio", "Julio", "Agosto", "Septiembre", "Octubre", "Noviembre"}, 0)-MONTH('BD Asesor'!D1122), 6)=0),
    AND('BD Asesor'!H1122="Anual", MONTH('BD Asesor'!D1122)=MATCH($B$2, {"Enero", "Febrero", "Marzo", "Abril", "Mayo", "Junio", "Julio", "Agosto", "Septiembre", "Octubre", "Noviembre"}, 0))
), 'BD Asesor'!L1122, "")
</f>
        <v/>
      </c>
    </row>
    <row r="1123">
      <c r="C1123" s="84" t="str">
        <f t="array" ref="C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Asesor'!A1123, "")
</f>
        <v/>
      </c>
      <c r="D1123" s="84" t="str">
        <f t="array" ref="D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Asesor'!B1123, "")
</f>
        <v/>
      </c>
      <c r="E1123" s="212" t="str">
        <f t="array" ref="E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Asesor'!C1123, "")
</f>
        <v/>
      </c>
      <c r="F1123" s="212" t="str">
        <f t="array" ref="F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Asesor'!D1123, "")
</f>
        <v/>
      </c>
      <c r="G1123" s="212" t="str">
        <f t="array" ref="G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Asesor'!E1123, "")
</f>
        <v/>
      </c>
      <c r="H1123" s="84" t="str">
        <f t="array" ref="H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Asesor'!F1123, "")
</f>
        <v/>
      </c>
      <c r="I1123" s="84" t="str">
        <f t="array" ref="I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Asesor'!G1123, "")
</f>
        <v/>
      </c>
      <c r="J1123" s="84" t="str">
        <f t="array" ref="J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Asesor'!H1123, "")
</f>
        <v/>
      </c>
      <c r="K1123" s="84" t="str">
        <f t="array" ref="K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Asesor'!K1123, "")
</f>
        <v/>
      </c>
      <c r="L1123" s="84" t="str">
        <f t="array" ref="L1123">IF(OR(
    AND('BD Asesor'!H1123="Mensual", MATCH($B$2, {"Enero", "Febrero", "Marzo", "Abril", "Mayo", "Junio", "Julio", "Agosto", "Septiembre", "Octubre", "Noviembre", "Diciembre"}, 0)&gt;=1),
    AND('BD Asesor'!H1123="Trimestral", MOD(MATCH($B$2, {"Enero", "Febrero", "Marzo", "Abril", "Mayo", "Junio", "Julio", "Agosto", "Septiembre", "Octubre", "Noviembre"}, 0)-MONTH('BD Asesor'!D1123), 3)=0),
    AND('BD Asesor'!H1123="Semestral", MOD(MATCH($B$2, {"Enero", "Febrero", "Marzo", "Abril", "Mayo", "Junio", "Julio", "Agosto", "Septiembre", "Octubre", "Noviembre"}, 0)-MONTH('BD Asesor'!D1123), 6)=0),
    AND('BD Asesor'!H1123="Anual", MONTH('BD Asesor'!D1123)=MATCH($B$2, {"Enero", "Febrero", "Marzo", "Abril", "Mayo", "Junio", "Julio", "Agosto", "Septiembre", "Octubre", "Noviembre"}, 0))
), 'BD Asesor'!L1123, "")
</f>
        <v/>
      </c>
    </row>
    <row r="1124">
      <c r="C1124" s="84" t="str">
        <f t="array" ref="C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Asesor'!A1124, "")
</f>
        <v/>
      </c>
      <c r="D1124" s="84" t="str">
        <f t="array" ref="D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Asesor'!B1124, "")
</f>
        <v/>
      </c>
      <c r="E1124" s="212" t="str">
        <f t="array" ref="E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Asesor'!C1124, "")
</f>
        <v/>
      </c>
      <c r="F1124" s="212" t="str">
        <f t="array" ref="F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Asesor'!D1124, "")
</f>
        <v/>
      </c>
      <c r="G1124" s="212" t="str">
        <f t="array" ref="G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Asesor'!E1124, "")
</f>
        <v/>
      </c>
      <c r="H1124" s="84" t="str">
        <f t="array" ref="H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Asesor'!F1124, "")
</f>
        <v/>
      </c>
      <c r="I1124" s="84" t="str">
        <f t="array" ref="I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Asesor'!G1124, "")
</f>
        <v/>
      </c>
      <c r="J1124" s="84" t="str">
        <f t="array" ref="J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Asesor'!H1124, "")
</f>
        <v/>
      </c>
      <c r="K1124" s="84" t="str">
        <f t="array" ref="K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Asesor'!K1124, "")
</f>
        <v/>
      </c>
      <c r="L1124" s="84" t="str">
        <f t="array" ref="L1124">IF(OR(
    AND('BD Asesor'!H1124="Mensual", MATCH($B$2, {"Enero", "Febrero", "Marzo", "Abril", "Mayo", "Junio", "Julio", "Agosto", "Septiembre", "Octubre", "Noviembre", "Diciembre"}, 0)&gt;=1),
    AND('BD Asesor'!H1124="Trimestral", MOD(MATCH($B$2, {"Enero", "Febrero", "Marzo", "Abril", "Mayo", "Junio", "Julio", "Agosto", "Septiembre", "Octubre", "Noviembre"}, 0)-MONTH('BD Asesor'!D1124), 3)=0),
    AND('BD Asesor'!H1124="Semestral", MOD(MATCH($B$2, {"Enero", "Febrero", "Marzo", "Abril", "Mayo", "Junio", "Julio", "Agosto", "Septiembre", "Octubre", "Noviembre"}, 0)-MONTH('BD Asesor'!D1124), 6)=0),
    AND('BD Asesor'!H1124="Anual", MONTH('BD Asesor'!D1124)=MATCH($B$2, {"Enero", "Febrero", "Marzo", "Abril", "Mayo", "Junio", "Julio", "Agosto", "Septiembre", "Octubre", "Noviembre"}, 0))
), 'BD Asesor'!L1124, "")
</f>
        <v/>
      </c>
    </row>
    <row r="1125">
      <c r="C1125" s="84" t="str">
        <f t="array" ref="C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Asesor'!A1125, "")
</f>
        <v/>
      </c>
      <c r="D1125" s="84" t="str">
        <f t="array" ref="D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Asesor'!B1125, "")
</f>
        <v/>
      </c>
      <c r="E1125" s="212" t="str">
        <f t="array" ref="E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Asesor'!C1125, "")
</f>
        <v/>
      </c>
      <c r="F1125" s="212" t="str">
        <f t="array" ref="F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Asesor'!D1125, "")
</f>
        <v/>
      </c>
      <c r="G1125" s="212" t="str">
        <f t="array" ref="G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Asesor'!E1125, "")
</f>
        <v/>
      </c>
      <c r="H1125" s="84" t="str">
        <f t="array" ref="H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Asesor'!F1125, "")
</f>
        <v/>
      </c>
      <c r="I1125" s="84" t="str">
        <f t="array" ref="I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Asesor'!G1125, "")
</f>
        <v/>
      </c>
      <c r="J1125" s="84" t="str">
        <f t="array" ref="J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Asesor'!H1125, "")
</f>
        <v/>
      </c>
      <c r="K1125" s="84" t="str">
        <f t="array" ref="K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Asesor'!K1125, "")
</f>
        <v/>
      </c>
      <c r="L1125" s="84" t="str">
        <f t="array" ref="L1125">IF(OR(
    AND('BD Asesor'!H1125="Mensual", MATCH($B$2, {"Enero", "Febrero", "Marzo", "Abril", "Mayo", "Junio", "Julio", "Agosto", "Septiembre", "Octubre", "Noviembre", "Diciembre"}, 0)&gt;=1),
    AND('BD Asesor'!H1125="Trimestral", MOD(MATCH($B$2, {"Enero", "Febrero", "Marzo", "Abril", "Mayo", "Junio", "Julio", "Agosto", "Septiembre", "Octubre", "Noviembre"}, 0)-MONTH('BD Asesor'!D1125), 3)=0),
    AND('BD Asesor'!H1125="Semestral", MOD(MATCH($B$2, {"Enero", "Febrero", "Marzo", "Abril", "Mayo", "Junio", "Julio", "Agosto", "Septiembre", "Octubre", "Noviembre"}, 0)-MONTH('BD Asesor'!D1125), 6)=0),
    AND('BD Asesor'!H1125="Anual", MONTH('BD Asesor'!D1125)=MATCH($B$2, {"Enero", "Febrero", "Marzo", "Abril", "Mayo", "Junio", "Julio", "Agosto", "Septiembre", "Octubre", "Noviembre"}, 0))
), 'BD Asesor'!L1125, "")
</f>
        <v/>
      </c>
    </row>
    <row r="1126">
      <c r="C1126" s="84" t="str">
        <f t="array" ref="C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Asesor'!A1126, "")
</f>
        <v/>
      </c>
      <c r="D1126" s="84" t="str">
        <f t="array" ref="D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Asesor'!B1126, "")
</f>
        <v/>
      </c>
      <c r="E1126" s="212" t="str">
        <f t="array" ref="E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Asesor'!C1126, "")
</f>
        <v/>
      </c>
      <c r="F1126" s="212" t="str">
        <f t="array" ref="F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Asesor'!D1126, "")
</f>
        <v/>
      </c>
      <c r="G1126" s="212" t="str">
        <f t="array" ref="G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Asesor'!E1126, "")
</f>
        <v/>
      </c>
      <c r="H1126" s="84" t="str">
        <f t="array" ref="H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Asesor'!F1126, "")
</f>
        <v/>
      </c>
      <c r="I1126" s="84" t="str">
        <f t="array" ref="I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Asesor'!G1126, "")
</f>
        <v/>
      </c>
      <c r="J1126" s="84" t="str">
        <f t="array" ref="J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Asesor'!H1126, "")
</f>
        <v/>
      </c>
      <c r="K1126" s="84" t="str">
        <f t="array" ref="K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Asesor'!K1126, "")
</f>
        <v/>
      </c>
      <c r="L1126" s="84" t="str">
        <f t="array" ref="L1126">IF(OR(
    AND('BD Asesor'!H1126="Mensual", MATCH($B$2, {"Enero", "Febrero", "Marzo", "Abril", "Mayo", "Junio", "Julio", "Agosto", "Septiembre", "Octubre", "Noviembre", "Diciembre"}, 0)&gt;=1),
    AND('BD Asesor'!H1126="Trimestral", MOD(MATCH($B$2, {"Enero", "Febrero", "Marzo", "Abril", "Mayo", "Junio", "Julio", "Agosto", "Septiembre", "Octubre", "Noviembre"}, 0)-MONTH('BD Asesor'!D1126), 3)=0),
    AND('BD Asesor'!H1126="Semestral", MOD(MATCH($B$2, {"Enero", "Febrero", "Marzo", "Abril", "Mayo", "Junio", "Julio", "Agosto", "Septiembre", "Octubre", "Noviembre"}, 0)-MONTH('BD Asesor'!D1126), 6)=0),
    AND('BD Asesor'!H1126="Anual", MONTH('BD Asesor'!D1126)=MATCH($B$2, {"Enero", "Febrero", "Marzo", "Abril", "Mayo", "Junio", "Julio", "Agosto", "Septiembre", "Octubre", "Noviembre"}, 0))
), 'BD Asesor'!L1126, "")
</f>
        <v/>
      </c>
    </row>
    <row r="1127">
      <c r="C1127" s="84" t="str">
        <f t="array" ref="C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Asesor'!A1127, "")
</f>
        <v/>
      </c>
      <c r="D1127" s="84" t="str">
        <f t="array" ref="D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Asesor'!B1127, "")
</f>
        <v/>
      </c>
      <c r="E1127" s="212" t="str">
        <f t="array" ref="E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Asesor'!C1127, "")
</f>
        <v/>
      </c>
      <c r="F1127" s="212" t="str">
        <f t="array" ref="F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Asesor'!D1127, "")
</f>
        <v/>
      </c>
      <c r="G1127" s="212" t="str">
        <f t="array" ref="G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Asesor'!E1127, "")
</f>
        <v/>
      </c>
      <c r="H1127" s="84" t="str">
        <f t="array" ref="H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Asesor'!F1127, "")
</f>
        <v/>
      </c>
      <c r="I1127" s="84" t="str">
        <f t="array" ref="I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Asesor'!G1127, "")
</f>
        <v/>
      </c>
      <c r="J1127" s="84" t="str">
        <f t="array" ref="J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Asesor'!H1127, "")
</f>
        <v/>
      </c>
      <c r="K1127" s="84" t="str">
        <f t="array" ref="K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Asesor'!K1127, "")
</f>
        <v/>
      </c>
      <c r="L1127" s="84" t="str">
        <f t="array" ref="L1127">IF(OR(
    AND('BD Asesor'!H1127="Mensual", MATCH($B$2, {"Enero", "Febrero", "Marzo", "Abril", "Mayo", "Junio", "Julio", "Agosto", "Septiembre", "Octubre", "Noviembre", "Diciembre"}, 0)&gt;=1),
    AND('BD Asesor'!H1127="Trimestral", MOD(MATCH($B$2, {"Enero", "Febrero", "Marzo", "Abril", "Mayo", "Junio", "Julio", "Agosto", "Septiembre", "Octubre", "Noviembre"}, 0)-MONTH('BD Asesor'!D1127), 3)=0),
    AND('BD Asesor'!H1127="Semestral", MOD(MATCH($B$2, {"Enero", "Febrero", "Marzo", "Abril", "Mayo", "Junio", "Julio", "Agosto", "Septiembre", "Octubre", "Noviembre"}, 0)-MONTH('BD Asesor'!D1127), 6)=0),
    AND('BD Asesor'!H1127="Anual", MONTH('BD Asesor'!D1127)=MATCH($B$2, {"Enero", "Febrero", "Marzo", "Abril", "Mayo", "Junio", "Julio", "Agosto", "Septiembre", "Octubre", "Noviembre"}, 0))
), 'BD Asesor'!L1127, "")
</f>
        <v/>
      </c>
    </row>
    <row r="1128">
      <c r="C1128" s="84" t="str">
        <f t="array" ref="C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Asesor'!A1128, "")
</f>
        <v/>
      </c>
      <c r="D1128" s="84" t="str">
        <f t="array" ref="D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Asesor'!B1128, "")
</f>
        <v/>
      </c>
      <c r="E1128" s="212" t="str">
        <f t="array" ref="E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Asesor'!C1128, "")
</f>
        <v/>
      </c>
      <c r="F1128" s="212" t="str">
        <f t="array" ref="F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Asesor'!D1128, "")
</f>
        <v/>
      </c>
      <c r="G1128" s="212" t="str">
        <f t="array" ref="G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Asesor'!E1128, "")
</f>
        <v/>
      </c>
      <c r="H1128" s="84" t="str">
        <f t="array" ref="H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Asesor'!F1128, "")
</f>
        <v/>
      </c>
      <c r="I1128" s="84" t="str">
        <f t="array" ref="I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Asesor'!G1128, "")
</f>
        <v/>
      </c>
      <c r="J1128" s="84" t="str">
        <f t="array" ref="J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Asesor'!H1128, "")
</f>
        <v/>
      </c>
      <c r="K1128" s="84" t="str">
        <f t="array" ref="K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Asesor'!K1128, "")
</f>
        <v/>
      </c>
      <c r="L1128" s="84" t="str">
        <f t="array" ref="L1128">IF(OR(
    AND('BD Asesor'!H1128="Mensual", MATCH($B$2, {"Enero", "Febrero", "Marzo", "Abril", "Mayo", "Junio", "Julio", "Agosto", "Septiembre", "Octubre", "Noviembre", "Diciembre"}, 0)&gt;=1),
    AND('BD Asesor'!H1128="Trimestral", MOD(MATCH($B$2, {"Enero", "Febrero", "Marzo", "Abril", "Mayo", "Junio", "Julio", "Agosto", "Septiembre", "Octubre", "Noviembre"}, 0)-MONTH('BD Asesor'!D1128), 3)=0),
    AND('BD Asesor'!H1128="Semestral", MOD(MATCH($B$2, {"Enero", "Febrero", "Marzo", "Abril", "Mayo", "Junio", "Julio", "Agosto", "Septiembre", "Octubre", "Noviembre"}, 0)-MONTH('BD Asesor'!D1128), 6)=0),
    AND('BD Asesor'!H1128="Anual", MONTH('BD Asesor'!D1128)=MATCH($B$2, {"Enero", "Febrero", "Marzo", "Abril", "Mayo", "Junio", "Julio", "Agosto", "Septiembre", "Octubre", "Noviembre"}, 0))
), 'BD Asesor'!L1128, "")
</f>
        <v/>
      </c>
    </row>
    <row r="1129">
      <c r="C1129" s="84" t="str">
        <f t="array" ref="C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Asesor'!A1129, "")
</f>
        <v/>
      </c>
      <c r="D1129" s="84" t="str">
        <f t="array" ref="D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Asesor'!B1129, "")
</f>
        <v/>
      </c>
      <c r="E1129" s="212" t="str">
        <f t="array" ref="E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Asesor'!C1129, "")
</f>
        <v/>
      </c>
      <c r="F1129" s="212" t="str">
        <f t="array" ref="F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Asesor'!D1129, "")
</f>
        <v/>
      </c>
      <c r="G1129" s="212" t="str">
        <f t="array" ref="G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Asesor'!E1129, "")
</f>
        <v/>
      </c>
      <c r="H1129" s="84" t="str">
        <f t="array" ref="H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Asesor'!F1129, "")
</f>
        <v/>
      </c>
      <c r="I1129" s="84" t="str">
        <f t="array" ref="I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Asesor'!G1129, "")
</f>
        <v/>
      </c>
      <c r="J1129" s="84" t="str">
        <f t="array" ref="J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Asesor'!H1129, "")
</f>
        <v/>
      </c>
      <c r="K1129" s="84" t="str">
        <f t="array" ref="K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Asesor'!K1129, "")
</f>
        <v/>
      </c>
      <c r="L1129" s="84" t="str">
        <f t="array" ref="L1129">IF(OR(
    AND('BD Asesor'!H1129="Mensual", MATCH($B$2, {"Enero", "Febrero", "Marzo", "Abril", "Mayo", "Junio", "Julio", "Agosto", "Septiembre", "Octubre", "Noviembre", "Diciembre"}, 0)&gt;=1),
    AND('BD Asesor'!H1129="Trimestral", MOD(MATCH($B$2, {"Enero", "Febrero", "Marzo", "Abril", "Mayo", "Junio", "Julio", "Agosto", "Septiembre", "Octubre", "Noviembre"}, 0)-MONTH('BD Asesor'!D1129), 3)=0),
    AND('BD Asesor'!H1129="Semestral", MOD(MATCH($B$2, {"Enero", "Febrero", "Marzo", "Abril", "Mayo", "Junio", "Julio", "Agosto", "Septiembre", "Octubre", "Noviembre"}, 0)-MONTH('BD Asesor'!D1129), 6)=0),
    AND('BD Asesor'!H1129="Anual", MONTH('BD Asesor'!D1129)=MATCH($B$2, {"Enero", "Febrero", "Marzo", "Abril", "Mayo", "Junio", "Julio", "Agosto", "Septiembre", "Octubre", "Noviembre"}, 0))
), 'BD Asesor'!L1129, "")
</f>
        <v/>
      </c>
    </row>
    <row r="1130">
      <c r="C1130" s="84" t="str">
        <f t="array" ref="C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Asesor'!A1130, "")
</f>
        <v/>
      </c>
      <c r="D1130" s="84" t="str">
        <f t="array" ref="D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Asesor'!B1130, "")
</f>
        <v/>
      </c>
      <c r="E1130" s="212" t="str">
        <f t="array" ref="E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Asesor'!C1130, "")
</f>
        <v/>
      </c>
      <c r="F1130" s="212" t="str">
        <f t="array" ref="F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Asesor'!D1130, "")
</f>
        <v/>
      </c>
      <c r="G1130" s="212" t="str">
        <f t="array" ref="G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Asesor'!E1130, "")
</f>
        <v/>
      </c>
      <c r="H1130" s="84" t="str">
        <f t="array" ref="H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Asesor'!F1130, "")
</f>
        <v/>
      </c>
      <c r="I1130" s="84" t="str">
        <f t="array" ref="I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Asesor'!G1130, "")
</f>
        <v/>
      </c>
      <c r="J1130" s="84" t="str">
        <f t="array" ref="J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Asesor'!H1130, "")
</f>
        <v/>
      </c>
      <c r="K1130" s="84" t="str">
        <f t="array" ref="K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Asesor'!K1130, "")
</f>
        <v/>
      </c>
      <c r="L1130" s="84" t="str">
        <f t="array" ref="L1130">IF(OR(
    AND('BD Asesor'!H1130="Mensual", MATCH($B$2, {"Enero", "Febrero", "Marzo", "Abril", "Mayo", "Junio", "Julio", "Agosto", "Septiembre", "Octubre", "Noviembre", "Diciembre"}, 0)&gt;=1),
    AND('BD Asesor'!H1130="Trimestral", MOD(MATCH($B$2, {"Enero", "Febrero", "Marzo", "Abril", "Mayo", "Junio", "Julio", "Agosto", "Septiembre", "Octubre", "Noviembre"}, 0)-MONTH('BD Asesor'!D1130), 3)=0),
    AND('BD Asesor'!H1130="Semestral", MOD(MATCH($B$2, {"Enero", "Febrero", "Marzo", "Abril", "Mayo", "Junio", "Julio", "Agosto", "Septiembre", "Octubre", "Noviembre"}, 0)-MONTH('BD Asesor'!D1130), 6)=0),
    AND('BD Asesor'!H1130="Anual", MONTH('BD Asesor'!D1130)=MATCH($B$2, {"Enero", "Febrero", "Marzo", "Abril", "Mayo", "Junio", "Julio", "Agosto", "Septiembre", "Octubre", "Noviembre"}, 0))
), 'BD Asesor'!L1130, "")
</f>
        <v/>
      </c>
    </row>
    <row r="1131">
      <c r="C1131" s="84" t="str">
        <f t="array" ref="C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Asesor'!A1131, "")
</f>
        <v/>
      </c>
      <c r="D1131" s="84" t="str">
        <f t="array" ref="D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Asesor'!B1131, "")
</f>
        <v/>
      </c>
      <c r="E1131" s="212" t="str">
        <f t="array" ref="E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Asesor'!C1131, "")
</f>
        <v/>
      </c>
      <c r="F1131" s="212" t="str">
        <f t="array" ref="F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Asesor'!D1131, "")
</f>
        <v/>
      </c>
      <c r="G1131" s="212" t="str">
        <f t="array" ref="G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Asesor'!E1131, "")
</f>
        <v/>
      </c>
      <c r="H1131" s="84" t="str">
        <f t="array" ref="H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Asesor'!F1131, "")
</f>
        <v/>
      </c>
      <c r="I1131" s="84" t="str">
        <f t="array" ref="I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Asesor'!G1131, "")
</f>
        <v/>
      </c>
      <c r="J1131" s="84" t="str">
        <f t="array" ref="J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Asesor'!H1131, "")
</f>
        <v/>
      </c>
      <c r="K1131" s="84" t="str">
        <f t="array" ref="K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Asesor'!K1131, "")
</f>
        <v/>
      </c>
      <c r="L1131" s="84" t="str">
        <f t="array" ref="L1131">IF(OR(
    AND('BD Asesor'!H1131="Mensual", MATCH($B$2, {"Enero", "Febrero", "Marzo", "Abril", "Mayo", "Junio", "Julio", "Agosto", "Septiembre", "Octubre", "Noviembre", "Diciembre"}, 0)&gt;=1),
    AND('BD Asesor'!H1131="Trimestral", MOD(MATCH($B$2, {"Enero", "Febrero", "Marzo", "Abril", "Mayo", "Junio", "Julio", "Agosto", "Septiembre", "Octubre", "Noviembre"}, 0)-MONTH('BD Asesor'!D1131), 3)=0),
    AND('BD Asesor'!H1131="Semestral", MOD(MATCH($B$2, {"Enero", "Febrero", "Marzo", "Abril", "Mayo", "Junio", "Julio", "Agosto", "Septiembre", "Octubre", "Noviembre"}, 0)-MONTH('BD Asesor'!D1131), 6)=0),
    AND('BD Asesor'!H1131="Anual", MONTH('BD Asesor'!D1131)=MATCH($B$2, {"Enero", "Febrero", "Marzo", "Abril", "Mayo", "Junio", "Julio", "Agosto", "Septiembre", "Octubre", "Noviembre"}, 0))
), 'BD Asesor'!L1131, "")
</f>
        <v/>
      </c>
    </row>
    <row r="1132">
      <c r="C1132" s="84" t="str">
        <f t="array" ref="C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Asesor'!A1132, "")
</f>
        <v/>
      </c>
      <c r="D1132" s="84" t="str">
        <f t="array" ref="D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Asesor'!B1132, "")
</f>
        <v/>
      </c>
      <c r="E1132" s="212" t="str">
        <f t="array" ref="E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Asesor'!C1132, "")
</f>
        <v/>
      </c>
      <c r="F1132" s="212" t="str">
        <f t="array" ref="F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Asesor'!D1132, "")
</f>
        <v/>
      </c>
      <c r="G1132" s="212" t="str">
        <f t="array" ref="G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Asesor'!E1132, "")
</f>
        <v/>
      </c>
      <c r="H1132" s="84" t="str">
        <f t="array" ref="H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Asesor'!F1132, "")
</f>
        <v/>
      </c>
      <c r="I1132" s="84" t="str">
        <f t="array" ref="I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Asesor'!G1132, "")
</f>
        <v/>
      </c>
      <c r="J1132" s="84" t="str">
        <f t="array" ref="J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Asesor'!H1132, "")
</f>
        <v/>
      </c>
      <c r="K1132" s="84" t="str">
        <f t="array" ref="K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Asesor'!K1132, "")
</f>
        <v/>
      </c>
      <c r="L1132" s="84" t="str">
        <f t="array" ref="L1132">IF(OR(
    AND('BD Asesor'!H1132="Mensual", MATCH($B$2, {"Enero", "Febrero", "Marzo", "Abril", "Mayo", "Junio", "Julio", "Agosto", "Septiembre", "Octubre", "Noviembre", "Diciembre"}, 0)&gt;=1),
    AND('BD Asesor'!H1132="Trimestral", MOD(MATCH($B$2, {"Enero", "Febrero", "Marzo", "Abril", "Mayo", "Junio", "Julio", "Agosto", "Septiembre", "Octubre", "Noviembre"}, 0)-MONTH('BD Asesor'!D1132), 3)=0),
    AND('BD Asesor'!H1132="Semestral", MOD(MATCH($B$2, {"Enero", "Febrero", "Marzo", "Abril", "Mayo", "Junio", "Julio", "Agosto", "Septiembre", "Octubre", "Noviembre"}, 0)-MONTH('BD Asesor'!D1132), 6)=0),
    AND('BD Asesor'!H1132="Anual", MONTH('BD Asesor'!D1132)=MATCH($B$2, {"Enero", "Febrero", "Marzo", "Abril", "Mayo", "Junio", "Julio", "Agosto", "Septiembre", "Octubre", "Noviembre"}, 0))
), 'BD Asesor'!L1132, "")
</f>
        <v/>
      </c>
    </row>
    <row r="1133">
      <c r="C1133" s="84" t="str">
        <f t="array" ref="C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Asesor'!A1133, "")
</f>
        <v/>
      </c>
      <c r="D1133" s="84" t="str">
        <f t="array" ref="D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Asesor'!B1133, "")
</f>
        <v/>
      </c>
      <c r="E1133" s="212" t="str">
        <f t="array" ref="E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Asesor'!C1133, "")
</f>
        <v/>
      </c>
      <c r="F1133" s="212" t="str">
        <f t="array" ref="F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Asesor'!D1133, "")
</f>
        <v/>
      </c>
      <c r="G1133" s="212" t="str">
        <f t="array" ref="G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Asesor'!E1133, "")
</f>
        <v/>
      </c>
      <c r="H1133" s="84" t="str">
        <f t="array" ref="H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Asesor'!F1133, "")
</f>
        <v/>
      </c>
      <c r="I1133" s="84" t="str">
        <f t="array" ref="I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Asesor'!G1133, "")
</f>
        <v/>
      </c>
      <c r="J1133" s="84" t="str">
        <f t="array" ref="J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Asesor'!H1133, "")
</f>
        <v/>
      </c>
      <c r="K1133" s="84" t="str">
        <f t="array" ref="K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Asesor'!K1133, "")
</f>
        <v/>
      </c>
      <c r="L1133" s="84" t="str">
        <f t="array" ref="L1133">IF(OR(
    AND('BD Asesor'!H1133="Mensual", MATCH($B$2, {"Enero", "Febrero", "Marzo", "Abril", "Mayo", "Junio", "Julio", "Agosto", "Septiembre", "Octubre", "Noviembre", "Diciembre"}, 0)&gt;=1),
    AND('BD Asesor'!H1133="Trimestral", MOD(MATCH($B$2, {"Enero", "Febrero", "Marzo", "Abril", "Mayo", "Junio", "Julio", "Agosto", "Septiembre", "Octubre", "Noviembre"}, 0)-MONTH('BD Asesor'!D1133), 3)=0),
    AND('BD Asesor'!H1133="Semestral", MOD(MATCH($B$2, {"Enero", "Febrero", "Marzo", "Abril", "Mayo", "Junio", "Julio", "Agosto", "Septiembre", "Octubre", "Noviembre"}, 0)-MONTH('BD Asesor'!D1133), 6)=0),
    AND('BD Asesor'!H1133="Anual", MONTH('BD Asesor'!D1133)=MATCH($B$2, {"Enero", "Febrero", "Marzo", "Abril", "Mayo", "Junio", "Julio", "Agosto", "Septiembre", "Octubre", "Noviembre"}, 0))
), 'BD Asesor'!L1133, "")
</f>
        <v/>
      </c>
    </row>
    <row r="1134">
      <c r="C1134" s="84" t="str">
        <f t="array" ref="C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Asesor'!A1134, "")
</f>
        <v/>
      </c>
      <c r="D1134" s="84" t="str">
        <f t="array" ref="D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Asesor'!B1134, "")
</f>
        <v/>
      </c>
      <c r="E1134" s="212" t="str">
        <f t="array" ref="E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Asesor'!C1134, "")
</f>
        <v/>
      </c>
      <c r="F1134" s="212" t="str">
        <f t="array" ref="F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Asesor'!D1134, "")
</f>
        <v/>
      </c>
      <c r="G1134" s="212" t="str">
        <f t="array" ref="G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Asesor'!E1134, "")
</f>
        <v/>
      </c>
      <c r="H1134" s="84" t="str">
        <f t="array" ref="H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Asesor'!F1134, "")
</f>
        <v/>
      </c>
      <c r="I1134" s="84" t="str">
        <f t="array" ref="I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Asesor'!G1134, "")
</f>
        <v/>
      </c>
      <c r="J1134" s="84" t="str">
        <f t="array" ref="J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Asesor'!H1134, "")
</f>
        <v/>
      </c>
      <c r="K1134" s="84" t="str">
        <f t="array" ref="K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Asesor'!K1134, "")
</f>
        <v/>
      </c>
      <c r="L1134" s="84" t="str">
        <f t="array" ref="L1134">IF(OR(
    AND('BD Asesor'!H1134="Mensual", MATCH($B$2, {"Enero", "Febrero", "Marzo", "Abril", "Mayo", "Junio", "Julio", "Agosto", "Septiembre", "Octubre", "Noviembre", "Diciembre"}, 0)&gt;=1),
    AND('BD Asesor'!H1134="Trimestral", MOD(MATCH($B$2, {"Enero", "Febrero", "Marzo", "Abril", "Mayo", "Junio", "Julio", "Agosto", "Septiembre", "Octubre", "Noviembre"}, 0)-MONTH('BD Asesor'!D1134), 3)=0),
    AND('BD Asesor'!H1134="Semestral", MOD(MATCH($B$2, {"Enero", "Febrero", "Marzo", "Abril", "Mayo", "Junio", "Julio", "Agosto", "Septiembre", "Octubre", "Noviembre"}, 0)-MONTH('BD Asesor'!D1134), 6)=0),
    AND('BD Asesor'!H1134="Anual", MONTH('BD Asesor'!D1134)=MATCH($B$2, {"Enero", "Febrero", "Marzo", "Abril", "Mayo", "Junio", "Julio", "Agosto", "Septiembre", "Octubre", "Noviembre"}, 0))
), 'BD Asesor'!L1134, "")
</f>
        <v/>
      </c>
    </row>
    <row r="1135">
      <c r="C1135" s="84" t="str">
        <f t="array" ref="C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Asesor'!A1135, "")
</f>
        <v/>
      </c>
      <c r="D1135" s="84" t="str">
        <f t="array" ref="D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Asesor'!B1135, "")
</f>
        <v/>
      </c>
      <c r="E1135" s="212" t="str">
        <f t="array" ref="E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Asesor'!C1135, "")
</f>
        <v/>
      </c>
      <c r="F1135" s="212" t="str">
        <f t="array" ref="F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Asesor'!D1135, "")
</f>
        <v/>
      </c>
      <c r="G1135" s="212" t="str">
        <f t="array" ref="G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Asesor'!E1135, "")
</f>
        <v/>
      </c>
      <c r="H1135" s="84" t="str">
        <f t="array" ref="H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Asesor'!F1135, "")
</f>
        <v/>
      </c>
      <c r="I1135" s="84" t="str">
        <f t="array" ref="I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Asesor'!G1135, "")
</f>
        <v/>
      </c>
      <c r="J1135" s="84" t="str">
        <f t="array" ref="J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Asesor'!H1135, "")
</f>
        <v/>
      </c>
      <c r="K1135" s="84" t="str">
        <f t="array" ref="K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Asesor'!K1135, "")
</f>
        <v/>
      </c>
      <c r="L1135" s="84" t="str">
        <f t="array" ref="L1135">IF(OR(
    AND('BD Asesor'!H1135="Mensual", MATCH($B$2, {"Enero", "Febrero", "Marzo", "Abril", "Mayo", "Junio", "Julio", "Agosto", "Septiembre", "Octubre", "Noviembre", "Diciembre"}, 0)&gt;=1),
    AND('BD Asesor'!H1135="Trimestral", MOD(MATCH($B$2, {"Enero", "Febrero", "Marzo", "Abril", "Mayo", "Junio", "Julio", "Agosto", "Septiembre", "Octubre", "Noviembre"}, 0)-MONTH('BD Asesor'!D1135), 3)=0),
    AND('BD Asesor'!H1135="Semestral", MOD(MATCH($B$2, {"Enero", "Febrero", "Marzo", "Abril", "Mayo", "Junio", "Julio", "Agosto", "Septiembre", "Octubre", "Noviembre"}, 0)-MONTH('BD Asesor'!D1135), 6)=0),
    AND('BD Asesor'!H1135="Anual", MONTH('BD Asesor'!D1135)=MATCH($B$2, {"Enero", "Febrero", "Marzo", "Abril", "Mayo", "Junio", "Julio", "Agosto", "Septiembre", "Octubre", "Noviembre"}, 0))
), 'BD Asesor'!L1135, "")
</f>
        <v/>
      </c>
    </row>
    <row r="1136">
      <c r="C1136" s="84" t="str">
        <f t="array" ref="C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Asesor'!A1136, "")
</f>
        <v/>
      </c>
      <c r="D1136" s="84" t="str">
        <f t="array" ref="D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Asesor'!B1136, "")
</f>
        <v/>
      </c>
      <c r="E1136" s="212" t="str">
        <f t="array" ref="E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Asesor'!C1136, "")
</f>
        <v/>
      </c>
      <c r="F1136" s="212" t="str">
        <f t="array" ref="F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Asesor'!D1136, "")
</f>
        <v/>
      </c>
      <c r="G1136" s="212" t="str">
        <f t="array" ref="G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Asesor'!E1136, "")
</f>
        <v/>
      </c>
      <c r="H1136" s="84" t="str">
        <f t="array" ref="H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Asesor'!F1136, "")
</f>
        <v/>
      </c>
      <c r="I1136" s="84" t="str">
        <f t="array" ref="I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Asesor'!G1136, "")
</f>
        <v/>
      </c>
      <c r="J1136" s="84" t="str">
        <f t="array" ref="J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Asesor'!H1136, "")
</f>
        <v/>
      </c>
      <c r="K1136" s="84" t="str">
        <f t="array" ref="K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Asesor'!K1136, "")
</f>
        <v/>
      </c>
      <c r="L1136" s="84" t="str">
        <f t="array" ref="L1136">IF(OR(
    AND('BD Asesor'!H1136="Mensual", MATCH($B$2, {"Enero", "Febrero", "Marzo", "Abril", "Mayo", "Junio", "Julio", "Agosto", "Septiembre", "Octubre", "Noviembre", "Diciembre"}, 0)&gt;=1),
    AND('BD Asesor'!H1136="Trimestral", MOD(MATCH($B$2, {"Enero", "Febrero", "Marzo", "Abril", "Mayo", "Junio", "Julio", "Agosto", "Septiembre", "Octubre", "Noviembre"}, 0)-MONTH('BD Asesor'!D1136), 3)=0),
    AND('BD Asesor'!H1136="Semestral", MOD(MATCH($B$2, {"Enero", "Febrero", "Marzo", "Abril", "Mayo", "Junio", "Julio", "Agosto", "Septiembre", "Octubre", "Noviembre"}, 0)-MONTH('BD Asesor'!D1136), 6)=0),
    AND('BD Asesor'!H1136="Anual", MONTH('BD Asesor'!D1136)=MATCH($B$2, {"Enero", "Febrero", "Marzo", "Abril", "Mayo", "Junio", "Julio", "Agosto", "Septiembre", "Octubre", "Noviembre"}, 0))
), 'BD Asesor'!L1136, "")
</f>
        <v/>
      </c>
    </row>
    <row r="1137">
      <c r="C1137" s="84" t="str">
        <f t="array" ref="C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Asesor'!A1137, "")
</f>
        <v/>
      </c>
      <c r="D1137" s="84" t="str">
        <f t="array" ref="D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Asesor'!B1137, "")
</f>
        <v/>
      </c>
      <c r="E1137" s="212" t="str">
        <f t="array" ref="E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Asesor'!C1137, "")
</f>
        <v/>
      </c>
      <c r="F1137" s="212" t="str">
        <f t="array" ref="F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Asesor'!D1137, "")
</f>
        <v/>
      </c>
      <c r="G1137" s="212" t="str">
        <f t="array" ref="G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Asesor'!E1137, "")
</f>
        <v/>
      </c>
      <c r="H1137" s="84" t="str">
        <f t="array" ref="H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Asesor'!F1137, "")
</f>
        <v/>
      </c>
      <c r="I1137" s="84" t="str">
        <f t="array" ref="I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Asesor'!G1137, "")
</f>
        <v/>
      </c>
      <c r="J1137" s="84" t="str">
        <f t="array" ref="J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Asesor'!H1137, "")
</f>
        <v/>
      </c>
      <c r="K1137" s="84" t="str">
        <f t="array" ref="K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Asesor'!K1137, "")
</f>
        <v/>
      </c>
      <c r="L1137" s="84" t="str">
        <f t="array" ref="L1137">IF(OR(
    AND('BD Asesor'!H1137="Mensual", MATCH($B$2, {"Enero", "Febrero", "Marzo", "Abril", "Mayo", "Junio", "Julio", "Agosto", "Septiembre", "Octubre", "Noviembre", "Diciembre"}, 0)&gt;=1),
    AND('BD Asesor'!H1137="Trimestral", MOD(MATCH($B$2, {"Enero", "Febrero", "Marzo", "Abril", "Mayo", "Junio", "Julio", "Agosto", "Septiembre", "Octubre", "Noviembre"}, 0)-MONTH('BD Asesor'!D1137), 3)=0),
    AND('BD Asesor'!H1137="Semestral", MOD(MATCH($B$2, {"Enero", "Febrero", "Marzo", "Abril", "Mayo", "Junio", "Julio", "Agosto", "Septiembre", "Octubre", "Noviembre"}, 0)-MONTH('BD Asesor'!D1137), 6)=0),
    AND('BD Asesor'!H1137="Anual", MONTH('BD Asesor'!D1137)=MATCH($B$2, {"Enero", "Febrero", "Marzo", "Abril", "Mayo", "Junio", "Julio", "Agosto", "Septiembre", "Octubre", "Noviembre"}, 0))
), 'BD Asesor'!L1137, "")
</f>
        <v/>
      </c>
    </row>
    <row r="1138">
      <c r="C1138" s="84" t="str">
        <f t="array" ref="C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Asesor'!A1138, "")
</f>
        <v/>
      </c>
      <c r="D1138" s="84" t="str">
        <f t="array" ref="D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Asesor'!B1138, "")
</f>
        <v/>
      </c>
      <c r="E1138" s="212" t="str">
        <f t="array" ref="E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Asesor'!C1138, "")
</f>
        <v/>
      </c>
      <c r="F1138" s="212" t="str">
        <f t="array" ref="F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Asesor'!D1138, "")
</f>
        <v/>
      </c>
      <c r="G1138" s="212" t="str">
        <f t="array" ref="G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Asesor'!E1138, "")
</f>
        <v/>
      </c>
      <c r="H1138" s="84" t="str">
        <f t="array" ref="H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Asesor'!F1138, "")
</f>
        <v/>
      </c>
      <c r="I1138" s="84" t="str">
        <f t="array" ref="I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Asesor'!G1138, "")
</f>
        <v/>
      </c>
      <c r="J1138" s="84" t="str">
        <f t="array" ref="J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Asesor'!H1138, "")
</f>
        <v/>
      </c>
      <c r="K1138" s="84" t="str">
        <f t="array" ref="K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Asesor'!K1138, "")
</f>
        <v/>
      </c>
      <c r="L1138" s="84" t="str">
        <f t="array" ref="L1138">IF(OR(
    AND('BD Asesor'!H1138="Mensual", MATCH($B$2, {"Enero", "Febrero", "Marzo", "Abril", "Mayo", "Junio", "Julio", "Agosto", "Septiembre", "Octubre", "Noviembre", "Diciembre"}, 0)&gt;=1),
    AND('BD Asesor'!H1138="Trimestral", MOD(MATCH($B$2, {"Enero", "Febrero", "Marzo", "Abril", "Mayo", "Junio", "Julio", "Agosto", "Septiembre", "Octubre", "Noviembre"}, 0)-MONTH('BD Asesor'!D1138), 3)=0),
    AND('BD Asesor'!H1138="Semestral", MOD(MATCH($B$2, {"Enero", "Febrero", "Marzo", "Abril", "Mayo", "Junio", "Julio", "Agosto", "Septiembre", "Octubre", "Noviembre"}, 0)-MONTH('BD Asesor'!D1138), 6)=0),
    AND('BD Asesor'!H1138="Anual", MONTH('BD Asesor'!D1138)=MATCH($B$2, {"Enero", "Febrero", "Marzo", "Abril", "Mayo", "Junio", "Julio", "Agosto", "Septiembre", "Octubre", "Noviembre"}, 0))
), 'BD Asesor'!L1138, "")
</f>
        <v/>
      </c>
    </row>
    <row r="1139">
      <c r="C1139" s="84" t="str">
        <f t="array" ref="C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Asesor'!A1139, "")
</f>
        <v/>
      </c>
      <c r="D1139" s="84" t="str">
        <f t="array" ref="D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Asesor'!B1139, "")
</f>
        <v/>
      </c>
      <c r="E1139" s="212" t="str">
        <f t="array" ref="E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Asesor'!C1139, "")
</f>
        <v/>
      </c>
      <c r="F1139" s="212" t="str">
        <f t="array" ref="F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Asesor'!D1139, "")
</f>
        <v/>
      </c>
      <c r="G1139" s="212" t="str">
        <f t="array" ref="G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Asesor'!E1139, "")
</f>
        <v/>
      </c>
      <c r="H1139" s="84" t="str">
        <f t="array" ref="H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Asesor'!F1139, "")
</f>
        <v/>
      </c>
      <c r="I1139" s="84" t="str">
        <f t="array" ref="I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Asesor'!G1139, "")
</f>
        <v/>
      </c>
      <c r="J1139" s="84" t="str">
        <f t="array" ref="J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Asesor'!H1139, "")
</f>
        <v/>
      </c>
      <c r="K1139" s="84" t="str">
        <f t="array" ref="K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Asesor'!K1139, "")
</f>
        <v/>
      </c>
      <c r="L1139" s="84" t="str">
        <f t="array" ref="L1139">IF(OR(
    AND('BD Asesor'!H1139="Mensual", MATCH($B$2, {"Enero", "Febrero", "Marzo", "Abril", "Mayo", "Junio", "Julio", "Agosto", "Septiembre", "Octubre", "Noviembre", "Diciembre"}, 0)&gt;=1),
    AND('BD Asesor'!H1139="Trimestral", MOD(MATCH($B$2, {"Enero", "Febrero", "Marzo", "Abril", "Mayo", "Junio", "Julio", "Agosto", "Septiembre", "Octubre", "Noviembre"}, 0)-MONTH('BD Asesor'!D1139), 3)=0),
    AND('BD Asesor'!H1139="Semestral", MOD(MATCH($B$2, {"Enero", "Febrero", "Marzo", "Abril", "Mayo", "Junio", "Julio", "Agosto", "Septiembre", "Octubre", "Noviembre"}, 0)-MONTH('BD Asesor'!D1139), 6)=0),
    AND('BD Asesor'!H1139="Anual", MONTH('BD Asesor'!D1139)=MATCH($B$2, {"Enero", "Febrero", "Marzo", "Abril", "Mayo", "Junio", "Julio", "Agosto", "Septiembre", "Octubre", "Noviembre"}, 0))
), 'BD Asesor'!L1139, "")
</f>
        <v/>
      </c>
    </row>
    <row r="1140">
      <c r="C1140" s="84" t="str">
        <f t="array" ref="C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Asesor'!A1140, "")
</f>
        <v/>
      </c>
      <c r="D1140" s="84" t="str">
        <f t="array" ref="D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Asesor'!B1140, "")
</f>
        <v/>
      </c>
      <c r="E1140" s="212" t="str">
        <f t="array" ref="E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Asesor'!C1140, "")
</f>
        <v/>
      </c>
      <c r="F1140" s="212" t="str">
        <f t="array" ref="F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Asesor'!D1140, "")
</f>
        <v/>
      </c>
      <c r="G1140" s="212" t="str">
        <f t="array" ref="G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Asesor'!E1140, "")
</f>
        <v/>
      </c>
      <c r="H1140" s="84" t="str">
        <f t="array" ref="H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Asesor'!F1140, "")
</f>
        <v/>
      </c>
      <c r="I1140" s="84" t="str">
        <f t="array" ref="I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Asesor'!G1140, "")
</f>
        <v/>
      </c>
      <c r="J1140" s="84" t="str">
        <f t="array" ref="J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Asesor'!H1140, "")
</f>
        <v/>
      </c>
      <c r="K1140" s="84" t="str">
        <f t="array" ref="K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Asesor'!K1140, "")
</f>
        <v/>
      </c>
      <c r="L1140" s="84" t="str">
        <f t="array" ref="L1140">IF(OR(
    AND('BD Asesor'!H1140="Mensual", MATCH($B$2, {"Enero", "Febrero", "Marzo", "Abril", "Mayo", "Junio", "Julio", "Agosto", "Septiembre", "Octubre", "Noviembre", "Diciembre"}, 0)&gt;=1),
    AND('BD Asesor'!H1140="Trimestral", MOD(MATCH($B$2, {"Enero", "Febrero", "Marzo", "Abril", "Mayo", "Junio", "Julio", "Agosto", "Septiembre", "Octubre", "Noviembre"}, 0)-MONTH('BD Asesor'!D1140), 3)=0),
    AND('BD Asesor'!H1140="Semestral", MOD(MATCH($B$2, {"Enero", "Febrero", "Marzo", "Abril", "Mayo", "Junio", "Julio", "Agosto", "Septiembre", "Octubre", "Noviembre"}, 0)-MONTH('BD Asesor'!D1140), 6)=0),
    AND('BD Asesor'!H1140="Anual", MONTH('BD Asesor'!D1140)=MATCH($B$2, {"Enero", "Febrero", "Marzo", "Abril", "Mayo", "Junio", "Julio", "Agosto", "Septiembre", "Octubre", "Noviembre"}, 0))
), 'BD Asesor'!L1140, "")
</f>
        <v/>
      </c>
    </row>
    <row r="1141">
      <c r="C1141" s="84" t="str">
        <f t="array" ref="C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Asesor'!A1141, "")
</f>
        <v/>
      </c>
      <c r="D1141" s="84" t="str">
        <f t="array" ref="D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Asesor'!B1141, "")
</f>
        <v/>
      </c>
      <c r="E1141" s="212" t="str">
        <f t="array" ref="E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Asesor'!C1141, "")
</f>
        <v/>
      </c>
      <c r="F1141" s="212" t="str">
        <f t="array" ref="F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Asesor'!D1141, "")
</f>
        <v/>
      </c>
      <c r="G1141" s="212" t="str">
        <f t="array" ref="G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Asesor'!E1141, "")
</f>
        <v/>
      </c>
      <c r="H1141" s="84" t="str">
        <f t="array" ref="H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Asesor'!F1141, "")
</f>
        <v/>
      </c>
      <c r="I1141" s="84" t="str">
        <f t="array" ref="I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Asesor'!G1141, "")
</f>
        <v/>
      </c>
      <c r="J1141" s="84" t="str">
        <f t="array" ref="J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Asesor'!H1141, "")
</f>
        <v/>
      </c>
      <c r="K1141" s="84" t="str">
        <f t="array" ref="K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Asesor'!K1141, "")
</f>
        <v/>
      </c>
      <c r="L1141" s="84" t="str">
        <f t="array" ref="L1141">IF(OR(
    AND('BD Asesor'!H1141="Mensual", MATCH($B$2, {"Enero", "Febrero", "Marzo", "Abril", "Mayo", "Junio", "Julio", "Agosto", "Septiembre", "Octubre", "Noviembre", "Diciembre"}, 0)&gt;=1),
    AND('BD Asesor'!H1141="Trimestral", MOD(MATCH($B$2, {"Enero", "Febrero", "Marzo", "Abril", "Mayo", "Junio", "Julio", "Agosto", "Septiembre", "Octubre", "Noviembre"}, 0)-MONTH('BD Asesor'!D1141), 3)=0),
    AND('BD Asesor'!H1141="Semestral", MOD(MATCH($B$2, {"Enero", "Febrero", "Marzo", "Abril", "Mayo", "Junio", "Julio", "Agosto", "Septiembre", "Octubre", "Noviembre"}, 0)-MONTH('BD Asesor'!D1141), 6)=0),
    AND('BD Asesor'!H1141="Anual", MONTH('BD Asesor'!D1141)=MATCH($B$2, {"Enero", "Febrero", "Marzo", "Abril", "Mayo", "Junio", "Julio", "Agosto", "Septiembre", "Octubre", "Noviembre"}, 0))
), 'BD Asesor'!L1141, "")
</f>
        <v/>
      </c>
    </row>
    <row r="1142">
      <c r="C1142" s="84" t="str">
        <f t="array" ref="C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Asesor'!A1142, "")
</f>
        <v/>
      </c>
      <c r="D1142" s="84" t="str">
        <f t="array" ref="D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Asesor'!B1142, "")
</f>
        <v/>
      </c>
      <c r="E1142" s="212" t="str">
        <f t="array" ref="E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Asesor'!C1142, "")
</f>
        <v/>
      </c>
      <c r="F1142" s="212" t="str">
        <f t="array" ref="F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Asesor'!D1142, "")
</f>
        <v/>
      </c>
      <c r="G1142" s="212" t="str">
        <f t="array" ref="G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Asesor'!E1142, "")
</f>
        <v/>
      </c>
      <c r="H1142" s="84" t="str">
        <f t="array" ref="H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Asesor'!F1142, "")
</f>
        <v/>
      </c>
      <c r="I1142" s="84" t="str">
        <f t="array" ref="I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Asesor'!G1142, "")
</f>
        <v/>
      </c>
      <c r="J1142" s="84" t="str">
        <f t="array" ref="J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Asesor'!H1142, "")
</f>
        <v/>
      </c>
      <c r="K1142" s="84" t="str">
        <f t="array" ref="K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Asesor'!K1142, "")
</f>
        <v/>
      </c>
      <c r="L1142" s="84" t="str">
        <f t="array" ref="L1142">IF(OR(
    AND('BD Asesor'!H1142="Mensual", MATCH($B$2, {"Enero", "Febrero", "Marzo", "Abril", "Mayo", "Junio", "Julio", "Agosto", "Septiembre", "Octubre", "Noviembre", "Diciembre"}, 0)&gt;=1),
    AND('BD Asesor'!H1142="Trimestral", MOD(MATCH($B$2, {"Enero", "Febrero", "Marzo", "Abril", "Mayo", "Junio", "Julio", "Agosto", "Septiembre", "Octubre", "Noviembre"}, 0)-MONTH('BD Asesor'!D1142), 3)=0),
    AND('BD Asesor'!H1142="Semestral", MOD(MATCH($B$2, {"Enero", "Febrero", "Marzo", "Abril", "Mayo", "Junio", "Julio", "Agosto", "Septiembre", "Octubre", "Noviembre"}, 0)-MONTH('BD Asesor'!D1142), 6)=0),
    AND('BD Asesor'!H1142="Anual", MONTH('BD Asesor'!D1142)=MATCH($B$2, {"Enero", "Febrero", "Marzo", "Abril", "Mayo", "Junio", "Julio", "Agosto", "Septiembre", "Octubre", "Noviembre"}, 0))
), 'BD Asesor'!L1142, "")
</f>
        <v/>
      </c>
    </row>
    <row r="1143">
      <c r="C1143" s="84" t="str">
        <f t="array" ref="C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Asesor'!A1143, "")
</f>
        <v/>
      </c>
      <c r="D1143" s="84" t="str">
        <f t="array" ref="D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Asesor'!B1143, "")
</f>
        <v/>
      </c>
      <c r="E1143" s="212" t="str">
        <f t="array" ref="E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Asesor'!C1143, "")
</f>
        <v/>
      </c>
      <c r="F1143" s="212" t="str">
        <f t="array" ref="F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Asesor'!D1143, "")
</f>
        <v/>
      </c>
      <c r="G1143" s="212" t="str">
        <f t="array" ref="G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Asesor'!E1143, "")
</f>
        <v/>
      </c>
      <c r="H1143" s="84" t="str">
        <f t="array" ref="H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Asesor'!F1143, "")
</f>
        <v/>
      </c>
      <c r="I1143" s="84" t="str">
        <f t="array" ref="I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Asesor'!G1143, "")
</f>
        <v/>
      </c>
      <c r="J1143" s="84" t="str">
        <f t="array" ref="J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Asesor'!H1143, "")
</f>
        <v/>
      </c>
      <c r="K1143" s="84" t="str">
        <f t="array" ref="K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Asesor'!K1143, "")
</f>
        <v/>
      </c>
      <c r="L1143" s="84" t="str">
        <f t="array" ref="L1143">IF(OR(
    AND('BD Asesor'!H1143="Mensual", MATCH($B$2, {"Enero", "Febrero", "Marzo", "Abril", "Mayo", "Junio", "Julio", "Agosto", "Septiembre", "Octubre", "Noviembre", "Diciembre"}, 0)&gt;=1),
    AND('BD Asesor'!H1143="Trimestral", MOD(MATCH($B$2, {"Enero", "Febrero", "Marzo", "Abril", "Mayo", "Junio", "Julio", "Agosto", "Septiembre", "Octubre", "Noviembre"}, 0)-MONTH('BD Asesor'!D1143), 3)=0),
    AND('BD Asesor'!H1143="Semestral", MOD(MATCH($B$2, {"Enero", "Febrero", "Marzo", "Abril", "Mayo", "Junio", "Julio", "Agosto", "Septiembre", "Octubre", "Noviembre"}, 0)-MONTH('BD Asesor'!D1143), 6)=0),
    AND('BD Asesor'!H1143="Anual", MONTH('BD Asesor'!D1143)=MATCH($B$2, {"Enero", "Febrero", "Marzo", "Abril", "Mayo", "Junio", "Julio", "Agosto", "Septiembre", "Octubre", "Noviembre"}, 0))
), 'BD Asesor'!L1143, "")
</f>
        <v/>
      </c>
    </row>
    <row r="1144">
      <c r="C1144" s="84" t="str">
        <f t="array" ref="C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Asesor'!A1144, "")
</f>
        <v/>
      </c>
      <c r="D1144" s="84" t="str">
        <f t="array" ref="D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Asesor'!B1144, "")
</f>
        <v/>
      </c>
      <c r="E1144" s="212" t="str">
        <f t="array" ref="E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Asesor'!C1144, "")
</f>
        <v/>
      </c>
      <c r="F1144" s="212" t="str">
        <f t="array" ref="F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Asesor'!D1144, "")
</f>
        <v/>
      </c>
      <c r="G1144" s="212" t="str">
        <f t="array" ref="G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Asesor'!E1144, "")
</f>
        <v/>
      </c>
      <c r="H1144" s="84" t="str">
        <f t="array" ref="H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Asesor'!F1144, "")
</f>
        <v/>
      </c>
      <c r="I1144" s="84" t="str">
        <f t="array" ref="I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Asesor'!G1144, "")
</f>
        <v/>
      </c>
      <c r="J1144" s="84" t="str">
        <f t="array" ref="J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Asesor'!H1144, "")
</f>
        <v/>
      </c>
      <c r="K1144" s="84" t="str">
        <f t="array" ref="K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Asesor'!K1144, "")
</f>
        <v/>
      </c>
      <c r="L1144" s="84" t="str">
        <f t="array" ref="L1144">IF(OR(
    AND('BD Asesor'!H1144="Mensual", MATCH($B$2, {"Enero", "Febrero", "Marzo", "Abril", "Mayo", "Junio", "Julio", "Agosto", "Septiembre", "Octubre", "Noviembre", "Diciembre"}, 0)&gt;=1),
    AND('BD Asesor'!H1144="Trimestral", MOD(MATCH($B$2, {"Enero", "Febrero", "Marzo", "Abril", "Mayo", "Junio", "Julio", "Agosto", "Septiembre", "Octubre", "Noviembre"}, 0)-MONTH('BD Asesor'!D1144), 3)=0),
    AND('BD Asesor'!H1144="Semestral", MOD(MATCH($B$2, {"Enero", "Febrero", "Marzo", "Abril", "Mayo", "Junio", "Julio", "Agosto", "Septiembre", "Octubre", "Noviembre"}, 0)-MONTH('BD Asesor'!D1144), 6)=0),
    AND('BD Asesor'!H1144="Anual", MONTH('BD Asesor'!D1144)=MATCH($B$2, {"Enero", "Febrero", "Marzo", "Abril", "Mayo", "Junio", "Julio", "Agosto", "Septiembre", "Octubre", "Noviembre"}, 0))
), 'BD Asesor'!L1144, "")
</f>
        <v/>
      </c>
    </row>
    <row r="1145">
      <c r="C1145" s="84" t="str">
        <f t="array" ref="C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Asesor'!A1145, "")
</f>
        <v/>
      </c>
      <c r="D1145" s="84" t="str">
        <f t="array" ref="D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Asesor'!B1145, "")
</f>
        <v/>
      </c>
      <c r="E1145" s="212" t="str">
        <f t="array" ref="E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Asesor'!C1145, "")
</f>
        <v/>
      </c>
      <c r="F1145" s="212" t="str">
        <f t="array" ref="F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Asesor'!D1145, "")
</f>
        <v/>
      </c>
      <c r="G1145" s="212" t="str">
        <f t="array" ref="G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Asesor'!E1145, "")
</f>
        <v/>
      </c>
      <c r="H1145" s="84" t="str">
        <f t="array" ref="H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Asesor'!F1145, "")
</f>
        <v/>
      </c>
      <c r="I1145" s="84" t="str">
        <f t="array" ref="I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Asesor'!G1145, "")
</f>
        <v/>
      </c>
      <c r="J1145" s="84" t="str">
        <f t="array" ref="J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Asesor'!H1145, "")
</f>
        <v/>
      </c>
      <c r="K1145" s="84" t="str">
        <f t="array" ref="K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Asesor'!K1145, "")
</f>
        <v/>
      </c>
      <c r="L1145" s="84" t="str">
        <f t="array" ref="L1145">IF(OR(
    AND('BD Asesor'!H1145="Mensual", MATCH($B$2, {"Enero", "Febrero", "Marzo", "Abril", "Mayo", "Junio", "Julio", "Agosto", "Septiembre", "Octubre", "Noviembre", "Diciembre"}, 0)&gt;=1),
    AND('BD Asesor'!H1145="Trimestral", MOD(MATCH($B$2, {"Enero", "Febrero", "Marzo", "Abril", "Mayo", "Junio", "Julio", "Agosto", "Septiembre", "Octubre", "Noviembre"}, 0)-MONTH('BD Asesor'!D1145), 3)=0),
    AND('BD Asesor'!H1145="Semestral", MOD(MATCH($B$2, {"Enero", "Febrero", "Marzo", "Abril", "Mayo", "Junio", "Julio", "Agosto", "Septiembre", "Octubre", "Noviembre"}, 0)-MONTH('BD Asesor'!D1145), 6)=0),
    AND('BD Asesor'!H1145="Anual", MONTH('BD Asesor'!D1145)=MATCH($B$2, {"Enero", "Febrero", "Marzo", "Abril", "Mayo", "Junio", "Julio", "Agosto", "Septiembre", "Octubre", "Noviembre"}, 0))
), 'BD Asesor'!L1145, "")
</f>
        <v/>
      </c>
    </row>
    <row r="1146">
      <c r="C1146" s="84" t="str">
        <f t="array" ref="C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Asesor'!A1146, "")
</f>
        <v/>
      </c>
      <c r="D1146" s="84" t="str">
        <f t="array" ref="D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Asesor'!B1146, "")
</f>
        <v/>
      </c>
      <c r="E1146" s="212" t="str">
        <f t="array" ref="E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Asesor'!C1146, "")
</f>
        <v/>
      </c>
      <c r="F1146" s="212" t="str">
        <f t="array" ref="F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Asesor'!D1146, "")
</f>
        <v/>
      </c>
      <c r="G1146" s="212" t="str">
        <f t="array" ref="G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Asesor'!E1146, "")
</f>
        <v/>
      </c>
      <c r="H1146" s="84" t="str">
        <f t="array" ref="H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Asesor'!F1146, "")
</f>
        <v/>
      </c>
      <c r="I1146" s="84" t="str">
        <f t="array" ref="I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Asesor'!G1146, "")
</f>
        <v/>
      </c>
      <c r="J1146" s="84" t="str">
        <f t="array" ref="J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Asesor'!H1146, "")
</f>
        <v/>
      </c>
      <c r="K1146" s="84" t="str">
        <f t="array" ref="K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Asesor'!K1146, "")
</f>
        <v/>
      </c>
      <c r="L1146" s="84" t="str">
        <f t="array" ref="L1146">IF(OR(
    AND('BD Asesor'!H1146="Mensual", MATCH($B$2, {"Enero", "Febrero", "Marzo", "Abril", "Mayo", "Junio", "Julio", "Agosto", "Septiembre", "Octubre", "Noviembre", "Diciembre"}, 0)&gt;=1),
    AND('BD Asesor'!H1146="Trimestral", MOD(MATCH($B$2, {"Enero", "Febrero", "Marzo", "Abril", "Mayo", "Junio", "Julio", "Agosto", "Septiembre", "Octubre", "Noviembre"}, 0)-MONTH('BD Asesor'!D1146), 3)=0),
    AND('BD Asesor'!H1146="Semestral", MOD(MATCH($B$2, {"Enero", "Febrero", "Marzo", "Abril", "Mayo", "Junio", "Julio", "Agosto", "Septiembre", "Octubre", "Noviembre"}, 0)-MONTH('BD Asesor'!D1146), 6)=0),
    AND('BD Asesor'!H1146="Anual", MONTH('BD Asesor'!D1146)=MATCH($B$2, {"Enero", "Febrero", "Marzo", "Abril", "Mayo", "Junio", "Julio", "Agosto", "Septiembre", "Octubre", "Noviembre"}, 0))
), 'BD Asesor'!L1146, "")
</f>
        <v/>
      </c>
    </row>
    <row r="1147">
      <c r="C1147" s="84" t="str">
        <f t="array" ref="C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Asesor'!A1147, "")
</f>
        <v/>
      </c>
      <c r="D1147" s="84" t="str">
        <f t="array" ref="D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Asesor'!B1147, "")
</f>
        <v/>
      </c>
      <c r="E1147" s="212" t="str">
        <f t="array" ref="E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Asesor'!C1147, "")
</f>
        <v/>
      </c>
      <c r="F1147" s="212" t="str">
        <f t="array" ref="F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Asesor'!D1147, "")
</f>
        <v/>
      </c>
      <c r="G1147" s="212" t="str">
        <f t="array" ref="G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Asesor'!E1147, "")
</f>
        <v/>
      </c>
      <c r="H1147" s="84" t="str">
        <f t="array" ref="H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Asesor'!F1147, "")
</f>
        <v/>
      </c>
      <c r="I1147" s="84" t="str">
        <f t="array" ref="I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Asesor'!G1147, "")
</f>
        <v/>
      </c>
      <c r="J1147" s="84" t="str">
        <f t="array" ref="J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Asesor'!H1147, "")
</f>
        <v/>
      </c>
      <c r="K1147" s="84" t="str">
        <f t="array" ref="K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Asesor'!K1147, "")
</f>
        <v/>
      </c>
      <c r="L1147" s="84" t="str">
        <f t="array" ref="L1147">IF(OR(
    AND('BD Asesor'!H1147="Mensual", MATCH($B$2, {"Enero", "Febrero", "Marzo", "Abril", "Mayo", "Junio", "Julio", "Agosto", "Septiembre", "Octubre", "Noviembre", "Diciembre"}, 0)&gt;=1),
    AND('BD Asesor'!H1147="Trimestral", MOD(MATCH($B$2, {"Enero", "Febrero", "Marzo", "Abril", "Mayo", "Junio", "Julio", "Agosto", "Septiembre", "Octubre", "Noviembre"}, 0)-MONTH('BD Asesor'!D1147), 3)=0),
    AND('BD Asesor'!H1147="Semestral", MOD(MATCH($B$2, {"Enero", "Febrero", "Marzo", "Abril", "Mayo", "Junio", "Julio", "Agosto", "Septiembre", "Octubre", "Noviembre"}, 0)-MONTH('BD Asesor'!D1147), 6)=0),
    AND('BD Asesor'!H1147="Anual", MONTH('BD Asesor'!D1147)=MATCH($B$2, {"Enero", "Febrero", "Marzo", "Abril", "Mayo", "Junio", "Julio", "Agosto", "Septiembre", "Octubre", "Noviembre"}, 0))
), 'BD Asesor'!L1147, "")
</f>
        <v/>
      </c>
    </row>
    <row r="1148">
      <c r="C1148" s="84" t="str">
        <f t="array" ref="C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Asesor'!A1148, "")
</f>
        <v/>
      </c>
      <c r="D1148" s="84" t="str">
        <f t="array" ref="D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Asesor'!B1148, "")
</f>
        <v/>
      </c>
      <c r="E1148" s="212" t="str">
        <f t="array" ref="E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Asesor'!C1148, "")
</f>
        <v/>
      </c>
      <c r="F1148" s="212" t="str">
        <f t="array" ref="F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Asesor'!D1148, "")
</f>
        <v/>
      </c>
      <c r="G1148" s="212" t="str">
        <f t="array" ref="G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Asesor'!E1148, "")
</f>
        <v/>
      </c>
      <c r="H1148" s="84" t="str">
        <f t="array" ref="H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Asesor'!F1148, "")
</f>
        <v/>
      </c>
      <c r="I1148" s="84" t="str">
        <f t="array" ref="I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Asesor'!G1148, "")
</f>
        <v/>
      </c>
      <c r="J1148" s="84" t="str">
        <f t="array" ref="J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Asesor'!H1148, "")
</f>
        <v/>
      </c>
      <c r="K1148" s="84" t="str">
        <f t="array" ref="K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Asesor'!K1148, "")
</f>
        <v/>
      </c>
      <c r="L1148" s="84" t="str">
        <f t="array" ref="L1148">IF(OR(
    AND('BD Asesor'!H1148="Mensual", MATCH($B$2, {"Enero", "Febrero", "Marzo", "Abril", "Mayo", "Junio", "Julio", "Agosto", "Septiembre", "Octubre", "Noviembre", "Diciembre"}, 0)&gt;=1),
    AND('BD Asesor'!H1148="Trimestral", MOD(MATCH($B$2, {"Enero", "Febrero", "Marzo", "Abril", "Mayo", "Junio", "Julio", "Agosto", "Septiembre", "Octubre", "Noviembre"}, 0)-MONTH('BD Asesor'!D1148), 3)=0),
    AND('BD Asesor'!H1148="Semestral", MOD(MATCH($B$2, {"Enero", "Febrero", "Marzo", "Abril", "Mayo", "Junio", "Julio", "Agosto", "Septiembre", "Octubre", "Noviembre"}, 0)-MONTH('BD Asesor'!D1148), 6)=0),
    AND('BD Asesor'!H1148="Anual", MONTH('BD Asesor'!D1148)=MATCH($B$2, {"Enero", "Febrero", "Marzo", "Abril", "Mayo", "Junio", "Julio", "Agosto", "Septiembre", "Octubre", "Noviembre"}, 0))
), 'BD Asesor'!L1148, "")
</f>
        <v/>
      </c>
    </row>
    <row r="1149">
      <c r="C1149" s="84" t="str">
        <f t="array" ref="C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Asesor'!A1149, "")
</f>
        <v/>
      </c>
      <c r="D1149" s="84" t="str">
        <f t="array" ref="D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Asesor'!B1149, "")
</f>
        <v/>
      </c>
      <c r="E1149" s="212" t="str">
        <f t="array" ref="E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Asesor'!C1149, "")
</f>
        <v/>
      </c>
      <c r="F1149" s="212" t="str">
        <f t="array" ref="F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Asesor'!D1149, "")
</f>
        <v/>
      </c>
      <c r="G1149" s="212" t="str">
        <f t="array" ref="G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Asesor'!E1149, "")
</f>
        <v/>
      </c>
      <c r="H1149" s="84" t="str">
        <f t="array" ref="H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Asesor'!F1149, "")
</f>
        <v/>
      </c>
      <c r="I1149" s="84" t="str">
        <f t="array" ref="I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Asesor'!G1149, "")
</f>
        <v/>
      </c>
      <c r="J1149" s="84" t="str">
        <f t="array" ref="J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Asesor'!H1149, "")
</f>
        <v/>
      </c>
      <c r="K1149" s="84" t="str">
        <f t="array" ref="K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Asesor'!K1149, "")
</f>
        <v/>
      </c>
      <c r="L1149" s="84" t="str">
        <f t="array" ref="L1149">IF(OR(
    AND('BD Asesor'!H1149="Mensual", MATCH($B$2, {"Enero", "Febrero", "Marzo", "Abril", "Mayo", "Junio", "Julio", "Agosto", "Septiembre", "Octubre", "Noviembre", "Diciembre"}, 0)&gt;=1),
    AND('BD Asesor'!H1149="Trimestral", MOD(MATCH($B$2, {"Enero", "Febrero", "Marzo", "Abril", "Mayo", "Junio", "Julio", "Agosto", "Septiembre", "Octubre", "Noviembre"}, 0)-MONTH('BD Asesor'!D1149), 3)=0),
    AND('BD Asesor'!H1149="Semestral", MOD(MATCH($B$2, {"Enero", "Febrero", "Marzo", "Abril", "Mayo", "Junio", "Julio", "Agosto", "Septiembre", "Octubre", "Noviembre"}, 0)-MONTH('BD Asesor'!D1149), 6)=0),
    AND('BD Asesor'!H1149="Anual", MONTH('BD Asesor'!D1149)=MATCH($B$2, {"Enero", "Febrero", "Marzo", "Abril", "Mayo", "Junio", "Julio", "Agosto", "Septiembre", "Octubre", "Noviembre"}, 0))
), 'BD Asesor'!L1149, "")
</f>
        <v/>
      </c>
    </row>
    <row r="1150">
      <c r="C1150" s="84" t="str">
        <f t="array" ref="C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Asesor'!A1150, "")
</f>
        <v/>
      </c>
      <c r="D1150" s="84" t="str">
        <f t="array" ref="D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Asesor'!B1150, "")
</f>
        <v/>
      </c>
      <c r="E1150" s="212" t="str">
        <f t="array" ref="E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Asesor'!C1150, "")
</f>
        <v/>
      </c>
      <c r="F1150" s="212" t="str">
        <f t="array" ref="F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Asesor'!D1150, "")
</f>
        <v/>
      </c>
      <c r="G1150" s="212" t="str">
        <f t="array" ref="G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Asesor'!E1150, "")
</f>
        <v/>
      </c>
      <c r="H1150" s="84" t="str">
        <f t="array" ref="H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Asesor'!F1150, "")
</f>
        <v/>
      </c>
      <c r="I1150" s="84" t="str">
        <f t="array" ref="I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Asesor'!G1150, "")
</f>
        <v/>
      </c>
      <c r="J1150" s="84" t="str">
        <f t="array" ref="J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Asesor'!H1150, "")
</f>
        <v/>
      </c>
      <c r="K1150" s="84" t="str">
        <f t="array" ref="K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Asesor'!K1150, "")
</f>
        <v/>
      </c>
      <c r="L1150" s="84" t="str">
        <f t="array" ref="L1150">IF(OR(
    AND('BD Asesor'!H1150="Mensual", MATCH($B$2, {"Enero", "Febrero", "Marzo", "Abril", "Mayo", "Junio", "Julio", "Agosto", "Septiembre", "Octubre", "Noviembre", "Diciembre"}, 0)&gt;=1),
    AND('BD Asesor'!H1150="Trimestral", MOD(MATCH($B$2, {"Enero", "Febrero", "Marzo", "Abril", "Mayo", "Junio", "Julio", "Agosto", "Septiembre", "Octubre", "Noviembre"}, 0)-MONTH('BD Asesor'!D1150), 3)=0),
    AND('BD Asesor'!H1150="Semestral", MOD(MATCH($B$2, {"Enero", "Febrero", "Marzo", "Abril", "Mayo", "Junio", "Julio", "Agosto", "Septiembre", "Octubre", "Noviembre"}, 0)-MONTH('BD Asesor'!D1150), 6)=0),
    AND('BD Asesor'!H1150="Anual", MONTH('BD Asesor'!D1150)=MATCH($B$2, {"Enero", "Febrero", "Marzo", "Abril", "Mayo", "Junio", "Julio", "Agosto", "Septiembre", "Octubre", "Noviembre"}, 0))
), 'BD Asesor'!L1150, "")
</f>
        <v/>
      </c>
    </row>
    <row r="1151">
      <c r="C1151" s="84" t="str">
        <f t="array" ref="C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Asesor'!A1151, "")
</f>
        <v/>
      </c>
      <c r="D1151" s="84" t="str">
        <f t="array" ref="D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Asesor'!B1151, "")
</f>
        <v/>
      </c>
      <c r="E1151" s="212" t="str">
        <f t="array" ref="E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Asesor'!C1151, "")
</f>
        <v/>
      </c>
      <c r="F1151" s="212" t="str">
        <f t="array" ref="F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Asesor'!D1151, "")
</f>
        <v/>
      </c>
      <c r="G1151" s="212" t="str">
        <f t="array" ref="G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Asesor'!E1151, "")
</f>
        <v/>
      </c>
      <c r="H1151" s="84" t="str">
        <f t="array" ref="H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Asesor'!F1151, "")
</f>
        <v/>
      </c>
      <c r="I1151" s="84" t="str">
        <f t="array" ref="I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Asesor'!G1151, "")
</f>
        <v/>
      </c>
      <c r="J1151" s="84" t="str">
        <f t="array" ref="J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Asesor'!H1151, "")
</f>
        <v/>
      </c>
      <c r="K1151" s="84" t="str">
        <f t="array" ref="K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Asesor'!K1151, "")
</f>
        <v/>
      </c>
      <c r="L1151" s="84" t="str">
        <f t="array" ref="L1151">IF(OR(
    AND('BD Asesor'!H1151="Mensual", MATCH($B$2, {"Enero", "Febrero", "Marzo", "Abril", "Mayo", "Junio", "Julio", "Agosto", "Septiembre", "Octubre", "Noviembre", "Diciembre"}, 0)&gt;=1),
    AND('BD Asesor'!H1151="Trimestral", MOD(MATCH($B$2, {"Enero", "Febrero", "Marzo", "Abril", "Mayo", "Junio", "Julio", "Agosto", "Septiembre", "Octubre", "Noviembre"}, 0)-MONTH('BD Asesor'!D1151), 3)=0),
    AND('BD Asesor'!H1151="Semestral", MOD(MATCH($B$2, {"Enero", "Febrero", "Marzo", "Abril", "Mayo", "Junio", "Julio", "Agosto", "Septiembre", "Octubre", "Noviembre"}, 0)-MONTH('BD Asesor'!D1151), 6)=0),
    AND('BD Asesor'!H1151="Anual", MONTH('BD Asesor'!D1151)=MATCH($B$2, {"Enero", "Febrero", "Marzo", "Abril", "Mayo", "Junio", "Julio", "Agosto", "Septiembre", "Octubre", "Noviembre"}, 0))
), 'BD Asesor'!L1151, "")
</f>
        <v/>
      </c>
    </row>
    <row r="1152">
      <c r="C1152" s="84" t="str">
        <f t="array" ref="C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Asesor'!A1152, "")
</f>
        <v/>
      </c>
      <c r="D1152" s="84" t="str">
        <f t="array" ref="D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Asesor'!B1152, "")
</f>
        <v/>
      </c>
      <c r="E1152" s="212" t="str">
        <f t="array" ref="E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Asesor'!C1152, "")
</f>
        <v/>
      </c>
      <c r="F1152" s="212" t="str">
        <f t="array" ref="F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Asesor'!D1152, "")
</f>
        <v/>
      </c>
      <c r="G1152" s="212" t="str">
        <f t="array" ref="G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Asesor'!E1152, "")
</f>
        <v/>
      </c>
      <c r="H1152" s="84" t="str">
        <f t="array" ref="H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Asesor'!F1152, "")
</f>
        <v/>
      </c>
      <c r="I1152" s="84" t="str">
        <f t="array" ref="I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Asesor'!G1152, "")
</f>
        <v/>
      </c>
      <c r="J1152" s="84" t="str">
        <f t="array" ref="J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Asesor'!H1152, "")
</f>
        <v/>
      </c>
      <c r="K1152" s="84" t="str">
        <f t="array" ref="K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Asesor'!K1152, "")
</f>
        <v/>
      </c>
      <c r="L1152" s="84" t="str">
        <f t="array" ref="L1152">IF(OR(
    AND('BD Asesor'!H1152="Mensual", MATCH($B$2, {"Enero", "Febrero", "Marzo", "Abril", "Mayo", "Junio", "Julio", "Agosto", "Septiembre", "Octubre", "Noviembre", "Diciembre"}, 0)&gt;=1),
    AND('BD Asesor'!H1152="Trimestral", MOD(MATCH($B$2, {"Enero", "Febrero", "Marzo", "Abril", "Mayo", "Junio", "Julio", "Agosto", "Septiembre", "Octubre", "Noviembre"}, 0)-MONTH('BD Asesor'!D1152), 3)=0),
    AND('BD Asesor'!H1152="Semestral", MOD(MATCH($B$2, {"Enero", "Febrero", "Marzo", "Abril", "Mayo", "Junio", "Julio", "Agosto", "Septiembre", "Octubre", "Noviembre"}, 0)-MONTH('BD Asesor'!D1152), 6)=0),
    AND('BD Asesor'!H1152="Anual", MONTH('BD Asesor'!D1152)=MATCH($B$2, {"Enero", "Febrero", "Marzo", "Abril", "Mayo", "Junio", "Julio", "Agosto", "Septiembre", "Octubre", "Noviembre"}, 0))
), 'BD Asesor'!L1152, "")
</f>
        <v/>
      </c>
    </row>
    <row r="1153">
      <c r="C1153" s="84" t="str">
        <f t="array" ref="C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Asesor'!A1153, "")
</f>
        <v/>
      </c>
      <c r="D1153" s="84" t="str">
        <f t="array" ref="D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Asesor'!B1153, "")
</f>
        <v/>
      </c>
      <c r="E1153" s="212" t="str">
        <f t="array" ref="E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Asesor'!C1153, "")
</f>
        <v/>
      </c>
      <c r="F1153" s="212" t="str">
        <f t="array" ref="F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Asesor'!D1153, "")
</f>
        <v/>
      </c>
      <c r="G1153" s="212" t="str">
        <f t="array" ref="G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Asesor'!E1153, "")
</f>
        <v/>
      </c>
      <c r="H1153" s="84" t="str">
        <f t="array" ref="H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Asesor'!F1153, "")
</f>
        <v/>
      </c>
      <c r="I1153" s="84" t="str">
        <f t="array" ref="I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Asesor'!G1153, "")
</f>
        <v/>
      </c>
      <c r="J1153" s="84" t="str">
        <f t="array" ref="J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Asesor'!H1153, "")
</f>
        <v/>
      </c>
      <c r="K1153" s="84" t="str">
        <f t="array" ref="K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Asesor'!K1153, "")
</f>
        <v/>
      </c>
      <c r="L1153" s="84" t="str">
        <f t="array" ref="L1153">IF(OR(
    AND('BD Asesor'!H1153="Mensual", MATCH($B$2, {"Enero", "Febrero", "Marzo", "Abril", "Mayo", "Junio", "Julio", "Agosto", "Septiembre", "Octubre", "Noviembre", "Diciembre"}, 0)&gt;=1),
    AND('BD Asesor'!H1153="Trimestral", MOD(MATCH($B$2, {"Enero", "Febrero", "Marzo", "Abril", "Mayo", "Junio", "Julio", "Agosto", "Septiembre", "Octubre", "Noviembre"}, 0)-MONTH('BD Asesor'!D1153), 3)=0),
    AND('BD Asesor'!H1153="Semestral", MOD(MATCH($B$2, {"Enero", "Febrero", "Marzo", "Abril", "Mayo", "Junio", "Julio", "Agosto", "Septiembre", "Octubre", "Noviembre"}, 0)-MONTH('BD Asesor'!D1153), 6)=0),
    AND('BD Asesor'!H1153="Anual", MONTH('BD Asesor'!D1153)=MATCH($B$2, {"Enero", "Febrero", "Marzo", "Abril", "Mayo", "Junio", "Julio", "Agosto", "Septiembre", "Octubre", "Noviembre"}, 0))
), 'BD Asesor'!L1153, "")
</f>
        <v/>
      </c>
    </row>
    <row r="1154">
      <c r="C1154" s="84" t="str">
        <f t="array" ref="C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Asesor'!A1154, "")
</f>
        <v/>
      </c>
      <c r="D1154" s="84" t="str">
        <f t="array" ref="D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Asesor'!B1154, "")
</f>
        <v/>
      </c>
      <c r="E1154" s="212" t="str">
        <f t="array" ref="E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Asesor'!C1154, "")
</f>
        <v/>
      </c>
      <c r="F1154" s="212" t="str">
        <f t="array" ref="F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Asesor'!D1154, "")
</f>
        <v/>
      </c>
      <c r="G1154" s="212" t="str">
        <f t="array" ref="G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Asesor'!E1154, "")
</f>
        <v/>
      </c>
      <c r="H1154" s="84" t="str">
        <f t="array" ref="H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Asesor'!F1154, "")
</f>
        <v/>
      </c>
      <c r="I1154" s="84" t="str">
        <f t="array" ref="I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Asesor'!G1154, "")
</f>
        <v/>
      </c>
      <c r="J1154" s="84" t="str">
        <f t="array" ref="J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Asesor'!H1154, "")
</f>
        <v/>
      </c>
      <c r="K1154" s="84" t="str">
        <f t="array" ref="K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Asesor'!K1154, "")
</f>
        <v/>
      </c>
      <c r="L1154" s="84" t="str">
        <f t="array" ref="L1154">IF(OR(
    AND('BD Asesor'!H1154="Mensual", MATCH($B$2, {"Enero", "Febrero", "Marzo", "Abril", "Mayo", "Junio", "Julio", "Agosto", "Septiembre", "Octubre", "Noviembre", "Diciembre"}, 0)&gt;=1),
    AND('BD Asesor'!H1154="Trimestral", MOD(MATCH($B$2, {"Enero", "Febrero", "Marzo", "Abril", "Mayo", "Junio", "Julio", "Agosto", "Septiembre", "Octubre", "Noviembre"}, 0)-MONTH('BD Asesor'!D1154), 3)=0),
    AND('BD Asesor'!H1154="Semestral", MOD(MATCH($B$2, {"Enero", "Febrero", "Marzo", "Abril", "Mayo", "Junio", "Julio", "Agosto", "Septiembre", "Octubre", "Noviembre"}, 0)-MONTH('BD Asesor'!D1154), 6)=0),
    AND('BD Asesor'!H1154="Anual", MONTH('BD Asesor'!D1154)=MATCH($B$2, {"Enero", "Febrero", "Marzo", "Abril", "Mayo", "Junio", "Julio", "Agosto", "Septiembre", "Octubre", "Noviembre"}, 0))
), 'BD Asesor'!L1154, "")
</f>
        <v/>
      </c>
    </row>
    <row r="1155">
      <c r="C1155" s="84" t="str">
        <f t="array" ref="C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Asesor'!A1155, "")
</f>
        <v/>
      </c>
      <c r="D1155" s="84" t="str">
        <f t="array" ref="D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Asesor'!B1155, "")
</f>
        <v/>
      </c>
      <c r="E1155" s="212" t="str">
        <f t="array" ref="E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Asesor'!C1155, "")
</f>
        <v/>
      </c>
      <c r="F1155" s="212" t="str">
        <f t="array" ref="F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Asesor'!D1155, "")
</f>
        <v/>
      </c>
      <c r="G1155" s="212" t="str">
        <f t="array" ref="G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Asesor'!E1155, "")
</f>
        <v/>
      </c>
      <c r="H1155" s="84" t="str">
        <f t="array" ref="H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Asesor'!F1155, "")
</f>
        <v/>
      </c>
      <c r="I1155" s="84" t="str">
        <f t="array" ref="I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Asesor'!G1155, "")
</f>
        <v/>
      </c>
      <c r="J1155" s="84" t="str">
        <f t="array" ref="J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Asesor'!H1155, "")
</f>
        <v/>
      </c>
      <c r="K1155" s="84" t="str">
        <f t="array" ref="K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Asesor'!K1155, "")
</f>
        <v/>
      </c>
      <c r="L1155" s="84" t="str">
        <f t="array" ref="L1155">IF(OR(
    AND('BD Asesor'!H1155="Mensual", MATCH($B$2, {"Enero", "Febrero", "Marzo", "Abril", "Mayo", "Junio", "Julio", "Agosto", "Septiembre", "Octubre", "Noviembre", "Diciembre"}, 0)&gt;=1),
    AND('BD Asesor'!H1155="Trimestral", MOD(MATCH($B$2, {"Enero", "Febrero", "Marzo", "Abril", "Mayo", "Junio", "Julio", "Agosto", "Septiembre", "Octubre", "Noviembre"}, 0)-MONTH('BD Asesor'!D1155), 3)=0),
    AND('BD Asesor'!H1155="Semestral", MOD(MATCH($B$2, {"Enero", "Febrero", "Marzo", "Abril", "Mayo", "Junio", "Julio", "Agosto", "Septiembre", "Octubre", "Noviembre"}, 0)-MONTH('BD Asesor'!D1155), 6)=0),
    AND('BD Asesor'!H1155="Anual", MONTH('BD Asesor'!D1155)=MATCH($B$2, {"Enero", "Febrero", "Marzo", "Abril", "Mayo", "Junio", "Julio", "Agosto", "Septiembre", "Octubre", "Noviembre"}, 0))
), 'BD Asesor'!L1155, "")
</f>
        <v/>
      </c>
    </row>
    <row r="1156">
      <c r="C1156" s="84" t="str">
        <f t="array" ref="C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Asesor'!A1156, "")
</f>
        <v/>
      </c>
      <c r="D1156" s="84" t="str">
        <f t="array" ref="D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Asesor'!B1156, "")
</f>
        <v/>
      </c>
      <c r="E1156" s="212" t="str">
        <f t="array" ref="E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Asesor'!C1156, "")
</f>
        <v/>
      </c>
      <c r="F1156" s="212" t="str">
        <f t="array" ref="F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Asesor'!D1156, "")
</f>
        <v/>
      </c>
      <c r="G1156" s="212" t="str">
        <f t="array" ref="G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Asesor'!E1156, "")
</f>
        <v/>
      </c>
      <c r="H1156" s="84" t="str">
        <f t="array" ref="H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Asesor'!F1156, "")
</f>
        <v/>
      </c>
      <c r="I1156" s="84" t="str">
        <f t="array" ref="I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Asesor'!G1156, "")
</f>
        <v/>
      </c>
      <c r="J1156" s="84" t="str">
        <f t="array" ref="J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Asesor'!H1156, "")
</f>
        <v/>
      </c>
      <c r="K1156" s="84" t="str">
        <f t="array" ref="K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Asesor'!K1156, "")
</f>
        <v/>
      </c>
      <c r="L1156" s="84" t="str">
        <f t="array" ref="L1156">IF(OR(
    AND('BD Asesor'!H1156="Mensual", MATCH($B$2, {"Enero", "Febrero", "Marzo", "Abril", "Mayo", "Junio", "Julio", "Agosto", "Septiembre", "Octubre", "Noviembre", "Diciembre"}, 0)&gt;=1),
    AND('BD Asesor'!H1156="Trimestral", MOD(MATCH($B$2, {"Enero", "Febrero", "Marzo", "Abril", "Mayo", "Junio", "Julio", "Agosto", "Septiembre", "Octubre", "Noviembre"}, 0)-MONTH('BD Asesor'!D1156), 3)=0),
    AND('BD Asesor'!H1156="Semestral", MOD(MATCH($B$2, {"Enero", "Febrero", "Marzo", "Abril", "Mayo", "Junio", "Julio", "Agosto", "Septiembre", "Octubre", "Noviembre"}, 0)-MONTH('BD Asesor'!D1156), 6)=0),
    AND('BD Asesor'!H1156="Anual", MONTH('BD Asesor'!D1156)=MATCH($B$2, {"Enero", "Febrero", "Marzo", "Abril", "Mayo", "Junio", "Julio", "Agosto", "Septiembre", "Octubre", "Noviembre"}, 0))
), 'BD Asesor'!L1156, "")
</f>
        <v/>
      </c>
    </row>
    <row r="1157">
      <c r="C1157" s="84" t="str">
        <f t="array" ref="C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Asesor'!A1157, "")
</f>
        <v/>
      </c>
      <c r="D1157" s="84" t="str">
        <f t="array" ref="D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Asesor'!B1157, "")
</f>
        <v/>
      </c>
      <c r="E1157" s="212" t="str">
        <f t="array" ref="E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Asesor'!C1157, "")
</f>
        <v/>
      </c>
      <c r="F1157" s="212" t="str">
        <f t="array" ref="F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Asesor'!D1157, "")
</f>
        <v/>
      </c>
      <c r="G1157" s="212" t="str">
        <f t="array" ref="G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Asesor'!E1157, "")
</f>
        <v/>
      </c>
      <c r="H1157" s="84" t="str">
        <f t="array" ref="H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Asesor'!F1157, "")
</f>
        <v/>
      </c>
      <c r="I1157" s="84" t="str">
        <f t="array" ref="I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Asesor'!G1157, "")
</f>
        <v/>
      </c>
      <c r="J1157" s="84" t="str">
        <f t="array" ref="J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Asesor'!H1157, "")
</f>
        <v/>
      </c>
      <c r="K1157" s="84" t="str">
        <f t="array" ref="K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Asesor'!K1157, "")
</f>
        <v/>
      </c>
      <c r="L1157" s="84" t="str">
        <f t="array" ref="L1157">IF(OR(
    AND('BD Asesor'!H1157="Mensual", MATCH($B$2, {"Enero", "Febrero", "Marzo", "Abril", "Mayo", "Junio", "Julio", "Agosto", "Septiembre", "Octubre", "Noviembre", "Diciembre"}, 0)&gt;=1),
    AND('BD Asesor'!H1157="Trimestral", MOD(MATCH($B$2, {"Enero", "Febrero", "Marzo", "Abril", "Mayo", "Junio", "Julio", "Agosto", "Septiembre", "Octubre", "Noviembre"}, 0)-MONTH('BD Asesor'!D1157), 3)=0),
    AND('BD Asesor'!H1157="Semestral", MOD(MATCH($B$2, {"Enero", "Febrero", "Marzo", "Abril", "Mayo", "Junio", "Julio", "Agosto", "Septiembre", "Octubre", "Noviembre"}, 0)-MONTH('BD Asesor'!D1157), 6)=0),
    AND('BD Asesor'!H1157="Anual", MONTH('BD Asesor'!D1157)=MATCH($B$2, {"Enero", "Febrero", "Marzo", "Abril", "Mayo", "Junio", "Julio", "Agosto", "Septiembre", "Octubre", "Noviembre"}, 0))
), 'BD Asesor'!L1157, "")
</f>
        <v/>
      </c>
    </row>
    <row r="1158">
      <c r="C1158" s="84" t="str">
        <f t="array" ref="C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Asesor'!A1158, "")
</f>
        <v/>
      </c>
      <c r="D1158" s="84" t="str">
        <f t="array" ref="D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Asesor'!B1158, "")
</f>
        <v/>
      </c>
      <c r="E1158" s="212" t="str">
        <f t="array" ref="E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Asesor'!C1158, "")
</f>
        <v/>
      </c>
      <c r="F1158" s="212" t="str">
        <f t="array" ref="F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Asesor'!D1158, "")
</f>
        <v/>
      </c>
      <c r="G1158" s="212" t="str">
        <f t="array" ref="G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Asesor'!E1158, "")
</f>
        <v/>
      </c>
      <c r="H1158" s="84" t="str">
        <f t="array" ref="H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Asesor'!F1158, "")
</f>
        <v/>
      </c>
      <c r="I1158" s="84" t="str">
        <f t="array" ref="I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Asesor'!G1158, "")
</f>
        <v/>
      </c>
      <c r="J1158" s="84" t="str">
        <f t="array" ref="J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Asesor'!H1158, "")
</f>
        <v/>
      </c>
      <c r="K1158" s="84" t="str">
        <f t="array" ref="K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Asesor'!K1158, "")
</f>
        <v/>
      </c>
      <c r="L1158" s="84" t="str">
        <f t="array" ref="L1158">IF(OR(
    AND('BD Asesor'!H1158="Mensual", MATCH($B$2, {"Enero", "Febrero", "Marzo", "Abril", "Mayo", "Junio", "Julio", "Agosto", "Septiembre", "Octubre", "Noviembre", "Diciembre"}, 0)&gt;=1),
    AND('BD Asesor'!H1158="Trimestral", MOD(MATCH($B$2, {"Enero", "Febrero", "Marzo", "Abril", "Mayo", "Junio", "Julio", "Agosto", "Septiembre", "Octubre", "Noviembre"}, 0)-MONTH('BD Asesor'!D1158), 3)=0),
    AND('BD Asesor'!H1158="Semestral", MOD(MATCH($B$2, {"Enero", "Febrero", "Marzo", "Abril", "Mayo", "Junio", "Julio", "Agosto", "Septiembre", "Octubre", "Noviembre"}, 0)-MONTH('BD Asesor'!D1158), 6)=0),
    AND('BD Asesor'!H1158="Anual", MONTH('BD Asesor'!D1158)=MATCH($B$2, {"Enero", "Febrero", "Marzo", "Abril", "Mayo", "Junio", "Julio", "Agosto", "Septiembre", "Octubre", "Noviembre"}, 0))
), 'BD Asesor'!L1158, "")
</f>
        <v/>
      </c>
    </row>
    <row r="1159">
      <c r="C1159" s="84" t="str">
        <f t="array" ref="C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Asesor'!A1159, "")
</f>
        <v/>
      </c>
      <c r="D1159" s="84" t="str">
        <f t="array" ref="D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Asesor'!B1159, "")
</f>
        <v/>
      </c>
      <c r="E1159" s="212" t="str">
        <f t="array" ref="E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Asesor'!C1159, "")
</f>
        <v/>
      </c>
      <c r="F1159" s="212" t="str">
        <f t="array" ref="F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Asesor'!D1159, "")
</f>
        <v/>
      </c>
      <c r="G1159" s="212" t="str">
        <f t="array" ref="G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Asesor'!E1159, "")
</f>
        <v/>
      </c>
      <c r="H1159" s="84" t="str">
        <f t="array" ref="H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Asesor'!F1159, "")
</f>
        <v/>
      </c>
      <c r="I1159" s="84" t="str">
        <f t="array" ref="I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Asesor'!G1159, "")
</f>
        <v/>
      </c>
      <c r="J1159" s="84" t="str">
        <f t="array" ref="J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Asesor'!H1159, "")
</f>
        <v/>
      </c>
      <c r="K1159" s="84" t="str">
        <f t="array" ref="K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Asesor'!K1159, "")
</f>
        <v/>
      </c>
      <c r="L1159" s="84" t="str">
        <f t="array" ref="L1159">IF(OR(
    AND('BD Asesor'!H1159="Mensual", MATCH($B$2, {"Enero", "Febrero", "Marzo", "Abril", "Mayo", "Junio", "Julio", "Agosto", "Septiembre", "Octubre", "Noviembre", "Diciembre"}, 0)&gt;=1),
    AND('BD Asesor'!H1159="Trimestral", MOD(MATCH($B$2, {"Enero", "Febrero", "Marzo", "Abril", "Mayo", "Junio", "Julio", "Agosto", "Septiembre", "Octubre", "Noviembre"}, 0)-MONTH('BD Asesor'!D1159), 3)=0),
    AND('BD Asesor'!H1159="Semestral", MOD(MATCH($B$2, {"Enero", "Febrero", "Marzo", "Abril", "Mayo", "Junio", "Julio", "Agosto", "Septiembre", "Octubre", "Noviembre"}, 0)-MONTH('BD Asesor'!D1159), 6)=0),
    AND('BD Asesor'!H1159="Anual", MONTH('BD Asesor'!D1159)=MATCH($B$2, {"Enero", "Febrero", "Marzo", "Abril", "Mayo", "Junio", "Julio", "Agosto", "Septiembre", "Octubre", "Noviembre"}, 0))
), 'BD Asesor'!L1159, "")
</f>
        <v/>
      </c>
    </row>
    <row r="1160">
      <c r="C1160" s="84" t="str">
        <f t="array" ref="C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Asesor'!A1160, "")
</f>
        <v/>
      </c>
      <c r="D1160" s="84" t="str">
        <f t="array" ref="D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Asesor'!B1160, "")
</f>
        <v/>
      </c>
      <c r="E1160" s="212" t="str">
        <f t="array" ref="E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Asesor'!C1160, "")
</f>
        <v/>
      </c>
      <c r="F1160" s="212" t="str">
        <f t="array" ref="F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Asesor'!D1160, "")
</f>
        <v/>
      </c>
      <c r="G1160" s="212" t="str">
        <f t="array" ref="G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Asesor'!E1160, "")
</f>
        <v/>
      </c>
      <c r="H1160" s="84" t="str">
        <f t="array" ref="H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Asesor'!F1160, "")
</f>
        <v/>
      </c>
      <c r="I1160" s="84" t="str">
        <f t="array" ref="I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Asesor'!G1160, "")
</f>
        <v/>
      </c>
      <c r="J1160" s="84" t="str">
        <f t="array" ref="J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Asesor'!H1160, "")
</f>
        <v/>
      </c>
      <c r="K1160" s="84" t="str">
        <f t="array" ref="K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Asesor'!K1160, "")
</f>
        <v/>
      </c>
      <c r="L1160" s="84" t="str">
        <f t="array" ref="L1160">IF(OR(
    AND('BD Asesor'!H1160="Mensual", MATCH($B$2, {"Enero", "Febrero", "Marzo", "Abril", "Mayo", "Junio", "Julio", "Agosto", "Septiembre", "Octubre", "Noviembre", "Diciembre"}, 0)&gt;=1),
    AND('BD Asesor'!H1160="Trimestral", MOD(MATCH($B$2, {"Enero", "Febrero", "Marzo", "Abril", "Mayo", "Junio", "Julio", "Agosto", "Septiembre", "Octubre", "Noviembre"}, 0)-MONTH('BD Asesor'!D1160), 3)=0),
    AND('BD Asesor'!H1160="Semestral", MOD(MATCH($B$2, {"Enero", "Febrero", "Marzo", "Abril", "Mayo", "Junio", "Julio", "Agosto", "Septiembre", "Octubre", "Noviembre"}, 0)-MONTH('BD Asesor'!D1160), 6)=0),
    AND('BD Asesor'!H1160="Anual", MONTH('BD Asesor'!D1160)=MATCH($B$2, {"Enero", "Febrero", "Marzo", "Abril", "Mayo", "Junio", "Julio", "Agosto", "Septiembre", "Octubre", "Noviembre"}, 0))
), 'BD Asesor'!L1160, "")
</f>
        <v/>
      </c>
    </row>
    <row r="1161">
      <c r="C1161" s="84" t="str">
        <f t="array" ref="C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Asesor'!A1161, "")
</f>
        <v/>
      </c>
      <c r="D1161" s="84" t="str">
        <f t="array" ref="D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Asesor'!B1161, "")
</f>
        <v/>
      </c>
      <c r="E1161" s="212" t="str">
        <f t="array" ref="E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Asesor'!C1161, "")
</f>
        <v/>
      </c>
      <c r="F1161" s="212" t="str">
        <f t="array" ref="F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Asesor'!D1161, "")
</f>
        <v/>
      </c>
      <c r="G1161" s="212" t="str">
        <f t="array" ref="G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Asesor'!E1161, "")
</f>
        <v/>
      </c>
      <c r="H1161" s="84" t="str">
        <f t="array" ref="H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Asesor'!F1161, "")
</f>
        <v/>
      </c>
      <c r="I1161" s="84" t="str">
        <f t="array" ref="I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Asesor'!G1161, "")
</f>
        <v/>
      </c>
      <c r="J1161" s="84" t="str">
        <f t="array" ref="J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Asesor'!H1161, "")
</f>
        <v/>
      </c>
      <c r="K1161" s="84" t="str">
        <f t="array" ref="K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Asesor'!K1161, "")
</f>
        <v/>
      </c>
      <c r="L1161" s="84" t="str">
        <f t="array" ref="L1161">IF(OR(
    AND('BD Asesor'!H1161="Mensual", MATCH($B$2, {"Enero", "Febrero", "Marzo", "Abril", "Mayo", "Junio", "Julio", "Agosto", "Septiembre", "Octubre", "Noviembre", "Diciembre"}, 0)&gt;=1),
    AND('BD Asesor'!H1161="Trimestral", MOD(MATCH($B$2, {"Enero", "Febrero", "Marzo", "Abril", "Mayo", "Junio", "Julio", "Agosto", "Septiembre", "Octubre", "Noviembre"}, 0)-MONTH('BD Asesor'!D1161), 3)=0),
    AND('BD Asesor'!H1161="Semestral", MOD(MATCH($B$2, {"Enero", "Febrero", "Marzo", "Abril", "Mayo", "Junio", "Julio", "Agosto", "Septiembre", "Octubre", "Noviembre"}, 0)-MONTH('BD Asesor'!D1161), 6)=0),
    AND('BD Asesor'!H1161="Anual", MONTH('BD Asesor'!D1161)=MATCH($B$2, {"Enero", "Febrero", "Marzo", "Abril", "Mayo", "Junio", "Julio", "Agosto", "Septiembre", "Octubre", "Noviembre"}, 0))
), 'BD Asesor'!L1161, "")
</f>
        <v/>
      </c>
    </row>
    <row r="1162">
      <c r="C1162" s="84" t="str">
        <f t="array" ref="C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Asesor'!A1162, "")
</f>
        <v/>
      </c>
      <c r="D1162" s="84" t="str">
        <f t="array" ref="D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Asesor'!B1162, "")
</f>
        <v/>
      </c>
      <c r="E1162" s="212" t="str">
        <f t="array" ref="E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Asesor'!C1162, "")
</f>
        <v/>
      </c>
      <c r="F1162" s="212" t="str">
        <f t="array" ref="F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Asesor'!D1162, "")
</f>
        <v/>
      </c>
      <c r="G1162" s="212" t="str">
        <f t="array" ref="G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Asesor'!E1162, "")
</f>
        <v/>
      </c>
      <c r="H1162" s="84" t="str">
        <f t="array" ref="H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Asesor'!F1162, "")
</f>
        <v/>
      </c>
      <c r="I1162" s="84" t="str">
        <f t="array" ref="I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Asesor'!G1162, "")
</f>
        <v/>
      </c>
      <c r="J1162" s="84" t="str">
        <f t="array" ref="J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Asesor'!H1162, "")
</f>
        <v/>
      </c>
      <c r="K1162" s="84" t="str">
        <f t="array" ref="K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Asesor'!K1162, "")
</f>
        <v/>
      </c>
      <c r="L1162" s="84" t="str">
        <f t="array" ref="L1162">IF(OR(
    AND('BD Asesor'!H1162="Mensual", MATCH($B$2, {"Enero", "Febrero", "Marzo", "Abril", "Mayo", "Junio", "Julio", "Agosto", "Septiembre", "Octubre", "Noviembre", "Diciembre"}, 0)&gt;=1),
    AND('BD Asesor'!H1162="Trimestral", MOD(MATCH($B$2, {"Enero", "Febrero", "Marzo", "Abril", "Mayo", "Junio", "Julio", "Agosto", "Septiembre", "Octubre", "Noviembre"}, 0)-MONTH('BD Asesor'!D1162), 3)=0),
    AND('BD Asesor'!H1162="Semestral", MOD(MATCH($B$2, {"Enero", "Febrero", "Marzo", "Abril", "Mayo", "Junio", "Julio", "Agosto", "Septiembre", "Octubre", "Noviembre"}, 0)-MONTH('BD Asesor'!D1162), 6)=0),
    AND('BD Asesor'!H1162="Anual", MONTH('BD Asesor'!D1162)=MATCH($B$2, {"Enero", "Febrero", "Marzo", "Abril", "Mayo", "Junio", "Julio", "Agosto", "Septiembre", "Octubre", "Noviembre"}, 0))
), 'BD Asesor'!L1162, "")
</f>
        <v/>
      </c>
    </row>
    <row r="1163">
      <c r="C1163" s="84" t="str">
        <f t="array" ref="C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Asesor'!A1163, "")
</f>
        <v/>
      </c>
      <c r="D1163" s="84" t="str">
        <f t="array" ref="D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Asesor'!B1163, "")
</f>
        <v/>
      </c>
      <c r="E1163" s="212" t="str">
        <f t="array" ref="E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Asesor'!C1163, "")
</f>
        <v/>
      </c>
      <c r="F1163" s="212" t="str">
        <f t="array" ref="F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Asesor'!D1163, "")
</f>
        <v/>
      </c>
      <c r="G1163" s="212" t="str">
        <f t="array" ref="G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Asesor'!E1163, "")
</f>
        <v/>
      </c>
      <c r="H1163" s="84" t="str">
        <f t="array" ref="H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Asesor'!F1163, "")
</f>
        <v/>
      </c>
      <c r="I1163" s="84" t="str">
        <f t="array" ref="I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Asesor'!G1163, "")
</f>
        <v/>
      </c>
      <c r="J1163" s="84" t="str">
        <f t="array" ref="J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Asesor'!H1163, "")
</f>
        <v/>
      </c>
      <c r="K1163" s="84" t="str">
        <f t="array" ref="K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Asesor'!K1163, "")
</f>
        <v/>
      </c>
      <c r="L1163" s="84" t="str">
        <f t="array" ref="L1163">IF(OR(
    AND('BD Asesor'!H1163="Mensual", MATCH($B$2, {"Enero", "Febrero", "Marzo", "Abril", "Mayo", "Junio", "Julio", "Agosto", "Septiembre", "Octubre", "Noviembre", "Diciembre"}, 0)&gt;=1),
    AND('BD Asesor'!H1163="Trimestral", MOD(MATCH($B$2, {"Enero", "Febrero", "Marzo", "Abril", "Mayo", "Junio", "Julio", "Agosto", "Septiembre", "Octubre", "Noviembre"}, 0)-MONTH('BD Asesor'!D1163), 3)=0),
    AND('BD Asesor'!H1163="Semestral", MOD(MATCH($B$2, {"Enero", "Febrero", "Marzo", "Abril", "Mayo", "Junio", "Julio", "Agosto", "Septiembre", "Octubre", "Noviembre"}, 0)-MONTH('BD Asesor'!D1163), 6)=0),
    AND('BD Asesor'!H1163="Anual", MONTH('BD Asesor'!D1163)=MATCH($B$2, {"Enero", "Febrero", "Marzo", "Abril", "Mayo", "Junio", "Julio", "Agosto", "Septiembre", "Octubre", "Noviembre"}, 0))
), 'BD Asesor'!L1163, "")
</f>
        <v/>
      </c>
    </row>
    <row r="1164">
      <c r="C1164" s="84" t="str">
        <f t="array" ref="C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Asesor'!A1164, "")
</f>
        <v/>
      </c>
      <c r="D1164" s="84" t="str">
        <f t="array" ref="D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Asesor'!B1164, "")
</f>
        <v/>
      </c>
      <c r="E1164" s="212" t="str">
        <f t="array" ref="E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Asesor'!C1164, "")
</f>
        <v/>
      </c>
      <c r="F1164" s="212" t="str">
        <f t="array" ref="F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Asesor'!D1164, "")
</f>
        <v/>
      </c>
      <c r="G1164" s="212" t="str">
        <f t="array" ref="G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Asesor'!E1164, "")
</f>
        <v/>
      </c>
      <c r="H1164" s="84" t="str">
        <f t="array" ref="H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Asesor'!F1164, "")
</f>
        <v/>
      </c>
      <c r="I1164" s="84" t="str">
        <f t="array" ref="I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Asesor'!G1164, "")
</f>
        <v/>
      </c>
      <c r="J1164" s="84" t="str">
        <f t="array" ref="J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Asesor'!H1164, "")
</f>
        <v/>
      </c>
      <c r="K1164" s="84" t="str">
        <f t="array" ref="K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Asesor'!K1164, "")
</f>
        <v/>
      </c>
      <c r="L1164" s="84" t="str">
        <f t="array" ref="L1164">IF(OR(
    AND('BD Asesor'!H1164="Mensual", MATCH($B$2, {"Enero", "Febrero", "Marzo", "Abril", "Mayo", "Junio", "Julio", "Agosto", "Septiembre", "Octubre", "Noviembre", "Diciembre"}, 0)&gt;=1),
    AND('BD Asesor'!H1164="Trimestral", MOD(MATCH($B$2, {"Enero", "Febrero", "Marzo", "Abril", "Mayo", "Junio", "Julio", "Agosto", "Septiembre", "Octubre", "Noviembre"}, 0)-MONTH('BD Asesor'!D1164), 3)=0),
    AND('BD Asesor'!H1164="Semestral", MOD(MATCH($B$2, {"Enero", "Febrero", "Marzo", "Abril", "Mayo", "Junio", "Julio", "Agosto", "Septiembre", "Octubre", "Noviembre"}, 0)-MONTH('BD Asesor'!D1164), 6)=0),
    AND('BD Asesor'!H1164="Anual", MONTH('BD Asesor'!D1164)=MATCH($B$2, {"Enero", "Febrero", "Marzo", "Abril", "Mayo", "Junio", "Julio", "Agosto", "Septiembre", "Octubre", "Noviembre"}, 0))
), 'BD Asesor'!L1164, "")
</f>
        <v/>
      </c>
    </row>
    <row r="1165">
      <c r="C1165" s="84" t="str">
        <f t="array" ref="C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Asesor'!A1165, "")
</f>
        <v/>
      </c>
      <c r="D1165" s="84" t="str">
        <f t="array" ref="D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Asesor'!B1165, "")
</f>
        <v/>
      </c>
      <c r="E1165" s="212" t="str">
        <f t="array" ref="E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Asesor'!C1165, "")
</f>
        <v/>
      </c>
      <c r="F1165" s="212" t="str">
        <f t="array" ref="F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Asesor'!D1165, "")
</f>
        <v/>
      </c>
      <c r="G1165" s="212" t="str">
        <f t="array" ref="G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Asesor'!E1165, "")
</f>
        <v/>
      </c>
      <c r="H1165" s="84" t="str">
        <f t="array" ref="H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Asesor'!F1165, "")
</f>
        <v/>
      </c>
      <c r="I1165" s="84" t="str">
        <f t="array" ref="I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Asesor'!G1165, "")
</f>
        <v/>
      </c>
      <c r="J1165" s="84" t="str">
        <f t="array" ref="J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Asesor'!H1165, "")
</f>
        <v/>
      </c>
      <c r="K1165" s="84" t="str">
        <f t="array" ref="K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Asesor'!K1165, "")
</f>
        <v/>
      </c>
      <c r="L1165" s="84" t="str">
        <f t="array" ref="L1165">IF(OR(
    AND('BD Asesor'!H1165="Mensual", MATCH($B$2, {"Enero", "Febrero", "Marzo", "Abril", "Mayo", "Junio", "Julio", "Agosto", "Septiembre", "Octubre", "Noviembre", "Diciembre"}, 0)&gt;=1),
    AND('BD Asesor'!H1165="Trimestral", MOD(MATCH($B$2, {"Enero", "Febrero", "Marzo", "Abril", "Mayo", "Junio", "Julio", "Agosto", "Septiembre", "Octubre", "Noviembre"}, 0)-MONTH('BD Asesor'!D1165), 3)=0),
    AND('BD Asesor'!H1165="Semestral", MOD(MATCH($B$2, {"Enero", "Febrero", "Marzo", "Abril", "Mayo", "Junio", "Julio", "Agosto", "Septiembre", "Octubre", "Noviembre"}, 0)-MONTH('BD Asesor'!D1165), 6)=0),
    AND('BD Asesor'!H1165="Anual", MONTH('BD Asesor'!D1165)=MATCH($B$2, {"Enero", "Febrero", "Marzo", "Abril", "Mayo", "Junio", "Julio", "Agosto", "Septiembre", "Octubre", "Noviembre"}, 0))
), 'BD Asesor'!L1165, "")
</f>
        <v/>
      </c>
    </row>
    <row r="1166">
      <c r="C1166" s="84" t="str">
        <f t="array" ref="C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Asesor'!A1166, "")
</f>
        <v/>
      </c>
      <c r="D1166" s="84" t="str">
        <f t="array" ref="D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Asesor'!B1166, "")
</f>
        <v/>
      </c>
      <c r="E1166" s="212" t="str">
        <f t="array" ref="E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Asesor'!C1166, "")
</f>
        <v/>
      </c>
      <c r="F1166" s="212" t="str">
        <f t="array" ref="F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Asesor'!D1166, "")
</f>
        <v/>
      </c>
      <c r="G1166" s="212" t="str">
        <f t="array" ref="G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Asesor'!E1166, "")
</f>
        <v/>
      </c>
      <c r="H1166" s="84" t="str">
        <f t="array" ref="H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Asesor'!F1166, "")
</f>
        <v/>
      </c>
      <c r="I1166" s="84" t="str">
        <f t="array" ref="I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Asesor'!G1166, "")
</f>
        <v/>
      </c>
      <c r="J1166" s="84" t="str">
        <f t="array" ref="J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Asesor'!H1166, "")
</f>
        <v/>
      </c>
      <c r="K1166" s="84" t="str">
        <f t="array" ref="K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Asesor'!K1166, "")
</f>
        <v/>
      </c>
      <c r="L1166" s="84" t="str">
        <f t="array" ref="L1166">IF(OR(
    AND('BD Asesor'!H1166="Mensual", MATCH($B$2, {"Enero", "Febrero", "Marzo", "Abril", "Mayo", "Junio", "Julio", "Agosto", "Septiembre", "Octubre", "Noviembre", "Diciembre"}, 0)&gt;=1),
    AND('BD Asesor'!H1166="Trimestral", MOD(MATCH($B$2, {"Enero", "Febrero", "Marzo", "Abril", "Mayo", "Junio", "Julio", "Agosto", "Septiembre", "Octubre", "Noviembre"}, 0)-MONTH('BD Asesor'!D1166), 3)=0),
    AND('BD Asesor'!H1166="Semestral", MOD(MATCH($B$2, {"Enero", "Febrero", "Marzo", "Abril", "Mayo", "Junio", "Julio", "Agosto", "Septiembre", "Octubre", "Noviembre"}, 0)-MONTH('BD Asesor'!D1166), 6)=0),
    AND('BD Asesor'!H1166="Anual", MONTH('BD Asesor'!D1166)=MATCH($B$2, {"Enero", "Febrero", "Marzo", "Abril", "Mayo", "Junio", "Julio", "Agosto", "Septiembre", "Octubre", "Noviembre"}, 0))
), 'BD Asesor'!L1166, "")
</f>
        <v/>
      </c>
    </row>
    <row r="1167">
      <c r="C1167" s="84" t="str">
        <f t="array" ref="C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Asesor'!A1167, "")
</f>
        <v/>
      </c>
      <c r="D1167" s="84" t="str">
        <f t="array" ref="D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Asesor'!B1167, "")
</f>
        <v/>
      </c>
      <c r="E1167" s="212" t="str">
        <f t="array" ref="E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Asesor'!C1167, "")
</f>
        <v/>
      </c>
      <c r="F1167" s="212" t="str">
        <f t="array" ref="F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Asesor'!D1167, "")
</f>
        <v/>
      </c>
      <c r="G1167" s="212" t="str">
        <f t="array" ref="G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Asesor'!E1167, "")
</f>
        <v/>
      </c>
      <c r="H1167" s="84" t="str">
        <f t="array" ref="H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Asesor'!F1167, "")
</f>
        <v/>
      </c>
      <c r="I1167" s="84" t="str">
        <f t="array" ref="I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Asesor'!G1167, "")
</f>
        <v/>
      </c>
      <c r="J1167" s="84" t="str">
        <f t="array" ref="J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Asesor'!H1167, "")
</f>
        <v/>
      </c>
      <c r="K1167" s="84" t="str">
        <f t="array" ref="K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Asesor'!K1167, "")
</f>
        <v/>
      </c>
      <c r="L1167" s="84" t="str">
        <f t="array" ref="L1167">IF(OR(
    AND('BD Asesor'!H1167="Mensual", MATCH($B$2, {"Enero", "Febrero", "Marzo", "Abril", "Mayo", "Junio", "Julio", "Agosto", "Septiembre", "Octubre", "Noviembre", "Diciembre"}, 0)&gt;=1),
    AND('BD Asesor'!H1167="Trimestral", MOD(MATCH($B$2, {"Enero", "Febrero", "Marzo", "Abril", "Mayo", "Junio", "Julio", "Agosto", "Septiembre", "Octubre", "Noviembre"}, 0)-MONTH('BD Asesor'!D1167), 3)=0),
    AND('BD Asesor'!H1167="Semestral", MOD(MATCH($B$2, {"Enero", "Febrero", "Marzo", "Abril", "Mayo", "Junio", "Julio", "Agosto", "Septiembre", "Octubre", "Noviembre"}, 0)-MONTH('BD Asesor'!D1167), 6)=0),
    AND('BD Asesor'!H1167="Anual", MONTH('BD Asesor'!D1167)=MATCH($B$2, {"Enero", "Febrero", "Marzo", "Abril", "Mayo", "Junio", "Julio", "Agosto", "Septiembre", "Octubre", "Noviembre"}, 0))
), 'BD Asesor'!L1167, "")
</f>
        <v/>
      </c>
    </row>
    <row r="1168">
      <c r="C1168" s="84" t="str">
        <f t="array" ref="C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Asesor'!A1168, "")
</f>
        <v/>
      </c>
      <c r="D1168" s="84" t="str">
        <f t="array" ref="D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Asesor'!B1168, "")
</f>
        <v/>
      </c>
      <c r="E1168" s="212" t="str">
        <f t="array" ref="E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Asesor'!C1168, "")
</f>
        <v/>
      </c>
      <c r="F1168" s="212" t="str">
        <f t="array" ref="F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Asesor'!D1168, "")
</f>
        <v/>
      </c>
      <c r="G1168" s="212" t="str">
        <f t="array" ref="G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Asesor'!E1168, "")
</f>
        <v/>
      </c>
      <c r="H1168" s="84" t="str">
        <f t="array" ref="H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Asesor'!F1168, "")
</f>
        <v/>
      </c>
      <c r="I1168" s="84" t="str">
        <f t="array" ref="I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Asesor'!G1168, "")
</f>
        <v/>
      </c>
      <c r="J1168" s="84" t="str">
        <f t="array" ref="J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Asesor'!H1168, "")
</f>
        <v/>
      </c>
      <c r="K1168" s="84" t="str">
        <f t="array" ref="K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Asesor'!K1168, "")
</f>
        <v/>
      </c>
      <c r="L1168" s="84" t="str">
        <f t="array" ref="L1168">IF(OR(
    AND('BD Asesor'!H1168="Mensual", MATCH($B$2, {"Enero", "Febrero", "Marzo", "Abril", "Mayo", "Junio", "Julio", "Agosto", "Septiembre", "Octubre", "Noviembre", "Diciembre"}, 0)&gt;=1),
    AND('BD Asesor'!H1168="Trimestral", MOD(MATCH($B$2, {"Enero", "Febrero", "Marzo", "Abril", "Mayo", "Junio", "Julio", "Agosto", "Septiembre", "Octubre", "Noviembre"}, 0)-MONTH('BD Asesor'!D1168), 3)=0),
    AND('BD Asesor'!H1168="Semestral", MOD(MATCH($B$2, {"Enero", "Febrero", "Marzo", "Abril", "Mayo", "Junio", "Julio", "Agosto", "Septiembre", "Octubre", "Noviembre"}, 0)-MONTH('BD Asesor'!D1168), 6)=0),
    AND('BD Asesor'!H1168="Anual", MONTH('BD Asesor'!D1168)=MATCH($B$2, {"Enero", "Febrero", "Marzo", "Abril", "Mayo", "Junio", "Julio", "Agosto", "Septiembre", "Octubre", "Noviembre"}, 0))
), 'BD Asesor'!L1168, "")
</f>
        <v/>
      </c>
    </row>
    <row r="1169">
      <c r="C1169" s="84" t="str">
        <f t="array" ref="C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Asesor'!A1169, "")
</f>
        <v/>
      </c>
      <c r="D1169" s="84" t="str">
        <f t="array" ref="D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Asesor'!B1169, "")
</f>
        <v/>
      </c>
      <c r="E1169" s="212" t="str">
        <f t="array" ref="E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Asesor'!C1169, "")
</f>
        <v/>
      </c>
      <c r="F1169" s="212" t="str">
        <f t="array" ref="F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Asesor'!D1169, "")
</f>
        <v/>
      </c>
      <c r="G1169" s="212" t="str">
        <f t="array" ref="G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Asesor'!E1169, "")
</f>
        <v/>
      </c>
      <c r="H1169" s="84" t="str">
        <f t="array" ref="H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Asesor'!F1169, "")
</f>
        <v/>
      </c>
      <c r="I1169" s="84" t="str">
        <f t="array" ref="I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Asesor'!G1169, "")
</f>
        <v/>
      </c>
      <c r="J1169" s="84" t="str">
        <f t="array" ref="J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Asesor'!H1169, "")
</f>
        <v/>
      </c>
      <c r="K1169" s="84" t="str">
        <f t="array" ref="K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Asesor'!K1169, "")
</f>
        <v/>
      </c>
      <c r="L1169" s="84" t="str">
        <f t="array" ref="L1169">IF(OR(
    AND('BD Asesor'!H1169="Mensual", MATCH($B$2, {"Enero", "Febrero", "Marzo", "Abril", "Mayo", "Junio", "Julio", "Agosto", "Septiembre", "Octubre", "Noviembre", "Diciembre"}, 0)&gt;=1),
    AND('BD Asesor'!H1169="Trimestral", MOD(MATCH($B$2, {"Enero", "Febrero", "Marzo", "Abril", "Mayo", "Junio", "Julio", "Agosto", "Septiembre", "Octubre", "Noviembre"}, 0)-MONTH('BD Asesor'!D1169), 3)=0),
    AND('BD Asesor'!H1169="Semestral", MOD(MATCH($B$2, {"Enero", "Febrero", "Marzo", "Abril", "Mayo", "Junio", "Julio", "Agosto", "Septiembre", "Octubre", "Noviembre"}, 0)-MONTH('BD Asesor'!D1169), 6)=0),
    AND('BD Asesor'!H1169="Anual", MONTH('BD Asesor'!D1169)=MATCH($B$2, {"Enero", "Febrero", "Marzo", "Abril", "Mayo", "Junio", "Julio", "Agosto", "Septiembre", "Octubre", "Noviembre"}, 0))
), 'BD Asesor'!L1169, "")
</f>
        <v/>
      </c>
    </row>
    <row r="1170">
      <c r="C1170" s="84" t="str">
        <f t="array" ref="C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Asesor'!A1170, "")
</f>
        <v/>
      </c>
      <c r="D1170" s="84" t="str">
        <f t="array" ref="D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Asesor'!B1170, "")
</f>
        <v/>
      </c>
      <c r="E1170" s="212" t="str">
        <f t="array" ref="E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Asesor'!C1170, "")
</f>
        <v/>
      </c>
      <c r="F1170" s="212" t="str">
        <f t="array" ref="F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Asesor'!D1170, "")
</f>
        <v/>
      </c>
      <c r="G1170" s="212" t="str">
        <f t="array" ref="G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Asesor'!E1170, "")
</f>
        <v/>
      </c>
      <c r="H1170" s="84" t="str">
        <f t="array" ref="H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Asesor'!F1170, "")
</f>
        <v/>
      </c>
      <c r="I1170" s="84" t="str">
        <f t="array" ref="I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Asesor'!G1170, "")
</f>
        <v/>
      </c>
      <c r="J1170" s="84" t="str">
        <f t="array" ref="J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Asesor'!H1170, "")
</f>
        <v/>
      </c>
      <c r="K1170" s="84" t="str">
        <f t="array" ref="K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Asesor'!K1170, "")
</f>
        <v/>
      </c>
      <c r="L1170" s="84" t="str">
        <f t="array" ref="L1170">IF(OR(
    AND('BD Asesor'!H1170="Mensual", MATCH($B$2, {"Enero", "Febrero", "Marzo", "Abril", "Mayo", "Junio", "Julio", "Agosto", "Septiembre", "Octubre", "Noviembre", "Diciembre"}, 0)&gt;=1),
    AND('BD Asesor'!H1170="Trimestral", MOD(MATCH($B$2, {"Enero", "Febrero", "Marzo", "Abril", "Mayo", "Junio", "Julio", "Agosto", "Septiembre", "Octubre", "Noviembre"}, 0)-MONTH('BD Asesor'!D1170), 3)=0),
    AND('BD Asesor'!H1170="Semestral", MOD(MATCH($B$2, {"Enero", "Febrero", "Marzo", "Abril", "Mayo", "Junio", "Julio", "Agosto", "Septiembre", "Octubre", "Noviembre"}, 0)-MONTH('BD Asesor'!D1170), 6)=0),
    AND('BD Asesor'!H1170="Anual", MONTH('BD Asesor'!D1170)=MATCH($B$2, {"Enero", "Febrero", "Marzo", "Abril", "Mayo", "Junio", "Julio", "Agosto", "Septiembre", "Octubre", "Noviembre"}, 0))
), 'BD Asesor'!L1170, "")
</f>
        <v/>
      </c>
    </row>
    <row r="1171">
      <c r="C1171" s="84" t="str">
        <f t="array" ref="C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Asesor'!A1171, "")
</f>
        <v/>
      </c>
      <c r="D1171" s="84" t="str">
        <f t="array" ref="D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Asesor'!B1171, "")
</f>
        <v/>
      </c>
      <c r="E1171" s="212" t="str">
        <f t="array" ref="E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Asesor'!C1171, "")
</f>
        <v/>
      </c>
      <c r="F1171" s="212" t="str">
        <f t="array" ref="F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Asesor'!D1171, "")
</f>
        <v/>
      </c>
      <c r="G1171" s="212" t="str">
        <f t="array" ref="G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Asesor'!E1171, "")
</f>
        <v/>
      </c>
      <c r="H1171" s="84" t="str">
        <f t="array" ref="H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Asesor'!F1171, "")
</f>
        <v/>
      </c>
      <c r="I1171" s="84" t="str">
        <f t="array" ref="I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Asesor'!G1171, "")
</f>
        <v/>
      </c>
      <c r="J1171" s="84" t="str">
        <f t="array" ref="J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Asesor'!H1171, "")
</f>
        <v/>
      </c>
      <c r="K1171" s="84" t="str">
        <f t="array" ref="K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Asesor'!K1171, "")
</f>
        <v/>
      </c>
      <c r="L1171" s="84" t="str">
        <f t="array" ref="L1171">IF(OR(
    AND('BD Asesor'!H1171="Mensual", MATCH($B$2, {"Enero", "Febrero", "Marzo", "Abril", "Mayo", "Junio", "Julio", "Agosto", "Septiembre", "Octubre", "Noviembre", "Diciembre"}, 0)&gt;=1),
    AND('BD Asesor'!H1171="Trimestral", MOD(MATCH($B$2, {"Enero", "Febrero", "Marzo", "Abril", "Mayo", "Junio", "Julio", "Agosto", "Septiembre", "Octubre", "Noviembre"}, 0)-MONTH('BD Asesor'!D1171), 3)=0),
    AND('BD Asesor'!H1171="Semestral", MOD(MATCH($B$2, {"Enero", "Febrero", "Marzo", "Abril", "Mayo", "Junio", "Julio", "Agosto", "Septiembre", "Octubre", "Noviembre"}, 0)-MONTH('BD Asesor'!D1171), 6)=0),
    AND('BD Asesor'!H1171="Anual", MONTH('BD Asesor'!D1171)=MATCH($B$2, {"Enero", "Febrero", "Marzo", "Abril", "Mayo", "Junio", "Julio", "Agosto", "Septiembre", "Octubre", "Noviembre"}, 0))
), 'BD Asesor'!L1171, "")
</f>
        <v/>
      </c>
    </row>
    <row r="1172">
      <c r="C1172" s="84" t="str">
        <f t="array" ref="C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Asesor'!A1172, "")
</f>
        <v/>
      </c>
      <c r="D1172" s="84" t="str">
        <f t="array" ref="D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Asesor'!B1172, "")
</f>
        <v/>
      </c>
      <c r="E1172" s="212" t="str">
        <f t="array" ref="E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Asesor'!C1172, "")
</f>
        <v/>
      </c>
      <c r="F1172" s="212" t="str">
        <f t="array" ref="F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Asesor'!D1172, "")
</f>
        <v/>
      </c>
      <c r="G1172" s="212" t="str">
        <f t="array" ref="G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Asesor'!E1172, "")
</f>
        <v/>
      </c>
      <c r="H1172" s="84" t="str">
        <f t="array" ref="H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Asesor'!F1172, "")
</f>
        <v/>
      </c>
      <c r="I1172" s="84" t="str">
        <f t="array" ref="I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Asesor'!G1172, "")
</f>
        <v/>
      </c>
      <c r="J1172" s="84" t="str">
        <f t="array" ref="J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Asesor'!H1172, "")
</f>
        <v/>
      </c>
      <c r="K1172" s="84" t="str">
        <f t="array" ref="K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Asesor'!K1172, "")
</f>
        <v/>
      </c>
      <c r="L1172" s="84" t="str">
        <f t="array" ref="L1172">IF(OR(
    AND('BD Asesor'!H1172="Mensual", MATCH($B$2, {"Enero", "Febrero", "Marzo", "Abril", "Mayo", "Junio", "Julio", "Agosto", "Septiembre", "Octubre", "Noviembre", "Diciembre"}, 0)&gt;=1),
    AND('BD Asesor'!H1172="Trimestral", MOD(MATCH($B$2, {"Enero", "Febrero", "Marzo", "Abril", "Mayo", "Junio", "Julio", "Agosto", "Septiembre", "Octubre", "Noviembre"}, 0)-MONTH('BD Asesor'!D1172), 3)=0),
    AND('BD Asesor'!H1172="Semestral", MOD(MATCH($B$2, {"Enero", "Febrero", "Marzo", "Abril", "Mayo", "Junio", "Julio", "Agosto", "Septiembre", "Octubre", "Noviembre"}, 0)-MONTH('BD Asesor'!D1172), 6)=0),
    AND('BD Asesor'!H1172="Anual", MONTH('BD Asesor'!D1172)=MATCH($B$2, {"Enero", "Febrero", "Marzo", "Abril", "Mayo", "Junio", "Julio", "Agosto", "Septiembre", "Octubre", "Noviembre"}, 0))
), 'BD Asesor'!L1172, "")
</f>
        <v/>
      </c>
    </row>
    <row r="1173">
      <c r="C1173" s="84" t="str">
        <f t="array" ref="C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Asesor'!A1173, "")
</f>
        <v/>
      </c>
      <c r="D1173" s="84" t="str">
        <f t="array" ref="D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Asesor'!B1173, "")
</f>
        <v/>
      </c>
      <c r="E1173" s="212" t="str">
        <f t="array" ref="E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Asesor'!C1173, "")
</f>
        <v/>
      </c>
      <c r="F1173" s="212" t="str">
        <f t="array" ref="F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Asesor'!D1173, "")
</f>
        <v/>
      </c>
      <c r="G1173" s="212" t="str">
        <f t="array" ref="G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Asesor'!E1173, "")
</f>
        <v/>
      </c>
      <c r="H1173" s="84" t="str">
        <f t="array" ref="H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Asesor'!F1173, "")
</f>
        <v/>
      </c>
      <c r="I1173" s="84" t="str">
        <f t="array" ref="I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Asesor'!G1173, "")
</f>
        <v/>
      </c>
      <c r="J1173" s="84" t="str">
        <f t="array" ref="J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Asesor'!H1173, "")
</f>
        <v/>
      </c>
      <c r="K1173" s="84" t="str">
        <f t="array" ref="K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Asesor'!K1173, "")
</f>
        <v/>
      </c>
      <c r="L1173" s="84" t="str">
        <f t="array" ref="L1173">IF(OR(
    AND('BD Asesor'!H1173="Mensual", MATCH($B$2, {"Enero", "Febrero", "Marzo", "Abril", "Mayo", "Junio", "Julio", "Agosto", "Septiembre", "Octubre", "Noviembre", "Diciembre"}, 0)&gt;=1),
    AND('BD Asesor'!H1173="Trimestral", MOD(MATCH($B$2, {"Enero", "Febrero", "Marzo", "Abril", "Mayo", "Junio", "Julio", "Agosto", "Septiembre", "Octubre", "Noviembre"}, 0)-MONTH('BD Asesor'!D1173), 3)=0),
    AND('BD Asesor'!H1173="Semestral", MOD(MATCH($B$2, {"Enero", "Febrero", "Marzo", "Abril", "Mayo", "Junio", "Julio", "Agosto", "Septiembre", "Octubre", "Noviembre"}, 0)-MONTH('BD Asesor'!D1173), 6)=0),
    AND('BD Asesor'!H1173="Anual", MONTH('BD Asesor'!D1173)=MATCH($B$2, {"Enero", "Febrero", "Marzo", "Abril", "Mayo", "Junio", "Julio", "Agosto", "Septiembre", "Octubre", "Noviembre"}, 0))
), 'BD Asesor'!L1173, "")
</f>
        <v/>
      </c>
    </row>
    <row r="1174">
      <c r="C1174" s="84" t="str">
        <f t="array" ref="C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Asesor'!A1174, "")
</f>
        <v/>
      </c>
      <c r="D1174" s="84" t="str">
        <f t="array" ref="D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Asesor'!B1174, "")
</f>
        <v/>
      </c>
      <c r="E1174" s="212" t="str">
        <f t="array" ref="E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Asesor'!C1174, "")
</f>
        <v/>
      </c>
      <c r="F1174" s="212" t="str">
        <f t="array" ref="F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Asesor'!D1174, "")
</f>
        <v/>
      </c>
      <c r="G1174" s="212" t="str">
        <f t="array" ref="G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Asesor'!E1174, "")
</f>
        <v/>
      </c>
      <c r="H1174" s="84" t="str">
        <f t="array" ref="H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Asesor'!F1174, "")
</f>
        <v/>
      </c>
      <c r="I1174" s="84" t="str">
        <f t="array" ref="I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Asesor'!G1174, "")
</f>
        <v/>
      </c>
      <c r="J1174" s="84" t="str">
        <f t="array" ref="J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Asesor'!H1174, "")
</f>
        <v/>
      </c>
      <c r="K1174" s="84" t="str">
        <f t="array" ref="K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Asesor'!K1174, "")
</f>
        <v/>
      </c>
      <c r="L1174" s="84" t="str">
        <f t="array" ref="L1174">IF(OR(
    AND('BD Asesor'!H1174="Mensual", MATCH($B$2, {"Enero", "Febrero", "Marzo", "Abril", "Mayo", "Junio", "Julio", "Agosto", "Septiembre", "Octubre", "Noviembre", "Diciembre"}, 0)&gt;=1),
    AND('BD Asesor'!H1174="Trimestral", MOD(MATCH($B$2, {"Enero", "Febrero", "Marzo", "Abril", "Mayo", "Junio", "Julio", "Agosto", "Septiembre", "Octubre", "Noviembre"}, 0)-MONTH('BD Asesor'!D1174), 3)=0),
    AND('BD Asesor'!H1174="Semestral", MOD(MATCH($B$2, {"Enero", "Febrero", "Marzo", "Abril", "Mayo", "Junio", "Julio", "Agosto", "Septiembre", "Octubre", "Noviembre"}, 0)-MONTH('BD Asesor'!D1174), 6)=0),
    AND('BD Asesor'!H1174="Anual", MONTH('BD Asesor'!D1174)=MATCH($B$2, {"Enero", "Febrero", "Marzo", "Abril", "Mayo", "Junio", "Julio", "Agosto", "Septiembre", "Octubre", "Noviembre"}, 0))
), 'BD Asesor'!L1174, "")
</f>
        <v/>
      </c>
    </row>
    <row r="1175">
      <c r="C1175" s="84" t="str">
        <f t="array" ref="C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Asesor'!A1175, "")
</f>
        <v/>
      </c>
      <c r="D1175" s="84" t="str">
        <f t="array" ref="D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Asesor'!B1175, "")
</f>
        <v/>
      </c>
      <c r="E1175" s="212" t="str">
        <f t="array" ref="E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Asesor'!C1175, "")
</f>
        <v/>
      </c>
      <c r="F1175" s="212" t="str">
        <f t="array" ref="F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Asesor'!D1175, "")
</f>
        <v/>
      </c>
      <c r="G1175" s="212" t="str">
        <f t="array" ref="G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Asesor'!E1175, "")
</f>
        <v/>
      </c>
      <c r="H1175" s="84" t="str">
        <f t="array" ref="H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Asesor'!F1175, "")
</f>
        <v/>
      </c>
      <c r="I1175" s="84" t="str">
        <f t="array" ref="I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Asesor'!G1175, "")
</f>
        <v/>
      </c>
      <c r="J1175" s="84" t="str">
        <f t="array" ref="J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Asesor'!H1175, "")
</f>
        <v/>
      </c>
      <c r="K1175" s="84" t="str">
        <f t="array" ref="K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Asesor'!K1175, "")
</f>
        <v/>
      </c>
      <c r="L1175" s="84" t="str">
        <f t="array" ref="L1175">IF(OR(
    AND('BD Asesor'!H1175="Mensual", MATCH($B$2, {"Enero", "Febrero", "Marzo", "Abril", "Mayo", "Junio", "Julio", "Agosto", "Septiembre", "Octubre", "Noviembre", "Diciembre"}, 0)&gt;=1),
    AND('BD Asesor'!H1175="Trimestral", MOD(MATCH($B$2, {"Enero", "Febrero", "Marzo", "Abril", "Mayo", "Junio", "Julio", "Agosto", "Septiembre", "Octubre", "Noviembre"}, 0)-MONTH('BD Asesor'!D1175), 3)=0),
    AND('BD Asesor'!H1175="Semestral", MOD(MATCH($B$2, {"Enero", "Febrero", "Marzo", "Abril", "Mayo", "Junio", "Julio", "Agosto", "Septiembre", "Octubre", "Noviembre"}, 0)-MONTH('BD Asesor'!D1175), 6)=0),
    AND('BD Asesor'!H1175="Anual", MONTH('BD Asesor'!D1175)=MATCH($B$2, {"Enero", "Febrero", "Marzo", "Abril", "Mayo", "Junio", "Julio", "Agosto", "Septiembre", "Octubre", "Noviembre"}, 0))
), 'BD Asesor'!L1175, "")
</f>
        <v/>
      </c>
    </row>
    <row r="1176">
      <c r="C1176" s="84" t="str">
        <f t="array" ref="C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Asesor'!A1176, "")
</f>
        <v/>
      </c>
      <c r="D1176" s="84" t="str">
        <f t="array" ref="D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Asesor'!B1176, "")
</f>
        <v/>
      </c>
      <c r="E1176" s="212" t="str">
        <f t="array" ref="E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Asesor'!C1176, "")
</f>
        <v/>
      </c>
      <c r="F1176" s="212" t="str">
        <f t="array" ref="F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Asesor'!D1176, "")
</f>
        <v/>
      </c>
      <c r="G1176" s="212" t="str">
        <f t="array" ref="G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Asesor'!E1176, "")
</f>
        <v/>
      </c>
      <c r="H1176" s="84" t="str">
        <f t="array" ref="H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Asesor'!F1176, "")
</f>
        <v/>
      </c>
      <c r="I1176" s="84" t="str">
        <f t="array" ref="I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Asesor'!G1176, "")
</f>
        <v/>
      </c>
      <c r="J1176" s="84" t="str">
        <f t="array" ref="J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Asesor'!H1176, "")
</f>
        <v/>
      </c>
      <c r="K1176" s="84" t="str">
        <f t="array" ref="K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Asesor'!K1176, "")
</f>
        <v/>
      </c>
      <c r="L1176" s="84" t="str">
        <f t="array" ref="L1176">IF(OR(
    AND('BD Asesor'!H1176="Mensual", MATCH($B$2, {"Enero", "Febrero", "Marzo", "Abril", "Mayo", "Junio", "Julio", "Agosto", "Septiembre", "Octubre", "Noviembre", "Diciembre"}, 0)&gt;=1),
    AND('BD Asesor'!H1176="Trimestral", MOD(MATCH($B$2, {"Enero", "Febrero", "Marzo", "Abril", "Mayo", "Junio", "Julio", "Agosto", "Septiembre", "Octubre", "Noviembre"}, 0)-MONTH('BD Asesor'!D1176), 3)=0),
    AND('BD Asesor'!H1176="Semestral", MOD(MATCH($B$2, {"Enero", "Febrero", "Marzo", "Abril", "Mayo", "Junio", "Julio", "Agosto", "Septiembre", "Octubre", "Noviembre"}, 0)-MONTH('BD Asesor'!D1176), 6)=0),
    AND('BD Asesor'!H1176="Anual", MONTH('BD Asesor'!D1176)=MATCH($B$2, {"Enero", "Febrero", "Marzo", "Abril", "Mayo", "Junio", "Julio", "Agosto", "Septiembre", "Octubre", "Noviembre"}, 0))
), 'BD Asesor'!L1176, "")
</f>
        <v/>
      </c>
    </row>
    <row r="1177">
      <c r="C1177" s="84" t="str">
        <f t="array" ref="C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Asesor'!A1177, "")
</f>
        <v/>
      </c>
      <c r="D1177" s="84" t="str">
        <f t="array" ref="D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Asesor'!B1177, "")
</f>
        <v/>
      </c>
      <c r="E1177" s="212" t="str">
        <f t="array" ref="E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Asesor'!C1177, "")
</f>
        <v/>
      </c>
      <c r="F1177" s="212" t="str">
        <f t="array" ref="F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Asesor'!D1177, "")
</f>
        <v/>
      </c>
      <c r="G1177" s="212" t="str">
        <f t="array" ref="G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Asesor'!E1177, "")
</f>
        <v/>
      </c>
      <c r="H1177" s="84" t="str">
        <f t="array" ref="H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Asesor'!F1177, "")
</f>
        <v/>
      </c>
      <c r="I1177" s="84" t="str">
        <f t="array" ref="I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Asesor'!G1177, "")
</f>
        <v/>
      </c>
      <c r="J1177" s="84" t="str">
        <f t="array" ref="J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Asesor'!H1177, "")
</f>
        <v/>
      </c>
      <c r="K1177" s="84" t="str">
        <f t="array" ref="K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Asesor'!K1177, "")
</f>
        <v/>
      </c>
      <c r="L1177" s="84" t="str">
        <f t="array" ref="L1177">IF(OR(
    AND('BD Asesor'!H1177="Mensual", MATCH($B$2, {"Enero", "Febrero", "Marzo", "Abril", "Mayo", "Junio", "Julio", "Agosto", "Septiembre", "Octubre", "Noviembre", "Diciembre"}, 0)&gt;=1),
    AND('BD Asesor'!H1177="Trimestral", MOD(MATCH($B$2, {"Enero", "Febrero", "Marzo", "Abril", "Mayo", "Junio", "Julio", "Agosto", "Septiembre", "Octubre", "Noviembre"}, 0)-MONTH('BD Asesor'!D1177), 3)=0),
    AND('BD Asesor'!H1177="Semestral", MOD(MATCH($B$2, {"Enero", "Febrero", "Marzo", "Abril", "Mayo", "Junio", "Julio", "Agosto", "Septiembre", "Octubre", "Noviembre"}, 0)-MONTH('BD Asesor'!D1177), 6)=0),
    AND('BD Asesor'!H1177="Anual", MONTH('BD Asesor'!D1177)=MATCH($B$2, {"Enero", "Febrero", "Marzo", "Abril", "Mayo", "Junio", "Julio", "Agosto", "Septiembre", "Octubre", "Noviembre"}, 0))
), 'BD Asesor'!L1177, "")
</f>
        <v/>
      </c>
    </row>
    <row r="1178">
      <c r="C1178" s="84" t="str">
        <f t="array" ref="C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Asesor'!A1178, "")
</f>
        <v/>
      </c>
      <c r="D1178" s="84" t="str">
        <f t="array" ref="D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Asesor'!B1178, "")
</f>
        <v/>
      </c>
      <c r="E1178" s="212" t="str">
        <f t="array" ref="E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Asesor'!C1178, "")
</f>
        <v/>
      </c>
      <c r="F1178" s="212" t="str">
        <f t="array" ref="F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Asesor'!D1178, "")
</f>
        <v/>
      </c>
      <c r="G1178" s="212" t="str">
        <f t="array" ref="G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Asesor'!E1178, "")
</f>
        <v/>
      </c>
      <c r="H1178" s="84" t="str">
        <f t="array" ref="H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Asesor'!F1178, "")
</f>
        <v/>
      </c>
      <c r="I1178" s="84" t="str">
        <f t="array" ref="I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Asesor'!G1178, "")
</f>
        <v/>
      </c>
      <c r="J1178" s="84" t="str">
        <f t="array" ref="J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Asesor'!H1178, "")
</f>
        <v/>
      </c>
      <c r="K1178" s="84" t="str">
        <f t="array" ref="K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Asesor'!K1178, "")
</f>
        <v/>
      </c>
      <c r="L1178" s="84" t="str">
        <f t="array" ref="L1178">IF(OR(
    AND('BD Asesor'!H1178="Mensual", MATCH($B$2, {"Enero", "Febrero", "Marzo", "Abril", "Mayo", "Junio", "Julio", "Agosto", "Septiembre", "Octubre", "Noviembre", "Diciembre"}, 0)&gt;=1),
    AND('BD Asesor'!H1178="Trimestral", MOD(MATCH($B$2, {"Enero", "Febrero", "Marzo", "Abril", "Mayo", "Junio", "Julio", "Agosto", "Septiembre", "Octubre", "Noviembre"}, 0)-MONTH('BD Asesor'!D1178), 3)=0),
    AND('BD Asesor'!H1178="Semestral", MOD(MATCH($B$2, {"Enero", "Febrero", "Marzo", "Abril", "Mayo", "Junio", "Julio", "Agosto", "Septiembre", "Octubre", "Noviembre"}, 0)-MONTH('BD Asesor'!D1178), 6)=0),
    AND('BD Asesor'!H1178="Anual", MONTH('BD Asesor'!D1178)=MATCH($B$2, {"Enero", "Febrero", "Marzo", "Abril", "Mayo", "Junio", "Julio", "Agosto", "Septiembre", "Octubre", "Noviembre"}, 0))
), 'BD Asesor'!L1178, "")
</f>
        <v/>
      </c>
    </row>
    <row r="1179">
      <c r="C1179" s="84" t="str">
        <f t="array" ref="C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Asesor'!A1179, "")
</f>
        <v/>
      </c>
      <c r="D1179" s="84" t="str">
        <f t="array" ref="D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Asesor'!B1179, "")
</f>
        <v/>
      </c>
      <c r="E1179" s="212" t="str">
        <f t="array" ref="E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Asesor'!C1179, "")
</f>
        <v/>
      </c>
      <c r="F1179" s="212" t="str">
        <f t="array" ref="F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Asesor'!D1179, "")
</f>
        <v/>
      </c>
      <c r="G1179" s="212" t="str">
        <f t="array" ref="G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Asesor'!E1179, "")
</f>
        <v/>
      </c>
      <c r="H1179" s="84" t="str">
        <f t="array" ref="H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Asesor'!F1179, "")
</f>
        <v/>
      </c>
      <c r="I1179" s="84" t="str">
        <f t="array" ref="I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Asesor'!G1179, "")
</f>
        <v/>
      </c>
      <c r="J1179" s="84" t="str">
        <f t="array" ref="J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Asesor'!H1179, "")
</f>
        <v/>
      </c>
      <c r="K1179" s="84" t="str">
        <f t="array" ref="K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Asesor'!K1179, "")
</f>
        <v/>
      </c>
      <c r="L1179" s="84" t="str">
        <f t="array" ref="L1179">IF(OR(
    AND('BD Asesor'!H1179="Mensual", MATCH($B$2, {"Enero", "Febrero", "Marzo", "Abril", "Mayo", "Junio", "Julio", "Agosto", "Septiembre", "Octubre", "Noviembre", "Diciembre"}, 0)&gt;=1),
    AND('BD Asesor'!H1179="Trimestral", MOD(MATCH($B$2, {"Enero", "Febrero", "Marzo", "Abril", "Mayo", "Junio", "Julio", "Agosto", "Septiembre", "Octubre", "Noviembre"}, 0)-MONTH('BD Asesor'!D1179), 3)=0),
    AND('BD Asesor'!H1179="Semestral", MOD(MATCH($B$2, {"Enero", "Febrero", "Marzo", "Abril", "Mayo", "Junio", "Julio", "Agosto", "Septiembre", "Octubre", "Noviembre"}, 0)-MONTH('BD Asesor'!D1179), 6)=0),
    AND('BD Asesor'!H1179="Anual", MONTH('BD Asesor'!D1179)=MATCH($B$2, {"Enero", "Febrero", "Marzo", "Abril", "Mayo", "Junio", "Julio", "Agosto", "Septiembre", "Octubre", "Noviembre"}, 0))
), 'BD Asesor'!L1179, "")
</f>
        <v/>
      </c>
    </row>
    <row r="1180">
      <c r="C1180" s="84" t="str">
        <f t="array" ref="C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Asesor'!A1180, "")
</f>
        <v/>
      </c>
      <c r="D1180" s="84" t="str">
        <f t="array" ref="D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Asesor'!B1180, "")
</f>
        <v/>
      </c>
      <c r="E1180" s="212" t="str">
        <f t="array" ref="E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Asesor'!C1180, "")
</f>
        <v/>
      </c>
      <c r="F1180" s="212" t="str">
        <f t="array" ref="F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Asesor'!D1180, "")
</f>
        <v/>
      </c>
      <c r="G1180" s="212" t="str">
        <f t="array" ref="G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Asesor'!E1180, "")
</f>
        <v/>
      </c>
      <c r="H1180" s="84" t="str">
        <f t="array" ref="H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Asesor'!F1180, "")
</f>
        <v/>
      </c>
      <c r="I1180" s="84" t="str">
        <f t="array" ref="I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Asesor'!G1180, "")
</f>
        <v/>
      </c>
      <c r="J1180" s="84" t="str">
        <f t="array" ref="J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Asesor'!H1180, "")
</f>
        <v/>
      </c>
      <c r="K1180" s="84" t="str">
        <f t="array" ref="K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Asesor'!K1180, "")
</f>
        <v/>
      </c>
      <c r="L1180" s="84" t="str">
        <f t="array" ref="L1180">IF(OR(
    AND('BD Asesor'!H1180="Mensual", MATCH($B$2, {"Enero", "Febrero", "Marzo", "Abril", "Mayo", "Junio", "Julio", "Agosto", "Septiembre", "Octubre", "Noviembre", "Diciembre"}, 0)&gt;=1),
    AND('BD Asesor'!H1180="Trimestral", MOD(MATCH($B$2, {"Enero", "Febrero", "Marzo", "Abril", "Mayo", "Junio", "Julio", "Agosto", "Septiembre", "Octubre", "Noviembre"}, 0)-MONTH('BD Asesor'!D1180), 3)=0),
    AND('BD Asesor'!H1180="Semestral", MOD(MATCH($B$2, {"Enero", "Febrero", "Marzo", "Abril", "Mayo", "Junio", "Julio", "Agosto", "Septiembre", "Octubre", "Noviembre"}, 0)-MONTH('BD Asesor'!D1180), 6)=0),
    AND('BD Asesor'!H1180="Anual", MONTH('BD Asesor'!D1180)=MATCH($B$2, {"Enero", "Febrero", "Marzo", "Abril", "Mayo", "Junio", "Julio", "Agosto", "Septiembre", "Octubre", "Noviembre"}, 0))
), 'BD Asesor'!L1180, "")
</f>
        <v/>
      </c>
    </row>
    <row r="1181">
      <c r="C1181" s="84" t="str">
        <f t="array" ref="C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Asesor'!A1181, "")
</f>
        <v/>
      </c>
      <c r="D1181" s="84" t="str">
        <f t="array" ref="D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Asesor'!B1181, "")
</f>
        <v/>
      </c>
      <c r="E1181" s="212" t="str">
        <f t="array" ref="E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Asesor'!C1181, "")
</f>
        <v/>
      </c>
      <c r="F1181" s="212" t="str">
        <f t="array" ref="F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Asesor'!D1181, "")
</f>
        <v/>
      </c>
      <c r="G1181" s="212" t="str">
        <f t="array" ref="G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Asesor'!E1181, "")
</f>
        <v/>
      </c>
      <c r="H1181" s="84" t="str">
        <f t="array" ref="H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Asesor'!F1181, "")
</f>
        <v/>
      </c>
      <c r="I1181" s="84" t="str">
        <f t="array" ref="I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Asesor'!G1181, "")
</f>
        <v/>
      </c>
      <c r="J1181" s="84" t="str">
        <f t="array" ref="J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Asesor'!H1181, "")
</f>
        <v/>
      </c>
      <c r="K1181" s="84" t="str">
        <f t="array" ref="K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Asesor'!K1181, "")
</f>
        <v/>
      </c>
      <c r="L1181" s="84" t="str">
        <f t="array" ref="L1181">IF(OR(
    AND('BD Asesor'!H1181="Mensual", MATCH($B$2, {"Enero", "Febrero", "Marzo", "Abril", "Mayo", "Junio", "Julio", "Agosto", "Septiembre", "Octubre", "Noviembre", "Diciembre"}, 0)&gt;=1),
    AND('BD Asesor'!H1181="Trimestral", MOD(MATCH($B$2, {"Enero", "Febrero", "Marzo", "Abril", "Mayo", "Junio", "Julio", "Agosto", "Septiembre", "Octubre", "Noviembre"}, 0)-MONTH('BD Asesor'!D1181), 3)=0),
    AND('BD Asesor'!H1181="Semestral", MOD(MATCH($B$2, {"Enero", "Febrero", "Marzo", "Abril", "Mayo", "Junio", "Julio", "Agosto", "Septiembre", "Octubre", "Noviembre"}, 0)-MONTH('BD Asesor'!D1181), 6)=0),
    AND('BD Asesor'!H1181="Anual", MONTH('BD Asesor'!D1181)=MATCH($B$2, {"Enero", "Febrero", "Marzo", "Abril", "Mayo", "Junio", "Julio", "Agosto", "Septiembre", "Octubre", "Noviembre"}, 0))
), 'BD Asesor'!L1181, "")
</f>
        <v/>
      </c>
    </row>
    <row r="1182">
      <c r="C1182" s="84" t="str">
        <f t="array" ref="C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Asesor'!A1182, "")
</f>
        <v/>
      </c>
      <c r="D1182" s="84" t="str">
        <f t="array" ref="D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Asesor'!B1182, "")
</f>
        <v/>
      </c>
      <c r="E1182" s="212" t="str">
        <f t="array" ref="E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Asesor'!C1182, "")
</f>
        <v/>
      </c>
      <c r="F1182" s="212" t="str">
        <f t="array" ref="F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Asesor'!D1182, "")
</f>
        <v/>
      </c>
      <c r="G1182" s="212" t="str">
        <f t="array" ref="G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Asesor'!E1182, "")
</f>
        <v/>
      </c>
      <c r="H1182" s="84" t="str">
        <f t="array" ref="H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Asesor'!F1182, "")
</f>
        <v/>
      </c>
      <c r="I1182" s="84" t="str">
        <f t="array" ref="I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Asesor'!G1182, "")
</f>
        <v/>
      </c>
      <c r="J1182" s="84" t="str">
        <f t="array" ref="J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Asesor'!H1182, "")
</f>
        <v/>
      </c>
      <c r="K1182" s="84" t="str">
        <f t="array" ref="K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Asesor'!K1182, "")
</f>
        <v/>
      </c>
      <c r="L1182" s="84" t="str">
        <f t="array" ref="L1182">IF(OR(
    AND('BD Asesor'!H1182="Mensual", MATCH($B$2, {"Enero", "Febrero", "Marzo", "Abril", "Mayo", "Junio", "Julio", "Agosto", "Septiembre", "Octubre", "Noviembre", "Diciembre"}, 0)&gt;=1),
    AND('BD Asesor'!H1182="Trimestral", MOD(MATCH($B$2, {"Enero", "Febrero", "Marzo", "Abril", "Mayo", "Junio", "Julio", "Agosto", "Septiembre", "Octubre", "Noviembre"}, 0)-MONTH('BD Asesor'!D1182), 3)=0),
    AND('BD Asesor'!H1182="Semestral", MOD(MATCH($B$2, {"Enero", "Febrero", "Marzo", "Abril", "Mayo", "Junio", "Julio", "Agosto", "Septiembre", "Octubre", "Noviembre"}, 0)-MONTH('BD Asesor'!D1182), 6)=0),
    AND('BD Asesor'!H1182="Anual", MONTH('BD Asesor'!D1182)=MATCH($B$2, {"Enero", "Febrero", "Marzo", "Abril", "Mayo", "Junio", "Julio", "Agosto", "Septiembre", "Octubre", "Noviembre"}, 0))
), 'BD Asesor'!L1182, "")
</f>
        <v/>
      </c>
    </row>
    <row r="1183">
      <c r="C1183" s="84" t="str">
        <f t="array" ref="C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Asesor'!A1183, "")
</f>
        <v/>
      </c>
      <c r="D1183" s="84" t="str">
        <f t="array" ref="D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Asesor'!B1183, "")
</f>
        <v/>
      </c>
      <c r="E1183" s="212" t="str">
        <f t="array" ref="E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Asesor'!C1183, "")
</f>
        <v/>
      </c>
      <c r="F1183" s="212" t="str">
        <f t="array" ref="F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Asesor'!D1183, "")
</f>
        <v/>
      </c>
      <c r="G1183" s="212" t="str">
        <f t="array" ref="G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Asesor'!E1183, "")
</f>
        <v/>
      </c>
      <c r="H1183" s="84" t="str">
        <f t="array" ref="H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Asesor'!F1183, "")
</f>
        <v/>
      </c>
      <c r="I1183" s="84" t="str">
        <f t="array" ref="I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Asesor'!G1183, "")
</f>
        <v/>
      </c>
      <c r="J1183" s="84" t="str">
        <f t="array" ref="J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Asesor'!H1183, "")
</f>
        <v/>
      </c>
      <c r="K1183" s="84" t="str">
        <f t="array" ref="K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Asesor'!K1183, "")
</f>
        <v/>
      </c>
      <c r="L1183" s="84" t="str">
        <f t="array" ref="L1183">IF(OR(
    AND('BD Asesor'!H1183="Mensual", MATCH($B$2, {"Enero", "Febrero", "Marzo", "Abril", "Mayo", "Junio", "Julio", "Agosto", "Septiembre", "Octubre", "Noviembre", "Diciembre"}, 0)&gt;=1),
    AND('BD Asesor'!H1183="Trimestral", MOD(MATCH($B$2, {"Enero", "Febrero", "Marzo", "Abril", "Mayo", "Junio", "Julio", "Agosto", "Septiembre", "Octubre", "Noviembre"}, 0)-MONTH('BD Asesor'!D1183), 3)=0),
    AND('BD Asesor'!H1183="Semestral", MOD(MATCH($B$2, {"Enero", "Febrero", "Marzo", "Abril", "Mayo", "Junio", "Julio", "Agosto", "Septiembre", "Octubre", "Noviembre"}, 0)-MONTH('BD Asesor'!D1183), 6)=0),
    AND('BD Asesor'!H1183="Anual", MONTH('BD Asesor'!D1183)=MATCH($B$2, {"Enero", "Febrero", "Marzo", "Abril", "Mayo", "Junio", "Julio", "Agosto", "Septiembre", "Octubre", "Noviembre"}, 0))
), 'BD Asesor'!L1183, "")
</f>
        <v/>
      </c>
    </row>
    <row r="1184">
      <c r="C1184" s="84" t="str">
        <f t="array" ref="C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Asesor'!A1184, "")
</f>
        <v/>
      </c>
      <c r="D1184" s="84" t="str">
        <f t="array" ref="D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Asesor'!B1184, "")
</f>
        <v/>
      </c>
      <c r="E1184" s="212" t="str">
        <f t="array" ref="E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Asesor'!C1184, "")
</f>
        <v/>
      </c>
      <c r="F1184" s="212" t="str">
        <f t="array" ref="F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Asesor'!D1184, "")
</f>
        <v/>
      </c>
      <c r="G1184" s="212" t="str">
        <f t="array" ref="G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Asesor'!E1184, "")
</f>
        <v/>
      </c>
      <c r="H1184" s="84" t="str">
        <f t="array" ref="H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Asesor'!F1184, "")
</f>
        <v/>
      </c>
      <c r="I1184" s="84" t="str">
        <f t="array" ref="I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Asesor'!G1184, "")
</f>
        <v/>
      </c>
      <c r="J1184" s="84" t="str">
        <f t="array" ref="J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Asesor'!H1184, "")
</f>
        <v/>
      </c>
      <c r="K1184" s="84" t="str">
        <f t="array" ref="K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Asesor'!K1184, "")
</f>
        <v/>
      </c>
      <c r="L1184" s="84" t="str">
        <f t="array" ref="L1184">IF(OR(
    AND('BD Asesor'!H1184="Mensual", MATCH($B$2, {"Enero", "Febrero", "Marzo", "Abril", "Mayo", "Junio", "Julio", "Agosto", "Septiembre", "Octubre", "Noviembre", "Diciembre"}, 0)&gt;=1),
    AND('BD Asesor'!H1184="Trimestral", MOD(MATCH($B$2, {"Enero", "Febrero", "Marzo", "Abril", "Mayo", "Junio", "Julio", "Agosto", "Septiembre", "Octubre", "Noviembre"}, 0)-MONTH('BD Asesor'!D1184), 3)=0),
    AND('BD Asesor'!H1184="Semestral", MOD(MATCH($B$2, {"Enero", "Febrero", "Marzo", "Abril", "Mayo", "Junio", "Julio", "Agosto", "Septiembre", "Octubre", "Noviembre"}, 0)-MONTH('BD Asesor'!D1184), 6)=0),
    AND('BD Asesor'!H1184="Anual", MONTH('BD Asesor'!D1184)=MATCH($B$2, {"Enero", "Febrero", "Marzo", "Abril", "Mayo", "Junio", "Julio", "Agosto", "Septiembre", "Octubre", "Noviembre"}, 0))
), 'BD Asesor'!L1184, "")
</f>
        <v/>
      </c>
    </row>
    <row r="1185">
      <c r="C1185" s="84" t="str">
        <f t="array" ref="C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Asesor'!A1185, "")
</f>
        <v/>
      </c>
      <c r="D1185" s="84" t="str">
        <f t="array" ref="D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Asesor'!B1185, "")
</f>
        <v/>
      </c>
      <c r="E1185" s="212" t="str">
        <f t="array" ref="E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Asesor'!C1185, "")
</f>
        <v/>
      </c>
      <c r="F1185" s="212" t="str">
        <f t="array" ref="F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Asesor'!D1185, "")
</f>
        <v/>
      </c>
      <c r="G1185" s="212" t="str">
        <f t="array" ref="G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Asesor'!E1185, "")
</f>
        <v/>
      </c>
      <c r="H1185" s="84" t="str">
        <f t="array" ref="H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Asesor'!F1185, "")
</f>
        <v/>
      </c>
      <c r="I1185" s="84" t="str">
        <f t="array" ref="I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Asesor'!G1185, "")
</f>
        <v/>
      </c>
      <c r="J1185" s="84" t="str">
        <f t="array" ref="J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Asesor'!H1185, "")
</f>
        <v/>
      </c>
      <c r="K1185" s="84" t="str">
        <f t="array" ref="K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Asesor'!K1185, "")
</f>
        <v/>
      </c>
      <c r="L1185" s="84" t="str">
        <f t="array" ref="L1185">IF(OR(
    AND('BD Asesor'!H1185="Mensual", MATCH($B$2, {"Enero", "Febrero", "Marzo", "Abril", "Mayo", "Junio", "Julio", "Agosto", "Septiembre", "Octubre", "Noviembre", "Diciembre"}, 0)&gt;=1),
    AND('BD Asesor'!H1185="Trimestral", MOD(MATCH($B$2, {"Enero", "Febrero", "Marzo", "Abril", "Mayo", "Junio", "Julio", "Agosto", "Septiembre", "Octubre", "Noviembre"}, 0)-MONTH('BD Asesor'!D1185), 3)=0),
    AND('BD Asesor'!H1185="Semestral", MOD(MATCH($B$2, {"Enero", "Febrero", "Marzo", "Abril", "Mayo", "Junio", "Julio", "Agosto", "Septiembre", "Octubre", "Noviembre"}, 0)-MONTH('BD Asesor'!D1185), 6)=0),
    AND('BD Asesor'!H1185="Anual", MONTH('BD Asesor'!D1185)=MATCH($B$2, {"Enero", "Febrero", "Marzo", "Abril", "Mayo", "Junio", "Julio", "Agosto", "Septiembre", "Octubre", "Noviembre"}, 0))
), 'BD Asesor'!L1185, "")
</f>
        <v/>
      </c>
    </row>
    <row r="1186">
      <c r="C1186" s="84" t="str">
        <f t="array" ref="C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Asesor'!A1186, "")
</f>
        <v/>
      </c>
      <c r="D1186" s="84" t="str">
        <f t="array" ref="D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Asesor'!B1186, "")
</f>
        <v/>
      </c>
      <c r="E1186" s="212" t="str">
        <f t="array" ref="E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Asesor'!C1186, "")
</f>
        <v/>
      </c>
      <c r="F1186" s="212" t="str">
        <f t="array" ref="F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Asesor'!D1186, "")
</f>
        <v/>
      </c>
      <c r="G1186" s="212" t="str">
        <f t="array" ref="G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Asesor'!E1186, "")
</f>
        <v/>
      </c>
      <c r="H1186" s="84" t="str">
        <f t="array" ref="H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Asesor'!F1186, "")
</f>
        <v/>
      </c>
      <c r="I1186" s="84" t="str">
        <f t="array" ref="I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Asesor'!G1186, "")
</f>
        <v/>
      </c>
      <c r="J1186" s="84" t="str">
        <f t="array" ref="J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Asesor'!H1186, "")
</f>
        <v/>
      </c>
      <c r="K1186" s="84" t="str">
        <f t="array" ref="K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Asesor'!K1186, "")
</f>
        <v/>
      </c>
      <c r="L1186" s="84" t="str">
        <f t="array" ref="L1186">IF(OR(
    AND('BD Asesor'!H1186="Mensual", MATCH($B$2, {"Enero", "Febrero", "Marzo", "Abril", "Mayo", "Junio", "Julio", "Agosto", "Septiembre", "Octubre", "Noviembre", "Diciembre"}, 0)&gt;=1),
    AND('BD Asesor'!H1186="Trimestral", MOD(MATCH($B$2, {"Enero", "Febrero", "Marzo", "Abril", "Mayo", "Junio", "Julio", "Agosto", "Septiembre", "Octubre", "Noviembre"}, 0)-MONTH('BD Asesor'!D1186), 3)=0),
    AND('BD Asesor'!H1186="Semestral", MOD(MATCH($B$2, {"Enero", "Febrero", "Marzo", "Abril", "Mayo", "Junio", "Julio", "Agosto", "Septiembre", "Octubre", "Noviembre"}, 0)-MONTH('BD Asesor'!D1186), 6)=0),
    AND('BD Asesor'!H1186="Anual", MONTH('BD Asesor'!D1186)=MATCH($B$2, {"Enero", "Febrero", "Marzo", "Abril", "Mayo", "Junio", "Julio", "Agosto", "Septiembre", "Octubre", "Noviembre"}, 0))
), 'BD Asesor'!L1186, "")
</f>
        <v/>
      </c>
    </row>
    <row r="1187">
      <c r="C1187" s="84" t="str">
        <f t="array" ref="C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Asesor'!A1187, "")
</f>
        <v/>
      </c>
      <c r="D1187" s="84" t="str">
        <f t="array" ref="D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Asesor'!B1187, "")
</f>
        <v/>
      </c>
      <c r="E1187" s="212" t="str">
        <f t="array" ref="E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Asesor'!C1187, "")
</f>
        <v/>
      </c>
      <c r="F1187" s="212" t="str">
        <f t="array" ref="F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Asesor'!D1187, "")
</f>
        <v/>
      </c>
      <c r="G1187" s="212" t="str">
        <f t="array" ref="G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Asesor'!E1187, "")
</f>
        <v/>
      </c>
      <c r="H1187" s="84" t="str">
        <f t="array" ref="H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Asesor'!F1187, "")
</f>
        <v/>
      </c>
      <c r="I1187" s="84" t="str">
        <f t="array" ref="I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Asesor'!G1187, "")
</f>
        <v/>
      </c>
      <c r="J1187" s="84" t="str">
        <f t="array" ref="J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Asesor'!H1187, "")
</f>
        <v/>
      </c>
      <c r="K1187" s="84" t="str">
        <f t="array" ref="K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Asesor'!K1187, "")
</f>
        <v/>
      </c>
      <c r="L1187" s="84" t="str">
        <f t="array" ref="L1187">IF(OR(
    AND('BD Asesor'!H1187="Mensual", MATCH($B$2, {"Enero", "Febrero", "Marzo", "Abril", "Mayo", "Junio", "Julio", "Agosto", "Septiembre", "Octubre", "Noviembre", "Diciembre"}, 0)&gt;=1),
    AND('BD Asesor'!H1187="Trimestral", MOD(MATCH($B$2, {"Enero", "Febrero", "Marzo", "Abril", "Mayo", "Junio", "Julio", "Agosto", "Septiembre", "Octubre", "Noviembre"}, 0)-MONTH('BD Asesor'!D1187), 3)=0),
    AND('BD Asesor'!H1187="Semestral", MOD(MATCH($B$2, {"Enero", "Febrero", "Marzo", "Abril", "Mayo", "Junio", "Julio", "Agosto", "Septiembre", "Octubre", "Noviembre"}, 0)-MONTH('BD Asesor'!D1187), 6)=0),
    AND('BD Asesor'!H1187="Anual", MONTH('BD Asesor'!D1187)=MATCH($B$2, {"Enero", "Febrero", "Marzo", "Abril", "Mayo", "Junio", "Julio", "Agosto", "Septiembre", "Octubre", "Noviembre"}, 0))
), 'BD Asesor'!L1187, "")
</f>
        <v/>
      </c>
    </row>
    <row r="1188">
      <c r="C1188" s="84" t="str">
        <f t="array" ref="C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Asesor'!A1188, "")
</f>
        <v/>
      </c>
      <c r="D1188" s="84" t="str">
        <f t="array" ref="D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Asesor'!B1188, "")
</f>
        <v/>
      </c>
      <c r="E1188" s="212" t="str">
        <f t="array" ref="E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Asesor'!C1188, "")
</f>
        <v/>
      </c>
      <c r="F1188" s="212" t="str">
        <f t="array" ref="F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Asesor'!D1188, "")
</f>
        <v/>
      </c>
      <c r="G1188" s="212" t="str">
        <f t="array" ref="G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Asesor'!E1188, "")
</f>
        <v/>
      </c>
      <c r="H1188" s="84" t="str">
        <f t="array" ref="H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Asesor'!F1188, "")
</f>
        <v/>
      </c>
      <c r="I1188" s="84" t="str">
        <f t="array" ref="I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Asesor'!G1188, "")
</f>
        <v/>
      </c>
      <c r="J1188" s="84" t="str">
        <f t="array" ref="J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Asesor'!H1188, "")
</f>
        <v/>
      </c>
      <c r="K1188" s="84" t="str">
        <f t="array" ref="K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Asesor'!K1188, "")
</f>
        <v/>
      </c>
      <c r="L1188" s="84" t="str">
        <f t="array" ref="L1188">IF(OR(
    AND('BD Asesor'!H1188="Mensual", MATCH($B$2, {"Enero", "Febrero", "Marzo", "Abril", "Mayo", "Junio", "Julio", "Agosto", "Septiembre", "Octubre", "Noviembre", "Diciembre"}, 0)&gt;=1),
    AND('BD Asesor'!H1188="Trimestral", MOD(MATCH($B$2, {"Enero", "Febrero", "Marzo", "Abril", "Mayo", "Junio", "Julio", "Agosto", "Septiembre", "Octubre", "Noviembre"}, 0)-MONTH('BD Asesor'!D1188), 3)=0),
    AND('BD Asesor'!H1188="Semestral", MOD(MATCH($B$2, {"Enero", "Febrero", "Marzo", "Abril", "Mayo", "Junio", "Julio", "Agosto", "Septiembre", "Octubre", "Noviembre"}, 0)-MONTH('BD Asesor'!D1188), 6)=0),
    AND('BD Asesor'!H1188="Anual", MONTH('BD Asesor'!D1188)=MATCH($B$2, {"Enero", "Febrero", "Marzo", "Abril", "Mayo", "Junio", "Julio", "Agosto", "Septiembre", "Octubre", "Noviembre"}, 0))
), 'BD Asesor'!L1188, "")
</f>
        <v/>
      </c>
    </row>
    <row r="1189">
      <c r="C1189" s="84" t="str">
        <f t="array" ref="C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Asesor'!A1189, "")
</f>
        <v/>
      </c>
      <c r="D1189" s="84" t="str">
        <f t="array" ref="D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Asesor'!B1189, "")
</f>
        <v/>
      </c>
      <c r="E1189" s="212" t="str">
        <f t="array" ref="E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Asesor'!C1189, "")
</f>
        <v/>
      </c>
      <c r="F1189" s="212" t="str">
        <f t="array" ref="F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Asesor'!D1189, "")
</f>
        <v/>
      </c>
      <c r="G1189" s="212" t="str">
        <f t="array" ref="G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Asesor'!E1189, "")
</f>
        <v/>
      </c>
      <c r="H1189" s="84" t="str">
        <f t="array" ref="H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Asesor'!F1189, "")
</f>
        <v/>
      </c>
      <c r="I1189" s="84" t="str">
        <f t="array" ref="I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Asesor'!G1189, "")
</f>
        <v/>
      </c>
      <c r="J1189" s="84" t="str">
        <f t="array" ref="J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Asesor'!H1189, "")
</f>
        <v/>
      </c>
      <c r="K1189" s="84" t="str">
        <f t="array" ref="K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Asesor'!K1189, "")
</f>
        <v/>
      </c>
      <c r="L1189" s="84" t="str">
        <f t="array" ref="L1189">IF(OR(
    AND('BD Asesor'!H1189="Mensual", MATCH($B$2, {"Enero", "Febrero", "Marzo", "Abril", "Mayo", "Junio", "Julio", "Agosto", "Septiembre", "Octubre", "Noviembre", "Diciembre"}, 0)&gt;=1),
    AND('BD Asesor'!H1189="Trimestral", MOD(MATCH($B$2, {"Enero", "Febrero", "Marzo", "Abril", "Mayo", "Junio", "Julio", "Agosto", "Septiembre", "Octubre", "Noviembre"}, 0)-MONTH('BD Asesor'!D1189), 3)=0),
    AND('BD Asesor'!H1189="Semestral", MOD(MATCH($B$2, {"Enero", "Febrero", "Marzo", "Abril", "Mayo", "Junio", "Julio", "Agosto", "Septiembre", "Octubre", "Noviembre"}, 0)-MONTH('BD Asesor'!D1189), 6)=0),
    AND('BD Asesor'!H1189="Anual", MONTH('BD Asesor'!D1189)=MATCH($B$2, {"Enero", "Febrero", "Marzo", "Abril", "Mayo", "Junio", "Julio", "Agosto", "Septiembre", "Octubre", "Noviembre"}, 0))
), 'BD Asesor'!L1189, "")
</f>
        <v/>
      </c>
    </row>
    <row r="1190">
      <c r="C1190" s="84" t="str">
        <f t="array" ref="C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Asesor'!A1190, "")
</f>
        <v/>
      </c>
      <c r="D1190" s="84" t="str">
        <f t="array" ref="D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Asesor'!B1190, "")
</f>
        <v/>
      </c>
      <c r="E1190" s="212" t="str">
        <f t="array" ref="E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Asesor'!C1190, "")
</f>
        <v/>
      </c>
      <c r="F1190" s="212" t="str">
        <f t="array" ref="F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Asesor'!D1190, "")
</f>
        <v/>
      </c>
      <c r="G1190" s="212" t="str">
        <f t="array" ref="G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Asesor'!E1190, "")
</f>
        <v/>
      </c>
      <c r="H1190" s="84" t="str">
        <f t="array" ref="H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Asesor'!F1190, "")
</f>
        <v/>
      </c>
      <c r="I1190" s="84" t="str">
        <f t="array" ref="I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Asesor'!G1190, "")
</f>
        <v/>
      </c>
      <c r="J1190" s="84" t="str">
        <f t="array" ref="J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Asesor'!H1190, "")
</f>
        <v/>
      </c>
      <c r="K1190" s="84" t="str">
        <f t="array" ref="K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Asesor'!K1190, "")
</f>
        <v/>
      </c>
      <c r="L1190" s="84" t="str">
        <f t="array" ref="L1190">IF(OR(
    AND('BD Asesor'!H1190="Mensual", MATCH($B$2, {"Enero", "Febrero", "Marzo", "Abril", "Mayo", "Junio", "Julio", "Agosto", "Septiembre", "Octubre", "Noviembre", "Diciembre"}, 0)&gt;=1),
    AND('BD Asesor'!H1190="Trimestral", MOD(MATCH($B$2, {"Enero", "Febrero", "Marzo", "Abril", "Mayo", "Junio", "Julio", "Agosto", "Septiembre", "Octubre", "Noviembre"}, 0)-MONTH('BD Asesor'!D1190), 3)=0),
    AND('BD Asesor'!H1190="Semestral", MOD(MATCH($B$2, {"Enero", "Febrero", "Marzo", "Abril", "Mayo", "Junio", "Julio", "Agosto", "Septiembre", "Octubre", "Noviembre"}, 0)-MONTH('BD Asesor'!D1190), 6)=0),
    AND('BD Asesor'!H1190="Anual", MONTH('BD Asesor'!D1190)=MATCH($B$2, {"Enero", "Febrero", "Marzo", "Abril", "Mayo", "Junio", "Julio", "Agosto", "Septiembre", "Octubre", "Noviembre"}, 0))
), 'BD Asesor'!L1190, "")
</f>
        <v/>
      </c>
    </row>
    <row r="1191">
      <c r="C1191" s="84" t="str">
        <f t="array" ref="C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Asesor'!A1191, "")
</f>
        <v/>
      </c>
      <c r="D1191" s="84" t="str">
        <f t="array" ref="D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Asesor'!B1191, "")
</f>
        <v/>
      </c>
      <c r="E1191" s="212" t="str">
        <f t="array" ref="E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Asesor'!C1191, "")
</f>
        <v/>
      </c>
      <c r="F1191" s="212" t="str">
        <f t="array" ref="F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Asesor'!D1191, "")
</f>
        <v/>
      </c>
      <c r="G1191" s="212" t="str">
        <f t="array" ref="G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Asesor'!E1191, "")
</f>
        <v/>
      </c>
      <c r="H1191" s="84" t="str">
        <f t="array" ref="H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Asesor'!F1191, "")
</f>
        <v/>
      </c>
      <c r="I1191" s="84" t="str">
        <f t="array" ref="I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Asesor'!G1191, "")
</f>
        <v/>
      </c>
      <c r="J1191" s="84" t="str">
        <f t="array" ref="J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Asesor'!H1191, "")
</f>
        <v/>
      </c>
      <c r="K1191" s="84" t="str">
        <f t="array" ref="K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Asesor'!K1191, "")
</f>
        <v/>
      </c>
      <c r="L1191" s="84" t="str">
        <f t="array" ref="L1191">IF(OR(
    AND('BD Asesor'!H1191="Mensual", MATCH($B$2, {"Enero", "Febrero", "Marzo", "Abril", "Mayo", "Junio", "Julio", "Agosto", "Septiembre", "Octubre", "Noviembre", "Diciembre"}, 0)&gt;=1),
    AND('BD Asesor'!H1191="Trimestral", MOD(MATCH($B$2, {"Enero", "Febrero", "Marzo", "Abril", "Mayo", "Junio", "Julio", "Agosto", "Septiembre", "Octubre", "Noviembre"}, 0)-MONTH('BD Asesor'!D1191), 3)=0),
    AND('BD Asesor'!H1191="Semestral", MOD(MATCH($B$2, {"Enero", "Febrero", "Marzo", "Abril", "Mayo", "Junio", "Julio", "Agosto", "Septiembre", "Octubre", "Noviembre"}, 0)-MONTH('BD Asesor'!D1191), 6)=0),
    AND('BD Asesor'!H1191="Anual", MONTH('BD Asesor'!D1191)=MATCH($B$2, {"Enero", "Febrero", "Marzo", "Abril", "Mayo", "Junio", "Julio", "Agosto", "Septiembre", "Octubre", "Noviembre"}, 0))
), 'BD Asesor'!L1191, "")
</f>
        <v/>
      </c>
    </row>
    <row r="1192">
      <c r="C1192" s="84" t="str">
        <f t="array" ref="C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Asesor'!A1192, "")
</f>
        <v/>
      </c>
      <c r="D1192" s="84" t="str">
        <f t="array" ref="D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Asesor'!B1192, "")
</f>
        <v/>
      </c>
      <c r="E1192" s="212" t="str">
        <f t="array" ref="E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Asesor'!C1192, "")
</f>
        <v/>
      </c>
      <c r="F1192" s="212" t="str">
        <f t="array" ref="F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Asesor'!D1192, "")
</f>
        <v/>
      </c>
      <c r="G1192" s="212" t="str">
        <f t="array" ref="G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Asesor'!E1192, "")
</f>
        <v/>
      </c>
      <c r="H1192" s="84" t="str">
        <f t="array" ref="H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Asesor'!F1192, "")
</f>
        <v/>
      </c>
      <c r="I1192" s="84" t="str">
        <f t="array" ref="I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Asesor'!G1192, "")
</f>
        <v/>
      </c>
      <c r="J1192" s="84" t="str">
        <f t="array" ref="J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Asesor'!H1192, "")
</f>
        <v/>
      </c>
      <c r="K1192" s="84" t="str">
        <f t="array" ref="K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Asesor'!K1192, "")
</f>
        <v/>
      </c>
      <c r="L1192" s="84" t="str">
        <f t="array" ref="L1192">IF(OR(
    AND('BD Asesor'!H1192="Mensual", MATCH($B$2, {"Enero", "Febrero", "Marzo", "Abril", "Mayo", "Junio", "Julio", "Agosto", "Septiembre", "Octubre", "Noviembre", "Diciembre"}, 0)&gt;=1),
    AND('BD Asesor'!H1192="Trimestral", MOD(MATCH($B$2, {"Enero", "Febrero", "Marzo", "Abril", "Mayo", "Junio", "Julio", "Agosto", "Septiembre", "Octubre", "Noviembre"}, 0)-MONTH('BD Asesor'!D1192), 3)=0),
    AND('BD Asesor'!H1192="Semestral", MOD(MATCH($B$2, {"Enero", "Febrero", "Marzo", "Abril", "Mayo", "Junio", "Julio", "Agosto", "Septiembre", "Octubre", "Noviembre"}, 0)-MONTH('BD Asesor'!D1192), 6)=0),
    AND('BD Asesor'!H1192="Anual", MONTH('BD Asesor'!D1192)=MATCH($B$2, {"Enero", "Febrero", "Marzo", "Abril", "Mayo", "Junio", "Julio", "Agosto", "Septiembre", "Octubre", "Noviembre"}, 0))
), 'BD Asesor'!L1192, "")
</f>
        <v/>
      </c>
    </row>
    <row r="1193">
      <c r="C1193" s="84" t="str">
        <f t="array" ref="C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Asesor'!A1193, "")
</f>
        <v/>
      </c>
      <c r="D1193" s="84" t="str">
        <f t="array" ref="D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Asesor'!B1193, "")
</f>
        <v/>
      </c>
      <c r="E1193" s="212" t="str">
        <f t="array" ref="E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Asesor'!C1193, "")
</f>
        <v/>
      </c>
      <c r="F1193" s="212" t="str">
        <f t="array" ref="F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Asesor'!D1193, "")
</f>
        <v/>
      </c>
      <c r="G1193" s="212" t="str">
        <f t="array" ref="G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Asesor'!E1193, "")
</f>
        <v/>
      </c>
      <c r="H1193" s="84" t="str">
        <f t="array" ref="H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Asesor'!F1193, "")
</f>
        <v/>
      </c>
      <c r="I1193" s="84" t="str">
        <f t="array" ref="I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Asesor'!G1193, "")
</f>
        <v/>
      </c>
      <c r="J1193" s="84" t="str">
        <f t="array" ref="J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Asesor'!H1193, "")
</f>
        <v/>
      </c>
      <c r="K1193" s="84" t="str">
        <f t="array" ref="K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Asesor'!K1193, "")
</f>
        <v/>
      </c>
      <c r="L1193" s="84" t="str">
        <f t="array" ref="L1193">IF(OR(
    AND('BD Asesor'!H1193="Mensual", MATCH($B$2, {"Enero", "Febrero", "Marzo", "Abril", "Mayo", "Junio", "Julio", "Agosto", "Septiembre", "Octubre", "Noviembre", "Diciembre"}, 0)&gt;=1),
    AND('BD Asesor'!H1193="Trimestral", MOD(MATCH($B$2, {"Enero", "Febrero", "Marzo", "Abril", "Mayo", "Junio", "Julio", "Agosto", "Septiembre", "Octubre", "Noviembre"}, 0)-MONTH('BD Asesor'!D1193), 3)=0),
    AND('BD Asesor'!H1193="Semestral", MOD(MATCH($B$2, {"Enero", "Febrero", "Marzo", "Abril", "Mayo", "Junio", "Julio", "Agosto", "Septiembre", "Octubre", "Noviembre"}, 0)-MONTH('BD Asesor'!D1193), 6)=0),
    AND('BD Asesor'!H1193="Anual", MONTH('BD Asesor'!D1193)=MATCH($B$2, {"Enero", "Febrero", "Marzo", "Abril", "Mayo", "Junio", "Julio", "Agosto", "Septiembre", "Octubre", "Noviembre"}, 0))
), 'BD Asesor'!L1193, "")
</f>
        <v/>
      </c>
    </row>
    <row r="1194">
      <c r="C1194" s="84" t="str">
        <f t="array" ref="C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Asesor'!A1194, "")
</f>
        <v/>
      </c>
      <c r="D1194" s="84" t="str">
        <f t="array" ref="D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Asesor'!B1194, "")
</f>
        <v/>
      </c>
      <c r="E1194" s="212" t="str">
        <f t="array" ref="E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Asesor'!C1194, "")
</f>
        <v/>
      </c>
      <c r="F1194" s="212" t="str">
        <f t="array" ref="F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Asesor'!D1194, "")
</f>
        <v/>
      </c>
      <c r="G1194" s="212" t="str">
        <f t="array" ref="G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Asesor'!E1194, "")
</f>
        <v/>
      </c>
      <c r="H1194" s="84" t="str">
        <f t="array" ref="H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Asesor'!F1194, "")
</f>
        <v/>
      </c>
      <c r="I1194" s="84" t="str">
        <f t="array" ref="I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Asesor'!G1194, "")
</f>
        <v/>
      </c>
      <c r="J1194" s="84" t="str">
        <f t="array" ref="J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Asesor'!H1194, "")
</f>
        <v/>
      </c>
      <c r="K1194" s="84" t="str">
        <f t="array" ref="K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Asesor'!K1194, "")
</f>
        <v/>
      </c>
      <c r="L1194" s="84" t="str">
        <f t="array" ref="L1194">IF(OR(
    AND('BD Asesor'!H1194="Mensual", MATCH($B$2, {"Enero", "Febrero", "Marzo", "Abril", "Mayo", "Junio", "Julio", "Agosto", "Septiembre", "Octubre", "Noviembre", "Diciembre"}, 0)&gt;=1),
    AND('BD Asesor'!H1194="Trimestral", MOD(MATCH($B$2, {"Enero", "Febrero", "Marzo", "Abril", "Mayo", "Junio", "Julio", "Agosto", "Septiembre", "Octubre", "Noviembre"}, 0)-MONTH('BD Asesor'!D1194), 3)=0),
    AND('BD Asesor'!H1194="Semestral", MOD(MATCH($B$2, {"Enero", "Febrero", "Marzo", "Abril", "Mayo", "Junio", "Julio", "Agosto", "Septiembre", "Octubre", "Noviembre"}, 0)-MONTH('BD Asesor'!D1194), 6)=0),
    AND('BD Asesor'!H1194="Anual", MONTH('BD Asesor'!D1194)=MATCH($B$2, {"Enero", "Febrero", "Marzo", "Abril", "Mayo", "Junio", "Julio", "Agosto", "Septiembre", "Octubre", "Noviembre"}, 0))
), 'BD Asesor'!L1194, "")
</f>
        <v/>
      </c>
    </row>
    <row r="1195">
      <c r="C1195" s="84" t="str">
        <f t="array" ref="C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Asesor'!A1195, "")
</f>
        <v/>
      </c>
      <c r="D1195" s="84" t="str">
        <f t="array" ref="D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Asesor'!B1195, "")
</f>
        <v/>
      </c>
      <c r="E1195" s="212" t="str">
        <f t="array" ref="E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Asesor'!C1195, "")
</f>
        <v/>
      </c>
      <c r="F1195" s="212" t="str">
        <f t="array" ref="F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Asesor'!D1195, "")
</f>
        <v/>
      </c>
      <c r="G1195" s="212" t="str">
        <f t="array" ref="G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Asesor'!E1195, "")
</f>
        <v/>
      </c>
      <c r="H1195" s="84" t="str">
        <f t="array" ref="H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Asesor'!F1195, "")
</f>
        <v/>
      </c>
      <c r="I1195" s="84" t="str">
        <f t="array" ref="I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Asesor'!G1195, "")
</f>
        <v/>
      </c>
      <c r="J1195" s="84" t="str">
        <f t="array" ref="J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Asesor'!H1195, "")
</f>
        <v/>
      </c>
      <c r="K1195" s="84" t="str">
        <f t="array" ref="K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Asesor'!K1195, "")
</f>
        <v/>
      </c>
      <c r="L1195" s="84" t="str">
        <f t="array" ref="L1195">IF(OR(
    AND('BD Asesor'!H1195="Mensual", MATCH($B$2, {"Enero", "Febrero", "Marzo", "Abril", "Mayo", "Junio", "Julio", "Agosto", "Septiembre", "Octubre", "Noviembre", "Diciembre"}, 0)&gt;=1),
    AND('BD Asesor'!H1195="Trimestral", MOD(MATCH($B$2, {"Enero", "Febrero", "Marzo", "Abril", "Mayo", "Junio", "Julio", "Agosto", "Septiembre", "Octubre", "Noviembre"}, 0)-MONTH('BD Asesor'!D1195), 3)=0),
    AND('BD Asesor'!H1195="Semestral", MOD(MATCH($B$2, {"Enero", "Febrero", "Marzo", "Abril", "Mayo", "Junio", "Julio", "Agosto", "Septiembre", "Octubre", "Noviembre"}, 0)-MONTH('BD Asesor'!D1195), 6)=0),
    AND('BD Asesor'!H1195="Anual", MONTH('BD Asesor'!D1195)=MATCH($B$2, {"Enero", "Febrero", "Marzo", "Abril", "Mayo", "Junio", "Julio", "Agosto", "Septiembre", "Octubre", "Noviembre"}, 0))
), 'BD Asesor'!L1195, "")
</f>
        <v/>
      </c>
    </row>
    <row r="1196">
      <c r="C1196" s="84" t="str">
        <f t="array" ref="C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Asesor'!A1196, "")
</f>
        <v/>
      </c>
      <c r="D1196" s="84" t="str">
        <f t="array" ref="D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Asesor'!B1196, "")
</f>
        <v/>
      </c>
      <c r="E1196" s="212" t="str">
        <f t="array" ref="E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Asesor'!C1196, "")
</f>
        <v/>
      </c>
      <c r="F1196" s="212" t="str">
        <f t="array" ref="F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Asesor'!D1196, "")
</f>
        <v/>
      </c>
      <c r="G1196" s="212" t="str">
        <f t="array" ref="G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Asesor'!E1196, "")
</f>
        <v/>
      </c>
      <c r="H1196" s="84" t="str">
        <f t="array" ref="H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Asesor'!F1196, "")
</f>
        <v/>
      </c>
      <c r="I1196" s="84" t="str">
        <f t="array" ref="I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Asesor'!G1196, "")
</f>
        <v/>
      </c>
      <c r="J1196" s="84" t="str">
        <f t="array" ref="J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Asesor'!H1196, "")
</f>
        <v/>
      </c>
      <c r="K1196" s="84" t="str">
        <f t="array" ref="K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Asesor'!K1196, "")
</f>
        <v/>
      </c>
      <c r="L1196" s="84" t="str">
        <f t="array" ref="L1196">IF(OR(
    AND('BD Asesor'!H1196="Mensual", MATCH($B$2, {"Enero", "Febrero", "Marzo", "Abril", "Mayo", "Junio", "Julio", "Agosto", "Septiembre", "Octubre", "Noviembre", "Diciembre"}, 0)&gt;=1),
    AND('BD Asesor'!H1196="Trimestral", MOD(MATCH($B$2, {"Enero", "Febrero", "Marzo", "Abril", "Mayo", "Junio", "Julio", "Agosto", "Septiembre", "Octubre", "Noviembre"}, 0)-MONTH('BD Asesor'!D1196), 3)=0),
    AND('BD Asesor'!H1196="Semestral", MOD(MATCH($B$2, {"Enero", "Febrero", "Marzo", "Abril", "Mayo", "Junio", "Julio", "Agosto", "Septiembre", "Octubre", "Noviembre"}, 0)-MONTH('BD Asesor'!D1196), 6)=0),
    AND('BD Asesor'!H1196="Anual", MONTH('BD Asesor'!D1196)=MATCH($B$2, {"Enero", "Febrero", "Marzo", "Abril", "Mayo", "Junio", "Julio", "Agosto", "Septiembre", "Octubre", "Noviembre"}, 0))
), 'BD Asesor'!L1196, "")
</f>
        <v/>
      </c>
    </row>
    <row r="1197">
      <c r="C1197" s="84" t="str">
        <f t="array" ref="C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Asesor'!A1197, "")
</f>
        <v/>
      </c>
      <c r="D1197" s="84" t="str">
        <f t="array" ref="D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Asesor'!B1197, "")
</f>
        <v/>
      </c>
      <c r="E1197" s="212" t="str">
        <f t="array" ref="E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Asesor'!C1197, "")
</f>
        <v/>
      </c>
      <c r="F1197" s="212" t="str">
        <f t="array" ref="F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Asesor'!D1197, "")
</f>
        <v/>
      </c>
      <c r="G1197" s="212" t="str">
        <f t="array" ref="G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Asesor'!E1197, "")
</f>
        <v/>
      </c>
      <c r="H1197" s="84" t="str">
        <f t="array" ref="H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Asesor'!F1197, "")
</f>
        <v/>
      </c>
      <c r="I1197" s="84" t="str">
        <f t="array" ref="I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Asesor'!G1197, "")
</f>
        <v/>
      </c>
      <c r="J1197" s="84" t="str">
        <f t="array" ref="J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Asesor'!H1197, "")
</f>
        <v/>
      </c>
      <c r="K1197" s="84" t="str">
        <f t="array" ref="K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Asesor'!K1197, "")
</f>
        <v/>
      </c>
      <c r="L1197" s="84" t="str">
        <f t="array" ref="L1197">IF(OR(
    AND('BD Asesor'!H1197="Mensual", MATCH($B$2, {"Enero", "Febrero", "Marzo", "Abril", "Mayo", "Junio", "Julio", "Agosto", "Septiembre", "Octubre", "Noviembre", "Diciembre"}, 0)&gt;=1),
    AND('BD Asesor'!H1197="Trimestral", MOD(MATCH($B$2, {"Enero", "Febrero", "Marzo", "Abril", "Mayo", "Junio", "Julio", "Agosto", "Septiembre", "Octubre", "Noviembre"}, 0)-MONTH('BD Asesor'!D1197), 3)=0),
    AND('BD Asesor'!H1197="Semestral", MOD(MATCH($B$2, {"Enero", "Febrero", "Marzo", "Abril", "Mayo", "Junio", "Julio", "Agosto", "Septiembre", "Octubre", "Noviembre"}, 0)-MONTH('BD Asesor'!D1197), 6)=0),
    AND('BD Asesor'!H1197="Anual", MONTH('BD Asesor'!D1197)=MATCH($B$2, {"Enero", "Febrero", "Marzo", "Abril", "Mayo", "Junio", "Julio", "Agosto", "Septiembre", "Octubre", "Noviembre"}, 0))
), 'BD Asesor'!L1197, "")
</f>
        <v/>
      </c>
    </row>
    <row r="1198">
      <c r="C1198" s="84" t="str">
        <f t="array" ref="C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Asesor'!A1198, "")
</f>
        <v/>
      </c>
      <c r="D1198" s="84" t="str">
        <f t="array" ref="D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Asesor'!B1198, "")
</f>
        <v/>
      </c>
      <c r="E1198" s="212" t="str">
        <f t="array" ref="E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Asesor'!C1198, "")
</f>
        <v/>
      </c>
      <c r="F1198" s="212" t="str">
        <f t="array" ref="F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Asesor'!D1198, "")
</f>
        <v/>
      </c>
      <c r="G1198" s="212" t="str">
        <f t="array" ref="G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Asesor'!E1198, "")
</f>
        <v/>
      </c>
      <c r="H1198" s="84" t="str">
        <f t="array" ref="H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Asesor'!F1198, "")
</f>
        <v/>
      </c>
      <c r="I1198" s="84" t="str">
        <f t="array" ref="I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Asesor'!G1198, "")
</f>
        <v/>
      </c>
      <c r="J1198" s="84" t="str">
        <f t="array" ref="J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Asesor'!H1198, "")
</f>
        <v/>
      </c>
      <c r="K1198" s="84" t="str">
        <f t="array" ref="K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Asesor'!K1198, "")
</f>
        <v/>
      </c>
      <c r="L1198" s="84" t="str">
        <f t="array" ref="L1198">IF(OR(
    AND('BD Asesor'!H1198="Mensual", MATCH($B$2, {"Enero", "Febrero", "Marzo", "Abril", "Mayo", "Junio", "Julio", "Agosto", "Septiembre", "Octubre", "Noviembre", "Diciembre"}, 0)&gt;=1),
    AND('BD Asesor'!H1198="Trimestral", MOD(MATCH($B$2, {"Enero", "Febrero", "Marzo", "Abril", "Mayo", "Junio", "Julio", "Agosto", "Septiembre", "Octubre", "Noviembre"}, 0)-MONTH('BD Asesor'!D1198), 3)=0),
    AND('BD Asesor'!H1198="Semestral", MOD(MATCH($B$2, {"Enero", "Febrero", "Marzo", "Abril", "Mayo", "Junio", "Julio", "Agosto", "Septiembre", "Octubre", "Noviembre"}, 0)-MONTH('BD Asesor'!D1198), 6)=0),
    AND('BD Asesor'!H1198="Anual", MONTH('BD Asesor'!D1198)=MATCH($B$2, {"Enero", "Febrero", "Marzo", "Abril", "Mayo", "Junio", "Julio", "Agosto", "Septiembre", "Octubre", "Noviembre"}, 0))
), 'BD Asesor'!L1198, "")
</f>
        <v/>
      </c>
    </row>
    <row r="1199">
      <c r="C1199" s="84" t="str">
        <f t="array" ref="C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Asesor'!A1199, "")
</f>
        <v/>
      </c>
      <c r="D1199" s="84" t="str">
        <f t="array" ref="D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Asesor'!B1199, "")
</f>
        <v/>
      </c>
      <c r="E1199" s="212" t="str">
        <f t="array" ref="E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Asesor'!C1199, "")
</f>
        <v/>
      </c>
      <c r="F1199" s="212" t="str">
        <f t="array" ref="F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Asesor'!D1199, "")
</f>
        <v/>
      </c>
      <c r="G1199" s="212" t="str">
        <f t="array" ref="G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Asesor'!E1199, "")
</f>
        <v/>
      </c>
      <c r="H1199" s="84" t="str">
        <f t="array" ref="H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Asesor'!F1199, "")
</f>
        <v/>
      </c>
      <c r="I1199" s="84" t="str">
        <f t="array" ref="I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Asesor'!G1199, "")
</f>
        <v/>
      </c>
      <c r="J1199" s="84" t="str">
        <f t="array" ref="J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Asesor'!H1199, "")
</f>
        <v/>
      </c>
      <c r="K1199" s="84" t="str">
        <f t="array" ref="K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Asesor'!K1199, "")
</f>
        <v/>
      </c>
      <c r="L1199" s="84" t="str">
        <f t="array" ref="L1199">IF(OR(
    AND('BD Asesor'!H1199="Mensual", MATCH($B$2, {"Enero", "Febrero", "Marzo", "Abril", "Mayo", "Junio", "Julio", "Agosto", "Septiembre", "Octubre", "Noviembre", "Diciembre"}, 0)&gt;=1),
    AND('BD Asesor'!H1199="Trimestral", MOD(MATCH($B$2, {"Enero", "Febrero", "Marzo", "Abril", "Mayo", "Junio", "Julio", "Agosto", "Septiembre", "Octubre", "Noviembre"}, 0)-MONTH('BD Asesor'!D1199), 3)=0),
    AND('BD Asesor'!H1199="Semestral", MOD(MATCH($B$2, {"Enero", "Febrero", "Marzo", "Abril", "Mayo", "Junio", "Julio", "Agosto", "Septiembre", "Octubre", "Noviembre"}, 0)-MONTH('BD Asesor'!D1199), 6)=0),
    AND('BD Asesor'!H1199="Anual", MONTH('BD Asesor'!D1199)=MATCH($B$2, {"Enero", "Febrero", "Marzo", "Abril", "Mayo", "Junio", "Julio", "Agosto", "Septiembre", "Octubre", "Noviembre"}, 0))
), 'BD Asesor'!L1199, "")
</f>
        <v/>
      </c>
    </row>
    <row r="1200">
      <c r="C1200" s="84" t="str">
        <f t="array" ref="C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Asesor'!A1200, "")
</f>
        <v/>
      </c>
      <c r="D1200" s="84" t="str">
        <f t="array" ref="D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Asesor'!B1200, "")
</f>
        <v/>
      </c>
      <c r="E1200" s="212" t="str">
        <f t="array" ref="E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Asesor'!C1200, "")
</f>
        <v/>
      </c>
      <c r="F1200" s="212" t="str">
        <f t="array" ref="F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Asesor'!D1200, "")
</f>
        <v/>
      </c>
      <c r="G1200" s="212" t="str">
        <f t="array" ref="G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Asesor'!E1200, "")
</f>
        <v/>
      </c>
      <c r="H1200" s="84" t="str">
        <f t="array" ref="H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Asesor'!F1200, "")
</f>
        <v/>
      </c>
      <c r="I1200" s="84" t="str">
        <f t="array" ref="I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Asesor'!G1200, "")
</f>
        <v/>
      </c>
      <c r="J1200" s="84" t="str">
        <f t="array" ref="J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Asesor'!H1200, "")
</f>
        <v/>
      </c>
      <c r="K1200" s="84" t="str">
        <f t="array" ref="K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Asesor'!K1200, "")
</f>
        <v/>
      </c>
      <c r="L1200" s="84" t="str">
        <f t="array" ref="L1200">IF(OR(
    AND('BD Asesor'!H1200="Mensual", MATCH($B$2, {"Enero", "Febrero", "Marzo", "Abril", "Mayo", "Junio", "Julio", "Agosto", "Septiembre", "Octubre", "Noviembre", "Diciembre"}, 0)&gt;=1),
    AND('BD Asesor'!H1200="Trimestral", MOD(MATCH($B$2, {"Enero", "Febrero", "Marzo", "Abril", "Mayo", "Junio", "Julio", "Agosto", "Septiembre", "Octubre", "Noviembre"}, 0)-MONTH('BD Asesor'!D1200), 3)=0),
    AND('BD Asesor'!H1200="Semestral", MOD(MATCH($B$2, {"Enero", "Febrero", "Marzo", "Abril", "Mayo", "Junio", "Julio", "Agosto", "Septiembre", "Octubre", "Noviembre"}, 0)-MONTH('BD Asesor'!D1200), 6)=0),
    AND('BD Asesor'!H1200="Anual", MONTH('BD Asesor'!D1200)=MATCH($B$2, {"Enero", "Febrero", "Marzo", "Abril", "Mayo", "Junio", "Julio", "Agosto", "Septiembre", "Octubre", "Noviembre"}, 0))
), 'BD Asesor'!L1200, "")
</f>
        <v/>
      </c>
    </row>
  </sheetData>
  <dataValidations>
    <dataValidation type="list" allowBlank="1" showErrorMessage="1" sqref="B2">
      <formula1>Listas!$D$3:$D$14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63"/>
    <col hidden="1" min="4" max="10" width="12.63"/>
    <col customWidth="1" min="11" max="11" width="17.5"/>
    <col hidden="1" min="12" max="12" width="12.63"/>
    <col customWidth="1" min="13" max="13" width="5.88"/>
    <col customWidth="1" min="14" max="14" width="32.13"/>
    <col customWidth="1" min="16" max="16" width="19.38"/>
    <col hidden="1" min="17" max="17" width="12.63"/>
    <col customWidth="1" min="18" max="18" width="16.13"/>
    <col hidden="1" min="19" max="19" width="12.63"/>
  </cols>
  <sheetData>
    <row r="1">
      <c r="A1" s="216"/>
      <c r="B1" s="217">
        <f>TODAY()</f>
        <v>46161</v>
      </c>
    </row>
    <row r="2">
      <c r="A2" s="218" t="s">
        <v>1410</v>
      </c>
      <c r="B2" s="219" t="str">
        <f>IF(B1="","",VLOOKUP(MONTH(B1),Listas!$C$3:$D$14,2,0))</f>
        <v>Mayo</v>
      </c>
    </row>
    <row r="3">
      <c r="A3" s="220" t="s">
        <v>1413</v>
      </c>
      <c r="B3" s="221">
        <f>MONTH(B1)</f>
        <v>5</v>
      </c>
    </row>
    <row r="4">
      <c r="C4" s="222" t="s">
        <v>1414</v>
      </c>
      <c r="D4" s="223"/>
      <c r="E4" s="223"/>
      <c r="F4" s="223"/>
      <c r="G4" s="223"/>
      <c r="H4" s="223"/>
      <c r="I4" s="223"/>
      <c r="J4" s="223"/>
      <c r="K4" s="224"/>
      <c r="N4" s="225" t="s">
        <v>1415</v>
      </c>
      <c r="O4" s="226"/>
      <c r="P4" s="226"/>
      <c r="Q4" s="226"/>
      <c r="R4" s="227"/>
      <c r="S4" s="228"/>
    </row>
    <row r="5">
      <c r="C5" s="229" t="s">
        <v>5</v>
      </c>
      <c r="D5" s="230" t="s">
        <v>6</v>
      </c>
      <c r="E5" s="231" t="s">
        <v>7</v>
      </c>
      <c r="F5" s="231" t="s">
        <v>8</v>
      </c>
      <c r="G5" s="230" t="s">
        <v>9</v>
      </c>
      <c r="H5" s="232" t="s">
        <v>10</v>
      </c>
      <c r="I5" s="233" t="s">
        <v>1372</v>
      </c>
      <c r="J5" s="233" t="s">
        <v>1412</v>
      </c>
      <c r="K5" s="234" t="s">
        <v>13</v>
      </c>
      <c r="L5" s="235" t="s">
        <v>1416</v>
      </c>
      <c r="M5" s="236"/>
      <c r="N5" s="237" t="s">
        <v>5</v>
      </c>
      <c r="O5" s="238" t="s">
        <v>9</v>
      </c>
      <c r="P5" s="238" t="s">
        <v>1417</v>
      </c>
      <c r="Q5" s="238" t="s">
        <v>768</v>
      </c>
      <c r="R5" s="239" t="s">
        <v>13</v>
      </c>
      <c r="S5" s="228" t="s">
        <v>769</v>
      </c>
    </row>
    <row r="6">
      <c r="C6" s="84" t="str">
        <f>IFERROR(__xludf.DUMMYFUNCTION("FILTER('BD Asesor'!A8:I1000,'BD Asesor'!X8:X1000=B3,'BD Asesor'!C8:C1000=""Activo"")"),"ADRIAN ALEJANDRO RAMIREZ MORALES")</f>
        <v>ADRIAN ALEJANDRO RAMIREZ MORALES</v>
      </c>
      <c r="D6" s="84" t="str">
        <f>IFERROR(__xludf.DUMMYFUNCTION("""COMPUTED_VALUE"""),"H")</f>
        <v>H</v>
      </c>
      <c r="E6" s="84" t="str">
        <f>IFERROR(__xludf.DUMMYFUNCTION("""COMPUTED_VALUE"""),"Activo")</f>
        <v>Activo</v>
      </c>
      <c r="F6" s="199">
        <f>IFERROR(__xludf.DUMMYFUNCTION("""COMPUTED_VALUE"""),44581.0)</f>
        <v>44581</v>
      </c>
      <c r="G6" s="84" t="str">
        <f>IFERROR(__xludf.DUMMYFUNCTION("""COMPUTED_VALUE"""),"GM0000551209")</f>
        <v>GM0000551209</v>
      </c>
      <c r="H6" s="76">
        <f>IFERROR(__xludf.DUMMYFUNCTION("""COMPUTED_VALUE"""),22071.02)</f>
        <v>22071.02</v>
      </c>
      <c r="I6" s="84" t="str">
        <f>IFERROR(__xludf.DUMMYFUNCTION("""COMPUTED_VALUE"""),"MXN")</f>
        <v>MXN</v>
      </c>
      <c r="J6" s="84" t="str">
        <f>IFERROR(__xludf.DUMMYFUNCTION("""COMPUTED_VALUE"""),"Semestral")</f>
        <v>Semestral</v>
      </c>
      <c r="K6" s="240">
        <f>IFERROR(__xludf.DUMMYFUNCTION("""COMPUTED_VALUE"""),44707.0)</f>
        <v>44707</v>
      </c>
      <c r="L6" s="175">
        <f>IFERROR(__xludf.DUMMYFUNCTION("FILTER('BD Asesor'!V8:V1000,'BD Asesor'!X8:X1000=B3,'BD Asesor'!C8:C1000=""Activo"")"),26.0)</f>
        <v>26</v>
      </c>
      <c r="N6" s="84" t="str">
        <f>IFERROR(__xludf.DUMMYFUNCTION("FILTER(Asegurados!A6:F1000,Asegurados!F6:F1000=B3)"),"#N/A")</f>
        <v>#N/A</v>
      </c>
    </row>
    <row r="7">
      <c r="C7" s="84" t="str">
        <f>IFERROR(__xludf.DUMMYFUNCTION("""COMPUTED_VALUE"""),"ADRIAN ALEJANDRO RAMIREZ MORALES")</f>
        <v>ADRIAN ALEJANDRO RAMIREZ MORALES</v>
      </c>
      <c r="D7" s="84" t="str">
        <f>IFERROR(__xludf.DUMMYFUNCTION("""COMPUTED_VALUE"""),"H")</f>
        <v>H</v>
      </c>
      <c r="E7" s="84" t="str">
        <f>IFERROR(__xludf.DUMMYFUNCTION("""COMPUTED_VALUE"""),"Activo")</f>
        <v>Activo</v>
      </c>
      <c r="F7" s="199">
        <f>IFERROR(__xludf.DUMMYFUNCTION("""COMPUTED_VALUE"""),44576.0)</f>
        <v>44576</v>
      </c>
      <c r="G7" s="84" t="str">
        <f>IFERROR(__xludf.DUMMYFUNCTION("""COMPUTED_VALUE"""),"VI0002645864")</f>
        <v>VI0002645864</v>
      </c>
      <c r="H7" s="76">
        <f>IFERROR(__xludf.DUMMYFUNCTION("""COMPUTED_VALUE"""),52580.286)</f>
        <v>52580.286</v>
      </c>
      <c r="I7" s="84" t="str">
        <f>IFERROR(__xludf.DUMMYFUNCTION("""COMPUTED_VALUE"""),"UDIS")</f>
        <v>UDIS</v>
      </c>
      <c r="J7" s="84" t="str">
        <f>IFERROR(__xludf.DUMMYFUNCTION("""COMPUTED_VALUE"""),"Mensual")</f>
        <v>Mensual</v>
      </c>
      <c r="K7" s="240">
        <f>IFERROR(__xludf.DUMMYFUNCTION("""COMPUTED_VALUE"""),44707.0)</f>
        <v>44707</v>
      </c>
      <c r="L7" s="175">
        <f>IFERROR(__xludf.DUMMYFUNCTION("""COMPUTED_VALUE"""),26.0)</f>
        <v>26</v>
      </c>
    </row>
    <row r="8">
      <c r="C8" s="84" t="str">
        <f>IFERROR(__xludf.DUMMYFUNCTION("""COMPUTED_VALUE"""),"AIDA GRACIELA FLORES BARBA")</f>
        <v>AIDA GRACIELA FLORES BARBA</v>
      </c>
      <c r="D8" s="84" t="str">
        <f>IFERROR(__xludf.DUMMYFUNCTION("""COMPUTED_VALUE"""),"M")</f>
        <v>M</v>
      </c>
      <c r="E8" s="84" t="str">
        <f>IFERROR(__xludf.DUMMYFUNCTION("""COMPUTED_VALUE"""),"Activo")</f>
        <v>Activo</v>
      </c>
      <c r="F8" s="199">
        <f>IFERROR(__xludf.DUMMYFUNCTION("""COMPUTED_VALUE"""),44168.0)</f>
        <v>44168</v>
      </c>
      <c r="G8" s="84" t="str">
        <f>IFERROR(__xludf.DUMMYFUNCTION("""COMPUTED_VALUE"""),"VI0002570983")</f>
        <v>VI0002570983</v>
      </c>
      <c r="H8" s="76">
        <f>IFERROR(__xludf.DUMMYFUNCTION("""COMPUTED_VALUE"""),27828.022500000003)</f>
        <v>27828.0225</v>
      </c>
      <c r="I8" s="84" t="str">
        <f>IFERROR(__xludf.DUMMYFUNCTION("""COMPUTED_VALUE"""),"UDIS")</f>
        <v>UDIS</v>
      </c>
      <c r="J8" s="84" t="str">
        <f>IFERROR(__xludf.DUMMYFUNCTION("""COMPUTED_VALUE"""),"Anual")</f>
        <v>Anual</v>
      </c>
      <c r="K8" s="240">
        <f>IFERROR(__xludf.DUMMYFUNCTION("""COMPUTED_VALUE"""),44704.0)</f>
        <v>44704</v>
      </c>
      <c r="L8" s="175">
        <f>IFERROR(__xludf.DUMMYFUNCTION("""COMPUTED_VALUE"""),23.0)</f>
        <v>23</v>
      </c>
    </row>
    <row r="9">
      <c r="C9" s="84" t="str">
        <f>IFERROR(__xludf.DUMMYFUNCTION("""COMPUTED_VALUE"""),"MARIA AURORA RIOS GALVAN")</f>
        <v>MARIA AURORA RIOS GALVAN</v>
      </c>
      <c r="D9" s="84" t="str">
        <f>IFERROR(__xludf.DUMMYFUNCTION("""COMPUTED_VALUE"""),"M")</f>
        <v>M</v>
      </c>
      <c r="E9" s="84" t="str">
        <f>IFERROR(__xludf.DUMMYFUNCTION("""COMPUTED_VALUE"""),"Activo")</f>
        <v>Activo</v>
      </c>
      <c r="F9" s="199">
        <f>IFERROR(__xludf.DUMMYFUNCTION("""COMPUTED_VALUE"""),44280.0)</f>
        <v>44280</v>
      </c>
      <c r="G9" s="84" t="str">
        <f>IFERROR(__xludf.DUMMYFUNCTION("""COMPUTED_VALUE"""),"VI0002592088")</f>
        <v>VI0002592088</v>
      </c>
      <c r="H9" s="76">
        <f>IFERROR(__xludf.DUMMYFUNCTION("""COMPUTED_VALUE"""),65127.42224000001)</f>
        <v>65127.42224</v>
      </c>
      <c r="I9" s="84" t="str">
        <f>IFERROR(__xludf.DUMMYFUNCTION("""COMPUTED_VALUE"""),"UDIS")</f>
        <v>UDIS</v>
      </c>
      <c r="J9" s="84" t="str">
        <f>IFERROR(__xludf.DUMMYFUNCTION("""COMPUTED_VALUE"""),"Semestral")</f>
        <v>Semestral</v>
      </c>
      <c r="K9" s="240">
        <f>IFERROR(__xludf.DUMMYFUNCTION("""COMPUTED_VALUE"""),44708.0)</f>
        <v>44708</v>
      </c>
      <c r="L9" s="175">
        <f>IFERROR(__xludf.DUMMYFUNCTION("""COMPUTED_VALUE"""),27.0)</f>
        <v>27</v>
      </c>
    </row>
    <row r="10">
      <c r="C10" s="84" t="str">
        <f>IFERROR(__xludf.DUMMYFUNCTION("""COMPUTED_VALUE"""),"MARIO ALEJANDRO VALDIVIESO BERNAL")</f>
        <v>MARIO ALEJANDRO VALDIVIESO BERNAL</v>
      </c>
      <c r="D10" s="84" t="str">
        <f>IFERROR(__xludf.DUMMYFUNCTION("""COMPUTED_VALUE"""),"H")</f>
        <v>H</v>
      </c>
      <c r="E10" s="84" t="str">
        <f>IFERROR(__xludf.DUMMYFUNCTION("""COMPUTED_VALUE"""),"Activo")</f>
        <v>Activo</v>
      </c>
      <c r="F10" s="199">
        <f>IFERROR(__xludf.DUMMYFUNCTION("""COMPUTED_VALUE"""),44469.0)</f>
        <v>44469</v>
      </c>
      <c r="G10" s="84" t="str">
        <f>IFERROR(__xludf.DUMMYFUNCTION("""COMPUTED_VALUE"""),"VI0002626529")</f>
        <v>VI0002626529</v>
      </c>
      <c r="H10" s="76">
        <f>IFERROR(__xludf.DUMMYFUNCTION("""COMPUTED_VALUE"""),25767.16)</f>
        <v>25767.16</v>
      </c>
      <c r="I10" s="84" t="str">
        <f>IFERROR(__xludf.DUMMYFUNCTION("""COMPUTED_VALUE"""),"UDIS")</f>
        <v>UDIS</v>
      </c>
      <c r="J10" s="84" t="str">
        <f>IFERROR(__xludf.DUMMYFUNCTION("""COMPUTED_VALUE"""),"Anual")</f>
        <v>Anual</v>
      </c>
      <c r="K10" s="240">
        <f>IFERROR(__xludf.DUMMYFUNCTION("""COMPUTED_VALUE"""),44692.0)</f>
        <v>44692</v>
      </c>
      <c r="L10" s="175">
        <f>IFERROR(__xludf.DUMMYFUNCTION("""COMPUTED_VALUE"""),11.0)</f>
        <v>11</v>
      </c>
    </row>
    <row r="11">
      <c r="C11" s="84" t="str">
        <f>IFERROR(__xludf.DUMMYFUNCTION("""COMPUTED_VALUE"""),"MERCEDES DE LA TORRE FUENTES")</f>
        <v>MERCEDES DE LA TORRE FUENTES</v>
      </c>
      <c r="D11" s="84" t="str">
        <f>IFERROR(__xludf.DUMMYFUNCTION("""COMPUTED_VALUE"""),"M")</f>
        <v>M</v>
      </c>
      <c r="E11" s="84" t="str">
        <f>IFERROR(__xludf.DUMMYFUNCTION("""COMPUTED_VALUE"""),"Activo")</f>
        <v>Activo</v>
      </c>
      <c r="F11" s="199">
        <f>IFERROR(__xludf.DUMMYFUNCTION("""COMPUTED_VALUE"""),44503.0)</f>
        <v>44503</v>
      </c>
      <c r="G11" s="84" t="str">
        <f>IFERROR(__xludf.DUMMYFUNCTION("""COMPUTED_VALUE"""),"GM0000543671")</f>
        <v>GM0000543671</v>
      </c>
      <c r="H11" s="76">
        <f>IFERROR(__xludf.DUMMYFUNCTION("""COMPUTED_VALUE"""),17438.77)</f>
        <v>17438.77</v>
      </c>
      <c r="I11" s="84" t="str">
        <f>IFERROR(__xludf.DUMMYFUNCTION("""COMPUTED_VALUE"""),"MXN")</f>
        <v>MXN</v>
      </c>
      <c r="J11" s="84" t="str">
        <f>IFERROR(__xludf.DUMMYFUNCTION("""COMPUTED_VALUE"""),"Anual")</f>
        <v>Anual</v>
      </c>
      <c r="K11" s="240">
        <f>IFERROR(__xludf.DUMMYFUNCTION("""COMPUTED_VALUE"""),44691.0)</f>
        <v>44691</v>
      </c>
      <c r="L11" s="175">
        <f>IFERROR(__xludf.DUMMYFUNCTION("""COMPUTED_VALUE"""),10.0)</f>
        <v>10</v>
      </c>
    </row>
    <row r="12">
      <c r="C12" s="84" t="str">
        <f>IFERROR(__xludf.DUMMYFUNCTION("""COMPUTED_VALUE"""),"MERCEDES DE LA TORRE FUENTES")</f>
        <v>MERCEDES DE LA TORRE FUENTES</v>
      </c>
      <c r="D12" s="84" t="str">
        <f>IFERROR(__xludf.DUMMYFUNCTION("""COMPUTED_VALUE"""),"M")</f>
        <v>M</v>
      </c>
      <c r="E12" s="84" t="str">
        <f>IFERROR(__xludf.DUMMYFUNCTION("""COMPUTED_VALUE"""),"Activo")</f>
        <v>Activo</v>
      </c>
      <c r="F12" s="199">
        <f>IFERROR(__xludf.DUMMYFUNCTION("""COMPUTED_VALUE"""),44503.0)</f>
        <v>44503</v>
      </c>
      <c r="G12" s="84" t="str">
        <f>IFERROR(__xludf.DUMMYFUNCTION("""COMPUTED_VALUE"""),"VI0002632359")</f>
        <v>VI0002632359</v>
      </c>
      <c r="H12" s="76">
        <f>IFERROR(__xludf.DUMMYFUNCTION("""COMPUTED_VALUE"""),51246.25454)</f>
        <v>51246.25454</v>
      </c>
      <c r="I12" s="84" t="str">
        <f>IFERROR(__xludf.DUMMYFUNCTION("""COMPUTED_VALUE"""),"UDIS")</f>
        <v>UDIS</v>
      </c>
      <c r="J12" s="84" t="str">
        <f>IFERROR(__xludf.DUMMYFUNCTION("""COMPUTED_VALUE"""),"Anual")</f>
        <v>Anual</v>
      </c>
      <c r="K12" s="240">
        <f>IFERROR(__xludf.DUMMYFUNCTION("""COMPUTED_VALUE"""),44691.0)</f>
        <v>44691</v>
      </c>
      <c r="L12" s="175">
        <f>IFERROR(__xludf.DUMMYFUNCTION("""COMPUTED_VALUE"""),10.0)</f>
        <v>10</v>
      </c>
    </row>
    <row r="13">
      <c r="C13" s="84" t="str">
        <f>IFERROR(__xludf.DUMMYFUNCTION("""COMPUTED_VALUE"""),"LIBRA CASTALIA RAMIREZ MUÑOZ")</f>
        <v>LIBRA CASTALIA RAMIREZ MUÑOZ</v>
      </c>
      <c r="D13" s="84" t="str">
        <f>IFERROR(__xludf.DUMMYFUNCTION("""COMPUTED_VALUE"""),"M")</f>
        <v>M</v>
      </c>
      <c r="E13" s="84" t="str">
        <f>IFERROR(__xludf.DUMMYFUNCTION("""COMPUTED_VALUE"""),"Activo")</f>
        <v>Activo</v>
      </c>
      <c r="F13" s="199">
        <f>IFERROR(__xludf.DUMMYFUNCTION("""COMPUTED_VALUE"""),45056.0)</f>
        <v>45056</v>
      </c>
      <c r="G13" s="84" t="str">
        <f>IFERROR(__xludf.DUMMYFUNCTION("""COMPUTED_VALUE"""),"VI0002737615")</f>
        <v>VI0002737615</v>
      </c>
      <c r="H13" s="76">
        <f>IFERROR(__xludf.DUMMYFUNCTION("""COMPUTED_VALUE"""),24646.908)</f>
        <v>24646.908</v>
      </c>
      <c r="I13" s="84" t="str">
        <f>IFERROR(__xludf.DUMMYFUNCTION("""COMPUTED_VALUE"""),"UDIS")</f>
        <v>UDIS</v>
      </c>
      <c r="J13" s="84" t="str">
        <f>IFERROR(__xludf.DUMMYFUNCTION("""COMPUTED_VALUE"""),"Anual")</f>
        <v>Anual</v>
      </c>
      <c r="K13" s="240">
        <f>IFERROR(__xludf.DUMMYFUNCTION("""COMPUTED_VALUE"""),44683.0)</f>
        <v>44683</v>
      </c>
      <c r="L13" s="175">
        <f>IFERROR(__xludf.DUMMYFUNCTION("""COMPUTED_VALUE"""),2.0)</f>
        <v>2</v>
      </c>
    </row>
    <row r="14">
      <c r="C14" s="84" t="str">
        <f>IFERROR(__xludf.DUMMYFUNCTION("""COMPUTED_VALUE"""),"JOSE ANTONIO LINAGE GARZA")</f>
        <v>JOSE ANTONIO LINAGE GARZA</v>
      </c>
      <c r="D14" s="84" t="str">
        <f>IFERROR(__xludf.DUMMYFUNCTION("""COMPUTED_VALUE"""),"H")</f>
        <v>H</v>
      </c>
      <c r="E14" s="84" t="str">
        <f>IFERROR(__xludf.DUMMYFUNCTION("""COMPUTED_VALUE"""),"Activo")</f>
        <v>Activo</v>
      </c>
      <c r="F14" s="199">
        <f>IFERROR(__xludf.DUMMYFUNCTION("""COMPUTED_VALUE"""),45105.0)</f>
        <v>45105</v>
      </c>
      <c r="G14" s="84" t="str">
        <f>IFERROR(__xludf.DUMMYFUNCTION("""COMPUTED_VALUE"""),"VI0002748901")</f>
        <v>VI0002748901</v>
      </c>
      <c r="H14" s="76">
        <f>IFERROR(__xludf.DUMMYFUNCTION("""COMPUTED_VALUE"""),123987.396)</f>
        <v>123987.396</v>
      </c>
      <c r="I14" s="84" t="str">
        <f>IFERROR(__xludf.DUMMYFUNCTION("""COMPUTED_VALUE"""),"UDIS")</f>
        <v>UDIS</v>
      </c>
      <c r="J14" s="84" t="str">
        <f>IFERROR(__xludf.DUMMYFUNCTION("""COMPUTED_VALUE"""),"Semestral")</f>
        <v>Semestral</v>
      </c>
      <c r="K14" s="240">
        <f>IFERROR(__xludf.DUMMYFUNCTION("""COMPUTED_VALUE"""),45069.0)</f>
        <v>45069</v>
      </c>
      <c r="L14" s="175">
        <f>IFERROR(__xludf.DUMMYFUNCTION("""COMPUTED_VALUE"""),23.0)</f>
        <v>23</v>
      </c>
    </row>
    <row r="15">
      <c r="C15" s="84" t="str">
        <f>IFERROR(__xludf.DUMMYFUNCTION("""COMPUTED_VALUE"""),"SAUL RIOS GALVAN")</f>
        <v>SAUL RIOS GALVAN</v>
      </c>
      <c r="D15" s="84" t="str">
        <f>IFERROR(__xludf.DUMMYFUNCTION("""COMPUTED_VALUE"""),"H")</f>
        <v>H</v>
      </c>
      <c r="E15" s="84" t="str">
        <f>IFERROR(__xludf.DUMMYFUNCTION("""COMPUTED_VALUE"""),"Activo")</f>
        <v>Activo</v>
      </c>
      <c r="F15" s="199">
        <f>IFERROR(__xludf.DUMMYFUNCTION("""COMPUTED_VALUE"""),45240.0)</f>
        <v>45240</v>
      </c>
      <c r="G15" s="84" t="str">
        <f>IFERROR(__xludf.DUMMYFUNCTION("""COMPUTED_VALUE"""),"GM0000626399")</f>
        <v>GM0000626399</v>
      </c>
      <c r="H15" s="76">
        <f>IFERROR(__xludf.DUMMYFUNCTION("""COMPUTED_VALUE"""),42609.0)</f>
        <v>42609</v>
      </c>
      <c r="I15" s="84" t="str">
        <f>IFERROR(__xludf.DUMMYFUNCTION("""COMPUTED_VALUE"""),"MXN")</f>
        <v>MXN</v>
      </c>
      <c r="J15" s="84" t="str">
        <f>IFERROR(__xludf.DUMMYFUNCTION("""COMPUTED_VALUE"""),"Anual")</f>
        <v>Anual</v>
      </c>
      <c r="K15" s="240">
        <f>IFERROR(__xludf.DUMMYFUNCTION("""COMPUTED_VALUE"""),45067.0)</f>
        <v>45067</v>
      </c>
      <c r="L15" s="175">
        <f>IFERROR(__xludf.DUMMYFUNCTION("""COMPUTED_VALUE"""),21.0)</f>
        <v>21</v>
      </c>
    </row>
    <row r="16">
      <c r="C16" s="84" t="str">
        <f>IFERROR(__xludf.DUMMYFUNCTION("""COMPUTED_VALUE"""),"GABRIELA ALEJANDRA GUZMAN NAVARRO")</f>
        <v>GABRIELA ALEJANDRA GUZMAN NAVARRO</v>
      </c>
      <c r="D16" s="84" t="str">
        <f>IFERROR(__xludf.DUMMYFUNCTION("""COMPUTED_VALUE"""),"M")</f>
        <v>M</v>
      </c>
      <c r="E16" s="84" t="str">
        <f>IFERROR(__xludf.DUMMYFUNCTION("""COMPUTED_VALUE"""),"Activo")</f>
        <v>Activo</v>
      </c>
      <c r="F16" s="199">
        <f>IFERROR(__xludf.DUMMYFUNCTION("""COMPUTED_VALUE"""),45408.0)</f>
        <v>45408</v>
      </c>
      <c r="G16" s="84" t="str">
        <f>IFERROR(__xludf.DUMMYFUNCTION("""COMPUTED_VALUE"""),"VI0002821361")</f>
        <v>VI0002821361</v>
      </c>
      <c r="H16" s="76">
        <f>IFERROR(__xludf.DUMMYFUNCTION("""COMPUTED_VALUE"""),25180.3986)</f>
        <v>25180.3986</v>
      </c>
      <c r="I16" s="84" t="str">
        <f>IFERROR(__xludf.DUMMYFUNCTION("""COMPUTED_VALUE"""),"UDIS")</f>
        <v>UDIS</v>
      </c>
      <c r="J16" s="84" t="str">
        <f>IFERROR(__xludf.DUMMYFUNCTION("""COMPUTED_VALUE"""),"Semestral")</f>
        <v>Semestral</v>
      </c>
      <c r="K16" s="241">
        <f>IFERROR(__xludf.DUMMYFUNCTION("""COMPUTED_VALUE"""),45418.0)</f>
        <v>45418</v>
      </c>
      <c r="L16" s="175">
        <f>IFERROR(__xludf.DUMMYFUNCTION("""COMPUTED_VALUE"""),6.0)</f>
        <v>6</v>
      </c>
    </row>
    <row r="17">
      <c r="C17" s="84" t="str">
        <f>IFERROR(__xludf.DUMMYFUNCTION("""COMPUTED_VALUE"""),"GERARDO ALBERTO QUEZADA GARCIA
")</f>
        <v>GERARDO ALBERTO QUEZADA GARCIA
</v>
      </c>
      <c r="D17" s="84" t="str">
        <f>IFERROR(__xludf.DUMMYFUNCTION("""COMPUTED_VALUE"""),"M")</f>
        <v>M</v>
      </c>
      <c r="E17" s="84" t="str">
        <f>IFERROR(__xludf.DUMMYFUNCTION("""COMPUTED_VALUE"""),"Activo")</f>
        <v>Activo</v>
      </c>
      <c r="F17" s="199">
        <f>IFERROR(__xludf.DUMMYFUNCTION("""COMPUTED_VALUE"""),45615.0)</f>
        <v>45615</v>
      </c>
      <c r="G17" s="84" t="str">
        <f>IFERROR(__xludf.DUMMYFUNCTION("""COMPUTED_VALUE"""),"VI0002869958")</f>
        <v>VI0002869958</v>
      </c>
      <c r="H17" s="76">
        <f>IFERROR(__xludf.DUMMYFUNCTION("""COMPUTED_VALUE"""),120493.87199999999)</f>
        <v>120493.872</v>
      </c>
      <c r="I17" s="84" t="str">
        <f>IFERROR(__xludf.DUMMYFUNCTION("""COMPUTED_VALUE"""),"UDIS")</f>
        <v>UDIS</v>
      </c>
      <c r="J17" s="84" t="str">
        <f>IFERROR(__xludf.DUMMYFUNCTION("""COMPUTED_VALUE"""),"Mensual")</f>
        <v>Mensual</v>
      </c>
      <c r="K17" s="241">
        <f>IFERROR(__xludf.DUMMYFUNCTION("""COMPUTED_VALUE"""),27532.0)</f>
        <v>27532</v>
      </c>
      <c r="L17" s="175">
        <f>IFERROR(__xludf.DUMMYFUNCTION("""COMPUTED_VALUE"""),18.0)</f>
        <v>18</v>
      </c>
    </row>
    <row r="18">
      <c r="C18" s="84" t="str">
        <f>IFERROR(__xludf.DUMMYFUNCTION("""COMPUTED_VALUE"""),"MARIA RAQUEL CONTRERAS ALVAREZ")</f>
        <v>MARIA RAQUEL CONTRERAS ALVAREZ</v>
      </c>
      <c r="D18" s="84" t="str">
        <f>IFERROR(__xludf.DUMMYFUNCTION("""COMPUTED_VALUE"""),"F")</f>
        <v>F</v>
      </c>
      <c r="E18" s="84" t="str">
        <f>IFERROR(__xludf.DUMMYFUNCTION("""COMPUTED_VALUE"""),"Activo")</f>
        <v>Activo</v>
      </c>
      <c r="F18" s="199">
        <f>IFERROR(__xludf.DUMMYFUNCTION("""COMPUTED_VALUE"""),45637.0)</f>
        <v>45637</v>
      </c>
      <c r="G18" s="84" t="str">
        <f>IFERROR(__xludf.DUMMYFUNCTION("""COMPUTED_VALUE"""),"VI0002875542")</f>
        <v>VI0002875542</v>
      </c>
      <c r="H18" s="76">
        <f>IFERROR(__xludf.DUMMYFUNCTION("""COMPUTED_VALUE"""),121882.1443)</f>
        <v>121882.1443</v>
      </c>
      <c r="I18" s="84" t="str">
        <f>IFERROR(__xludf.DUMMYFUNCTION("""COMPUTED_VALUE"""),"UDIS")</f>
        <v>UDIS</v>
      </c>
      <c r="J18" s="84" t="str">
        <f>IFERROR(__xludf.DUMMYFUNCTION("""COMPUTED_VALUE"""),"Mensual")</f>
        <v>Mensual</v>
      </c>
      <c r="K18" s="240">
        <f>IFERROR(__xludf.DUMMYFUNCTION("""COMPUTED_VALUE"""),25334.0)</f>
        <v>25334</v>
      </c>
      <c r="L18" s="175">
        <f>IFERROR(__xludf.DUMMYFUNCTION("""COMPUTED_VALUE"""),11.0)</f>
        <v>11</v>
      </c>
    </row>
    <row r="19">
      <c r="C19" s="84" t="str">
        <f>IFERROR(__xludf.DUMMYFUNCTION("""COMPUTED_VALUE"""),"ABRAHAM YAEL ALVAREZ OBRIEN")</f>
        <v>ABRAHAM YAEL ALVAREZ OBRIEN</v>
      </c>
      <c r="D19" s="84" t="str">
        <f>IFERROR(__xludf.DUMMYFUNCTION("""COMPUTED_VALUE"""),"M")</f>
        <v>M</v>
      </c>
      <c r="E19" s="84" t="str">
        <f>IFERROR(__xludf.DUMMYFUNCTION("""COMPUTED_VALUE"""),"Activo")</f>
        <v>Activo</v>
      </c>
      <c r="F19" s="199">
        <f>IFERROR(__xludf.DUMMYFUNCTION("""COMPUTED_VALUE"""),45712.0)</f>
        <v>45712</v>
      </c>
      <c r="G19" s="84" t="str">
        <f>IFERROR(__xludf.DUMMYFUNCTION("""COMPUTED_VALUE"""),"VI0002892849")</f>
        <v>VI0002892849</v>
      </c>
      <c r="H19" s="76">
        <f>IFERROR(__xludf.DUMMYFUNCTION("""COMPUTED_VALUE"""),19020.96)</f>
        <v>19020.96</v>
      </c>
      <c r="I19" s="84" t="str">
        <f>IFERROR(__xludf.DUMMYFUNCTION("""COMPUTED_VALUE"""),"UDIS")</f>
        <v>UDIS</v>
      </c>
      <c r="J19" s="84" t="str">
        <f>IFERROR(__xludf.DUMMYFUNCTION("""COMPUTED_VALUE"""),"Mensual")</f>
        <v>Mensual</v>
      </c>
      <c r="K19" s="240">
        <f>IFERROR(__xludf.DUMMYFUNCTION("""COMPUTED_VALUE"""),45801.0)</f>
        <v>45801</v>
      </c>
      <c r="L19" s="175">
        <f>IFERROR(__xludf.DUMMYFUNCTION("""COMPUTED_VALUE"""),24.0)</f>
        <v>24</v>
      </c>
    </row>
  </sheetData>
  <mergeCells count="2">
    <mergeCell ref="C4:K4"/>
    <mergeCell ref="N4:R4"/>
  </mergeCells>
  <drawing r:id="rId1"/>
</worksheet>
</file>